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QA\Agileproject\roles\po\"/>
    </mc:Choice>
  </mc:AlternateContent>
  <xr:revisionPtr revIDLastSave="0" documentId="13_ncr:1_{5AEFA6E7-A8AF-4BBD-93C3-B271A48455FE}" xr6:coauthVersionLast="47" xr6:coauthVersionMax="47" xr10:uidLastSave="{00000000-0000-0000-0000-000000000000}"/>
  <bookViews>
    <workbookView xWindow="0" yWindow="360" windowWidth="29040" windowHeight="15720" xr2:uid="{00000000-000D-0000-FFFF-FFFF00000000}"/>
  </bookViews>
  <sheets>
    <sheet name="Product Backlog" sheetId="1" r:id="rId1"/>
    <sheet name="Sprint Tracker" sheetId="2" r:id="rId2"/>
    <sheet name="Open Questions" sheetId="3" r:id="rId3"/>
    <sheet name="Client Decisions" sheetId="4" r:id="rId4"/>
    <sheet name="Read Me" sheetId="5" r:id="rId5"/>
  </sheets>
  <definedNames>
    <definedName name="_xlnm._FilterDatabase" localSheetId="0" hidden="1">'Product Backlog'!$A$5:$Q$33</definedName>
  </definedNames>
  <calcPr calcId="181029"/>
</workbook>
</file>

<file path=xl/calcChain.xml><?xml version="1.0" encoding="utf-8"?>
<calcChain xmlns="http://schemas.openxmlformats.org/spreadsheetml/2006/main">
  <c r="G9" i="2" l="1"/>
  <c r="F9" i="2"/>
  <c r="E9" i="2"/>
  <c r="D9" i="2"/>
  <c r="C9" i="2"/>
  <c r="B9" i="2"/>
  <c r="H9" i="2" s="1"/>
  <c r="G8" i="2"/>
  <c r="F8" i="2"/>
  <c r="E8" i="2"/>
  <c r="D8" i="2"/>
  <c r="C8" i="2"/>
  <c r="B8" i="2"/>
  <c r="H8" i="2" s="1"/>
  <c r="G7" i="2"/>
  <c r="F7" i="2"/>
  <c r="E7" i="2"/>
  <c r="D7" i="2"/>
  <c r="C7" i="2"/>
  <c r="B7" i="2"/>
  <c r="H7" i="2" s="1"/>
  <c r="G6" i="2"/>
  <c r="F6" i="2"/>
  <c r="E6" i="2"/>
  <c r="D6" i="2"/>
  <c r="C6" i="2"/>
  <c r="B6" i="2"/>
  <c r="H6" i="2" s="1"/>
</calcChain>
</file>

<file path=xl/sharedStrings.xml><?xml version="1.0" encoding="utf-8"?>
<sst xmlns="http://schemas.openxmlformats.org/spreadsheetml/2006/main" count="695" uniqueCount="466">
  <si>
    <t>SPRINT TRACKER | LIVE BACKLOG STATUS</t>
  </si>
  <si>
    <t>Counts refresh from Product Backlog → Target Sprint (G) and Dev Status (K). Proposed allocation only; Sprint Planning confirms selection.</t>
  </si>
  <si>
    <t>Target Sprint</t>
  </si>
  <si>
    <t>Items</t>
  </si>
  <si>
    <t>Not Started</t>
  </si>
  <si>
    <t>In Progress</t>
  </si>
  <si>
    <t>Blocked</t>
  </si>
  <si>
    <t>In QA</t>
  </si>
  <si>
    <t>Done</t>
  </si>
  <si>
    <t>Completion</t>
  </si>
  <si>
    <t>Sprint 1</t>
  </si>
  <si>
    <t>CLIENT MEETING | CLARIFIED FACTS &amp; CAUTIONS</t>
  </si>
  <si>
    <t>CLIENT CLARIFICATIONS | OPEN QUESTIONS</t>
  </si>
  <si>
    <t>Source is an AI-generated transcript: verify ambiguous wording against client as needed. Not every team statement equals a client decision.</t>
  </si>
  <si>
    <t>Use Monday's 30-minute session for P1 questions that can cause current Sprint build/test errors. Capture explicit client answers in this sheet.</t>
  </si>
  <si>
    <t>ID</t>
  </si>
  <si>
    <t>EDUCATION ACCOUNT | PRODUCT BACKLOG</t>
  </si>
  <si>
    <t>Proposed build order: read Product Backlog top-to-bottom within each Target Sprint. Dev updates Status, Owner, Estimate and Notes; final Sprint scope requires team planning.</t>
  </si>
  <si>
    <t>R1–R10 traceability in column F; evidence in R; proposed Build Sequence in S. Sprint 1 includes R9 payment flows (gateway/charge-data dependent).</t>
  </si>
  <si>
    <t>Client clarification / evidence</t>
  </si>
  <si>
    <t>Urgency</t>
  </si>
  <si>
    <t>Implication for Dev / QA</t>
  </si>
  <si>
    <t>For Sprint</t>
  </si>
  <si>
    <t>Source</t>
  </si>
  <si>
    <t>Confidence</t>
  </si>
  <si>
    <t>Epic</t>
  </si>
  <si>
    <t>Clarification question / missing decision</t>
  </si>
  <si>
    <t>CD-01</t>
  </si>
  <si>
    <t>Why needed for Dev / QA</t>
  </si>
  <si>
    <t>Feature / User Story</t>
  </si>
  <si>
    <t>Related PBI</t>
  </si>
  <si>
    <t>Education Account is a financial/spending account, NOT a user login account; Singapore Citizens can have it. PR/foreign students may attend schools without one.</t>
  </si>
  <si>
    <t>Description / User Story</t>
  </si>
  <si>
    <t>Suggested owner</t>
  </si>
  <si>
    <t>Model education account separately from portal identity; fees exist for students without Education Accounts.</t>
  </si>
  <si>
    <t>Portal / Actor</t>
  </si>
  <si>
    <t>Status (update)</t>
  </si>
  <si>
    <t>Mtg 15:03–16:30</t>
  </si>
  <si>
    <t>Source Requirement(s)</t>
  </si>
  <si>
    <t>Client explicitly clarified</t>
  </si>
  <si>
    <t>Target Sprint (proposed)</t>
  </si>
  <si>
    <t>Client answer / decision (update)</t>
  </si>
  <si>
    <t>Priority</t>
  </si>
  <si>
    <t>CD-02</t>
  </si>
  <si>
    <t>Meeting / requirement source</t>
  </si>
  <si>
    <t>Requirement basis</t>
  </si>
  <si>
    <t>Education Account balance should transfer to CPF at closure; the client expects no pending transactions.</t>
  </si>
  <si>
    <t>OQ-01</t>
  </si>
  <si>
    <t>Readiness</t>
  </si>
  <si>
    <t>Plan closure/CPF workflow; pending transaction handling needs additional design confirmation.</t>
  </si>
  <si>
    <t>Mtg 11:19–12:13</t>
  </si>
  <si>
    <t>Dev Status (update)</t>
  </si>
  <si>
    <t>P1 - Now</t>
  </si>
  <si>
    <t>Owner (update)</t>
  </si>
  <si>
    <t>CD-03</t>
  </si>
  <si>
    <t>Estimate SP (update)</t>
  </si>
  <si>
    <t>What is the authoritative student data source/API, identifier, refresh frequency and data schema?</t>
  </si>
  <si>
    <t>Student source fields suggested: name, date of birth, citizenship, address where available.</t>
  </si>
  <si>
    <t>Cannot trust account eligibility or link source records.</t>
  </si>
  <si>
    <t>Use these as candidate integration fields; actual API payload, identifiers and address availability remain open.</t>
  </si>
  <si>
    <t>Dependencies</t>
  </si>
  <si>
    <t>PB-04, PB-05</t>
  </si>
  <si>
    <t>Mtg 12:58–13:15</t>
  </si>
  <si>
    <t>Client / Architect</t>
  </si>
  <si>
    <t>Open question / risk</t>
  </si>
  <si>
    <t>CD-04</t>
  </si>
  <si>
    <t>Open</t>
  </si>
  <si>
    <t>Level and cohort mean essentially the same thing; class is a separate dimension.</t>
  </si>
  <si>
    <t>Acceptance / Demo check</t>
  </si>
  <si>
    <t>Sprint 2</t>
  </si>
  <si>
    <t>Avoid creating independent Level and Cohort concepts without a need.</t>
  </si>
  <si>
    <t>Dev Notes / Blocker (update)</t>
  </si>
  <si>
    <t>Mtg 18:06–18:27</t>
  </si>
  <si>
    <t>Mtg 12:13–13:15</t>
  </si>
  <si>
    <t>Build Sequence (proposed)</t>
  </si>
  <si>
    <t>CD-05</t>
  </si>
  <si>
    <t>OQ-02</t>
  </si>
  <si>
    <t>MOE HQ should manage all listed records; School users can edit from level down.</t>
  </si>
  <si>
    <t>Start access design with this restriction; precise row-level scope still needs definition.</t>
  </si>
  <si>
    <t>Mtg 18:33–19:03</t>
  </si>
  <si>
    <t>PB-01</t>
  </si>
  <si>
    <t>CD-06</t>
  </si>
  <si>
    <t>Technical Enabler</t>
  </si>
  <si>
    <t>Where do trusted guardian relationships come from, and which parents/guardians may access each child?</t>
  </si>
  <si>
    <t>School enrollment/schooling status and Education Account status are distinct.</t>
  </si>
  <si>
    <t>Security and access-control design must be testable.</t>
  </si>
  <si>
    <t>Capacity, concurrency and test baseline</t>
  </si>
  <si>
    <t>PB-04, PB-07</t>
  </si>
  <si>
    <t>Do not automatically open/close the Education Account on school transfer/enrollment status.</t>
  </si>
  <si>
    <t>Description: Define the performance and capacity baseline for the HQ, School and Parent portals. Propose concurrency targets and QA load-test scenarios from the client-provided user populations and usage periods; population counts are not confirmed concurrent user targets.</t>
  </si>
  <si>
    <t>Mtg 19:03–19:59</t>
  </si>
  <si>
    <t>Cross-cutting · Dev / QA</t>
  </si>
  <si>
    <t>CD-07</t>
  </si>
  <si>
    <t>No direct R# (meeting NFR)</t>
  </si>
  <si>
    <t>Shared GST fee component was welcomed if feasible, rather than strictly required.</t>
  </si>
  <si>
    <t>Mtg 16:41–17:33</t>
  </si>
  <si>
    <t>Treat component reuse as an enhancement/implementation choice, not a mandatory Sprint 2 contract.</t>
  </si>
  <si>
    <t>OQ-03</t>
  </si>
  <si>
    <t>Mtg 20:17–22:03</t>
  </si>
  <si>
    <t>Client expressed preference</t>
  </si>
  <si>
    <t>P2 - Medium</t>
  </si>
  <si>
    <t>CD-08</t>
  </si>
  <si>
    <t>Client estimates + proposed task</t>
  </si>
  <si>
    <t>Fee examples: school/miscellaneous fees, ad hoc activities and damage charges.</t>
  </si>
  <si>
    <t>Is SingPass test/sandbox access available, and which identifier maps to a parent?</t>
  </si>
  <si>
    <t>Needs team estimate</t>
  </si>
  <si>
    <t>Fee data model should support more than one recurring monthly tuition fee.</t>
  </si>
  <si>
    <t>Parent demo/integration feasibility.</t>
  </si>
  <si>
    <t>Mtg 22:33–23:53</t>
  </si>
  <si>
    <t>PB-06, PB-07</t>
  </si>
  <si>
    <t>Client gave examples</t>
  </si>
  <si>
    <t>CD-09</t>
  </si>
  <si>
    <t>Client estimates ~500 HQ users, ~300 schools, ~200 School users each, ~2M possible parents; these are NOT concurrency numbers.</t>
  </si>
  <si>
    <t>Dev/QA must propose and validate concurrent load targets rather than treating population as simultaneous sessions.</t>
  </si>
  <si>
    <t>Sprint 3</t>
  </si>
  <si>
    <t>Mtg 24:52–25:38</t>
  </si>
  <si>
    <t>IR #8; Mtg 16:41</t>
  </si>
  <si>
    <t>Client estimate only</t>
  </si>
  <si>
    <t>OQ-04</t>
  </si>
  <si>
    <t>CD-10</t>
  </si>
  <si>
    <t>Architecture + expected usage profile</t>
  </si>
  <si>
    <t>HQ/school activity roughly 08:00–19:00; parent portal access around 06:00–02:00; usage may spike around payment dates.</t>
  </si>
  <si>
    <t>500 HQ users, 300 schools x ~200 users, ~2M parents are population estimates, NOT concurrency targets.</t>
  </si>
  <si>
    <t>Use for preliminary load profile, not fixed availability/peak SLA.</t>
  </si>
  <si>
    <t>Mtg 26:25–27:17</t>
  </si>
  <si>
    <t>Proposed concurrency/load assumptions documented and reviewed by team/client.</t>
  </si>
  <si>
    <t>What is the authoritative source of outstanding charges? For Sprint 1, is a test/imported charge dataset acceptable until full billing flow is confirmed?</t>
  </si>
  <si>
    <t>Blocks R9 view and either payment path; must avoid treating a fixture as production billing.</t>
  </si>
  <si>
    <t>CD-11</t>
  </si>
  <si>
    <t>PB-13, PB-09, PB-10, PB-11</t>
  </si>
  <si>
    <t>The client considered the high-level modules broadly present, but said it was too early to confirm detailed design.</t>
  </si>
  <si>
    <t>Client / BA</t>
  </si>
  <si>
    <t>Do not treat overview diagrams or BA assumptions as full sign-off.</t>
  </si>
  <si>
    <t>PB-02</t>
  </si>
  <si>
    <t>Mtg 07:39–08:02</t>
  </si>
  <si>
    <t>Core Data</t>
  </si>
  <si>
    <t>Explicit non-approval</t>
  </si>
  <si>
    <t>Maintain school, level/cohort, class &amp; student records</t>
  </si>
  <si>
    <t>Mtg 03:37–04:12</t>
  </si>
  <si>
    <t>CD-12</t>
  </si>
  <si>
    <t>As an authorized MOE HQ or School User, I want to maintain the school, level/cohort, class and student records within my permissions, so that the system has accurate school and student information.</t>
  </si>
  <si>
    <t>Team proposed Sprint 1 focus on IR #1/#3/#8/#9; client said this was acceptable while questioning backend availability.</t>
  </si>
  <si>
    <t>OQ-05</t>
  </si>
  <si>
    <t>Admin · MOE HQ / School</t>
  </si>
  <si>
    <t>Sprint 1 scope here is a proposal and must still be estimated/selected by Developers.</t>
  </si>
  <si>
    <t>Mtg 08:47–11:15</t>
  </si>
  <si>
    <t>R3</t>
  </si>
  <si>
    <t>Proposed scope discussed</t>
  </si>
  <si>
    <t>P1 - High</t>
  </si>
  <si>
    <t>Which data/source is authoritative for Education Account balance and transaction history?</t>
  </si>
  <si>
    <t>Initial + client clarified</t>
  </si>
  <si>
    <t>Account balance and transaction source determine whether an Education Account debit can be reliable and testable in Sprint 1.</t>
  </si>
  <si>
    <t>Unscheduled / trade-off</t>
  </si>
  <si>
    <t>PB-05, PB-08, PB-10</t>
  </si>
  <si>
    <t>Needs AC</t>
  </si>
  <si>
    <t>IR #1/#8</t>
  </si>
  <si>
    <t>School/student data model</t>
  </si>
  <si>
    <t>OQ-06</t>
  </si>
  <si>
    <t>Exact HQ/School operations and cross-school scope need refinement.</t>
  </si>
  <si>
    <t>Authorized users can view/edit permitted records; school users cannot edit school-level master data.</t>
  </si>
  <si>
    <t>PB-03</t>
  </si>
  <si>
    <t>At age 7, exactly how is account opening triggered? Need backfill / changes to citizenship handling?</t>
  </si>
  <si>
    <t>Access Control</t>
  </si>
  <si>
    <t>HQ vs School role-based permissions</t>
  </si>
  <si>
    <t>Eligibility logic and QA edge cases.</t>
  </si>
  <si>
    <t>As an MOE HQ administrator, I want HQ and School Users to have access limited by their roles and authorized records, so that school and student data can only be managed by permitted users.</t>
  </si>
  <si>
    <t>PB-05</t>
  </si>
  <si>
    <t>R3 (clarified in meeting)</t>
  </si>
  <si>
    <t>IR #1</t>
  </si>
  <si>
    <t>Client clarified</t>
  </si>
  <si>
    <t>PROPOSED INCREMENTAL SPRINT GOALS</t>
  </si>
  <si>
    <t>OQ-07</t>
  </si>
  <si>
    <t>Sprint</t>
  </si>
  <si>
    <t>Demo / focus</t>
  </si>
  <si>
    <t>Confirm HQ and school user view/edit matrix, including cross-school student records.</t>
  </si>
  <si>
    <t>Foundation + SingPass + linked-child account view + R9: view charges, Education Account payment and online payment (gateway-dependent).</t>
  </si>
  <si>
    <t>PB-02; user identity/roles</t>
  </si>
  <si>
    <t>Protects school/student data; affects UI and API.</t>
  </si>
  <si>
    <t>Complete fee configuration/billing management, top-ups and profile editing; carry over online gateway only if integration prevents S1 delivery.</t>
  </si>
  <si>
    <t>PB-02, PB-03</t>
  </si>
  <si>
    <t>Clarify school record visibility and finer permission matrix.</t>
  </si>
  <si>
    <t>Account closure and a limited FAS end-to-end slice; rest only if team capacity supports it.</t>
  </si>
  <si>
    <t>HQ has broad management access; School role cannot modify unauthorized records.</t>
  </si>
  <si>
    <t>PLANNING RISKS / SCOPE BOUNDARIES</t>
  </si>
  <si>
    <t>High risk: Sprint 1 targets all R9 options but charge source/payment gateway, account ledger and business rules remain unresolved. Confirm via Dev estimates and client clarification.</t>
  </si>
  <si>
    <t>Unscheduled ≠ cancelled. PB-22–PB-25 remain client-requested capability candidates that require scope/capacity trade-off.</t>
  </si>
  <si>
    <t>PB-04</t>
  </si>
  <si>
    <t>Mtg 18:46</t>
  </si>
  <si>
    <t>Sprint 1–3 allocation is PO recommendation; Dev owns capacity / feasibility, and Sprint scope is chosen collaboratively.</t>
  </si>
  <si>
    <t>HOW TO UPDATE</t>
  </si>
  <si>
    <t>OQ-08</t>
  </si>
  <si>
    <t>Dev updates backlog columns K (Dev Status), L (Owner), M (Estimate SP), Q (Notes). Change G (Target Sprint) only after team reprioritization.</t>
  </si>
  <si>
    <t>Obtain student data from external source</t>
  </si>
  <si>
    <t>Description: Retrieve or import student master data from the agreed external source, including name, date of birth, citizenship and address where available. Establish student identifiers and determine how trusted parent/guardian relationships will be sourced; the interface and mapping remain unconfirmed.</t>
  </si>
  <si>
    <t>For Sprint 1 R9 payment demos, which confirmed charge dataset and account balances may be used, and must online payment be live or sandbox?</t>
  </si>
  <si>
    <t>Clarifies release/demo acceptance without representing mocked transactions as integrated payments.</t>
  </si>
  <si>
    <t>Backend / Integration</t>
  </si>
  <si>
    <t>R1, R3, R8 (supporting enabler)</t>
  </si>
  <si>
    <t>Proposed implementation</t>
  </si>
  <si>
    <t>PB-09, PB-10, PB-11</t>
  </si>
  <si>
    <t>Blocked / external</t>
  </si>
  <si>
    <t>PO / Client / Dev</t>
  </si>
  <si>
    <t>External source/API, unique identifiers</t>
  </si>
  <si>
    <t>Actual provider, API access, keys, schema, refresh and guardian source not confirmed.</t>
  </si>
  <si>
    <t>Mtg 09:57–11:15</t>
  </si>
  <si>
    <t>Sample student record can be loaded accurately with source and validation documented.</t>
  </si>
  <si>
    <t>OQ-09</t>
  </si>
  <si>
    <t>P2 - Before Sprint 2</t>
  </si>
  <si>
    <t>Education Account</t>
  </si>
  <si>
    <t>Which parent profile fields are editable and where are edits synchronized?</t>
  </si>
  <si>
    <t>Create and activate Education Account at age 7</t>
  </si>
  <si>
    <t>Scope and permission for profile update.</t>
  </si>
  <si>
    <t>As an MOE HQ user, I want an Education Account to be created and activated automatically for an eligible Singapore Citizen at age 7, so that the child's education funding can be administered.</t>
  </si>
  <si>
    <t>PB-15</t>
  </si>
  <si>
    <t>Backend / Admin</t>
  </si>
  <si>
    <t>R1</t>
  </si>
  <si>
    <t>IR #8; Mtg 05:07</t>
  </si>
  <si>
    <t>OQ-10</t>
  </si>
  <si>
    <t>Which fee types, components and calculation/charging rules are needed? Is shared GST in scope?</t>
  </si>
  <si>
    <t>Data model and billing rules need examples.</t>
  </si>
  <si>
    <t>PB-04; account data design</t>
  </si>
  <si>
    <t>PB-12, PB-13</t>
  </si>
  <si>
    <t>Age-calculation trigger, backfill, citizenship changes and ledger source not confirmed.</t>
  </si>
  <si>
    <t>Eligible example has an active account; ineligible example is not auto-created.</t>
  </si>
  <si>
    <t>Mtg 20:17–23:53</t>
  </si>
  <si>
    <t>OQ-11</t>
  </si>
  <si>
    <t>PB-06</t>
  </si>
  <si>
    <t>Parent Portal</t>
  </si>
  <si>
    <t>Parent authentication via SingPass</t>
  </si>
  <si>
    <t>For R9 Sprint 1, confirm Education Account payment rules (eligible fees, insufficient/partial balance) and online provider/methods, sandbox/API access, callbacks and settlement behavior.</t>
  </si>
  <si>
    <t>As a parent/guardian, I want to sign in to the e-Service Portal through SingPass, so that I can securely access the services available to me.</t>
  </si>
  <si>
    <t>Both R9 payment options target Sprint 1; unconfirmed financial rules/provider may block implementation and QA.</t>
  </si>
  <si>
    <t>e-Service · Parent</t>
  </si>
  <si>
    <t>PB-10, PB-11</t>
  </si>
  <si>
    <t>R8</t>
  </si>
  <si>
    <t>IR #3/#9</t>
  </si>
  <si>
    <t>Initial requirement</t>
  </si>
  <si>
    <t>OQ-12</t>
  </si>
  <si>
    <t>Exact HQ batch top-up rules, calculation, rerun behavior, authorization and audit?</t>
  </si>
  <si>
    <t>SingPass environment, test identities</t>
  </si>
  <si>
    <t>Prevents unintended duplicate credits.</t>
  </si>
  <si>
    <t>Confirm sandbox access and identity attributes required for parent match.</t>
  </si>
  <si>
    <t>PB-14</t>
  </si>
  <si>
    <t>Authorized test parent can sign in and sign out; unauthenticated data access is blocked.</t>
  </si>
  <si>
    <t>PB-07</t>
  </si>
  <si>
    <t>QUICK START | GOOGLE SHEETS BACKLOG</t>
  </si>
  <si>
    <t>IR #2</t>
  </si>
  <si>
    <t>OQ-13</t>
  </si>
  <si>
    <t>Authorize parent/guardian to linked children</t>
  </si>
  <si>
    <t>P2 - Before Sprint 3</t>
  </si>
  <si>
    <t>Step</t>
  </si>
  <si>
    <t>As a parent/guardian, I want to see only the children I am authorized to represent after signing in, so that I can access their information without seeing other students' records.</t>
  </si>
  <si>
    <t>Topic</t>
  </si>
  <si>
    <t>Instruction</t>
  </si>
  <si>
    <t>Reminder</t>
  </si>
  <si>
    <t>1</t>
  </si>
  <si>
    <t>CPF transfer API, reconciliation and what happens if a transaction is still pending at closure?</t>
  </si>
  <si>
    <t>Upload / import</t>
  </si>
  <si>
    <t>In Google Sheets: File → Import → Upload → select this XLSX. Choose a new spreadsheet or insert sheets.</t>
  </si>
  <si>
    <t>R8 (supporting access control)</t>
  </si>
  <si>
    <t>Formulas, filters and dropdowns are intended to transfer; verify after import.</t>
  </si>
  <si>
    <t>Closure implementation cannot be specified fully.</t>
  </si>
  <si>
    <t>2</t>
  </si>
  <si>
    <t>Daily Dev tracking</t>
  </si>
  <si>
    <t>PB-16</t>
  </si>
  <si>
    <t>Go to Product Backlog; filter by Target Sprint / Priority. Update K=Dev Status, L=Owner, M=Estimate SP, Q=Notes/Blocker.</t>
  </si>
  <si>
    <t>Status dropdown: Not Started, Ready for Dev, In Progress, Blocked, In QA, Done, Deferred.</t>
  </si>
  <si>
    <t>3</t>
  </si>
  <si>
    <t>PO / BA planning</t>
  </si>
  <si>
    <t>Rows are ordered by proposed implementation sequence: Sprint 1 → Sprint 2 → Sprint 3 → Unscheduled. Within each Sprint, dependencies/enablers come before dependent functions.</t>
  </si>
  <si>
    <t>Use column S (Build Sequence) to restore order after sorting in Google Sheets. Sequence reflects planning judgment, not a strict serial dependency or delivery promise.</t>
  </si>
  <si>
    <t>4</t>
  </si>
  <si>
    <t>Clarification</t>
  </si>
  <si>
    <t>Use Open Questions during 30-minute Monday client clarification meeting. Record answers and close each item after explicit confirmation.</t>
  </si>
  <si>
    <t>Do not implement design guesses as confirmed requirements.</t>
  </si>
  <si>
    <t>5</t>
  </si>
  <si>
    <t>Proposed solution / implied</t>
  </si>
  <si>
    <t>Source Requirement traceability</t>
  </si>
  <si>
    <t>Product Backlog col F maps each PBI to R1–R10 from the client requirement image. Col R preserves original initial-requirement references and meeting timestamps.</t>
  </si>
  <si>
    <t>Supporting/Proposed/NFR mappings are not confirmed new client requirements. Check col I (Requirement basis) and Open Questions.</t>
  </si>
  <si>
    <t>6</t>
  </si>
  <si>
    <t>Demo convention</t>
  </si>
  <si>
    <t>Needs client decision</t>
  </si>
  <si>
    <t>Demo with sample/test data only when explicitly labelled; Education Account debit must be a testable transaction; an online payment without gateway/sandbox must NOT count as Done.</t>
  </si>
  <si>
    <t>R9 is only fully satisfied when BOTH payment choices and view outstanding charges work to agreed acceptance criteria.</t>
  </si>
  <si>
    <t>7</t>
  </si>
  <si>
    <t>Sprints</t>
  </si>
  <si>
    <t>Sprint 1 targets R9 view and two payment paths after core data/auth; Sprint 2 completes fee configuration/charge creation (PB-12/PB-13); Sprint 3 targets closure/FAS.</t>
  </si>
  <si>
    <t>R9 in Sprint 1 depends on confirmed charge/test data; PB-13 full billing is Sprint 2. Integration gaps may change sequencing following Dev Planning.</t>
  </si>
  <si>
    <t>9</t>
  </si>
  <si>
    <t>Build sequence</t>
  </si>
  <si>
    <t>Column S stores a stable proposed build sequence (1–25) matching the physical row order, including unscheduled items.</t>
  </si>
  <si>
    <t>Parallel implementation is still possible; build order is not a mandatory waterfall schedule.</t>
  </si>
  <si>
    <t>10</t>
  </si>
  <si>
    <t>OQ-14</t>
  </si>
  <si>
    <t>Renumbered IDs</t>
  </si>
  <si>
    <t>PBI IDs were reassigned from PB-01 through PB-25 to match proposed Build Sequence (column S). See ID Mapping for old-to-new references.</t>
  </si>
  <si>
    <t>Do not use PB IDs from older exports without consulting the mapping tab.</t>
  </si>
  <si>
    <t>PB-04, PB-06; trusted guardian mapping</t>
  </si>
  <si>
    <t>MOEFAS/SBFAS eligibility thresholds, household definition, income API and approval workflow?</t>
  </si>
  <si>
    <t>Guardian data source, access for multiple guardians and revocation not confirmed.</t>
  </si>
  <si>
    <t>Major dependency for FAS end-to-end.</t>
  </si>
  <si>
    <t>A parent sees only linked children and cannot request another child's account.</t>
  </si>
  <si>
    <t>PB-17–PB-20</t>
  </si>
  <si>
    <t>PB-08</t>
  </si>
  <si>
    <t>IR #4/#10; Mtg 05:28</t>
  </si>
  <si>
    <t>OQ-15</t>
  </si>
  <si>
    <t>P3 - Later</t>
  </si>
  <si>
    <t>View child account, balance &amp; transactions</t>
  </si>
  <si>
    <t>Budget periods, reporting breakdown, carry-forward and overspend behavior?</t>
  </si>
  <si>
    <t>Reporting accuracy and permission scopes.</t>
  </si>
  <si>
    <t>As a parent/guardian, I want to view my linked child's Education Account details, balance and transaction history, so that I can understand how the education funds have been used.</t>
  </si>
  <si>
    <t>PB-21</t>
  </si>
  <si>
    <t>IR #6</t>
  </si>
  <si>
    <t>OQ-16</t>
  </si>
  <si>
    <t>Which AI/ML/support functions are genuinely expected within the three-week delivery? What trade-off is acceptable?</t>
  </si>
  <si>
    <t>Current breadth is high-risk for capacity and demo commitments.</t>
  </si>
  <si>
    <t>PB-05, PB-07; ledger/source</t>
  </si>
  <si>
    <t>PB-22–PB-25</t>
  </si>
  <si>
    <t>Confirm exact fields, source of transaction records and visibility for closed accounts.</t>
  </si>
  <si>
    <t>Authorized parent sees correct child, balance, transaction list and empty state.</t>
  </si>
  <si>
    <t>IR #4/#7/#8–#10</t>
  </si>
  <si>
    <t>PB-09</t>
  </si>
  <si>
    <t>OQ-17</t>
  </si>
  <si>
    <t>View outstanding charges</t>
  </si>
  <si>
    <t>What concurrency targets and response-time thresholds should QA test for each portal?</t>
  </si>
  <si>
    <t>As a parent/guardian, I want to see my linked child's outstanding school charges and the amounts due, so that I know what remains to be paid.</t>
  </si>
  <si>
    <t>Population estimates are not performance acceptance criteria.</t>
  </si>
  <si>
    <t>R9</t>
  </si>
  <si>
    <t>Architect / QA / Client</t>
  </si>
  <si>
    <t>Mtg 24:52–27:17</t>
  </si>
  <si>
    <t>At risk / dependency</t>
  </si>
  <si>
    <t>PB-07, charge data / PB-13</t>
  </si>
  <si>
    <t>For Sprint 1, confirm authoritative or demo charge dataset, due/remaining amount, and which child can see each charge. Billing generation is not yet confirmed.</t>
  </si>
  <si>
    <t>Parent sees correct charges only for their linked child, with amounts/status and an empty state; can choose a payable charge for one of the R9 payment paths.</t>
  </si>
  <si>
    <t>PB-10</t>
  </si>
  <si>
    <t>Payments</t>
  </si>
  <si>
    <t>Pay eligible charges using Education Account</t>
  </si>
  <si>
    <t>As a parent/guardian, I want to pay eligible outstanding school charges using the available balance in my child's Education Account, so that I can use those funds toward school fees. Eligibility, partial-payment and insufficient-funds rules remain open.</t>
  </si>
  <si>
    <t>e-Service / Backend</t>
  </si>
  <si>
    <t>R3, R9</t>
  </si>
  <si>
    <t>PB-05, PB-07, PB-08; charge dataset (PB-13 or agreed test fixtures); transactional ledger</t>
  </si>
  <si>
    <t>P1 clarification: eligible charge categories, sufficient/insufficient balance, full vs partial payment, duplicate submission and settlement rules; validate financial ledger feasibility with Dev.</t>
  </si>
  <si>
    <t>Given an eligible unpaid charge and sufficient balance, authorized parent pays once; account balance and amount outstanding both reduce exactly once; failures do not alter balances.</t>
  </si>
  <si>
    <t>PB-11</t>
  </si>
  <si>
    <t>Pay fees via online payment method</t>
  </si>
  <si>
    <t>As a parent/guardian, I want to pay outstanding school charges through an available online payment method, so that I can settle fees electronically. Supported methods and payment provider are not yet confirmed.</t>
  </si>
  <si>
    <t>PB-07, PB-09; charge dataset; selected payment provider/gateway or test sandbox; callbacks</t>
  </si>
  <si>
    <t>PAYMENT GATE: gateway, permitted methods, test credentials, callbacks, payment confirmation, failed/cancelled payments, refund and reconciliation are not yet defined.</t>
  </si>
  <si>
    <t>Parent can select an available online method, complete a successful test payment and see outstanding charge updated; failed/cancelled payment remains outstanding and does not double-collect.</t>
  </si>
  <si>
    <t>User Authentication &amp; Access Management</t>
  </si>
  <si>
    <t>Admin Portal Login</t>
  </si>
  <si>
    <t>As an MOE HQ or School User, I want to log in to the Admin Portal securely, so that I can access the system functions and data according to my assigned role.</t>
  </si>
  <si>
    <t>R3 (Inferred — supporting capability)</t>
  </si>
  <si>
    <t>User authentication mechanism, user roles and permissions</t>
  </si>
  <si>
    <t>Parent Login via SingPass</t>
  </si>
  <si>
    <t>As a Parent/Guardian, I want to log in to the e-Service Portal using SingPass, so that I can securely access my child's education-related information.</t>
  </si>
  <si>
    <t>School User Login</t>
  </si>
  <si>
    <t>As a School User, I want to securely log in to the Admin Portal, so that I can access and manage school-related information according to my assigned permissions.</t>
  </si>
  <si>
    <t>PB-12</t>
  </si>
  <si>
    <t>Fee Management</t>
  </si>
  <si>
    <t>Maintain fee types and components</t>
  </si>
  <si>
    <t>As an authorized administrative user, I want to maintain fee types and their components, so that school charges can be defined consistently. Reusable components such as GST are subject to feasibility and scope confirmation.</t>
  </si>
  <si>
    <t>Initial + client examples</t>
  </si>
  <si>
    <t>PB-02; fee/charge data model</t>
  </si>
  <si>
    <t>Fees, attributes, owners, effective dates; GST reuse suggested if feasible, not mandatory.</t>
  </si>
  <si>
    <t>User can configure fee type/component and retrieve valid fee definition.</t>
  </si>
  <si>
    <t>PB-13</t>
  </si>
  <si>
    <t>Create/record payable charges for students</t>
  </si>
  <si>
    <t>Description: Provide an agreed mechanism to create or receive payable charge records for students, including the charge amount, type and outstanding amount/status. The originating system, responsible actor and charging process are NOT yet confirmed; do not assume manual fee assignment.</t>
  </si>
  <si>
    <t>Admin / Backend</t>
  </si>
  <si>
    <t>R3, R9 (proposed billing flow)</t>
  </si>
  <si>
    <t>Gap / proposed solution</t>
  </si>
  <si>
    <t>PB-02, PB-12</t>
  </si>
  <si>
    <t>Client challenged manual fee assignment; confirm bill source, actor and billing process first.</t>
  </si>
  <si>
    <t>A valid charge appears against correct student, with source and status traceable.</t>
  </si>
  <si>
    <t>Top-Up</t>
  </si>
  <si>
    <t>MOE HQ individual &amp; batch Education Account top-up</t>
  </si>
  <si>
    <t>As an MOE HQ user, I want to top up an individual Education Account or a batch of eligible accounts using configurable rules, so that education funding can be allocated efficiently.</t>
  </si>
  <si>
    <t>Admin · MOE HQ</t>
  </si>
  <si>
    <t>R2</t>
  </si>
  <si>
    <t>PB-05; transaction ledger</t>
  </si>
  <si>
    <t>Exact selection rules, run schedules, amount calculation, rerun handling and audit controls needed.</t>
  </si>
  <si>
    <t>Eligible accounts credited once per approved run; ineligible accounts skipped.</t>
  </si>
  <si>
    <t>Update editable personal details</t>
  </si>
  <si>
    <t>As a parent/guardian, I want to update the personal information fields that I am authorized to edit, so that my details remain current. The editable fields and source-of-truth update process need confirmation.</t>
  </si>
  <si>
    <t>Initial; details open</t>
  </si>
  <si>
    <t>PB-06; profile source</t>
  </si>
  <si>
    <t>Which fields are writable? Does system push changes back to source of truth?</t>
  </si>
  <si>
    <t>Editable fields save successfully; protected fields remain read-only.</t>
  </si>
  <si>
    <t>Close Education Account at age 16</t>
  </si>
  <si>
    <t>As an MOE HQ user, I want an Education Account to be closed when the child reaches age 16 and any remaining balance transferred to CPF, so that the account's funds are handled on closure. Pending transactions and transfer processing still need clarification.</t>
  </si>
  <si>
    <t>PB-05; CPF transfer integration</t>
  </si>
  <si>
    <t>Client expects no pending transactions and residual balance to CPF; exact handling/API not agreed.</t>
  </si>
  <si>
    <t>Closure scenario shows correct status; reconciliation/CPF flow tested against agreed design.</t>
  </si>
  <si>
    <t>PB-17</t>
  </si>
  <si>
    <t>FAS</t>
  </si>
  <si>
    <t>Configure FAS schemes, criteria and subsidy tiers</t>
  </si>
  <si>
    <t>As an authorized FAS administrator, I want to configure MOEFAS and SBFAS eligibility criteria and subsidy tiers, so that applications can be assessed using the applicable scheme rules. Detailed thresholds and authority remain to be confirmed.</t>
  </si>
  <si>
    <t>R4</t>
  </si>
  <si>
    <t>Initial; rules open</t>
  </si>
  <si>
    <t>Student/household model; income API</t>
  </si>
  <si>
    <t>Thresholds, tier definitions, scheme authority, eligibility versioning and external income source missing.</t>
  </si>
  <si>
    <t>Admin can define example scheme and evaluate an agreed eligibility test case.</t>
  </si>
  <si>
    <t>PB-18</t>
  </si>
  <si>
    <t>Online FAS application by family unit</t>
  </si>
  <si>
    <t>As a parent/guardian, I want to submit an online FAS application for my family unit, so that my family can request financial assistance for education costs.</t>
  </si>
  <si>
    <t>R10</t>
  </si>
  <si>
    <t>PB-06, PB-17; household data model</t>
  </si>
  <si>
    <t>Define family-unit members, required evidence, consent and submission rules.</t>
  </si>
  <si>
    <t>Parent submits a family application; submission can be retrieved for review.</t>
  </si>
  <si>
    <t>PB-19</t>
  </si>
  <si>
    <t>Assess FAS and apply approved subsidies</t>
  </si>
  <si>
    <t>Description: Assess MOEFAS eligibility according to agreed rules, support school-level decisions for SBFAS, and reflect approved assistance in eligible school charges. Assessment criteria, approvals, overlaps and fee application rules need clarification.</t>
  </si>
  <si>
    <t>PB-13, PB-17, PB-18</t>
  </si>
  <si>
    <t>Approval roles/states, precedence between schemes, income lookup and recalculation rules missing.</t>
  </si>
  <si>
    <t>Approved subsidy changes payable fee correctly; rejected cases do not get subsidy.</t>
  </si>
  <si>
    <t>PB-20</t>
  </si>
  <si>
    <t>School entry of offline FAS applications</t>
  </si>
  <si>
    <t>As a School User, I want to enter an FAS application received on paper, so that families who cannot apply through the e-Service Portal can still request assistance.</t>
  </si>
  <si>
    <t>Admin · School</t>
  </si>
  <si>
    <t>R5</t>
  </si>
  <si>
    <t>PB-17, PB-18</t>
  </si>
  <si>
    <t>Identity/consent checks, evidence capture, deduplication and workflow need clarification.</t>
  </si>
  <si>
    <t>School can enter an offline application that follows agreed assessment flow.</t>
  </si>
  <si>
    <t>FAS / Reporting</t>
  </si>
  <si>
    <t>Set and track MOEFAS / SBFAS budgets</t>
  </si>
  <si>
    <t>As an authorized MOE HQ or School User, I want to track scheme budgets and subsidy statistics within my responsibility, so that I can monitor financial assistance allocations and usage.</t>
  </si>
  <si>
    <t>R6</t>
  </si>
  <si>
    <t>PB-19; subsidy award data</t>
  </si>
  <si>
    <t>Budget period, overspend rules, approval trail, calculations and reporting breakdown missing.</t>
  </si>
  <si>
    <t>Award totals and remaining budget match agreed calculations per scope.</t>
  </si>
  <si>
    <t>PB-22</t>
  </si>
  <si>
    <t>Support</t>
  </si>
  <si>
    <t>Simulate school/parent view for support</t>
  </si>
  <si>
    <t>As an authorized MOE HQ support user, I want to view the portal experience of a School User or Parent, so that I can investigate reported issues. Simulation permissions, privacy, read-only behavior and audit requirements remain to be confirmed.</t>
  </si>
  <si>
    <t>R7</t>
  </si>
  <si>
    <t>P3 - Low</t>
  </si>
  <si>
    <t>PB-03, PB-06, PB-08</t>
  </si>
  <si>
    <t>Read-only vs impersonation, privacy, audit and consent requirements not defined.</t>
  </si>
  <si>
    <t>Support role can inspect authorized user experience with recorded audit trail.</t>
  </si>
  <si>
    <t>PB-23</t>
  </si>
  <si>
    <t>AI</t>
  </si>
  <si>
    <t>AI conversational help for e-Service users</t>
  </si>
  <si>
    <t>As a parent/guardian, I want an AI assistant to answer questions about using the e-Service Portal and ask follow-up questions when needed, so that I can get help completing supported tasks.</t>
  </si>
  <si>
    <t>R8, R9 (AI Feature)</t>
  </si>
  <si>
    <t>Initial AI feature</t>
  </si>
  <si>
    <t>Product help content, security and AI service</t>
  </si>
  <si>
    <t>Approved knowledge source, model/provider, privacy and expected quality need definition.</t>
  </si>
  <si>
    <t>Assistant addresses supported portal-use question and handles unknowns safely.</t>
  </si>
  <si>
    <t>PB-24</t>
  </si>
  <si>
    <t>AI-assisted FAS application prefill</t>
  </si>
  <si>
    <t>As a parent/guardian, I want a draft FAS application to be prefilled with permitted existing information or answers I provide through the AI assistant, so that I can review it before submission.</t>
  </si>
  <si>
    <t>R10 (AI Feature)</t>
  </si>
  <si>
    <t>PB-18, PB-23</t>
  </si>
  <si>
    <t>Consent, field mapping, verification of generated values and privacy unknown.</t>
  </si>
  <si>
    <t>Prefilled draft shown for confirmation; no unapproved submission.</t>
  </si>
  <si>
    <t>PB-25</t>
  </si>
  <si>
    <t>AI / ML</t>
  </si>
  <si>
    <t>Predict financial difficulty risk tiers</t>
  </si>
  <si>
    <t>Description: Develop an ML-based financial difficulty prediction capability that groups cases into Low, Medium and High risk and suggests an assistance tier, subject to an agreed dataset, evaluation approach and human decision responsibilities.</t>
  </si>
  <si>
    <t>R4 (AI Feature)</t>
  </si>
  <si>
    <t>Blocked / feasibility</t>
  </si>
  <si>
    <t>Historical labeled data, PB-17, ML approach</t>
  </si>
  <si>
    <t>Training dataset, outcome labels, explainability, bias evaluation and decision authority missing.</t>
  </si>
  <si>
    <t>Demonstrable validated prediction on agreed test set if feasible.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</si>
</sst>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rgb="FF000000"/>
      <name val="Carlito"/>
      <scheme val="minor"/>
    </font>
    <font>
      <b/>
      <sz val="16"/>
      <color rgb="FFFFFFFF"/>
      <name val="Carlito"/>
    </font>
    <font>
      <sz val="10"/>
      <color rgb="FF24384A"/>
      <name val="Carlito"/>
    </font>
    <font>
      <sz val="9"/>
      <color rgb="FF52677B"/>
      <name val="Carlito"/>
    </font>
    <font>
      <b/>
      <sz val="10"/>
      <color rgb="FFFFFFFF"/>
      <name val="Carlito"/>
    </font>
    <font>
      <b/>
      <sz val="11"/>
      <color rgb="FF1C577A"/>
      <name val="Carlito"/>
    </font>
    <font>
      <sz val="11"/>
      <color rgb="FF24384A"/>
      <name val="Carlito"/>
    </font>
    <font>
      <b/>
      <sz val="11"/>
      <color rgb="FFFFFFFF"/>
      <name val="Carlito"/>
    </font>
    <font>
      <sz val="11"/>
      <color theme="1"/>
      <name val="Carlito"/>
    </font>
    <font>
      <b/>
      <sz val="11"/>
      <color rgb="FF132D46"/>
      <name val="Carlito"/>
    </font>
    <font>
      <sz val="11"/>
      <color theme="1"/>
      <name val="Carlito"/>
      <scheme val="minor"/>
    </font>
  </fonts>
  <fills count="32">
    <fill>
      <patternFill patternType="none"/>
    </fill>
    <fill>
      <patternFill patternType="gray125"/>
    </fill>
    <fill>
      <patternFill patternType="solid">
        <fgColor rgb="FF132D46"/>
        <bgColor rgb="FF132D46"/>
      </patternFill>
    </fill>
    <fill>
      <patternFill patternType="solid">
        <fgColor rgb="FFEAF3F8"/>
        <bgColor rgb="FFEAF3F8"/>
      </patternFill>
    </fill>
    <fill>
      <patternFill patternType="solid">
        <fgColor rgb="FF1C577A"/>
        <bgColor rgb="FF1C577A"/>
      </patternFill>
    </fill>
    <fill>
      <patternFill patternType="solid">
        <fgColor rgb="FFF5F8FB"/>
        <bgColor rgb="FFF5F8FB"/>
      </patternFill>
    </fill>
    <fill>
      <patternFill patternType="solid">
        <fgColor rgb="FFEAF8F5"/>
        <bgColor rgb="FFEAF8F5"/>
      </patternFill>
    </fill>
    <fill>
      <patternFill patternType="solid">
        <fgColor rgb="FF17324D"/>
        <bgColor rgb="FF17324D"/>
      </patternFill>
    </fill>
    <fill>
      <patternFill patternType="solid">
        <fgColor rgb="FFEDF8F6"/>
        <bgColor rgb="FFEDF8F6"/>
      </patternFill>
    </fill>
    <fill>
      <patternFill patternType="solid">
        <fgColor rgb="FFDCEAFE"/>
        <bgColor rgb="FFDCEAFE"/>
      </patternFill>
    </fill>
    <fill>
      <patternFill patternType="solid">
        <fgColor rgb="FFF5F9FC"/>
        <bgColor rgb="FFF5F9FC"/>
      </patternFill>
    </fill>
    <fill>
      <patternFill patternType="solid">
        <fgColor rgb="FFFFF3DE"/>
        <bgColor rgb="FFFFF3DE"/>
      </patternFill>
    </fill>
    <fill>
      <patternFill patternType="solid">
        <fgColor rgb="FFFFF4E0"/>
        <bgColor rgb="FFFFF4E0"/>
      </patternFill>
    </fill>
    <fill>
      <patternFill patternType="solid">
        <fgColor rgb="FFE6F5F1"/>
        <bgColor rgb="FFE6F5F1"/>
      </patternFill>
    </fill>
    <fill>
      <patternFill patternType="solid">
        <fgColor rgb="FFFFF0DD"/>
        <bgColor rgb="FFFFF0DD"/>
      </patternFill>
    </fill>
    <fill>
      <patternFill patternType="solid">
        <fgColor rgb="FFF4F0E7"/>
        <bgColor rgb="FFF4F0E7"/>
      </patternFill>
    </fill>
    <fill>
      <patternFill patternType="solid">
        <fgColor rgb="FFDBEAFE"/>
        <bgColor rgb="FFDBEAFE"/>
      </patternFill>
    </fill>
    <fill>
      <patternFill patternType="solid">
        <fgColor rgb="FFE1F4E9"/>
        <bgColor rgb="FFE1F4E9"/>
      </patternFill>
    </fill>
    <fill>
      <patternFill patternType="solid">
        <fgColor rgb="FFFEF3C7"/>
        <bgColor rgb="FFFEF3C7"/>
      </patternFill>
    </fill>
    <fill>
      <patternFill patternType="solid">
        <fgColor rgb="FFFFF0D6"/>
        <bgColor rgb="FFFFF0D6"/>
      </patternFill>
    </fill>
    <fill>
      <patternFill patternType="solid">
        <fgColor rgb="FFF1F0F5"/>
        <bgColor rgb="FFF1F0F5"/>
      </patternFill>
    </fill>
    <fill>
      <patternFill patternType="solid">
        <fgColor rgb="FFFFFF00"/>
        <bgColor indexed="64"/>
      </patternFill>
    </fill>
    <fill>
      <patternFill patternType="solid">
        <fgColor rgb="FFFFFF00"/>
        <bgColor rgb="FFFFF3DE"/>
      </patternFill>
    </fill>
    <fill>
      <patternFill patternType="solid">
        <fgColor rgb="FFFFFF00"/>
        <bgColor rgb="FFFFF4E0"/>
      </patternFill>
    </fill>
    <fill>
      <patternFill patternType="solid">
        <fgColor rgb="FFFFFF00"/>
        <bgColor rgb="FFEDF8F6"/>
      </patternFill>
    </fill>
    <fill>
      <patternFill patternType="solid">
        <fgColor rgb="FFFFFF00"/>
        <bgColor rgb="FFDCEAFE"/>
      </patternFill>
    </fill>
    <fill>
      <patternFill patternType="solid">
        <fgColor rgb="FFFFFF00"/>
        <bgColor rgb="FFDBEAFE"/>
      </patternFill>
    </fill>
    <fill>
      <patternFill patternType="solid">
        <fgColor rgb="FFFFFF00"/>
        <bgColor rgb="FFFEF3C7"/>
      </patternFill>
    </fill>
    <fill>
      <patternFill patternType="solid">
        <fgColor rgb="FFFFFF00"/>
        <bgColor rgb="FFE1F4E9"/>
      </patternFill>
    </fill>
    <fill>
      <patternFill patternType="solid">
        <fgColor rgb="FFFFFF00"/>
        <bgColor rgb="FFF1F0F5"/>
      </patternFill>
    </fill>
    <fill>
      <patternFill patternType="solid">
        <fgColor rgb="FFFFFF00"/>
        <bgColor rgb="FFF5F9FC"/>
      </patternFill>
    </fill>
    <fill>
      <patternFill patternType="solid">
        <fgColor rgb="FFFFFF00"/>
        <bgColor rgb="FFE6F5F1"/>
      </patternFill>
    </fill>
  </fills>
  <borders count="1">
    <border>
      <left/>
      <right/>
      <top/>
      <bottom/>
      <diagonal/>
    </border>
  </borders>
  <cellStyleXfs count="1">
    <xf numFmtId="0" fontId="0" fillId="0" borderId="0"/>
  </cellStyleXfs>
  <cellXfs count="58">
    <xf numFmtId="0" fontId="0" fillId="0" borderId="0" xfId="0"/>
    <xf numFmtId="0" fontId="2" fillId="3" borderId="0" xfId="0" applyFont="1" applyFill="1" applyAlignment="1">
      <alignment vertical="center" wrapText="1"/>
    </xf>
    <xf numFmtId="0" fontId="3" fillId="0" borderId="0" xfId="0" applyFont="1" applyAlignment="1">
      <alignment vertical="center" wrapText="1"/>
    </xf>
    <xf numFmtId="0" fontId="4" fillId="4" borderId="0" xfId="0" applyFont="1" applyFill="1" applyAlignment="1">
      <alignment vertical="center" wrapText="1"/>
    </xf>
    <xf numFmtId="0" fontId="5" fillId="0" borderId="0" xfId="0" applyFont="1" applyAlignment="1">
      <alignment vertical="center"/>
    </xf>
    <xf numFmtId="0" fontId="6" fillId="0" borderId="0" xfId="0" applyFont="1" applyAlignment="1">
      <alignment horizontal="center" vertical="center"/>
    </xf>
    <xf numFmtId="0" fontId="4" fillId="4" borderId="0" xfId="0" applyFont="1" applyFill="1" applyAlignment="1">
      <alignment horizontal="left" vertical="center" wrapText="1"/>
    </xf>
    <xf numFmtId="0" fontId="2" fillId="0" borderId="0" xfId="0" applyFont="1" applyAlignment="1">
      <alignment vertical="top" wrapText="1"/>
    </xf>
    <xf numFmtId="0" fontId="2" fillId="5" borderId="0" xfId="0" applyFont="1" applyFill="1" applyAlignment="1">
      <alignment vertical="top" wrapText="1"/>
    </xf>
    <xf numFmtId="9" fontId="6" fillId="0" borderId="0" xfId="0" applyNumberFormat="1" applyFont="1" applyAlignment="1">
      <alignment horizontal="center" vertical="center"/>
    </xf>
    <xf numFmtId="0" fontId="5" fillId="5" borderId="0" xfId="0" applyFont="1" applyFill="1" applyAlignment="1">
      <alignment vertical="center"/>
    </xf>
    <xf numFmtId="0" fontId="2" fillId="6" borderId="0" xfId="0" applyFont="1" applyFill="1" applyAlignment="1">
      <alignment vertical="top" wrapText="1"/>
    </xf>
    <xf numFmtId="0" fontId="7" fillId="7" borderId="0" xfId="0" applyFont="1" applyFill="1" applyAlignment="1">
      <alignment horizontal="center" vertical="center" wrapText="1"/>
    </xf>
    <xf numFmtId="0" fontId="6" fillId="5" borderId="0" xfId="0" applyFont="1" applyFill="1" applyAlignment="1">
      <alignment horizontal="center" vertical="center"/>
    </xf>
    <xf numFmtId="9" fontId="6" fillId="5" borderId="0" xfId="0" applyNumberFormat="1" applyFont="1" applyFill="1" applyAlignment="1">
      <alignment horizontal="center" vertical="center"/>
    </xf>
    <xf numFmtId="0" fontId="2" fillId="8" borderId="0" xfId="0" applyFont="1" applyFill="1" applyAlignment="1">
      <alignment vertical="top" wrapText="1"/>
    </xf>
    <xf numFmtId="1" fontId="2" fillId="8" borderId="0" xfId="0" applyNumberFormat="1" applyFont="1" applyFill="1" applyAlignment="1">
      <alignment vertical="top" wrapText="1"/>
    </xf>
    <xf numFmtId="1" fontId="8" fillId="9" borderId="0" xfId="0" applyNumberFormat="1" applyFont="1" applyFill="1" applyAlignment="1">
      <alignment horizontal="center" vertical="center"/>
    </xf>
    <xf numFmtId="0" fontId="2" fillId="10" borderId="0" xfId="0" applyFont="1" applyFill="1" applyAlignment="1">
      <alignment vertical="top" wrapText="1"/>
    </xf>
    <xf numFmtId="0" fontId="2" fillId="11" borderId="0" xfId="0" applyFont="1" applyFill="1" applyAlignment="1">
      <alignment vertical="top" wrapText="1"/>
    </xf>
    <xf numFmtId="0" fontId="2" fillId="12" borderId="0" xfId="0" applyFont="1" applyFill="1" applyAlignment="1">
      <alignment vertical="top" wrapText="1"/>
    </xf>
    <xf numFmtId="0" fontId="2" fillId="13" borderId="0" xfId="0" applyFont="1" applyFill="1" applyAlignment="1">
      <alignment vertical="top" wrapText="1"/>
    </xf>
    <xf numFmtId="1" fontId="2" fillId="13" borderId="0" xfId="0" applyNumberFormat="1" applyFont="1" applyFill="1" applyAlignment="1">
      <alignment vertical="top" wrapText="1"/>
    </xf>
    <xf numFmtId="0" fontId="5" fillId="3" borderId="0" xfId="0" applyFont="1" applyFill="1"/>
    <xf numFmtId="0" fontId="9" fillId="0" borderId="0" xfId="0" applyFont="1" applyAlignment="1">
      <alignment vertical="center" wrapText="1"/>
    </xf>
    <xf numFmtId="0" fontId="6" fillId="0" borderId="0" xfId="0" applyFont="1" applyAlignment="1">
      <alignment vertical="center" wrapText="1"/>
    </xf>
    <xf numFmtId="0" fontId="6" fillId="5" borderId="0" xfId="0" applyFont="1" applyFill="1" applyAlignment="1">
      <alignment vertical="center" wrapText="1"/>
    </xf>
    <xf numFmtId="0" fontId="10" fillId="0" borderId="0" xfId="0" applyFont="1"/>
    <xf numFmtId="0" fontId="8" fillId="0" borderId="0" xfId="0" applyFont="1" applyAlignment="1">
      <alignment wrapText="1"/>
    </xf>
    <xf numFmtId="0" fontId="2" fillId="16" borderId="0" xfId="0" applyFont="1" applyFill="1" applyAlignment="1">
      <alignment vertical="top" wrapText="1"/>
    </xf>
    <xf numFmtId="1" fontId="8" fillId="17" borderId="0" xfId="0" applyNumberFormat="1" applyFont="1" applyFill="1" applyAlignment="1">
      <alignment horizontal="center" vertical="center"/>
    </xf>
    <xf numFmtId="0" fontId="2" fillId="18" borderId="0" xfId="0" applyFont="1" applyFill="1" applyAlignment="1">
      <alignment vertical="top" wrapText="1"/>
    </xf>
    <xf numFmtId="1" fontId="8" fillId="19" borderId="0" xfId="0" applyNumberFormat="1" applyFont="1" applyFill="1" applyAlignment="1">
      <alignment horizontal="center" vertical="center"/>
    </xf>
    <xf numFmtId="1" fontId="8" fillId="20" borderId="0" xfId="0" applyNumberFormat="1" applyFont="1" applyFill="1" applyAlignment="1">
      <alignment horizontal="center" vertical="center"/>
    </xf>
    <xf numFmtId="1" fontId="8" fillId="0" borderId="0" xfId="0" applyNumberFormat="1" applyFont="1"/>
    <xf numFmtId="0" fontId="1" fillId="2" borderId="0" xfId="0" applyFont="1" applyFill="1" applyAlignment="1">
      <alignment vertical="center"/>
    </xf>
    <xf numFmtId="0" fontId="0" fillId="0" borderId="0" xfId="0"/>
    <xf numFmtId="0" fontId="2" fillId="3" borderId="0" xfId="0" applyFont="1" applyFill="1" applyAlignment="1">
      <alignment vertical="center" wrapText="1"/>
    </xf>
    <xf numFmtId="0" fontId="3" fillId="0" borderId="0" xfId="0" applyFont="1" applyAlignment="1">
      <alignment vertical="center" wrapText="1"/>
    </xf>
    <xf numFmtId="0" fontId="2" fillId="14" borderId="0" xfId="0" applyFont="1" applyFill="1" applyAlignment="1">
      <alignment vertical="center" wrapText="1"/>
    </xf>
    <xf numFmtId="0" fontId="2" fillId="15" borderId="0" xfId="0" applyFont="1" applyFill="1" applyAlignment="1">
      <alignment vertical="center" wrapText="1"/>
    </xf>
    <xf numFmtId="0" fontId="2" fillId="0" borderId="0" xfId="0" applyFont="1" applyAlignment="1">
      <alignment vertical="center" wrapText="1"/>
    </xf>
    <xf numFmtId="0" fontId="7" fillId="4" borderId="0" xfId="0" applyFont="1" applyFill="1"/>
    <xf numFmtId="0" fontId="8" fillId="0" borderId="0" xfId="0" applyFont="1" applyAlignment="1">
      <alignment vertical="center" wrapText="1"/>
    </xf>
    <xf numFmtId="0" fontId="2" fillId="21" borderId="0" xfId="0" applyFont="1" applyFill="1" applyAlignment="1">
      <alignment vertical="top" wrapText="1"/>
    </xf>
    <xf numFmtId="0" fontId="2" fillId="22" borderId="0" xfId="0" applyFont="1" applyFill="1" applyAlignment="1">
      <alignment vertical="top" wrapText="1"/>
    </xf>
    <xf numFmtId="0" fontId="2" fillId="23" borderId="0" xfId="0" applyFont="1" applyFill="1" applyAlignment="1">
      <alignment vertical="top" wrapText="1"/>
    </xf>
    <xf numFmtId="0" fontId="2" fillId="24" borderId="0" xfId="0" applyFont="1" applyFill="1" applyAlignment="1">
      <alignment vertical="top" wrapText="1"/>
    </xf>
    <xf numFmtId="1" fontId="2" fillId="24" borderId="0" xfId="0" applyNumberFormat="1" applyFont="1" applyFill="1" applyAlignment="1">
      <alignment vertical="top" wrapText="1"/>
    </xf>
    <xf numFmtId="1" fontId="8" fillId="25" borderId="0" xfId="0" applyNumberFormat="1" applyFont="1" applyFill="1" applyAlignment="1">
      <alignment horizontal="center" vertical="center"/>
    </xf>
    <xf numFmtId="0" fontId="0" fillId="21" borderId="0" xfId="0" applyFill="1"/>
    <xf numFmtId="0" fontId="2" fillId="26" borderId="0" xfId="0" applyFont="1" applyFill="1" applyAlignment="1">
      <alignment vertical="top" wrapText="1"/>
    </xf>
    <xf numFmtId="0" fontId="2" fillId="27" borderId="0" xfId="0" applyFont="1" applyFill="1" applyAlignment="1">
      <alignment vertical="top" wrapText="1"/>
    </xf>
    <xf numFmtId="1" fontId="8" fillId="28" borderId="0" xfId="0" applyNumberFormat="1" applyFont="1" applyFill="1" applyAlignment="1">
      <alignment horizontal="center" vertical="center"/>
    </xf>
    <xf numFmtId="1" fontId="8" fillId="29" borderId="0" xfId="0" applyNumberFormat="1" applyFont="1" applyFill="1" applyAlignment="1">
      <alignment horizontal="center" vertical="center"/>
    </xf>
    <xf numFmtId="0" fontId="2" fillId="30" borderId="0" xfId="0" applyFont="1" applyFill="1" applyAlignment="1">
      <alignment vertical="top" wrapText="1"/>
    </xf>
    <xf numFmtId="0" fontId="2" fillId="31" borderId="0" xfId="0" applyFont="1" applyFill="1" applyAlignment="1">
      <alignment vertical="top" wrapText="1"/>
    </xf>
    <xf numFmtId="1" fontId="2" fillId="31" borderId="0" xfId="0" applyNumberFormat="1" applyFont="1" applyFill="1" applyAlignment="1">
      <alignment vertical="top" wrapText="1"/>
    </xf>
  </cellXfs>
  <cellStyles count="1">
    <cellStyle name="Normal" xfId="0" builtinId="0"/>
  </cellStyles>
  <dxfs count="23">
    <dxf>
      <fill>
        <patternFill patternType="solid">
          <fgColor rgb="FFFFF3DE"/>
          <bgColor rgb="FFFFF3DE"/>
        </patternFill>
      </fill>
    </dxf>
    <dxf>
      <fill>
        <patternFill patternType="solid">
          <fgColor rgb="FFD9F3DF"/>
          <bgColor rgb="FFD9F3DF"/>
        </patternFill>
      </fill>
    </dxf>
    <dxf>
      <fill>
        <patternFill patternType="solid">
          <fgColor rgb="FFF4E8EB"/>
          <bgColor rgb="FFF4E8EB"/>
        </patternFill>
      </fill>
    </dxf>
    <dxf>
      <fill>
        <patternFill patternType="solid">
          <fgColor rgb="FFE7F7F4"/>
          <bgColor rgb="FFE7F7F4"/>
        </patternFill>
      </fill>
    </dxf>
    <dxf>
      <fill>
        <patternFill patternType="solid">
          <fgColor rgb="FFEDE6FF"/>
          <bgColor rgb="FFEDE6FF"/>
        </patternFill>
      </fill>
    </dxf>
    <dxf>
      <fill>
        <patternFill patternType="solid">
          <fgColor rgb="FFFCE6E3"/>
          <bgColor rgb="FFFCE6E3"/>
        </patternFill>
      </fill>
    </dxf>
    <dxf>
      <fill>
        <patternFill patternType="solid">
          <fgColor rgb="FFDFF1FF"/>
          <bgColor rgb="FFDFF1FF"/>
        </patternFill>
      </fill>
    </dxf>
    <dxf>
      <fill>
        <patternFill patternType="solid">
          <fgColor rgb="FFD9F3DF"/>
          <bgColor rgb="FFD9F3DF"/>
        </patternFill>
      </fill>
    </dxf>
    <dxf>
      <fill>
        <patternFill patternType="solid">
          <fgColor rgb="FFE9F0F8"/>
          <bgColor rgb="FFE9F0F8"/>
        </patternFill>
      </fill>
    </dxf>
    <dxf>
      <fill>
        <patternFill patternType="solid">
          <fgColor rgb="FFFFF1D9"/>
          <bgColor rgb="FFFFF1D9"/>
        </patternFill>
      </fill>
    </dxf>
    <dxf>
      <fill>
        <patternFill patternType="solid">
          <fgColor rgb="FFFEE8E8"/>
          <bgColor rgb="FFFEE8E8"/>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3">
    <tableStyle name="Client Decisions-style" pivot="0" count="4" xr9:uid="{00000000-0011-0000-FFFF-FFFF00000000}">
      <tableStyleElement type="wholeTable" size="0" dxfId="19"/>
      <tableStyleElement type="headerRow" dxfId="22"/>
      <tableStyleElement type="firstRowStripe" dxfId="21"/>
      <tableStyleElement type="secondRowStripe" dxfId="20"/>
    </tableStyle>
    <tableStyle name="Open Questions-style" pivot="0" count="4" xr9:uid="{00000000-0011-0000-FFFF-FFFF01000000}">
      <tableStyleElement type="wholeTable" size="0" dxfId="15"/>
      <tableStyleElement type="headerRow" dxfId="18"/>
      <tableStyleElement type="firstRowStripe" dxfId="17"/>
      <tableStyleElement type="secondRowStripe" dxfId="16"/>
    </tableStyle>
    <tableStyle name="Product Backlog-style" pivot="0" count="4" xr9:uid="{00000000-0011-0000-FFFF-FFFF02000000}">
      <tableStyleElement type="wholeTable" size="0" dxfId="11"/>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EducationBacklog" displayName="EducationBacklog" ref="A5:Q33">
  <autoFilter ref="A5:Q33" xr:uid="{00000000-0009-0000-0100-000003000000}"/>
  <tableColumns count="17">
    <tableColumn id="1" xr3:uid="{00000000-0010-0000-0000-000001000000}" name="ID"/>
    <tableColumn id="2" xr3:uid="{00000000-0010-0000-0000-000002000000}" name="Epic"/>
    <tableColumn id="3" xr3:uid="{00000000-0010-0000-0000-000003000000}" name="Feature / User Story"/>
    <tableColumn id="4" xr3:uid="{00000000-0010-0000-0000-000004000000}" name="Description / User Story"/>
    <tableColumn id="5" xr3:uid="{00000000-0010-0000-0000-000005000000}" name="Portal / Actor"/>
    <tableColumn id="6" xr3:uid="{00000000-0010-0000-0000-000006000000}" name="Source Requirement(s)"/>
    <tableColumn id="7" xr3:uid="{00000000-0010-0000-0000-000007000000}" name="Target Sprint (proposed)"/>
    <tableColumn id="8" xr3:uid="{00000000-0010-0000-0000-000008000000}" name="Priority"/>
    <tableColumn id="9" xr3:uid="{00000000-0010-0000-0000-000009000000}" name="Requirement basis"/>
    <tableColumn id="10" xr3:uid="{00000000-0010-0000-0000-00000A000000}" name="Readiness"/>
    <tableColumn id="11" xr3:uid="{00000000-0010-0000-0000-00000B000000}" name="Dev Status (update)"/>
    <tableColumn id="12" xr3:uid="{00000000-0010-0000-0000-00000C000000}" name="Owner (update)"/>
    <tableColumn id="13" xr3:uid="{00000000-0010-0000-0000-00000D000000}" name="Estimate SP (update)"/>
    <tableColumn id="14" xr3:uid="{00000000-0010-0000-0000-00000E000000}" name="Dependencies"/>
    <tableColumn id="15" xr3:uid="{00000000-0010-0000-0000-00000F000000}" name="Open question / risk"/>
    <tableColumn id="16" xr3:uid="{00000000-0010-0000-0000-000010000000}" name="Acceptance / Demo check"/>
    <tableColumn id="17" xr3:uid="{00000000-0010-0000-0000-000011000000}" name="Dev Notes / Blocker (update)"/>
  </tableColumns>
  <tableStyleInfo name="Product Backlo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arificationQuestions" displayName="ClarificationQuestions" ref="A5:J22">
  <tableColumns count="10">
    <tableColumn id="1" xr3:uid="{00000000-0010-0000-0100-000001000000}" name="ID"/>
    <tableColumn id="2" xr3:uid="{00000000-0010-0000-0100-000002000000}" name="Urgency"/>
    <tableColumn id="3" xr3:uid="{00000000-0010-0000-0100-000003000000}" name="For Sprint"/>
    <tableColumn id="4" xr3:uid="{00000000-0010-0000-0100-000004000000}" name="Clarification question / missing decision"/>
    <tableColumn id="5" xr3:uid="{00000000-0010-0000-0100-000005000000}" name="Why needed for Dev / QA"/>
    <tableColumn id="6" xr3:uid="{00000000-0010-0000-0100-000006000000}" name="Related PBI"/>
    <tableColumn id="7" xr3:uid="{00000000-0010-0000-0100-000007000000}" name="Suggested owner"/>
    <tableColumn id="8" xr3:uid="{00000000-0010-0000-0100-000008000000}" name="Status (update)"/>
    <tableColumn id="9" xr3:uid="{00000000-0010-0000-0100-000009000000}" name="Client answer / decision (update)"/>
    <tableColumn id="10" xr3:uid="{00000000-0010-0000-0100-00000A000000}" name="Meeting / requirement source"/>
  </tableColumns>
  <tableStyleInfo name="Open Quest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ClientClarifications" displayName="ClientClarifications" ref="A5:E17">
  <tableColumns count="5">
    <tableColumn id="1" xr3:uid="{00000000-0010-0000-0200-000001000000}" name="ID"/>
    <tableColumn id="2" xr3:uid="{00000000-0010-0000-0200-000002000000}" name="Client clarification / evidence"/>
    <tableColumn id="3" xr3:uid="{00000000-0010-0000-0200-000003000000}" name="Implication for Dev / QA"/>
    <tableColumn id="4" xr3:uid="{00000000-0010-0000-0200-000004000000}" name="Source"/>
    <tableColumn id="5" xr3:uid="{00000000-0010-0000-0200-000005000000}" name="Confidence"/>
  </tableColumns>
  <tableStyleInfo name="Client Decis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3"/>
  <sheetViews>
    <sheetView tabSelected="1" workbookViewId="0">
      <pane xSplit="3" ySplit="5" topLeftCell="D33" activePane="bottomRight" state="frozen"/>
      <selection pane="topRight" activeCell="D1" sqref="D1"/>
      <selection pane="bottomLeft" activeCell="A6" sqref="A6"/>
      <selection pane="bottomRight" activeCell="D21" sqref="D21"/>
    </sheetView>
  </sheetViews>
  <sheetFormatPr defaultColWidth="12.625" defaultRowHeight="15" customHeight="1"/>
  <cols>
    <col min="1" max="1" width="12" customWidth="1"/>
    <col min="2" max="2" width="18" customWidth="1"/>
    <col min="3" max="3" width="33" customWidth="1"/>
    <col min="4" max="4" width="57" customWidth="1"/>
    <col min="5" max="5" width="25" customWidth="1"/>
    <col min="6" max="6" width="29" customWidth="1"/>
    <col min="7" max="7" width="22" customWidth="1"/>
    <col min="8" max="8" width="17" customWidth="1"/>
    <col min="9" max="9" width="24" customWidth="1"/>
    <col min="10" max="10" width="21" customWidth="1"/>
    <col min="11" max="11" width="20" customWidth="1"/>
    <col min="12" max="12" width="19" customWidth="1"/>
    <col min="13" max="13" width="16" customWidth="1"/>
    <col min="14" max="14" width="28" customWidth="1"/>
    <col min="15" max="15" width="52" customWidth="1"/>
    <col min="16" max="16" width="54" customWidth="1"/>
    <col min="17" max="17" width="30" customWidth="1"/>
    <col min="18" max="18" width="19" customWidth="1"/>
    <col min="19" max="25" width="8.625" customWidth="1"/>
  </cols>
  <sheetData>
    <row r="1" spans="1:18" ht="31.5" customHeight="1">
      <c r="A1" s="35" t="s">
        <v>16</v>
      </c>
      <c r="B1" s="36"/>
      <c r="C1" s="36"/>
      <c r="D1" s="36"/>
      <c r="E1" s="36"/>
      <c r="F1" s="36"/>
      <c r="G1" s="36"/>
      <c r="H1" s="36"/>
      <c r="I1" s="36"/>
      <c r="J1" s="36"/>
      <c r="K1" s="36"/>
      <c r="L1" s="36"/>
      <c r="M1" s="36"/>
      <c r="N1" s="36"/>
      <c r="O1" s="36"/>
      <c r="P1" s="36"/>
      <c r="Q1" s="36"/>
    </row>
    <row r="2" spans="1:18" ht="27" customHeight="1">
      <c r="A2" s="37" t="s">
        <v>17</v>
      </c>
      <c r="B2" s="36"/>
      <c r="C2" s="36"/>
      <c r="D2" s="36"/>
      <c r="E2" s="36"/>
      <c r="F2" s="36"/>
      <c r="G2" s="36"/>
      <c r="H2" s="36"/>
      <c r="I2" s="36"/>
      <c r="J2" s="36"/>
      <c r="K2" s="36"/>
      <c r="L2" s="36"/>
      <c r="M2" s="36"/>
      <c r="N2" s="36"/>
      <c r="O2" s="36"/>
      <c r="P2" s="36"/>
      <c r="Q2" s="36"/>
    </row>
    <row r="3" spans="1:18" ht="24" customHeight="1">
      <c r="A3" s="38" t="s">
        <v>18</v>
      </c>
      <c r="B3" s="36"/>
      <c r="C3" s="36"/>
      <c r="D3" s="36"/>
      <c r="E3" s="36"/>
      <c r="F3" s="36"/>
      <c r="G3" s="36"/>
      <c r="H3" s="36"/>
      <c r="I3" s="36"/>
      <c r="J3" s="36"/>
      <c r="K3" s="36"/>
      <c r="L3" s="36"/>
      <c r="M3" s="36"/>
      <c r="N3" s="36"/>
      <c r="O3" s="36"/>
      <c r="P3" s="36"/>
      <c r="Q3" s="36"/>
    </row>
    <row r="5" spans="1:18" ht="30" customHeight="1">
      <c r="A5" s="6" t="s">
        <v>15</v>
      </c>
      <c r="B5" s="6" t="s">
        <v>25</v>
      </c>
      <c r="C5" s="6" t="s">
        <v>29</v>
      </c>
      <c r="D5" s="6" t="s">
        <v>32</v>
      </c>
      <c r="E5" s="6" t="s">
        <v>35</v>
      </c>
      <c r="F5" s="6" t="s">
        <v>38</v>
      </c>
      <c r="G5" s="6" t="s">
        <v>40</v>
      </c>
      <c r="H5" s="6" t="s">
        <v>42</v>
      </c>
      <c r="I5" s="6" t="s">
        <v>45</v>
      </c>
      <c r="J5" s="6" t="s">
        <v>48</v>
      </c>
      <c r="K5" s="6" t="s">
        <v>51</v>
      </c>
      <c r="L5" s="6" t="s">
        <v>53</v>
      </c>
      <c r="M5" s="6" t="s">
        <v>55</v>
      </c>
      <c r="N5" s="6" t="s">
        <v>60</v>
      </c>
      <c r="O5" s="6" t="s">
        <v>64</v>
      </c>
      <c r="P5" s="6" t="s">
        <v>68</v>
      </c>
      <c r="Q5" s="6" t="s">
        <v>71</v>
      </c>
      <c r="R5" s="12" t="s">
        <v>74</v>
      </c>
    </row>
    <row r="6" spans="1:18" ht="75.75" customHeight="1">
      <c r="A6" s="7" t="s">
        <v>80</v>
      </c>
      <c r="B6" s="7" t="s">
        <v>82</v>
      </c>
      <c r="C6" s="7" t="s">
        <v>86</v>
      </c>
      <c r="D6" s="7" t="s">
        <v>89</v>
      </c>
      <c r="E6" s="7" t="s">
        <v>91</v>
      </c>
      <c r="F6" s="7" t="s">
        <v>93</v>
      </c>
      <c r="G6" s="7" t="s">
        <v>10</v>
      </c>
      <c r="H6" s="7" t="s">
        <v>100</v>
      </c>
      <c r="I6" s="7" t="s">
        <v>102</v>
      </c>
      <c r="J6" s="7" t="s">
        <v>105</v>
      </c>
      <c r="K6" s="15" t="s">
        <v>4</v>
      </c>
      <c r="L6" s="15"/>
      <c r="M6" s="16"/>
      <c r="N6" s="7" t="s">
        <v>120</v>
      </c>
      <c r="O6" s="7" t="s">
        <v>122</v>
      </c>
      <c r="P6" s="7" t="s">
        <v>125</v>
      </c>
      <c r="Q6" s="15"/>
      <c r="R6" s="17">
        <v>1</v>
      </c>
    </row>
    <row r="7" spans="1:18" ht="75.75" customHeight="1">
      <c r="A7" s="18" t="s">
        <v>133</v>
      </c>
      <c r="B7" s="18" t="s">
        <v>135</v>
      </c>
      <c r="C7" s="18" t="s">
        <v>137</v>
      </c>
      <c r="D7" s="18" t="s">
        <v>140</v>
      </c>
      <c r="E7" s="18" t="s">
        <v>143</v>
      </c>
      <c r="F7" s="18" t="s">
        <v>146</v>
      </c>
      <c r="G7" s="18" t="s">
        <v>10</v>
      </c>
      <c r="H7" s="18" t="s">
        <v>148</v>
      </c>
      <c r="I7" s="19" t="s">
        <v>150</v>
      </c>
      <c r="J7" s="20" t="s">
        <v>154</v>
      </c>
      <c r="K7" s="21" t="s">
        <v>4</v>
      </c>
      <c r="L7" s="21"/>
      <c r="M7" s="22"/>
      <c r="N7" s="18" t="s">
        <v>156</v>
      </c>
      <c r="O7" s="18" t="s">
        <v>158</v>
      </c>
      <c r="P7" s="18" t="s">
        <v>159</v>
      </c>
      <c r="Q7" s="21"/>
      <c r="R7" s="17">
        <v>2</v>
      </c>
    </row>
    <row r="8" spans="1:18" ht="75.75" customHeight="1">
      <c r="A8" s="7" t="s">
        <v>160</v>
      </c>
      <c r="B8" s="7" t="s">
        <v>162</v>
      </c>
      <c r="C8" s="7" t="s">
        <v>163</v>
      </c>
      <c r="D8" s="7" t="s">
        <v>165</v>
      </c>
      <c r="E8" s="7" t="s">
        <v>143</v>
      </c>
      <c r="F8" s="7" t="s">
        <v>167</v>
      </c>
      <c r="G8" s="7" t="s">
        <v>10</v>
      </c>
      <c r="H8" s="7" t="s">
        <v>148</v>
      </c>
      <c r="I8" s="7" t="s">
        <v>169</v>
      </c>
      <c r="J8" s="7" t="s">
        <v>154</v>
      </c>
      <c r="K8" s="15" t="s">
        <v>4</v>
      </c>
      <c r="L8" s="15"/>
      <c r="M8" s="16"/>
      <c r="N8" s="7" t="s">
        <v>176</v>
      </c>
      <c r="O8" s="7" t="s">
        <v>180</v>
      </c>
      <c r="P8" s="7" t="s">
        <v>182</v>
      </c>
      <c r="Q8" s="15"/>
      <c r="R8" s="17">
        <v>3</v>
      </c>
    </row>
    <row r="9" spans="1:18" ht="75.75" customHeight="1">
      <c r="A9" s="18" t="s">
        <v>186</v>
      </c>
      <c r="B9" s="18" t="s">
        <v>135</v>
      </c>
      <c r="C9" s="18" t="s">
        <v>192</v>
      </c>
      <c r="D9" s="18" t="s">
        <v>193</v>
      </c>
      <c r="E9" s="18" t="s">
        <v>196</v>
      </c>
      <c r="F9" s="18" t="s">
        <v>197</v>
      </c>
      <c r="G9" s="18" t="s">
        <v>10</v>
      </c>
      <c r="H9" s="18" t="s">
        <v>148</v>
      </c>
      <c r="I9" s="18" t="s">
        <v>198</v>
      </c>
      <c r="J9" s="20" t="s">
        <v>200</v>
      </c>
      <c r="K9" s="21" t="s">
        <v>4</v>
      </c>
      <c r="L9" s="21"/>
      <c r="M9" s="22"/>
      <c r="N9" s="18" t="s">
        <v>202</v>
      </c>
      <c r="O9" s="18" t="s">
        <v>203</v>
      </c>
      <c r="P9" s="18" t="s">
        <v>205</v>
      </c>
      <c r="Q9" s="21"/>
      <c r="R9" s="17">
        <v>4</v>
      </c>
    </row>
    <row r="10" spans="1:18" ht="75.75" customHeight="1">
      <c r="A10" s="7" t="s">
        <v>166</v>
      </c>
      <c r="B10" s="7" t="s">
        <v>208</v>
      </c>
      <c r="C10" s="7" t="s">
        <v>210</v>
      </c>
      <c r="D10" s="7" t="s">
        <v>212</v>
      </c>
      <c r="E10" s="7" t="s">
        <v>214</v>
      </c>
      <c r="F10" s="7" t="s">
        <v>215</v>
      </c>
      <c r="G10" s="7" t="s">
        <v>10</v>
      </c>
      <c r="H10" s="7" t="s">
        <v>148</v>
      </c>
      <c r="I10" s="7" t="s">
        <v>150</v>
      </c>
      <c r="J10" s="7" t="s">
        <v>154</v>
      </c>
      <c r="K10" s="15" t="s">
        <v>4</v>
      </c>
      <c r="L10" s="15"/>
      <c r="M10" s="16"/>
      <c r="N10" s="7" t="s">
        <v>220</v>
      </c>
      <c r="O10" s="7" t="s">
        <v>222</v>
      </c>
      <c r="P10" s="7" t="s">
        <v>223</v>
      </c>
      <c r="Q10" s="15"/>
      <c r="R10" s="17">
        <v>5</v>
      </c>
    </row>
    <row r="11" spans="1:18" ht="75.75" customHeight="1">
      <c r="A11" s="18" t="s">
        <v>226</v>
      </c>
      <c r="B11" s="18" t="s">
        <v>227</v>
      </c>
      <c r="C11" s="18" t="s">
        <v>228</v>
      </c>
      <c r="D11" s="18" t="s">
        <v>230</v>
      </c>
      <c r="E11" s="18" t="s">
        <v>232</v>
      </c>
      <c r="F11" s="18" t="s">
        <v>234</v>
      </c>
      <c r="G11" s="18" t="s">
        <v>10</v>
      </c>
      <c r="H11" s="18" t="s">
        <v>148</v>
      </c>
      <c r="I11" s="18" t="s">
        <v>236</v>
      </c>
      <c r="J11" s="20" t="s">
        <v>200</v>
      </c>
      <c r="K11" s="21" t="s">
        <v>4</v>
      </c>
      <c r="L11" s="21"/>
      <c r="M11" s="22"/>
      <c r="N11" s="18" t="s">
        <v>239</v>
      </c>
      <c r="O11" s="18" t="s">
        <v>241</v>
      </c>
      <c r="P11" s="18" t="s">
        <v>243</v>
      </c>
      <c r="Q11" s="21"/>
      <c r="R11" s="17">
        <v>6</v>
      </c>
    </row>
    <row r="12" spans="1:18" ht="75.75" customHeight="1">
      <c r="A12" s="7" t="s">
        <v>244</v>
      </c>
      <c r="B12" s="7" t="s">
        <v>227</v>
      </c>
      <c r="C12" s="7" t="s">
        <v>248</v>
      </c>
      <c r="D12" s="7" t="s">
        <v>251</v>
      </c>
      <c r="E12" s="7" t="s">
        <v>232</v>
      </c>
      <c r="F12" s="7" t="s">
        <v>259</v>
      </c>
      <c r="G12" s="7" t="s">
        <v>10</v>
      </c>
      <c r="H12" s="7" t="s">
        <v>148</v>
      </c>
      <c r="I12" s="19" t="s">
        <v>276</v>
      </c>
      <c r="J12" s="20" t="s">
        <v>282</v>
      </c>
      <c r="K12" s="15" t="s">
        <v>4</v>
      </c>
      <c r="L12" s="15"/>
      <c r="M12" s="16"/>
      <c r="N12" s="7" t="s">
        <v>298</v>
      </c>
      <c r="O12" s="7" t="s">
        <v>300</v>
      </c>
      <c r="P12" s="7" t="s">
        <v>302</v>
      </c>
      <c r="Q12" s="15"/>
      <c r="R12" s="17">
        <v>7</v>
      </c>
    </row>
    <row r="13" spans="1:18" ht="75.75" customHeight="1">
      <c r="A13" s="18" t="s">
        <v>304</v>
      </c>
      <c r="B13" s="18" t="s">
        <v>227</v>
      </c>
      <c r="C13" s="18" t="s">
        <v>308</v>
      </c>
      <c r="D13" s="18" t="s">
        <v>311</v>
      </c>
      <c r="E13" s="18" t="s">
        <v>232</v>
      </c>
      <c r="F13" s="18" t="s">
        <v>234</v>
      </c>
      <c r="G13" s="18" t="s">
        <v>10</v>
      </c>
      <c r="H13" s="18" t="s">
        <v>148</v>
      </c>
      <c r="I13" s="18" t="s">
        <v>236</v>
      </c>
      <c r="J13" s="18" t="s">
        <v>154</v>
      </c>
      <c r="K13" s="21" t="s">
        <v>4</v>
      </c>
      <c r="L13" s="21"/>
      <c r="M13" s="22"/>
      <c r="N13" s="18" t="s">
        <v>317</v>
      </c>
      <c r="O13" s="18" t="s">
        <v>319</v>
      </c>
      <c r="P13" s="18" t="s">
        <v>320</v>
      </c>
      <c r="Q13" s="21"/>
      <c r="R13" s="17">
        <v>8</v>
      </c>
    </row>
    <row r="14" spans="1:18" ht="75.75" customHeight="1">
      <c r="A14" s="7" t="s">
        <v>322</v>
      </c>
      <c r="B14" s="7" t="s">
        <v>227</v>
      </c>
      <c r="C14" s="7" t="s">
        <v>324</v>
      </c>
      <c r="D14" s="7" t="s">
        <v>326</v>
      </c>
      <c r="E14" s="7" t="s">
        <v>232</v>
      </c>
      <c r="F14" s="7" t="s">
        <v>328</v>
      </c>
      <c r="G14" s="7" t="s">
        <v>10</v>
      </c>
      <c r="H14" s="7" t="s">
        <v>148</v>
      </c>
      <c r="I14" s="7" t="s">
        <v>236</v>
      </c>
      <c r="J14" s="20" t="s">
        <v>331</v>
      </c>
      <c r="K14" s="15" t="s">
        <v>4</v>
      </c>
      <c r="L14" s="15"/>
      <c r="M14" s="16"/>
      <c r="N14" s="7" t="s">
        <v>332</v>
      </c>
      <c r="O14" s="7" t="s">
        <v>333</v>
      </c>
      <c r="P14" s="7" t="s">
        <v>334</v>
      </c>
      <c r="Q14" s="15"/>
      <c r="R14" s="17">
        <v>9</v>
      </c>
    </row>
    <row r="15" spans="1:18" s="50" customFormat="1" ht="75.75" customHeight="1">
      <c r="A15" s="55" t="s">
        <v>335</v>
      </c>
      <c r="B15" s="55" t="s">
        <v>336</v>
      </c>
      <c r="C15" s="55" t="s">
        <v>337</v>
      </c>
      <c r="D15" s="55" t="s">
        <v>338</v>
      </c>
      <c r="E15" s="55" t="s">
        <v>339</v>
      </c>
      <c r="F15" s="55" t="s">
        <v>340</v>
      </c>
      <c r="G15" s="55" t="s">
        <v>10</v>
      </c>
      <c r="H15" s="55" t="s">
        <v>148</v>
      </c>
      <c r="I15" s="55" t="s">
        <v>236</v>
      </c>
      <c r="J15" s="55" t="s">
        <v>331</v>
      </c>
      <c r="K15" s="56" t="s">
        <v>4</v>
      </c>
      <c r="L15" s="56"/>
      <c r="M15" s="57"/>
      <c r="N15" s="55" t="s">
        <v>341</v>
      </c>
      <c r="O15" s="55" t="s">
        <v>342</v>
      </c>
      <c r="P15" s="55" t="s">
        <v>343</v>
      </c>
      <c r="Q15" s="56"/>
      <c r="R15" s="49">
        <v>10</v>
      </c>
    </row>
    <row r="16" spans="1:18" s="50" customFormat="1" ht="75.75" customHeight="1">
      <c r="A16" s="44" t="s">
        <v>344</v>
      </c>
      <c r="B16" s="44" t="s">
        <v>336</v>
      </c>
      <c r="C16" s="44" t="s">
        <v>345</v>
      </c>
      <c r="D16" s="44" t="s">
        <v>346</v>
      </c>
      <c r="E16" s="44" t="s">
        <v>232</v>
      </c>
      <c r="F16" s="44" t="s">
        <v>328</v>
      </c>
      <c r="G16" s="44" t="s">
        <v>10</v>
      </c>
      <c r="H16" s="44" t="s">
        <v>148</v>
      </c>
      <c r="I16" s="45" t="s">
        <v>236</v>
      </c>
      <c r="J16" s="46" t="s">
        <v>200</v>
      </c>
      <c r="K16" s="47" t="s">
        <v>4</v>
      </c>
      <c r="L16" s="47"/>
      <c r="M16" s="48"/>
      <c r="N16" s="44" t="s">
        <v>347</v>
      </c>
      <c r="O16" s="44" t="s">
        <v>348</v>
      </c>
      <c r="P16" s="44" t="s">
        <v>349</v>
      </c>
      <c r="Q16" s="47"/>
      <c r="R16" s="49">
        <v>11</v>
      </c>
    </row>
    <row r="17" spans="1:18" ht="75.75" customHeight="1">
      <c r="A17" s="18"/>
      <c r="B17" s="18" t="s">
        <v>350</v>
      </c>
      <c r="C17" s="18" t="s">
        <v>351</v>
      </c>
      <c r="D17" s="18" t="s">
        <v>352</v>
      </c>
      <c r="E17" s="18" t="s">
        <v>143</v>
      </c>
      <c r="F17" s="18" t="s">
        <v>353</v>
      </c>
      <c r="G17" s="29" t="s">
        <v>10</v>
      </c>
      <c r="H17" s="18" t="s">
        <v>148</v>
      </c>
      <c r="I17" s="18"/>
      <c r="J17" s="18"/>
      <c r="K17" s="21"/>
      <c r="L17" s="21"/>
      <c r="M17" s="22"/>
      <c r="N17" s="18" t="s">
        <v>354</v>
      </c>
      <c r="O17" s="18"/>
      <c r="P17" s="18"/>
      <c r="Q17" s="21"/>
      <c r="R17" s="30"/>
    </row>
    <row r="18" spans="1:18" ht="75.75" customHeight="1">
      <c r="A18" s="18"/>
      <c r="B18" s="18" t="s">
        <v>350</v>
      </c>
      <c r="C18" s="18" t="s">
        <v>355</v>
      </c>
      <c r="D18" s="18" t="s">
        <v>356</v>
      </c>
      <c r="E18" s="18" t="s">
        <v>232</v>
      </c>
      <c r="F18" s="18" t="s">
        <v>234</v>
      </c>
      <c r="G18" s="29" t="s">
        <v>10</v>
      </c>
      <c r="H18" s="18" t="s">
        <v>148</v>
      </c>
      <c r="I18" s="18"/>
      <c r="J18" s="18"/>
      <c r="K18" s="21"/>
      <c r="L18" s="21"/>
      <c r="M18" s="22"/>
      <c r="N18" s="18"/>
      <c r="O18" s="18"/>
      <c r="P18" s="18"/>
      <c r="Q18" s="21"/>
      <c r="R18" s="30"/>
    </row>
    <row r="19" spans="1:18" ht="75.75" customHeight="1">
      <c r="A19" s="18"/>
      <c r="B19" s="18" t="s">
        <v>350</v>
      </c>
      <c r="C19" s="18" t="s">
        <v>357</v>
      </c>
      <c r="D19" s="18" t="s">
        <v>358</v>
      </c>
      <c r="E19" s="18" t="s">
        <v>143</v>
      </c>
      <c r="F19" s="18" t="s">
        <v>353</v>
      </c>
      <c r="G19" s="29" t="s">
        <v>10</v>
      </c>
      <c r="H19" s="18" t="s">
        <v>148</v>
      </c>
      <c r="I19" s="18"/>
      <c r="J19" s="18"/>
      <c r="K19" s="21"/>
      <c r="L19" s="21"/>
      <c r="M19" s="22"/>
      <c r="N19" s="18"/>
      <c r="O19" s="18"/>
      <c r="P19" s="18"/>
      <c r="Q19" s="21"/>
      <c r="R19" s="30"/>
    </row>
    <row r="20" spans="1:18" ht="75.75" customHeight="1">
      <c r="A20" s="18" t="s">
        <v>359</v>
      </c>
      <c r="B20" s="18" t="s">
        <v>360</v>
      </c>
      <c r="C20" s="18" t="s">
        <v>361</v>
      </c>
      <c r="D20" s="18" t="s">
        <v>362</v>
      </c>
      <c r="E20" s="18" t="s">
        <v>143</v>
      </c>
      <c r="F20" s="18" t="s">
        <v>146</v>
      </c>
      <c r="G20" s="29" t="s">
        <v>69</v>
      </c>
      <c r="H20" s="18" t="s">
        <v>148</v>
      </c>
      <c r="I20" s="18" t="s">
        <v>363</v>
      </c>
      <c r="J20" s="18" t="s">
        <v>154</v>
      </c>
      <c r="K20" s="21" t="s">
        <v>4</v>
      </c>
      <c r="L20" s="21"/>
      <c r="M20" s="22"/>
      <c r="N20" s="18" t="s">
        <v>364</v>
      </c>
      <c r="O20" s="18" t="s">
        <v>365</v>
      </c>
      <c r="P20" s="18" t="s">
        <v>366</v>
      </c>
      <c r="Q20" s="21"/>
      <c r="R20" s="30">
        <v>12</v>
      </c>
    </row>
    <row r="21" spans="1:18" s="50" customFormat="1" ht="75.75" customHeight="1">
      <c r="A21" s="44" t="s">
        <v>367</v>
      </c>
      <c r="B21" s="44" t="s">
        <v>360</v>
      </c>
      <c r="C21" s="44" t="s">
        <v>368</v>
      </c>
      <c r="D21" s="44" t="s">
        <v>369</v>
      </c>
      <c r="E21" s="44" t="s">
        <v>370</v>
      </c>
      <c r="F21" s="44" t="s">
        <v>371</v>
      </c>
      <c r="G21" s="51" t="s">
        <v>69</v>
      </c>
      <c r="H21" s="44" t="s">
        <v>148</v>
      </c>
      <c r="I21" s="44" t="s">
        <v>372</v>
      </c>
      <c r="J21" s="52" t="s">
        <v>282</v>
      </c>
      <c r="K21" s="47" t="s">
        <v>4</v>
      </c>
      <c r="L21" s="47"/>
      <c r="M21" s="48"/>
      <c r="N21" s="44" t="s">
        <v>373</v>
      </c>
      <c r="O21" s="44" t="s">
        <v>374</v>
      </c>
      <c r="P21" s="44" t="s">
        <v>375</v>
      </c>
      <c r="Q21" s="47"/>
      <c r="R21" s="53">
        <v>13</v>
      </c>
    </row>
    <row r="22" spans="1:18" ht="75.75" customHeight="1">
      <c r="A22" s="18" t="s">
        <v>242</v>
      </c>
      <c r="B22" s="18" t="s">
        <v>376</v>
      </c>
      <c r="C22" s="18" t="s">
        <v>377</v>
      </c>
      <c r="D22" s="18" t="s">
        <v>378</v>
      </c>
      <c r="E22" s="18" t="s">
        <v>379</v>
      </c>
      <c r="F22" s="18" t="s">
        <v>380</v>
      </c>
      <c r="G22" s="29" t="s">
        <v>69</v>
      </c>
      <c r="H22" s="18" t="s">
        <v>148</v>
      </c>
      <c r="I22" s="18" t="s">
        <v>236</v>
      </c>
      <c r="J22" s="31" t="s">
        <v>282</v>
      </c>
      <c r="K22" s="21" t="s">
        <v>4</v>
      </c>
      <c r="L22" s="21"/>
      <c r="M22" s="22"/>
      <c r="N22" s="18" t="s">
        <v>381</v>
      </c>
      <c r="O22" s="18" t="s">
        <v>382</v>
      </c>
      <c r="P22" s="18" t="s">
        <v>383</v>
      </c>
      <c r="Q22" s="21"/>
      <c r="R22" s="30">
        <v>14</v>
      </c>
    </row>
    <row r="23" spans="1:18" ht="75.75" customHeight="1">
      <c r="A23" s="7" t="s">
        <v>213</v>
      </c>
      <c r="B23" s="7" t="s">
        <v>227</v>
      </c>
      <c r="C23" s="7" t="s">
        <v>384</v>
      </c>
      <c r="D23" s="7" t="s">
        <v>385</v>
      </c>
      <c r="E23" s="7" t="s">
        <v>232</v>
      </c>
      <c r="F23" s="7" t="s">
        <v>234</v>
      </c>
      <c r="G23" s="7" t="s">
        <v>69</v>
      </c>
      <c r="H23" s="7" t="s">
        <v>100</v>
      </c>
      <c r="I23" s="7" t="s">
        <v>386</v>
      </c>
      <c r="J23" s="20" t="s">
        <v>282</v>
      </c>
      <c r="K23" s="15" t="s">
        <v>4</v>
      </c>
      <c r="L23" s="15"/>
      <c r="M23" s="16"/>
      <c r="N23" s="7" t="s">
        <v>387</v>
      </c>
      <c r="O23" s="7" t="s">
        <v>388</v>
      </c>
      <c r="P23" s="7" t="s">
        <v>389</v>
      </c>
      <c r="Q23" s="15"/>
      <c r="R23" s="30">
        <v>15</v>
      </c>
    </row>
    <row r="24" spans="1:18" ht="75.75" customHeight="1">
      <c r="A24" s="18" t="s">
        <v>264</v>
      </c>
      <c r="B24" s="18" t="s">
        <v>208</v>
      </c>
      <c r="C24" s="18" t="s">
        <v>390</v>
      </c>
      <c r="D24" s="18" t="s">
        <v>391</v>
      </c>
      <c r="E24" s="18" t="s">
        <v>214</v>
      </c>
      <c r="F24" s="18" t="s">
        <v>215</v>
      </c>
      <c r="G24" s="18" t="s">
        <v>114</v>
      </c>
      <c r="H24" s="18" t="s">
        <v>148</v>
      </c>
      <c r="I24" s="18" t="s">
        <v>150</v>
      </c>
      <c r="J24" s="20" t="s">
        <v>200</v>
      </c>
      <c r="K24" s="21" t="s">
        <v>4</v>
      </c>
      <c r="L24" s="21"/>
      <c r="M24" s="22"/>
      <c r="N24" s="18" t="s">
        <v>392</v>
      </c>
      <c r="O24" s="18" t="s">
        <v>393</v>
      </c>
      <c r="P24" s="18" t="s">
        <v>394</v>
      </c>
      <c r="Q24" s="21"/>
      <c r="R24" s="32">
        <v>16</v>
      </c>
    </row>
    <row r="25" spans="1:18" ht="75.75" customHeight="1">
      <c r="A25" s="7" t="s">
        <v>395</v>
      </c>
      <c r="B25" s="7" t="s">
        <v>396</v>
      </c>
      <c r="C25" s="7" t="s">
        <v>397</v>
      </c>
      <c r="D25" s="7" t="s">
        <v>398</v>
      </c>
      <c r="E25" s="7" t="s">
        <v>143</v>
      </c>
      <c r="F25" s="7" t="s">
        <v>399</v>
      </c>
      <c r="G25" s="7" t="s">
        <v>114</v>
      </c>
      <c r="H25" s="7" t="s">
        <v>148</v>
      </c>
      <c r="I25" s="7" t="s">
        <v>400</v>
      </c>
      <c r="J25" s="20" t="s">
        <v>282</v>
      </c>
      <c r="K25" s="15" t="s">
        <v>4</v>
      </c>
      <c r="L25" s="15"/>
      <c r="M25" s="16"/>
      <c r="N25" s="7" t="s">
        <v>401</v>
      </c>
      <c r="O25" s="7" t="s">
        <v>402</v>
      </c>
      <c r="P25" s="7" t="s">
        <v>403</v>
      </c>
      <c r="Q25" s="15"/>
      <c r="R25" s="32">
        <v>17</v>
      </c>
    </row>
    <row r="26" spans="1:18" ht="75.75" customHeight="1">
      <c r="A26" s="18" t="s">
        <v>404</v>
      </c>
      <c r="B26" s="18" t="s">
        <v>396</v>
      </c>
      <c r="C26" s="18" t="s">
        <v>405</v>
      </c>
      <c r="D26" s="18" t="s">
        <v>406</v>
      </c>
      <c r="E26" s="18" t="s">
        <v>232</v>
      </c>
      <c r="F26" s="18" t="s">
        <v>407</v>
      </c>
      <c r="G26" s="18" t="s">
        <v>114</v>
      </c>
      <c r="H26" s="18" t="s">
        <v>148</v>
      </c>
      <c r="I26" s="18" t="s">
        <v>236</v>
      </c>
      <c r="J26" s="18" t="s">
        <v>282</v>
      </c>
      <c r="K26" s="21" t="s">
        <v>4</v>
      </c>
      <c r="L26" s="21"/>
      <c r="M26" s="22"/>
      <c r="N26" s="18" t="s">
        <v>408</v>
      </c>
      <c r="O26" s="18" t="s">
        <v>409</v>
      </c>
      <c r="P26" s="18" t="s">
        <v>410</v>
      </c>
      <c r="Q26" s="21"/>
      <c r="R26" s="32">
        <v>18</v>
      </c>
    </row>
    <row r="27" spans="1:18" ht="75.75" customHeight="1">
      <c r="A27" s="7" t="s">
        <v>411</v>
      </c>
      <c r="B27" s="7" t="s">
        <v>396</v>
      </c>
      <c r="C27" s="7" t="s">
        <v>412</v>
      </c>
      <c r="D27" s="7" t="s">
        <v>413</v>
      </c>
      <c r="E27" s="7" t="s">
        <v>370</v>
      </c>
      <c r="F27" s="7" t="s">
        <v>399</v>
      </c>
      <c r="G27" s="7" t="s">
        <v>114</v>
      </c>
      <c r="H27" s="7" t="s">
        <v>148</v>
      </c>
      <c r="I27" s="7" t="s">
        <v>400</v>
      </c>
      <c r="J27" s="20" t="s">
        <v>282</v>
      </c>
      <c r="K27" s="15" t="s">
        <v>4</v>
      </c>
      <c r="L27" s="15"/>
      <c r="M27" s="16"/>
      <c r="N27" s="7" t="s">
        <v>414</v>
      </c>
      <c r="O27" s="7" t="s">
        <v>415</v>
      </c>
      <c r="P27" s="7" t="s">
        <v>416</v>
      </c>
      <c r="Q27" s="15"/>
      <c r="R27" s="32">
        <v>19</v>
      </c>
    </row>
    <row r="28" spans="1:18" ht="75.75" customHeight="1">
      <c r="A28" s="18" t="s">
        <v>417</v>
      </c>
      <c r="B28" s="18" t="s">
        <v>396</v>
      </c>
      <c r="C28" s="18" t="s">
        <v>418</v>
      </c>
      <c r="D28" s="18" t="s">
        <v>419</v>
      </c>
      <c r="E28" s="18" t="s">
        <v>420</v>
      </c>
      <c r="F28" s="18" t="s">
        <v>421</v>
      </c>
      <c r="G28" s="18" t="s">
        <v>114</v>
      </c>
      <c r="H28" s="18" t="s">
        <v>100</v>
      </c>
      <c r="I28" s="18" t="s">
        <v>236</v>
      </c>
      <c r="J28" s="18" t="s">
        <v>154</v>
      </c>
      <c r="K28" s="21" t="s">
        <v>4</v>
      </c>
      <c r="L28" s="21"/>
      <c r="M28" s="22"/>
      <c r="N28" s="18" t="s">
        <v>422</v>
      </c>
      <c r="O28" s="18" t="s">
        <v>423</v>
      </c>
      <c r="P28" s="18" t="s">
        <v>424</v>
      </c>
      <c r="Q28" s="21"/>
      <c r="R28" s="32">
        <v>20</v>
      </c>
    </row>
    <row r="29" spans="1:18" ht="75.75" customHeight="1">
      <c r="A29" s="7" t="s">
        <v>312</v>
      </c>
      <c r="B29" s="7" t="s">
        <v>425</v>
      </c>
      <c r="C29" s="7" t="s">
        <v>426</v>
      </c>
      <c r="D29" s="7" t="s">
        <v>427</v>
      </c>
      <c r="E29" s="7" t="s">
        <v>143</v>
      </c>
      <c r="F29" s="7" t="s">
        <v>428</v>
      </c>
      <c r="G29" s="7" t="s">
        <v>114</v>
      </c>
      <c r="H29" s="7" t="s">
        <v>100</v>
      </c>
      <c r="I29" s="7" t="s">
        <v>236</v>
      </c>
      <c r="J29" s="20" t="s">
        <v>154</v>
      </c>
      <c r="K29" s="15" t="s">
        <v>4</v>
      </c>
      <c r="L29" s="15"/>
      <c r="M29" s="16"/>
      <c r="N29" s="7" t="s">
        <v>429</v>
      </c>
      <c r="O29" s="7" t="s">
        <v>430</v>
      </c>
      <c r="P29" s="7" t="s">
        <v>431</v>
      </c>
      <c r="Q29" s="15"/>
      <c r="R29" s="32">
        <v>21</v>
      </c>
    </row>
    <row r="30" spans="1:18" ht="75.75" customHeight="1">
      <c r="A30" s="18" t="s">
        <v>432</v>
      </c>
      <c r="B30" s="18" t="s">
        <v>433</v>
      </c>
      <c r="C30" s="18" t="s">
        <v>434</v>
      </c>
      <c r="D30" s="18" t="s">
        <v>435</v>
      </c>
      <c r="E30" s="18" t="s">
        <v>379</v>
      </c>
      <c r="F30" s="18" t="s">
        <v>436</v>
      </c>
      <c r="G30" s="18" t="s">
        <v>152</v>
      </c>
      <c r="H30" s="18" t="s">
        <v>437</v>
      </c>
      <c r="I30" s="18" t="s">
        <v>236</v>
      </c>
      <c r="J30" s="20" t="s">
        <v>282</v>
      </c>
      <c r="K30" s="21" t="s">
        <v>4</v>
      </c>
      <c r="L30" s="21"/>
      <c r="M30" s="22"/>
      <c r="N30" s="18" t="s">
        <v>438</v>
      </c>
      <c r="O30" s="18" t="s">
        <v>439</v>
      </c>
      <c r="P30" s="18" t="s">
        <v>440</v>
      </c>
      <c r="Q30" s="21"/>
      <c r="R30" s="33">
        <v>22</v>
      </c>
    </row>
    <row r="31" spans="1:18" s="50" customFormat="1" ht="75.75" customHeight="1">
      <c r="A31" s="44" t="s">
        <v>441</v>
      </c>
      <c r="B31" s="44" t="s">
        <v>442</v>
      </c>
      <c r="C31" s="44" t="s">
        <v>443</v>
      </c>
      <c r="D31" s="44" t="s">
        <v>444</v>
      </c>
      <c r="E31" s="44" t="s">
        <v>232</v>
      </c>
      <c r="F31" s="44" t="s">
        <v>445</v>
      </c>
      <c r="G31" s="44" t="s">
        <v>152</v>
      </c>
      <c r="H31" s="44" t="s">
        <v>437</v>
      </c>
      <c r="I31" s="44" t="s">
        <v>446</v>
      </c>
      <c r="J31" s="46" t="s">
        <v>282</v>
      </c>
      <c r="K31" s="47" t="s">
        <v>4</v>
      </c>
      <c r="L31" s="47"/>
      <c r="M31" s="48"/>
      <c r="N31" s="44" t="s">
        <v>447</v>
      </c>
      <c r="O31" s="44" t="s">
        <v>448</v>
      </c>
      <c r="P31" s="44" t="s">
        <v>449</v>
      </c>
      <c r="Q31" s="47"/>
      <c r="R31" s="54">
        <v>23</v>
      </c>
    </row>
    <row r="32" spans="1:18" ht="75.75" customHeight="1">
      <c r="A32" s="18" t="s">
        <v>450</v>
      </c>
      <c r="B32" s="18" t="s">
        <v>442</v>
      </c>
      <c r="C32" s="18" t="s">
        <v>451</v>
      </c>
      <c r="D32" s="18" t="s">
        <v>452</v>
      </c>
      <c r="E32" s="18" t="s">
        <v>232</v>
      </c>
      <c r="F32" s="18" t="s">
        <v>453</v>
      </c>
      <c r="G32" s="18" t="s">
        <v>152</v>
      </c>
      <c r="H32" s="18" t="s">
        <v>437</v>
      </c>
      <c r="I32" s="18" t="s">
        <v>446</v>
      </c>
      <c r="J32" s="20" t="s">
        <v>282</v>
      </c>
      <c r="K32" s="21" t="s">
        <v>4</v>
      </c>
      <c r="L32" s="21"/>
      <c r="M32" s="22"/>
      <c r="N32" s="18" t="s">
        <v>454</v>
      </c>
      <c r="O32" s="18" t="s">
        <v>455</v>
      </c>
      <c r="P32" s="18" t="s">
        <v>456</v>
      </c>
      <c r="Q32" s="21"/>
      <c r="R32" s="33">
        <v>24</v>
      </c>
    </row>
    <row r="33" spans="1:18" ht="75.75" customHeight="1">
      <c r="A33" s="7" t="s">
        <v>457</v>
      </c>
      <c r="B33" s="7" t="s">
        <v>458</v>
      </c>
      <c r="C33" s="7" t="s">
        <v>459</v>
      </c>
      <c r="D33" s="7" t="s">
        <v>460</v>
      </c>
      <c r="E33" s="7" t="s">
        <v>370</v>
      </c>
      <c r="F33" s="7" t="s">
        <v>461</v>
      </c>
      <c r="G33" s="7" t="s">
        <v>152</v>
      </c>
      <c r="H33" s="7" t="s">
        <v>437</v>
      </c>
      <c r="I33" s="19" t="s">
        <v>446</v>
      </c>
      <c r="J33" s="7" t="s">
        <v>462</v>
      </c>
      <c r="K33" s="15" t="s">
        <v>4</v>
      </c>
      <c r="L33" s="15"/>
      <c r="M33" s="16"/>
      <c r="N33" s="7" t="s">
        <v>463</v>
      </c>
      <c r="O33" s="7" t="s">
        <v>464</v>
      </c>
      <c r="P33" s="7" t="s">
        <v>465</v>
      </c>
      <c r="Q33" s="15"/>
      <c r="R33" s="33">
        <v>25</v>
      </c>
    </row>
    <row r="34" spans="1:18" ht="15.75" customHeight="1">
      <c r="G34" s="27"/>
      <c r="H34" s="27"/>
      <c r="K34" s="27"/>
      <c r="M34" s="34"/>
    </row>
    <row r="35" spans="1:18" ht="15.75" customHeight="1">
      <c r="G35" s="27"/>
      <c r="H35" s="27"/>
      <c r="K35" s="27"/>
      <c r="M35" s="34"/>
    </row>
    <row r="36" spans="1:18" ht="15.75" customHeight="1">
      <c r="G36" s="27"/>
      <c r="H36" s="27"/>
      <c r="K36" s="27"/>
      <c r="M36" s="34"/>
    </row>
    <row r="37" spans="1:18" ht="15.75" customHeight="1">
      <c r="G37" s="27"/>
      <c r="H37" s="27"/>
      <c r="K37" s="27"/>
      <c r="M37" s="34"/>
    </row>
    <row r="38" spans="1:18" ht="15.75" customHeight="1">
      <c r="G38" s="27"/>
      <c r="H38" s="27"/>
      <c r="K38" s="27"/>
      <c r="M38" s="34"/>
    </row>
    <row r="39" spans="1:18" ht="15.75" customHeight="1">
      <c r="G39" s="27"/>
      <c r="H39" s="27"/>
      <c r="K39" s="27"/>
      <c r="M39" s="34"/>
    </row>
    <row r="40" spans="1:18" ht="15.75" customHeight="1">
      <c r="G40" s="27"/>
      <c r="H40" s="27"/>
      <c r="K40" s="27"/>
      <c r="M40" s="34"/>
    </row>
    <row r="41" spans="1:18" ht="15.75" customHeight="1">
      <c r="G41" s="27"/>
      <c r="H41" s="27"/>
      <c r="K41" s="27"/>
      <c r="M41" s="34"/>
    </row>
    <row r="42" spans="1:18" ht="15.75" customHeight="1">
      <c r="G42" s="27"/>
      <c r="H42" s="27"/>
      <c r="K42" s="27"/>
      <c r="M42" s="34"/>
    </row>
    <row r="43" spans="1:18" ht="15.75" customHeight="1">
      <c r="G43" s="27"/>
      <c r="H43" s="27"/>
      <c r="K43" s="27"/>
      <c r="M43" s="34"/>
    </row>
    <row r="44" spans="1:18" ht="15.75" customHeight="1">
      <c r="G44" s="27"/>
      <c r="H44" s="27"/>
      <c r="K44" s="27"/>
      <c r="M44" s="34"/>
    </row>
    <row r="45" spans="1:18" ht="15.75" customHeight="1">
      <c r="G45" s="27"/>
      <c r="H45" s="27"/>
      <c r="K45" s="27"/>
      <c r="M45" s="34"/>
    </row>
    <row r="46" spans="1:18" ht="15.75" customHeight="1">
      <c r="G46" s="27"/>
      <c r="H46" s="27"/>
      <c r="K46" s="27"/>
      <c r="M46" s="34"/>
    </row>
    <row r="47" spans="1:18" ht="15.75" customHeight="1">
      <c r="G47" s="27"/>
      <c r="H47" s="27"/>
      <c r="K47" s="27"/>
      <c r="M47" s="34"/>
    </row>
    <row r="48" spans="1:18" ht="15.75" customHeight="1">
      <c r="G48" s="27"/>
      <c r="H48" s="27"/>
      <c r="K48" s="27"/>
      <c r="M48" s="34"/>
    </row>
    <row r="49" spans="7:13" ht="15.75" customHeight="1">
      <c r="G49" s="27"/>
      <c r="H49" s="27"/>
      <c r="K49" s="27"/>
      <c r="M49" s="34"/>
    </row>
    <row r="50" spans="7:13" ht="15.75" customHeight="1">
      <c r="G50" s="27"/>
      <c r="H50" s="27"/>
      <c r="K50" s="27"/>
      <c r="M50" s="34"/>
    </row>
    <row r="51" spans="7:13" ht="15.75" customHeight="1">
      <c r="G51" s="27"/>
      <c r="H51" s="27"/>
      <c r="K51" s="27"/>
      <c r="M51" s="34"/>
    </row>
    <row r="52" spans="7:13" ht="15.75" customHeight="1">
      <c r="G52" s="27"/>
      <c r="H52" s="27"/>
      <c r="K52" s="27"/>
      <c r="M52" s="34"/>
    </row>
    <row r="53" spans="7:13" ht="15.75" customHeight="1">
      <c r="G53" s="27"/>
      <c r="H53" s="27"/>
      <c r="K53" s="27"/>
      <c r="M53" s="34"/>
    </row>
    <row r="54" spans="7:13" ht="15.75" customHeight="1">
      <c r="G54" s="27"/>
      <c r="H54" s="27"/>
      <c r="K54" s="27"/>
      <c r="M54" s="34"/>
    </row>
    <row r="55" spans="7:13" ht="15.75" customHeight="1">
      <c r="G55" s="27"/>
      <c r="H55" s="27"/>
      <c r="K55" s="27"/>
      <c r="M55" s="34"/>
    </row>
    <row r="56" spans="7:13" ht="15.75" customHeight="1">
      <c r="G56" s="27"/>
      <c r="H56" s="27"/>
      <c r="K56" s="27"/>
      <c r="M56" s="34"/>
    </row>
    <row r="57" spans="7:13" ht="15.75" customHeight="1">
      <c r="G57" s="27"/>
      <c r="H57" s="27"/>
      <c r="K57" s="27"/>
      <c r="M57" s="34"/>
    </row>
    <row r="58" spans="7:13" ht="15.75" customHeight="1">
      <c r="G58" s="27"/>
      <c r="H58" s="27"/>
      <c r="K58" s="27"/>
      <c r="M58" s="34"/>
    </row>
    <row r="59" spans="7:13" ht="15.75" customHeight="1">
      <c r="G59" s="27"/>
      <c r="H59" s="27"/>
      <c r="K59" s="27"/>
      <c r="M59" s="34"/>
    </row>
    <row r="60" spans="7:13" ht="15.75" customHeight="1">
      <c r="G60" s="27"/>
      <c r="H60" s="27"/>
      <c r="K60" s="27"/>
      <c r="M60" s="34"/>
    </row>
    <row r="61" spans="7:13" ht="15.75" customHeight="1">
      <c r="G61" s="27"/>
      <c r="H61" s="27"/>
      <c r="K61" s="27"/>
      <c r="M61" s="34"/>
    </row>
    <row r="62" spans="7:13" ht="15.75" customHeight="1">
      <c r="G62" s="27"/>
      <c r="H62" s="27"/>
      <c r="K62" s="27"/>
      <c r="M62" s="34"/>
    </row>
    <row r="63" spans="7:13" ht="15.75" customHeight="1">
      <c r="G63" s="27"/>
      <c r="H63" s="27"/>
      <c r="K63" s="27"/>
      <c r="M63" s="34"/>
    </row>
    <row r="64" spans="7:13" ht="15.75" customHeight="1">
      <c r="G64" s="27"/>
      <c r="H64" s="27"/>
      <c r="K64" s="27"/>
      <c r="M64" s="34"/>
    </row>
    <row r="65" spans="7:13" ht="15.75" customHeight="1">
      <c r="G65" s="27"/>
      <c r="H65" s="27"/>
      <c r="K65" s="27"/>
      <c r="M65" s="34"/>
    </row>
    <row r="66" spans="7:13" ht="15.75" customHeight="1">
      <c r="G66" s="27"/>
      <c r="H66" s="27"/>
      <c r="K66" s="27"/>
      <c r="M66" s="34"/>
    </row>
    <row r="67" spans="7:13" ht="15.75" customHeight="1">
      <c r="G67" s="27"/>
      <c r="H67" s="27"/>
      <c r="K67" s="27"/>
      <c r="M67" s="34"/>
    </row>
    <row r="68" spans="7:13" ht="15.75" customHeight="1">
      <c r="G68" s="27"/>
      <c r="H68" s="27"/>
      <c r="K68" s="27"/>
      <c r="M68" s="34"/>
    </row>
    <row r="69" spans="7:13" ht="15.75" customHeight="1">
      <c r="G69" s="27"/>
      <c r="H69" s="27"/>
      <c r="K69" s="27"/>
      <c r="M69" s="34"/>
    </row>
    <row r="70" spans="7:13" ht="15.75" customHeight="1">
      <c r="G70" s="27"/>
      <c r="H70" s="27"/>
      <c r="K70" s="27"/>
      <c r="M70" s="34"/>
    </row>
    <row r="71" spans="7:13" ht="15.75" customHeight="1">
      <c r="G71" s="27"/>
      <c r="H71" s="27"/>
      <c r="K71" s="27"/>
      <c r="M71" s="34"/>
    </row>
    <row r="72" spans="7:13" ht="15.75" customHeight="1">
      <c r="G72" s="27"/>
      <c r="H72" s="27"/>
      <c r="K72" s="27"/>
      <c r="M72" s="34"/>
    </row>
    <row r="73" spans="7:13" ht="15.75" customHeight="1">
      <c r="G73" s="27"/>
      <c r="H73" s="27"/>
      <c r="K73" s="27"/>
      <c r="M73" s="34"/>
    </row>
    <row r="74" spans="7:13" ht="15.75" customHeight="1">
      <c r="G74" s="27"/>
      <c r="H74" s="27"/>
      <c r="K74" s="27"/>
      <c r="M74" s="34"/>
    </row>
    <row r="75" spans="7:13" ht="15.75" customHeight="1">
      <c r="G75" s="27"/>
      <c r="H75" s="27"/>
      <c r="K75" s="27"/>
      <c r="M75" s="34"/>
    </row>
    <row r="76" spans="7:13" ht="15.75" customHeight="1">
      <c r="G76" s="27"/>
      <c r="H76" s="27"/>
      <c r="K76" s="27"/>
      <c r="M76" s="34"/>
    </row>
    <row r="77" spans="7:13" ht="15.75" customHeight="1">
      <c r="G77" s="27"/>
      <c r="H77" s="27"/>
      <c r="K77" s="27"/>
      <c r="M77" s="34"/>
    </row>
    <row r="78" spans="7:13" ht="15.75" customHeight="1">
      <c r="G78" s="27"/>
      <c r="H78" s="27"/>
      <c r="K78" s="27"/>
      <c r="M78" s="34"/>
    </row>
    <row r="79" spans="7:13" ht="15.75" customHeight="1">
      <c r="G79" s="27"/>
      <c r="H79" s="27"/>
      <c r="K79" s="27"/>
      <c r="M79" s="34"/>
    </row>
    <row r="80" spans="7:13" ht="15.75" customHeight="1">
      <c r="G80" s="27"/>
      <c r="H80" s="27"/>
      <c r="K80" s="27"/>
      <c r="M80" s="34"/>
    </row>
    <row r="81" spans="7:13" ht="15.75" customHeight="1">
      <c r="G81" s="27"/>
      <c r="H81" s="27"/>
      <c r="K81" s="27"/>
      <c r="M81" s="34"/>
    </row>
    <row r="82" spans="7:13" ht="15.75" customHeight="1">
      <c r="G82" s="27"/>
      <c r="H82" s="27"/>
      <c r="K82" s="27"/>
      <c r="M82" s="34"/>
    </row>
    <row r="83" spans="7:13" ht="15.75" customHeight="1">
      <c r="G83" s="27"/>
      <c r="H83" s="27"/>
      <c r="K83" s="27"/>
      <c r="M83" s="34"/>
    </row>
    <row r="84" spans="7:13" ht="15.75" customHeight="1">
      <c r="G84" s="27"/>
      <c r="H84" s="27"/>
      <c r="K84" s="27"/>
      <c r="M84" s="34"/>
    </row>
    <row r="85" spans="7:13" ht="15.75" customHeight="1">
      <c r="G85" s="27"/>
      <c r="H85" s="27"/>
      <c r="K85" s="27"/>
      <c r="M85" s="34"/>
    </row>
    <row r="86" spans="7:13" ht="15.75" customHeight="1">
      <c r="G86" s="27"/>
      <c r="H86" s="27"/>
      <c r="K86" s="27"/>
      <c r="M86" s="34"/>
    </row>
    <row r="87" spans="7:13" ht="15.75" customHeight="1">
      <c r="G87" s="27"/>
      <c r="H87" s="27"/>
      <c r="K87" s="27"/>
      <c r="M87" s="34"/>
    </row>
    <row r="88" spans="7:13" ht="15.75" customHeight="1">
      <c r="G88" s="27"/>
      <c r="H88" s="27"/>
      <c r="K88" s="27"/>
      <c r="M88" s="34"/>
    </row>
    <row r="89" spans="7:13" ht="15.75" customHeight="1">
      <c r="G89" s="27"/>
      <c r="H89" s="27"/>
      <c r="K89" s="27"/>
      <c r="M89" s="34"/>
    </row>
    <row r="90" spans="7:13" ht="15.75" customHeight="1">
      <c r="G90" s="27"/>
      <c r="H90" s="27"/>
      <c r="K90" s="27"/>
      <c r="M90" s="34"/>
    </row>
    <row r="91" spans="7:13" ht="15.75" customHeight="1">
      <c r="G91" s="27"/>
      <c r="H91" s="27"/>
      <c r="K91" s="27"/>
      <c r="M91" s="34"/>
    </row>
    <row r="92" spans="7:13" ht="15.75" customHeight="1">
      <c r="G92" s="27"/>
      <c r="H92" s="27"/>
      <c r="K92" s="27"/>
      <c r="M92" s="34"/>
    </row>
    <row r="93" spans="7:13" ht="15.75" customHeight="1">
      <c r="G93" s="27"/>
      <c r="H93" s="27"/>
      <c r="K93" s="27"/>
      <c r="M93" s="34"/>
    </row>
    <row r="94" spans="7:13" ht="15.75" customHeight="1">
      <c r="G94" s="27"/>
      <c r="H94" s="27"/>
      <c r="K94" s="27"/>
      <c r="M94" s="34"/>
    </row>
    <row r="95" spans="7:13" ht="15.75" customHeight="1">
      <c r="G95" s="27"/>
      <c r="H95" s="27"/>
      <c r="K95" s="27"/>
      <c r="M95" s="34"/>
    </row>
    <row r="96" spans="7:13" ht="15.75" customHeight="1">
      <c r="G96" s="27"/>
      <c r="H96" s="27"/>
      <c r="K96" s="27"/>
      <c r="M96" s="34"/>
    </row>
    <row r="97" spans="7:13" ht="15.75" customHeight="1">
      <c r="G97" s="27"/>
      <c r="H97" s="27"/>
      <c r="K97" s="27"/>
      <c r="M97" s="34"/>
    </row>
    <row r="98" spans="7:13" ht="15.75" customHeight="1">
      <c r="G98" s="27"/>
      <c r="H98" s="27"/>
      <c r="K98" s="27"/>
      <c r="M98" s="34"/>
    </row>
    <row r="99" spans="7:13" ht="15.75" customHeight="1">
      <c r="G99" s="27"/>
      <c r="H99" s="27"/>
      <c r="K99" s="27"/>
      <c r="M99" s="34"/>
    </row>
    <row r="100" spans="7:13" ht="15.75" customHeight="1">
      <c r="G100" s="27"/>
      <c r="H100" s="27"/>
      <c r="K100" s="27"/>
      <c r="M100" s="34"/>
    </row>
    <row r="101" spans="7:13" ht="15.75" customHeight="1">
      <c r="G101" s="27"/>
      <c r="H101" s="27"/>
      <c r="K101" s="27"/>
      <c r="M101" s="34"/>
    </row>
    <row r="102" spans="7:13" ht="15.75" customHeight="1">
      <c r="G102" s="27"/>
      <c r="H102" s="27"/>
      <c r="K102" s="27"/>
      <c r="M102" s="34"/>
    </row>
    <row r="103" spans="7:13" ht="15.75" customHeight="1">
      <c r="G103" s="27"/>
      <c r="H103" s="27"/>
      <c r="K103" s="27"/>
      <c r="M103" s="34"/>
    </row>
    <row r="104" spans="7:13" ht="15.75" customHeight="1">
      <c r="G104" s="27"/>
      <c r="H104" s="27"/>
      <c r="K104" s="27"/>
      <c r="M104" s="34"/>
    </row>
    <row r="105" spans="7:13" ht="15.75" customHeight="1">
      <c r="G105" s="27"/>
      <c r="H105" s="27"/>
      <c r="K105" s="27"/>
      <c r="M105" s="34"/>
    </row>
    <row r="106" spans="7:13" ht="15.75" customHeight="1">
      <c r="G106" s="27"/>
      <c r="H106" s="27"/>
      <c r="K106" s="27"/>
      <c r="M106" s="34"/>
    </row>
    <row r="107" spans="7:13" ht="15.75" customHeight="1">
      <c r="G107" s="27"/>
      <c r="H107" s="27"/>
      <c r="K107" s="27"/>
      <c r="M107" s="34"/>
    </row>
    <row r="108" spans="7:13" ht="15.75" customHeight="1">
      <c r="G108" s="27"/>
      <c r="H108" s="27"/>
      <c r="K108" s="27"/>
      <c r="M108" s="34"/>
    </row>
    <row r="109" spans="7:13" ht="15.75" customHeight="1">
      <c r="G109" s="27"/>
      <c r="H109" s="27"/>
      <c r="K109" s="27"/>
      <c r="M109" s="34"/>
    </row>
    <row r="110" spans="7:13" ht="15.75" customHeight="1">
      <c r="G110" s="27"/>
      <c r="H110" s="27"/>
      <c r="K110" s="27"/>
      <c r="M110" s="34"/>
    </row>
    <row r="111" spans="7:13" ht="15.75" customHeight="1">
      <c r="G111" s="27"/>
      <c r="H111" s="27"/>
      <c r="K111" s="27"/>
      <c r="M111" s="34"/>
    </row>
    <row r="112" spans="7:13" ht="15.75" customHeight="1">
      <c r="G112" s="27"/>
      <c r="H112" s="27"/>
      <c r="K112" s="27"/>
      <c r="M112" s="34"/>
    </row>
    <row r="113" spans="7:13" ht="15.75" customHeight="1">
      <c r="G113" s="27"/>
      <c r="H113" s="27"/>
      <c r="K113" s="27"/>
      <c r="M113" s="34"/>
    </row>
    <row r="114" spans="7:13" ht="15.75" customHeight="1">
      <c r="G114" s="27"/>
      <c r="H114" s="27"/>
      <c r="K114" s="27"/>
      <c r="M114" s="34"/>
    </row>
    <row r="115" spans="7:13" ht="15.75" customHeight="1">
      <c r="G115" s="27"/>
      <c r="H115" s="27"/>
      <c r="K115" s="27"/>
      <c r="M115" s="34"/>
    </row>
    <row r="116" spans="7:13" ht="15.75" customHeight="1">
      <c r="G116" s="27"/>
      <c r="H116" s="27"/>
      <c r="K116" s="27"/>
      <c r="M116" s="34"/>
    </row>
    <row r="117" spans="7:13" ht="15.75" customHeight="1">
      <c r="G117" s="27"/>
      <c r="H117" s="27"/>
      <c r="K117" s="27"/>
      <c r="M117" s="34"/>
    </row>
    <row r="118" spans="7:13" ht="15.75" customHeight="1">
      <c r="G118" s="27"/>
      <c r="H118" s="27"/>
      <c r="K118" s="27"/>
      <c r="M118" s="34"/>
    </row>
    <row r="119" spans="7:13" ht="15.75" customHeight="1">
      <c r="G119" s="27"/>
      <c r="H119" s="27"/>
      <c r="K119" s="27"/>
      <c r="M119" s="34"/>
    </row>
    <row r="120" spans="7:13" ht="15.75" customHeight="1">
      <c r="G120" s="27"/>
      <c r="H120" s="27"/>
      <c r="K120" s="27"/>
      <c r="M120" s="34"/>
    </row>
    <row r="121" spans="7:13" ht="15.75" customHeight="1">
      <c r="G121" s="27"/>
      <c r="H121" s="27"/>
      <c r="K121" s="27"/>
      <c r="M121" s="34"/>
    </row>
    <row r="122" spans="7:13" ht="15.75" customHeight="1">
      <c r="G122" s="27"/>
      <c r="H122" s="27"/>
      <c r="K122" s="27"/>
      <c r="M122" s="34"/>
    </row>
    <row r="123" spans="7:13" ht="15.75" customHeight="1">
      <c r="G123" s="27"/>
      <c r="H123" s="27"/>
      <c r="K123" s="27"/>
      <c r="M123" s="34"/>
    </row>
    <row r="124" spans="7:13" ht="15.75" customHeight="1">
      <c r="G124" s="27"/>
      <c r="H124" s="27"/>
      <c r="K124" s="27"/>
      <c r="M124" s="34"/>
    </row>
    <row r="125" spans="7:13" ht="15.75" customHeight="1">
      <c r="G125" s="27"/>
      <c r="H125" s="27"/>
      <c r="K125" s="27"/>
      <c r="M125" s="34"/>
    </row>
    <row r="126" spans="7:13" ht="15.75" customHeight="1">
      <c r="G126" s="27"/>
      <c r="H126" s="27"/>
      <c r="K126" s="27"/>
      <c r="M126" s="34"/>
    </row>
    <row r="127" spans="7:13" ht="15.75" customHeight="1">
      <c r="G127" s="27"/>
      <c r="H127" s="27"/>
      <c r="K127" s="27"/>
      <c r="M127" s="34"/>
    </row>
    <row r="128" spans="7:13" ht="15.75" customHeight="1">
      <c r="G128" s="27"/>
      <c r="H128" s="27"/>
      <c r="K128" s="27"/>
      <c r="M128" s="34"/>
    </row>
    <row r="129" spans="7:13" ht="15.75" customHeight="1">
      <c r="G129" s="27"/>
      <c r="H129" s="27"/>
      <c r="K129" s="27"/>
      <c r="M129" s="34"/>
    </row>
    <row r="130" spans="7:13" ht="15.75" customHeight="1">
      <c r="G130" s="27"/>
      <c r="H130" s="27"/>
      <c r="K130" s="27"/>
      <c r="M130" s="34"/>
    </row>
    <row r="131" spans="7:13" ht="15.75" customHeight="1">
      <c r="G131" s="27"/>
      <c r="H131" s="27"/>
      <c r="K131" s="27"/>
      <c r="M131" s="34"/>
    </row>
    <row r="132" spans="7:13" ht="15.75" customHeight="1">
      <c r="G132" s="27"/>
      <c r="H132" s="27"/>
      <c r="K132" s="27"/>
      <c r="M132" s="34"/>
    </row>
    <row r="133" spans="7:13" ht="15.75" customHeight="1">
      <c r="G133" s="27"/>
      <c r="H133" s="27"/>
      <c r="K133" s="27"/>
      <c r="M133" s="34"/>
    </row>
    <row r="134" spans="7:13" ht="15.75" customHeight="1">
      <c r="G134" s="27"/>
      <c r="H134" s="27"/>
      <c r="K134" s="27"/>
      <c r="M134" s="34"/>
    </row>
    <row r="135" spans="7:13" ht="15.75" customHeight="1">
      <c r="G135" s="27"/>
      <c r="H135" s="27"/>
      <c r="K135" s="27"/>
      <c r="M135" s="34"/>
    </row>
    <row r="136" spans="7:13" ht="15.75" customHeight="1">
      <c r="G136" s="27"/>
      <c r="H136" s="27"/>
      <c r="K136" s="27"/>
      <c r="M136" s="34"/>
    </row>
    <row r="137" spans="7:13" ht="15.75" customHeight="1">
      <c r="G137" s="27"/>
      <c r="H137" s="27"/>
      <c r="K137" s="27"/>
      <c r="M137" s="34"/>
    </row>
    <row r="138" spans="7:13" ht="15.75" customHeight="1">
      <c r="G138" s="27"/>
      <c r="H138" s="27"/>
      <c r="K138" s="27"/>
      <c r="M138" s="34"/>
    </row>
    <row r="139" spans="7:13" ht="15.75" customHeight="1">
      <c r="G139" s="27"/>
      <c r="H139" s="27"/>
      <c r="K139" s="27"/>
      <c r="M139" s="34"/>
    </row>
    <row r="140" spans="7:13" ht="15.75" customHeight="1">
      <c r="G140" s="27"/>
      <c r="H140" s="27"/>
      <c r="K140" s="27"/>
      <c r="M140" s="34"/>
    </row>
    <row r="141" spans="7:13" ht="15.75" customHeight="1">
      <c r="G141" s="27"/>
      <c r="H141" s="27"/>
      <c r="K141" s="27"/>
      <c r="M141" s="34"/>
    </row>
    <row r="142" spans="7:13" ht="15.75" customHeight="1">
      <c r="G142" s="27"/>
      <c r="H142" s="27"/>
      <c r="K142" s="27"/>
      <c r="M142" s="34"/>
    </row>
    <row r="143" spans="7:13" ht="15.75" customHeight="1">
      <c r="G143" s="27"/>
      <c r="H143" s="27"/>
      <c r="K143" s="27"/>
      <c r="M143" s="34"/>
    </row>
    <row r="144" spans="7:13" ht="15.75" customHeight="1">
      <c r="G144" s="27"/>
      <c r="H144" s="27"/>
      <c r="K144" s="27"/>
      <c r="M144" s="34"/>
    </row>
    <row r="145" spans="7:13" ht="15.75" customHeight="1">
      <c r="G145" s="27"/>
      <c r="H145" s="27"/>
      <c r="K145" s="27"/>
      <c r="M145" s="34"/>
    </row>
    <row r="146" spans="7:13" ht="15.75" customHeight="1">
      <c r="G146" s="27"/>
      <c r="H146" s="27"/>
      <c r="K146" s="27"/>
      <c r="M146" s="34"/>
    </row>
    <row r="147" spans="7:13" ht="15.75" customHeight="1">
      <c r="G147" s="27"/>
      <c r="H147" s="27"/>
      <c r="K147" s="27"/>
      <c r="M147" s="34"/>
    </row>
    <row r="148" spans="7:13" ht="15.75" customHeight="1">
      <c r="G148" s="27"/>
      <c r="H148" s="27"/>
      <c r="K148" s="27"/>
      <c r="M148" s="34"/>
    </row>
    <row r="149" spans="7:13" ht="15.75" customHeight="1">
      <c r="G149" s="27"/>
      <c r="H149" s="27"/>
      <c r="K149" s="27"/>
      <c r="M149" s="34"/>
    </row>
    <row r="150" spans="7:13" ht="15.75" customHeight="1">
      <c r="G150" s="27"/>
      <c r="H150" s="27"/>
      <c r="K150" s="27"/>
      <c r="M150" s="34"/>
    </row>
    <row r="151" spans="7:13" ht="15.75" customHeight="1">
      <c r="G151" s="27"/>
      <c r="H151" s="27"/>
      <c r="K151" s="27"/>
      <c r="M151" s="34"/>
    </row>
    <row r="152" spans="7:13" ht="15.75" customHeight="1">
      <c r="G152" s="27"/>
      <c r="H152" s="27"/>
      <c r="K152" s="27"/>
      <c r="M152" s="34"/>
    </row>
    <row r="153" spans="7:13" ht="15.75" customHeight="1">
      <c r="G153" s="27"/>
      <c r="H153" s="27"/>
      <c r="K153" s="27"/>
      <c r="M153" s="34"/>
    </row>
    <row r="154" spans="7:13" ht="15.75" customHeight="1">
      <c r="G154" s="27"/>
      <c r="H154" s="27"/>
      <c r="K154" s="27"/>
      <c r="M154" s="34"/>
    </row>
    <row r="155" spans="7:13" ht="15.75" customHeight="1">
      <c r="G155" s="27"/>
      <c r="H155" s="27"/>
      <c r="K155" s="27"/>
      <c r="M155" s="34"/>
    </row>
    <row r="156" spans="7:13" ht="15.75" customHeight="1">
      <c r="G156" s="27"/>
      <c r="H156" s="27"/>
      <c r="K156" s="27"/>
      <c r="M156" s="34"/>
    </row>
    <row r="157" spans="7:13" ht="15.75" customHeight="1">
      <c r="G157" s="27"/>
      <c r="H157" s="27"/>
      <c r="K157" s="27"/>
      <c r="M157" s="34"/>
    </row>
    <row r="158" spans="7:13" ht="15.75" customHeight="1">
      <c r="G158" s="27"/>
      <c r="H158" s="27"/>
      <c r="K158" s="27"/>
      <c r="M158" s="34"/>
    </row>
    <row r="159" spans="7:13" ht="15.75" customHeight="1">
      <c r="G159" s="27"/>
      <c r="H159" s="27"/>
      <c r="K159" s="27"/>
      <c r="M159" s="34"/>
    </row>
    <row r="160" spans="7:13" ht="15.75" customHeight="1">
      <c r="G160" s="27"/>
      <c r="H160" s="27"/>
      <c r="K160" s="27"/>
      <c r="M160" s="34"/>
    </row>
    <row r="161" spans="7:13" ht="15.75" customHeight="1">
      <c r="G161" s="27"/>
      <c r="H161" s="27"/>
      <c r="K161" s="27"/>
      <c r="M161" s="34"/>
    </row>
    <row r="162" spans="7:13" ht="15.75" customHeight="1">
      <c r="G162" s="27"/>
      <c r="H162" s="27"/>
      <c r="K162" s="27"/>
      <c r="M162" s="34"/>
    </row>
    <row r="163" spans="7:13" ht="15.75" customHeight="1">
      <c r="G163" s="27"/>
      <c r="H163" s="27"/>
      <c r="K163" s="27"/>
      <c r="M163" s="34"/>
    </row>
    <row r="164" spans="7:13" ht="15.75" customHeight="1">
      <c r="G164" s="27"/>
      <c r="H164" s="27"/>
      <c r="K164" s="27"/>
      <c r="M164" s="34"/>
    </row>
    <row r="165" spans="7:13" ht="15.75" customHeight="1">
      <c r="G165" s="27"/>
      <c r="H165" s="27"/>
      <c r="K165" s="27"/>
      <c r="M165" s="34"/>
    </row>
    <row r="166" spans="7:13" ht="15.75" customHeight="1">
      <c r="G166" s="27"/>
      <c r="H166" s="27"/>
      <c r="K166" s="27"/>
      <c r="M166" s="34"/>
    </row>
    <row r="167" spans="7:13" ht="15.75" customHeight="1">
      <c r="G167" s="27"/>
      <c r="H167" s="27"/>
      <c r="K167" s="27"/>
      <c r="M167" s="34"/>
    </row>
    <row r="168" spans="7:13" ht="15.75" customHeight="1">
      <c r="G168" s="27"/>
      <c r="H168" s="27"/>
      <c r="K168" s="27"/>
      <c r="M168" s="34"/>
    </row>
    <row r="169" spans="7:13" ht="15.75" customHeight="1">
      <c r="G169" s="27"/>
      <c r="H169" s="27"/>
      <c r="K169" s="27"/>
      <c r="M169" s="34"/>
    </row>
    <row r="170" spans="7:13" ht="15.75" customHeight="1">
      <c r="G170" s="27"/>
      <c r="H170" s="27"/>
      <c r="K170" s="27"/>
      <c r="M170" s="34"/>
    </row>
    <row r="171" spans="7:13" ht="15.75" customHeight="1">
      <c r="G171" s="27"/>
      <c r="H171" s="27"/>
      <c r="K171" s="27"/>
      <c r="M171" s="34"/>
    </row>
    <row r="172" spans="7:13" ht="15.75" customHeight="1">
      <c r="G172" s="27"/>
      <c r="H172" s="27"/>
      <c r="K172" s="27"/>
      <c r="M172" s="34"/>
    </row>
    <row r="173" spans="7:13" ht="15.75" customHeight="1">
      <c r="G173" s="27"/>
      <c r="H173" s="27"/>
      <c r="K173" s="27"/>
      <c r="M173" s="34"/>
    </row>
    <row r="174" spans="7:13" ht="15.75" customHeight="1">
      <c r="G174" s="27"/>
      <c r="H174" s="27"/>
      <c r="K174" s="27"/>
      <c r="M174" s="34"/>
    </row>
    <row r="175" spans="7:13" ht="15.75" customHeight="1">
      <c r="G175" s="27"/>
      <c r="H175" s="27"/>
      <c r="K175" s="27"/>
      <c r="M175" s="34"/>
    </row>
    <row r="176" spans="7:13" ht="15.75" customHeight="1">
      <c r="G176" s="27"/>
      <c r="H176" s="27"/>
      <c r="K176" s="27"/>
      <c r="M176" s="34"/>
    </row>
    <row r="177" spans="7:13" ht="15.75" customHeight="1">
      <c r="G177" s="27"/>
      <c r="H177" s="27"/>
      <c r="K177" s="27"/>
      <c r="M177" s="34"/>
    </row>
    <row r="178" spans="7:13" ht="15.75" customHeight="1">
      <c r="G178" s="27"/>
      <c r="H178" s="27"/>
      <c r="K178" s="27"/>
      <c r="M178" s="34"/>
    </row>
    <row r="179" spans="7:13" ht="15.75" customHeight="1">
      <c r="G179" s="27"/>
      <c r="H179" s="27"/>
      <c r="K179" s="27"/>
      <c r="M179" s="34"/>
    </row>
    <row r="180" spans="7:13" ht="15.75" customHeight="1">
      <c r="G180" s="27"/>
      <c r="H180" s="27"/>
      <c r="K180" s="27"/>
      <c r="M180" s="34"/>
    </row>
    <row r="181" spans="7:13" ht="15.75" customHeight="1">
      <c r="G181" s="27"/>
      <c r="H181" s="27"/>
      <c r="K181" s="27"/>
      <c r="M181" s="34"/>
    </row>
    <row r="182" spans="7:13" ht="15.75" customHeight="1">
      <c r="G182" s="27"/>
      <c r="H182" s="27"/>
      <c r="K182" s="27"/>
      <c r="M182" s="34"/>
    </row>
    <row r="183" spans="7:13" ht="15.75" customHeight="1">
      <c r="G183" s="27"/>
      <c r="H183" s="27"/>
      <c r="K183" s="27"/>
      <c r="M183" s="34"/>
    </row>
    <row r="184" spans="7:13" ht="15.75" customHeight="1">
      <c r="G184" s="27"/>
      <c r="H184" s="27"/>
      <c r="K184" s="27"/>
      <c r="M184" s="34"/>
    </row>
    <row r="185" spans="7:13" ht="15.75" customHeight="1">
      <c r="G185" s="27"/>
      <c r="H185" s="27"/>
      <c r="K185" s="27"/>
      <c r="M185" s="34"/>
    </row>
    <row r="186" spans="7:13" ht="15.75" customHeight="1">
      <c r="G186" s="27"/>
      <c r="H186" s="27"/>
      <c r="K186" s="27"/>
      <c r="M186" s="34"/>
    </row>
    <row r="187" spans="7:13" ht="15.75" customHeight="1">
      <c r="G187" s="27"/>
      <c r="H187" s="27"/>
      <c r="K187" s="27"/>
      <c r="M187" s="34"/>
    </row>
    <row r="188" spans="7:13" ht="15.75" customHeight="1">
      <c r="G188" s="27"/>
      <c r="H188" s="27"/>
      <c r="K188" s="27"/>
      <c r="M188" s="34"/>
    </row>
    <row r="189" spans="7:13" ht="15.75" customHeight="1">
      <c r="G189" s="27"/>
      <c r="H189" s="27"/>
      <c r="K189" s="27"/>
      <c r="M189" s="34"/>
    </row>
    <row r="190" spans="7:13" ht="15.75" customHeight="1">
      <c r="G190" s="27"/>
      <c r="H190" s="27"/>
      <c r="K190" s="27"/>
      <c r="M190" s="34"/>
    </row>
    <row r="191" spans="7:13" ht="15.75" customHeight="1">
      <c r="G191" s="27"/>
      <c r="H191" s="27"/>
      <c r="K191" s="27"/>
      <c r="M191" s="34"/>
    </row>
    <row r="192" spans="7:13" ht="15.75" customHeight="1">
      <c r="G192" s="27"/>
      <c r="H192" s="27"/>
      <c r="K192" s="27"/>
      <c r="M192" s="34"/>
    </row>
    <row r="193" spans="7:13" ht="15.75" customHeight="1">
      <c r="G193" s="27"/>
      <c r="H193" s="27"/>
      <c r="K193" s="27"/>
      <c r="M193" s="34"/>
    </row>
    <row r="194" spans="7:13" ht="15.75" customHeight="1">
      <c r="G194" s="27"/>
      <c r="H194" s="27"/>
      <c r="K194" s="27"/>
      <c r="M194" s="34"/>
    </row>
    <row r="195" spans="7:13" ht="15.75" customHeight="1">
      <c r="G195" s="27"/>
      <c r="H195" s="27"/>
      <c r="K195" s="27"/>
      <c r="M195" s="34"/>
    </row>
    <row r="196" spans="7:13" ht="15.75" customHeight="1">
      <c r="G196" s="27"/>
      <c r="H196" s="27"/>
      <c r="K196" s="27"/>
      <c r="M196" s="34"/>
    </row>
    <row r="197" spans="7:13" ht="15.75" customHeight="1">
      <c r="G197" s="27"/>
      <c r="H197" s="27"/>
      <c r="K197" s="27"/>
      <c r="M197" s="34"/>
    </row>
    <row r="198" spans="7:13" ht="15.75" customHeight="1">
      <c r="G198" s="27"/>
      <c r="H198" s="27"/>
      <c r="K198" s="27"/>
      <c r="M198" s="34"/>
    </row>
    <row r="199" spans="7:13" ht="15.75" customHeight="1">
      <c r="G199" s="27"/>
      <c r="H199" s="27"/>
      <c r="K199" s="27"/>
      <c r="M199" s="34"/>
    </row>
    <row r="200" spans="7:13" ht="15.75" customHeight="1">
      <c r="G200" s="27"/>
      <c r="H200" s="27"/>
      <c r="K200" s="27"/>
      <c r="M200" s="34"/>
    </row>
    <row r="201" spans="7:13" ht="15.75" customHeight="1">
      <c r="G201" s="27"/>
      <c r="H201" s="27"/>
      <c r="K201" s="27"/>
      <c r="M201" s="34"/>
    </row>
    <row r="202" spans="7:13" ht="15.75" customHeight="1">
      <c r="G202" s="27"/>
      <c r="H202" s="27"/>
      <c r="K202" s="27"/>
      <c r="M202" s="34"/>
    </row>
    <row r="203" spans="7:13" ht="15.75" customHeight="1">
      <c r="G203" s="27"/>
      <c r="H203" s="27"/>
      <c r="K203" s="27"/>
      <c r="M203" s="34"/>
    </row>
    <row r="204" spans="7:13" ht="15.75" customHeight="1">
      <c r="G204" s="27"/>
      <c r="H204" s="27"/>
      <c r="K204" s="27"/>
      <c r="M204" s="34"/>
    </row>
    <row r="205" spans="7:13" ht="15.75" customHeight="1">
      <c r="G205" s="27"/>
      <c r="H205" s="27"/>
      <c r="K205" s="27"/>
      <c r="M205" s="34"/>
    </row>
    <row r="206" spans="7:13" ht="15.75" customHeight="1">
      <c r="G206" s="27"/>
      <c r="H206" s="27"/>
      <c r="K206" s="27"/>
      <c r="M206" s="34"/>
    </row>
    <row r="207" spans="7:13" ht="15.75" customHeight="1">
      <c r="G207" s="27"/>
      <c r="H207" s="27"/>
      <c r="K207" s="27"/>
      <c r="M207" s="34"/>
    </row>
    <row r="208" spans="7:13" ht="15.75" customHeight="1">
      <c r="G208" s="27"/>
      <c r="H208" s="27"/>
      <c r="K208" s="27"/>
      <c r="M208" s="34"/>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
    <mergeCell ref="A1:Q1"/>
    <mergeCell ref="A2:Q2"/>
    <mergeCell ref="A3:Q3"/>
  </mergeCells>
  <conditionalFormatting sqref="H6:H208">
    <cfRule type="expression" dxfId="10" priority="7">
      <formula>$H6="P1 - High"</formula>
    </cfRule>
    <cfRule type="expression" dxfId="9" priority="8">
      <formula>$H6="P2 - Medium"</formula>
    </cfRule>
    <cfRule type="expression" dxfId="8" priority="9">
      <formula>$H6="P3 - Low"</formula>
    </cfRule>
  </conditionalFormatting>
  <conditionalFormatting sqref="K6:K208">
    <cfRule type="expression" dxfId="7" priority="1">
      <formula>$K6="Done"</formula>
    </cfRule>
    <cfRule type="expression" dxfId="6" priority="2">
      <formula>$K6="In Progress"</formula>
    </cfRule>
    <cfRule type="expression" dxfId="5" priority="3">
      <formula>$K6="Blocked"</formula>
    </cfRule>
    <cfRule type="expression" dxfId="4" priority="4">
      <formula>$K6="In QA"</formula>
    </cfRule>
    <cfRule type="expression" dxfId="3" priority="5">
      <formula>$K6="Ready for Dev"</formula>
    </cfRule>
    <cfRule type="expression" dxfId="2" priority="6">
      <formula>$K6="Deferred"</formula>
    </cfRule>
  </conditionalFormatting>
  <dataValidations count="3">
    <dataValidation type="list" allowBlank="1" sqref="H6:H208" xr:uid="{00000000-0002-0000-0000-000000000000}">
      <formula1>"P1 - High,P2 - Medium,P3 - Low"</formula1>
    </dataValidation>
    <dataValidation type="list" allowBlank="1" sqref="G6:G208" xr:uid="{00000000-0002-0000-0000-000001000000}">
      <formula1>"Sprint 1,Sprint 2,Sprint 3,Unscheduled / trade-off"</formula1>
    </dataValidation>
    <dataValidation type="list" allowBlank="1" sqref="K6:K208" xr:uid="{00000000-0002-0000-0000-000002000000}">
      <formula1>"Not Started,Ready for Dev,In Progress,Blocked,In QA,Done,Deferred"</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pane ySplit="5" topLeftCell="A6" activePane="bottomLeft" state="frozen"/>
      <selection pane="bottomLeft" activeCell="B7" sqref="B7"/>
    </sheetView>
  </sheetViews>
  <sheetFormatPr defaultColWidth="12.625" defaultRowHeight="15" customHeight="1"/>
  <cols>
    <col min="1" max="1" width="26" customWidth="1"/>
    <col min="2" max="2" width="17" customWidth="1"/>
    <col min="3" max="4" width="20" customWidth="1"/>
    <col min="5" max="6" width="18" customWidth="1"/>
    <col min="7" max="7" width="16" customWidth="1"/>
    <col min="8" max="8" width="18" customWidth="1"/>
    <col min="9" max="26" width="8.625" customWidth="1"/>
  </cols>
  <sheetData>
    <row r="1" spans="1:8" ht="31.5" customHeight="1">
      <c r="A1" s="35" t="s">
        <v>0</v>
      </c>
      <c r="B1" s="36"/>
      <c r="C1" s="36"/>
      <c r="D1" s="36"/>
      <c r="E1" s="36"/>
      <c r="F1" s="36"/>
      <c r="G1" s="36"/>
      <c r="H1" s="36"/>
    </row>
    <row r="2" spans="1:8" ht="27" customHeight="1">
      <c r="A2" s="37" t="s">
        <v>1</v>
      </c>
      <c r="B2" s="36"/>
      <c r="C2" s="36"/>
      <c r="D2" s="36"/>
      <c r="E2" s="36"/>
      <c r="F2" s="36"/>
      <c r="G2" s="36"/>
      <c r="H2" s="36"/>
    </row>
    <row r="3" spans="1:8" ht="24" customHeight="1">
      <c r="A3" s="2"/>
      <c r="B3" s="2"/>
      <c r="C3" s="2"/>
      <c r="D3" s="2"/>
      <c r="E3" s="2"/>
      <c r="F3" s="2"/>
      <c r="G3" s="2"/>
      <c r="H3" s="2"/>
    </row>
    <row r="5" spans="1:8" ht="31.5" customHeight="1">
      <c r="A5" s="3" t="s">
        <v>2</v>
      </c>
      <c r="B5" s="3" t="s">
        <v>3</v>
      </c>
      <c r="C5" s="3" t="s">
        <v>4</v>
      </c>
      <c r="D5" s="3" t="s">
        <v>5</v>
      </c>
      <c r="E5" s="3" t="s">
        <v>6</v>
      </c>
      <c r="F5" s="3" t="s">
        <v>7</v>
      </c>
      <c r="G5" s="3" t="s">
        <v>8</v>
      </c>
      <c r="H5" s="3" t="s">
        <v>9</v>
      </c>
    </row>
    <row r="6" spans="1:8" ht="37.5" customHeight="1">
      <c r="A6" s="4" t="s">
        <v>10</v>
      </c>
      <c r="B6" s="5">
        <f>COUNTIF('Product Backlog'!$G$6:$G$208,A6)</f>
        <v>14</v>
      </c>
      <c r="C6" s="5">
        <f>COUNTIFS('Product Backlog'!$G$6:$G$208,A6,'Product Backlog'!$K$6:$K$208,"Not Started")</f>
        <v>11</v>
      </c>
      <c r="D6" s="5">
        <f>COUNTIFS('Product Backlog'!$G$6:$G$208,A6,'Product Backlog'!$K$6:$K$208,"In Progress")</f>
        <v>0</v>
      </c>
      <c r="E6" s="5">
        <f>COUNTIFS('Product Backlog'!$G$6:$G$208,A6,'Product Backlog'!$K$6:$K$208,"Blocked")</f>
        <v>0</v>
      </c>
      <c r="F6" s="5">
        <f>COUNTIFS('Product Backlog'!$G$6:$G$208,A6,'Product Backlog'!$K$6:$K$208,"In QA")</f>
        <v>0</v>
      </c>
      <c r="G6" s="5">
        <f>COUNTIFS('Product Backlog'!$G$6:$G$208,A6,'Product Backlog'!$K$6:$K$208,"Done")</f>
        <v>0</v>
      </c>
      <c r="H6" s="9">
        <f t="shared" ref="H6:H9" si="0">IF(B6=0,0,G6/B6)</f>
        <v>0</v>
      </c>
    </row>
    <row r="7" spans="1:8" ht="37.5" customHeight="1">
      <c r="A7" s="10" t="s">
        <v>69</v>
      </c>
      <c r="B7" s="13">
        <f>COUNTIF('Product Backlog'!$G$6:$G$208,A7)</f>
        <v>4</v>
      </c>
      <c r="C7" s="13">
        <f>COUNTIFS('Product Backlog'!$G$6:$G$208,A7,'Product Backlog'!$K$6:$K$208,"Not Started")</f>
        <v>4</v>
      </c>
      <c r="D7" s="13">
        <f>COUNTIFS('Product Backlog'!$G$6:$G$208,A7,'Product Backlog'!$K$6:$K$208,"In Progress")</f>
        <v>0</v>
      </c>
      <c r="E7" s="13">
        <f>COUNTIFS('Product Backlog'!$G$6:$G$208,A7,'Product Backlog'!$K$6:$K$208,"Blocked")</f>
        <v>0</v>
      </c>
      <c r="F7" s="13">
        <f>COUNTIFS('Product Backlog'!$G$6:$G$208,A7,'Product Backlog'!$K$6:$K$208,"In QA")</f>
        <v>0</v>
      </c>
      <c r="G7" s="13">
        <f>COUNTIFS('Product Backlog'!$G$6:$G$208,A7,'Product Backlog'!$K$6:$K$208,"Done")</f>
        <v>0</v>
      </c>
      <c r="H7" s="14">
        <f t="shared" si="0"/>
        <v>0</v>
      </c>
    </row>
    <row r="8" spans="1:8" ht="37.5" customHeight="1">
      <c r="A8" s="4" t="s">
        <v>114</v>
      </c>
      <c r="B8" s="5">
        <f>COUNTIF('Product Backlog'!$G$6:$G$208,A8)</f>
        <v>6</v>
      </c>
      <c r="C8" s="5">
        <f>COUNTIFS('Product Backlog'!$G$6:$G$208,A8,'Product Backlog'!$K$6:$K$208,"Not Started")</f>
        <v>6</v>
      </c>
      <c r="D8" s="5">
        <f>COUNTIFS('Product Backlog'!$G$6:$G$208,A8,'Product Backlog'!$K$6:$K$208,"In Progress")</f>
        <v>0</v>
      </c>
      <c r="E8" s="5">
        <f>COUNTIFS('Product Backlog'!$G$6:$G$208,A8,'Product Backlog'!$K$6:$K$208,"Blocked")</f>
        <v>0</v>
      </c>
      <c r="F8" s="5">
        <f>COUNTIFS('Product Backlog'!$G$6:$G$208,A8,'Product Backlog'!$K$6:$K$208,"In QA")</f>
        <v>0</v>
      </c>
      <c r="G8" s="5">
        <f>COUNTIFS('Product Backlog'!$G$6:$G$208,A8,'Product Backlog'!$K$6:$K$208,"Done")</f>
        <v>0</v>
      </c>
      <c r="H8" s="9">
        <f t="shared" si="0"/>
        <v>0</v>
      </c>
    </row>
    <row r="9" spans="1:8" ht="37.5" customHeight="1">
      <c r="A9" s="10" t="s">
        <v>152</v>
      </c>
      <c r="B9" s="13">
        <f>COUNTIF('Product Backlog'!$G$6:$G$208,A9)</f>
        <v>4</v>
      </c>
      <c r="C9" s="13">
        <f>COUNTIFS('Product Backlog'!$G$6:$G$208,A9,'Product Backlog'!$K$6:$K$208,"Not Started")</f>
        <v>4</v>
      </c>
      <c r="D9" s="13">
        <f>COUNTIFS('Product Backlog'!$G$6:$G$208,A9,'Product Backlog'!$K$6:$K$208,"In Progress")</f>
        <v>0</v>
      </c>
      <c r="E9" s="13">
        <f>COUNTIFS('Product Backlog'!$G$6:$G$208,A9,'Product Backlog'!$K$6:$K$208,"Blocked")</f>
        <v>0</v>
      </c>
      <c r="F9" s="13">
        <f>COUNTIFS('Product Backlog'!$G$6:$G$208,A9,'Product Backlog'!$K$6:$K$208,"In QA")</f>
        <v>0</v>
      </c>
      <c r="G9" s="13">
        <f>COUNTIFS('Product Backlog'!$G$6:$G$208,A9,'Product Backlog'!$K$6:$K$208,"Done")</f>
        <v>0</v>
      </c>
      <c r="H9" s="14">
        <f t="shared" si="0"/>
        <v>0</v>
      </c>
    </row>
    <row r="12" spans="1:8" ht="25.5" customHeight="1">
      <c r="A12" s="42" t="s">
        <v>170</v>
      </c>
      <c r="B12" s="36"/>
      <c r="C12" s="36"/>
      <c r="D12" s="36"/>
      <c r="E12" s="36"/>
      <c r="F12" s="36"/>
      <c r="G12" s="36"/>
      <c r="H12" s="36"/>
    </row>
    <row r="14" spans="1:8" ht="25.5" customHeight="1">
      <c r="A14" s="23" t="s">
        <v>172</v>
      </c>
      <c r="B14" s="23" t="s">
        <v>173</v>
      </c>
    </row>
    <row r="15" spans="1:8" ht="54" customHeight="1">
      <c r="A15" s="24" t="s">
        <v>10</v>
      </c>
      <c r="B15" s="43" t="s">
        <v>175</v>
      </c>
      <c r="C15" s="36"/>
      <c r="D15" s="36"/>
      <c r="E15" s="36"/>
      <c r="F15" s="36"/>
      <c r="G15" s="36"/>
      <c r="H15" s="36"/>
    </row>
    <row r="16" spans="1:8" ht="54" customHeight="1">
      <c r="A16" s="24" t="s">
        <v>69</v>
      </c>
      <c r="B16" s="43" t="s">
        <v>178</v>
      </c>
      <c r="C16" s="36"/>
      <c r="D16" s="36"/>
      <c r="E16" s="36"/>
      <c r="F16" s="36"/>
      <c r="G16" s="36"/>
      <c r="H16" s="36"/>
    </row>
    <row r="17" spans="1:8" ht="54" customHeight="1">
      <c r="A17" s="24" t="s">
        <v>114</v>
      </c>
      <c r="B17" s="43" t="s">
        <v>181</v>
      </c>
      <c r="C17" s="36"/>
      <c r="D17" s="36"/>
      <c r="E17" s="36"/>
      <c r="F17" s="36"/>
      <c r="G17" s="36"/>
      <c r="H17" s="36"/>
    </row>
    <row r="19" spans="1:8" ht="25.5" customHeight="1">
      <c r="A19" s="42" t="s">
        <v>183</v>
      </c>
      <c r="B19" s="36"/>
      <c r="C19" s="36"/>
      <c r="D19" s="36"/>
      <c r="E19" s="36"/>
      <c r="F19" s="36"/>
      <c r="G19" s="36"/>
      <c r="H19" s="36"/>
    </row>
    <row r="20" spans="1:8" ht="42" customHeight="1">
      <c r="A20" s="39" t="s">
        <v>184</v>
      </c>
      <c r="B20" s="36"/>
      <c r="C20" s="36"/>
      <c r="D20" s="36"/>
      <c r="E20" s="36"/>
      <c r="F20" s="36"/>
      <c r="G20" s="36"/>
      <c r="H20" s="36"/>
    </row>
    <row r="21" spans="1:8" ht="36" customHeight="1">
      <c r="A21" s="40" t="s">
        <v>185</v>
      </c>
      <c r="B21" s="36"/>
      <c r="C21" s="36"/>
      <c r="D21" s="36"/>
      <c r="E21" s="36"/>
      <c r="F21" s="36"/>
      <c r="G21" s="36"/>
      <c r="H21" s="36"/>
    </row>
    <row r="22" spans="1:8" ht="36" customHeight="1">
      <c r="A22" s="41" t="s">
        <v>188</v>
      </c>
      <c r="B22" s="36"/>
      <c r="C22" s="36"/>
      <c r="D22" s="36"/>
      <c r="E22" s="36"/>
      <c r="F22" s="36"/>
      <c r="G22" s="36"/>
      <c r="H22" s="36"/>
    </row>
    <row r="23" spans="1:8" ht="15.75" customHeight="1"/>
    <row r="24" spans="1:8" ht="15.75" customHeight="1"/>
    <row r="25" spans="1:8" ht="25.5" customHeight="1">
      <c r="A25" s="42" t="s">
        <v>189</v>
      </c>
      <c r="B25" s="36"/>
      <c r="C25" s="36"/>
      <c r="D25" s="36"/>
      <c r="E25" s="36"/>
      <c r="F25" s="36"/>
      <c r="G25" s="36"/>
      <c r="H25" s="36"/>
    </row>
    <row r="26" spans="1:8" ht="36" customHeight="1">
      <c r="A26" s="41" t="s">
        <v>191</v>
      </c>
      <c r="B26" s="36"/>
      <c r="C26" s="36"/>
      <c r="D26" s="36"/>
      <c r="E26" s="36"/>
      <c r="F26" s="36"/>
      <c r="G26" s="36"/>
      <c r="H26" s="36"/>
    </row>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7:H17"/>
    <mergeCell ref="A19:H19"/>
    <mergeCell ref="A1:H1"/>
    <mergeCell ref="A2:H2"/>
    <mergeCell ref="A12:H12"/>
    <mergeCell ref="B15:H15"/>
    <mergeCell ref="B16:H16"/>
    <mergeCell ref="A20:H20"/>
    <mergeCell ref="A21:H21"/>
    <mergeCell ref="A22:H22"/>
    <mergeCell ref="A25:H25"/>
    <mergeCell ref="A26:H2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12.625" defaultRowHeight="15" customHeight="1"/>
  <cols>
    <col min="1" max="1" width="13" customWidth="1"/>
    <col min="2" max="2" width="19" customWidth="1"/>
    <col min="3" max="3" width="18" customWidth="1"/>
    <col min="4" max="4" width="66" customWidth="1"/>
    <col min="5" max="5" width="51" customWidth="1"/>
    <col min="6" max="6" width="27" customWidth="1"/>
    <col min="7" max="7" width="23" customWidth="1"/>
    <col min="8" max="8" width="19" customWidth="1"/>
    <col min="9" max="9" width="55" customWidth="1"/>
    <col min="10" max="10" width="28" customWidth="1"/>
    <col min="11" max="26" width="8.625" customWidth="1"/>
  </cols>
  <sheetData>
    <row r="1" spans="1:10" ht="31.5" customHeight="1">
      <c r="A1" s="35" t="s">
        <v>12</v>
      </c>
      <c r="B1" s="36"/>
      <c r="C1" s="36"/>
      <c r="D1" s="36"/>
      <c r="E1" s="36"/>
      <c r="F1" s="36"/>
      <c r="G1" s="36"/>
      <c r="H1" s="36"/>
      <c r="I1" s="36"/>
      <c r="J1" s="36"/>
    </row>
    <row r="2" spans="1:10" ht="27" customHeight="1">
      <c r="A2" s="37" t="s">
        <v>14</v>
      </c>
      <c r="B2" s="36"/>
      <c r="C2" s="36"/>
      <c r="D2" s="36"/>
      <c r="E2" s="36"/>
      <c r="F2" s="36"/>
      <c r="G2" s="36"/>
      <c r="H2" s="36"/>
      <c r="I2" s="36"/>
      <c r="J2" s="36"/>
    </row>
    <row r="3" spans="1:10" ht="24" customHeight="1">
      <c r="A3" s="2"/>
      <c r="B3" s="2"/>
      <c r="C3" s="2"/>
      <c r="D3" s="2"/>
      <c r="E3" s="2"/>
      <c r="F3" s="2"/>
      <c r="G3" s="2"/>
      <c r="H3" s="2"/>
      <c r="I3" s="2"/>
      <c r="J3" s="2"/>
    </row>
    <row r="5" spans="1:10" ht="31.5" customHeight="1">
      <c r="A5" s="6" t="s">
        <v>15</v>
      </c>
      <c r="B5" s="6" t="s">
        <v>20</v>
      </c>
      <c r="C5" s="6" t="s">
        <v>22</v>
      </c>
      <c r="D5" s="6" t="s">
        <v>26</v>
      </c>
      <c r="E5" s="6" t="s">
        <v>28</v>
      </c>
      <c r="F5" s="6" t="s">
        <v>30</v>
      </c>
      <c r="G5" s="6" t="s">
        <v>33</v>
      </c>
      <c r="H5" s="6" t="s">
        <v>36</v>
      </c>
      <c r="I5" s="6" t="s">
        <v>41</v>
      </c>
      <c r="J5" s="6" t="s">
        <v>44</v>
      </c>
    </row>
    <row r="6" spans="1:10" ht="63.75" customHeight="1">
      <c r="A6" s="7" t="s">
        <v>47</v>
      </c>
      <c r="B6" s="7" t="s">
        <v>52</v>
      </c>
      <c r="C6" s="7" t="s">
        <v>10</v>
      </c>
      <c r="D6" s="7" t="s">
        <v>56</v>
      </c>
      <c r="E6" s="7" t="s">
        <v>58</v>
      </c>
      <c r="F6" s="7" t="s">
        <v>61</v>
      </c>
      <c r="G6" s="7" t="s">
        <v>63</v>
      </c>
      <c r="H6" s="11" t="s">
        <v>66</v>
      </c>
      <c r="I6" s="11"/>
      <c r="J6" s="7" t="s">
        <v>73</v>
      </c>
    </row>
    <row r="7" spans="1:10" ht="63.75" customHeight="1">
      <c r="A7" s="8" t="s">
        <v>76</v>
      </c>
      <c r="B7" s="8" t="s">
        <v>52</v>
      </c>
      <c r="C7" s="8" t="s">
        <v>10</v>
      </c>
      <c r="D7" s="8" t="s">
        <v>83</v>
      </c>
      <c r="E7" s="8" t="s">
        <v>85</v>
      </c>
      <c r="F7" s="8" t="s">
        <v>87</v>
      </c>
      <c r="G7" s="8" t="s">
        <v>63</v>
      </c>
      <c r="H7" s="11" t="s">
        <v>66</v>
      </c>
      <c r="I7" s="11"/>
      <c r="J7" s="8" t="s">
        <v>95</v>
      </c>
    </row>
    <row r="8" spans="1:10" ht="63.75" customHeight="1">
      <c r="A8" s="7" t="s">
        <v>97</v>
      </c>
      <c r="B8" s="7" t="s">
        <v>52</v>
      </c>
      <c r="C8" s="7" t="s">
        <v>10</v>
      </c>
      <c r="D8" s="7" t="s">
        <v>104</v>
      </c>
      <c r="E8" s="7" t="s">
        <v>107</v>
      </c>
      <c r="F8" s="7" t="s">
        <v>109</v>
      </c>
      <c r="G8" s="7" t="s">
        <v>63</v>
      </c>
      <c r="H8" s="11" t="s">
        <v>66</v>
      </c>
      <c r="I8" s="11"/>
      <c r="J8" s="7" t="s">
        <v>116</v>
      </c>
    </row>
    <row r="9" spans="1:10" ht="63.75" customHeight="1">
      <c r="A9" s="8" t="s">
        <v>118</v>
      </c>
      <c r="B9" s="8" t="s">
        <v>52</v>
      </c>
      <c r="C9" s="8" t="s">
        <v>10</v>
      </c>
      <c r="D9" s="8" t="s">
        <v>126</v>
      </c>
      <c r="E9" s="8" t="s">
        <v>127</v>
      </c>
      <c r="F9" s="8" t="s">
        <v>129</v>
      </c>
      <c r="G9" s="8" t="s">
        <v>131</v>
      </c>
      <c r="H9" s="11" t="s">
        <v>66</v>
      </c>
      <c r="I9" s="11"/>
      <c r="J9" s="8" t="s">
        <v>138</v>
      </c>
    </row>
    <row r="10" spans="1:10" ht="63.75" customHeight="1">
      <c r="A10" s="7" t="s">
        <v>142</v>
      </c>
      <c r="B10" s="7" t="s">
        <v>52</v>
      </c>
      <c r="C10" s="7" t="s">
        <v>10</v>
      </c>
      <c r="D10" s="7" t="s">
        <v>149</v>
      </c>
      <c r="E10" s="7" t="s">
        <v>151</v>
      </c>
      <c r="F10" s="7" t="s">
        <v>153</v>
      </c>
      <c r="G10" s="7" t="s">
        <v>63</v>
      </c>
      <c r="H10" s="11" t="s">
        <v>66</v>
      </c>
      <c r="I10" s="11"/>
      <c r="J10" s="7" t="s">
        <v>155</v>
      </c>
    </row>
    <row r="11" spans="1:10" ht="63.75" customHeight="1">
      <c r="A11" s="8" t="s">
        <v>157</v>
      </c>
      <c r="B11" s="8" t="s">
        <v>52</v>
      </c>
      <c r="C11" s="8" t="s">
        <v>10</v>
      </c>
      <c r="D11" s="8" t="s">
        <v>161</v>
      </c>
      <c r="E11" s="8" t="s">
        <v>164</v>
      </c>
      <c r="F11" s="8" t="s">
        <v>166</v>
      </c>
      <c r="G11" s="8" t="s">
        <v>131</v>
      </c>
      <c r="H11" s="11" t="s">
        <v>66</v>
      </c>
      <c r="I11" s="11"/>
      <c r="J11" s="8" t="s">
        <v>168</v>
      </c>
    </row>
    <row r="12" spans="1:10" ht="63.75" customHeight="1">
      <c r="A12" s="7" t="s">
        <v>171</v>
      </c>
      <c r="B12" s="7" t="s">
        <v>52</v>
      </c>
      <c r="C12" s="7" t="s">
        <v>10</v>
      </c>
      <c r="D12" s="7" t="s">
        <v>174</v>
      </c>
      <c r="E12" s="7" t="s">
        <v>177</v>
      </c>
      <c r="F12" s="7" t="s">
        <v>179</v>
      </c>
      <c r="G12" s="7" t="s">
        <v>131</v>
      </c>
      <c r="H12" s="11" t="s">
        <v>66</v>
      </c>
      <c r="I12" s="11"/>
      <c r="J12" s="7" t="s">
        <v>187</v>
      </c>
    </row>
    <row r="13" spans="1:10" ht="63.75" customHeight="1">
      <c r="A13" s="8" t="s">
        <v>190</v>
      </c>
      <c r="B13" s="8" t="s">
        <v>52</v>
      </c>
      <c r="C13" s="8" t="s">
        <v>10</v>
      </c>
      <c r="D13" s="8" t="s">
        <v>194</v>
      </c>
      <c r="E13" s="8" t="s">
        <v>195</v>
      </c>
      <c r="F13" s="8" t="s">
        <v>199</v>
      </c>
      <c r="G13" s="8" t="s">
        <v>201</v>
      </c>
      <c r="H13" s="11" t="s">
        <v>66</v>
      </c>
      <c r="I13" s="11"/>
      <c r="J13" s="8" t="s">
        <v>204</v>
      </c>
    </row>
    <row r="14" spans="1:10" ht="63.75" customHeight="1">
      <c r="A14" s="7" t="s">
        <v>206</v>
      </c>
      <c r="B14" s="7" t="s">
        <v>207</v>
      </c>
      <c r="C14" s="7" t="s">
        <v>69</v>
      </c>
      <c r="D14" s="7" t="s">
        <v>209</v>
      </c>
      <c r="E14" s="7" t="s">
        <v>211</v>
      </c>
      <c r="F14" s="7" t="s">
        <v>213</v>
      </c>
      <c r="G14" s="7" t="s">
        <v>131</v>
      </c>
      <c r="H14" s="11" t="s">
        <v>66</v>
      </c>
      <c r="I14" s="11"/>
      <c r="J14" s="7" t="s">
        <v>216</v>
      </c>
    </row>
    <row r="15" spans="1:10" ht="63.75" customHeight="1">
      <c r="A15" s="8" t="s">
        <v>217</v>
      </c>
      <c r="B15" s="8" t="s">
        <v>207</v>
      </c>
      <c r="C15" s="8" t="s">
        <v>69</v>
      </c>
      <c r="D15" s="8" t="s">
        <v>218</v>
      </c>
      <c r="E15" s="8" t="s">
        <v>219</v>
      </c>
      <c r="F15" s="8" t="s">
        <v>221</v>
      </c>
      <c r="G15" s="8" t="s">
        <v>131</v>
      </c>
      <c r="H15" s="11" t="s">
        <v>66</v>
      </c>
      <c r="I15" s="11"/>
      <c r="J15" s="8" t="s">
        <v>224</v>
      </c>
    </row>
    <row r="16" spans="1:10" ht="63.75" customHeight="1">
      <c r="A16" s="7" t="s">
        <v>225</v>
      </c>
      <c r="B16" s="7" t="s">
        <v>52</v>
      </c>
      <c r="C16" s="7" t="s">
        <v>10</v>
      </c>
      <c r="D16" s="7" t="s">
        <v>229</v>
      </c>
      <c r="E16" s="7" t="s">
        <v>231</v>
      </c>
      <c r="F16" s="7" t="s">
        <v>233</v>
      </c>
      <c r="G16" s="7" t="s">
        <v>63</v>
      </c>
      <c r="H16" s="11" t="s">
        <v>66</v>
      </c>
      <c r="I16" s="11"/>
      <c r="J16" s="7" t="s">
        <v>235</v>
      </c>
    </row>
    <row r="17" spans="1:10" ht="63.75" customHeight="1">
      <c r="A17" s="8" t="s">
        <v>237</v>
      </c>
      <c r="B17" s="8" t="s">
        <v>207</v>
      </c>
      <c r="C17" s="8" t="s">
        <v>69</v>
      </c>
      <c r="D17" s="8" t="s">
        <v>238</v>
      </c>
      <c r="E17" s="8" t="s">
        <v>240</v>
      </c>
      <c r="F17" s="8" t="s">
        <v>242</v>
      </c>
      <c r="G17" s="8" t="s">
        <v>131</v>
      </c>
      <c r="H17" s="11" t="s">
        <v>66</v>
      </c>
      <c r="I17" s="11"/>
      <c r="J17" s="8" t="s">
        <v>246</v>
      </c>
    </row>
    <row r="18" spans="1:10" ht="63.75" customHeight="1">
      <c r="A18" s="7" t="s">
        <v>247</v>
      </c>
      <c r="B18" s="7" t="s">
        <v>249</v>
      </c>
      <c r="C18" s="7" t="s">
        <v>114</v>
      </c>
      <c r="D18" s="7" t="s">
        <v>256</v>
      </c>
      <c r="E18" s="7" t="s">
        <v>261</v>
      </c>
      <c r="F18" s="7" t="s">
        <v>264</v>
      </c>
      <c r="G18" s="7" t="s">
        <v>63</v>
      </c>
      <c r="H18" s="11" t="s">
        <v>66</v>
      </c>
      <c r="I18" s="11"/>
      <c r="J18" s="7" t="s">
        <v>50</v>
      </c>
    </row>
    <row r="19" spans="1:10" ht="63.75" customHeight="1">
      <c r="A19" s="8" t="s">
        <v>294</v>
      </c>
      <c r="B19" s="8" t="s">
        <v>249</v>
      </c>
      <c r="C19" s="8" t="s">
        <v>114</v>
      </c>
      <c r="D19" s="8" t="s">
        <v>299</v>
      </c>
      <c r="E19" s="8" t="s">
        <v>301</v>
      </c>
      <c r="F19" s="8" t="s">
        <v>303</v>
      </c>
      <c r="G19" s="8" t="s">
        <v>131</v>
      </c>
      <c r="H19" s="11" t="s">
        <v>66</v>
      </c>
      <c r="I19" s="11"/>
      <c r="J19" s="8" t="s">
        <v>305</v>
      </c>
    </row>
    <row r="20" spans="1:10" ht="63.75" customHeight="1">
      <c r="A20" s="7" t="s">
        <v>306</v>
      </c>
      <c r="B20" s="7" t="s">
        <v>307</v>
      </c>
      <c r="C20" s="7" t="s">
        <v>114</v>
      </c>
      <c r="D20" s="7" t="s">
        <v>309</v>
      </c>
      <c r="E20" s="7" t="s">
        <v>310</v>
      </c>
      <c r="F20" s="7" t="s">
        <v>312</v>
      </c>
      <c r="G20" s="7" t="s">
        <v>131</v>
      </c>
      <c r="H20" s="11" t="s">
        <v>66</v>
      </c>
      <c r="I20" s="11"/>
      <c r="J20" s="7" t="s">
        <v>313</v>
      </c>
    </row>
    <row r="21" spans="1:10" ht="63.75" customHeight="1">
      <c r="A21" s="8" t="s">
        <v>314</v>
      </c>
      <c r="B21" s="8" t="s">
        <v>52</v>
      </c>
      <c r="C21" s="8" t="s">
        <v>10</v>
      </c>
      <c r="D21" s="8" t="s">
        <v>315</v>
      </c>
      <c r="E21" s="8" t="s">
        <v>316</v>
      </c>
      <c r="F21" s="8" t="s">
        <v>318</v>
      </c>
      <c r="G21" s="8" t="s">
        <v>201</v>
      </c>
      <c r="H21" s="11" t="s">
        <v>66</v>
      </c>
      <c r="I21" s="11"/>
      <c r="J21" s="8" t="s">
        <v>321</v>
      </c>
    </row>
    <row r="22" spans="1:10" ht="63.75" customHeight="1">
      <c r="A22" s="7" t="s">
        <v>323</v>
      </c>
      <c r="B22" s="7" t="s">
        <v>207</v>
      </c>
      <c r="C22" s="7" t="s">
        <v>10</v>
      </c>
      <c r="D22" s="7" t="s">
        <v>325</v>
      </c>
      <c r="E22" s="7" t="s">
        <v>327</v>
      </c>
      <c r="F22" s="7" t="s">
        <v>80</v>
      </c>
      <c r="G22" s="7" t="s">
        <v>329</v>
      </c>
      <c r="H22" s="11" t="s">
        <v>66</v>
      </c>
      <c r="I22" s="11"/>
      <c r="J22" s="7" t="s">
        <v>330</v>
      </c>
    </row>
    <row r="23" spans="1:10" ht="15.75" customHeight="1">
      <c r="B23" s="27"/>
      <c r="H23" s="27"/>
    </row>
    <row r="24" spans="1:10" ht="15.75" customHeight="1">
      <c r="B24" s="27"/>
      <c r="H24" s="27"/>
    </row>
    <row r="25" spans="1:10" ht="15.75" customHeight="1">
      <c r="B25" s="27"/>
      <c r="H25" s="27"/>
    </row>
    <row r="26" spans="1:10" ht="15.75" customHeight="1">
      <c r="B26" s="27"/>
      <c r="H26" s="27"/>
    </row>
    <row r="27" spans="1:10" ht="15.75" customHeight="1">
      <c r="B27" s="27"/>
      <c r="H27" s="27"/>
    </row>
    <row r="28" spans="1:10" ht="15.75" customHeight="1">
      <c r="B28" s="27"/>
      <c r="H28" s="27"/>
    </row>
    <row r="29" spans="1:10" ht="15.75" customHeight="1">
      <c r="B29" s="27"/>
      <c r="H29" s="27"/>
    </row>
    <row r="30" spans="1:10" ht="15.75" customHeight="1">
      <c r="B30" s="27"/>
      <c r="H30" s="27"/>
    </row>
    <row r="31" spans="1:10" ht="15.75" customHeight="1">
      <c r="B31" s="27"/>
      <c r="H31" s="27"/>
    </row>
    <row r="32" spans="1:10" ht="15.75" customHeight="1">
      <c r="B32" s="27"/>
      <c r="H32" s="27"/>
    </row>
    <row r="33" spans="2:8" ht="15.75" customHeight="1">
      <c r="B33" s="27"/>
      <c r="H33" s="27"/>
    </row>
    <row r="34" spans="2:8" ht="15.75" customHeight="1">
      <c r="B34" s="27"/>
      <c r="H34" s="27"/>
    </row>
    <row r="35" spans="2:8" ht="15.75" customHeight="1">
      <c r="B35" s="27"/>
      <c r="H35" s="27"/>
    </row>
    <row r="36" spans="2:8" ht="15.75" customHeight="1">
      <c r="B36" s="27"/>
      <c r="H36" s="27"/>
    </row>
    <row r="37" spans="2:8" ht="15.75" customHeight="1">
      <c r="B37" s="27"/>
      <c r="H37" s="27"/>
    </row>
    <row r="38" spans="2:8" ht="15.75" customHeight="1">
      <c r="B38" s="27"/>
      <c r="H38" s="27"/>
    </row>
    <row r="39" spans="2:8" ht="15.75" customHeight="1">
      <c r="B39" s="27"/>
      <c r="H39" s="27"/>
    </row>
    <row r="40" spans="2:8" ht="15.75" customHeight="1">
      <c r="B40" s="27"/>
      <c r="H40" s="27"/>
    </row>
    <row r="41" spans="2:8" ht="15.75" customHeight="1">
      <c r="B41" s="27"/>
      <c r="H41" s="27"/>
    </row>
    <row r="42" spans="2:8" ht="15.75" customHeight="1">
      <c r="B42" s="27"/>
      <c r="H42" s="27"/>
    </row>
    <row r="43" spans="2:8" ht="15.75" customHeight="1">
      <c r="B43" s="27"/>
      <c r="H43" s="27"/>
    </row>
    <row r="44" spans="2:8" ht="15.75" customHeight="1">
      <c r="B44" s="27"/>
      <c r="H44" s="27"/>
    </row>
    <row r="45" spans="2:8" ht="15.75" customHeight="1">
      <c r="B45" s="27"/>
      <c r="H45" s="27"/>
    </row>
    <row r="46" spans="2:8" ht="15.75" customHeight="1">
      <c r="B46" s="27"/>
      <c r="H46" s="27"/>
    </row>
    <row r="47" spans="2:8" ht="15.75" customHeight="1">
      <c r="B47" s="27"/>
      <c r="H47" s="27"/>
    </row>
    <row r="48" spans="2:8" ht="15.75" customHeight="1">
      <c r="B48" s="27"/>
      <c r="H48" s="27"/>
    </row>
    <row r="49" spans="2:8" ht="15.75" customHeight="1">
      <c r="B49" s="27"/>
      <c r="H49" s="27"/>
    </row>
    <row r="50" spans="2:8" ht="15.75" customHeight="1">
      <c r="B50" s="27"/>
      <c r="H50" s="27"/>
    </row>
    <row r="51" spans="2:8" ht="15.75" customHeight="1">
      <c r="B51" s="27"/>
      <c r="H51" s="27"/>
    </row>
    <row r="52" spans="2:8" ht="15.75" customHeight="1">
      <c r="B52" s="27"/>
      <c r="H52" s="27"/>
    </row>
    <row r="53" spans="2:8" ht="15.75" customHeight="1">
      <c r="B53" s="27"/>
      <c r="H53" s="27"/>
    </row>
    <row r="54" spans="2:8" ht="15.75" customHeight="1">
      <c r="B54" s="27"/>
      <c r="H54" s="27"/>
    </row>
    <row r="55" spans="2:8" ht="15.75" customHeight="1">
      <c r="B55" s="27"/>
      <c r="H55" s="27"/>
    </row>
    <row r="56" spans="2:8" ht="15.75" customHeight="1">
      <c r="B56" s="27"/>
      <c r="H56" s="27"/>
    </row>
    <row r="57" spans="2:8" ht="15.75" customHeight="1">
      <c r="B57" s="27"/>
      <c r="H57" s="27"/>
    </row>
    <row r="58" spans="2:8" ht="15.75" customHeight="1">
      <c r="B58" s="27"/>
      <c r="H58" s="27"/>
    </row>
    <row r="59" spans="2:8" ht="15.75" customHeight="1">
      <c r="B59" s="27"/>
      <c r="H59" s="27"/>
    </row>
    <row r="60" spans="2:8" ht="15.75" customHeight="1">
      <c r="B60" s="27"/>
      <c r="H60" s="27"/>
    </row>
    <row r="61" spans="2:8" ht="15.75" customHeight="1">
      <c r="B61" s="27"/>
      <c r="H61" s="27"/>
    </row>
    <row r="62" spans="2:8" ht="15.75" customHeight="1">
      <c r="B62" s="27"/>
      <c r="H62" s="27"/>
    </row>
    <row r="63" spans="2:8" ht="15.75" customHeight="1">
      <c r="B63" s="27"/>
      <c r="H63" s="27"/>
    </row>
    <row r="64" spans="2:8" ht="15.75" customHeight="1">
      <c r="B64" s="27"/>
      <c r="H64" s="27"/>
    </row>
    <row r="65" spans="2:8" ht="15.75" customHeight="1">
      <c r="B65" s="27"/>
      <c r="H65" s="27"/>
    </row>
    <row r="66" spans="2:8" ht="15.75" customHeight="1">
      <c r="B66" s="27"/>
      <c r="H66" s="27"/>
    </row>
    <row r="67" spans="2:8" ht="15.75" customHeight="1">
      <c r="B67" s="27"/>
      <c r="H67" s="27"/>
    </row>
    <row r="68" spans="2:8" ht="15.75" customHeight="1">
      <c r="B68" s="27"/>
      <c r="H68" s="27"/>
    </row>
    <row r="69" spans="2:8" ht="15.75" customHeight="1">
      <c r="B69" s="27"/>
      <c r="H69" s="27"/>
    </row>
    <row r="70" spans="2:8" ht="15.75" customHeight="1">
      <c r="B70" s="27"/>
      <c r="H70" s="27"/>
    </row>
    <row r="71" spans="2:8" ht="15.75" customHeight="1">
      <c r="B71" s="27"/>
      <c r="H71" s="27"/>
    </row>
    <row r="72" spans="2:8" ht="15.75" customHeight="1">
      <c r="B72" s="27"/>
      <c r="H72" s="27"/>
    </row>
    <row r="73" spans="2:8" ht="15.75" customHeight="1">
      <c r="B73" s="27"/>
      <c r="H73" s="27"/>
    </row>
    <row r="74" spans="2:8" ht="15.75" customHeight="1">
      <c r="B74" s="27"/>
      <c r="H74" s="27"/>
    </row>
    <row r="75" spans="2:8" ht="15.75" customHeight="1">
      <c r="B75" s="27"/>
      <c r="H75" s="27"/>
    </row>
    <row r="76" spans="2:8" ht="15.75" customHeight="1">
      <c r="B76" s="27"/>
      <c r="H76" s="27"/>
    </row>
    <row r="77" spans="2:8" ht="15.75" customHeight="1">
      <c r="B77" s="27"/>
      <c r="H77" s="27"/>
    </row>
    <row r="78" spans="2:8" ht="15.75" customHeight="1">
      <c r="B78" s="27"/>
      <c r="H78" s="27"/>
    </row>
    <row r="79" spans="2:8" ht="15.75" customHeight="1">
      <c r="B79" s="27"/>
      <c r="H79" s="27"/>
    </row>
    <row r="80" spans="2:8" ht="15.75" customHeight="1">
      <c r="B80" s="27"/>
      <c r="H80" s="27"/>
    </row>
    <row r="81" spans="2:8" ht="15.75" customHeight="1">
      <c r="B81" s="27"/>
      <c r="H81" s="27"/>
    </row>
    <row r="82" spans="2:8" ht="15.75" customHeight="1">
      <c r="B82" s="27"/>
      <c r="H82" s="27"/>
    </row>
    <row r="83" spans="2:8" ht="15.75" customHeight="1">
      <c r="B83" s="27"/>
      <c r="H83" s="27"/>
    </row>
    <row r="84" spans="2:8" ht="15.75" customHeight="1">
      <c r="B84" s="27"/>
      <c r="H84" s="27"/>
    </row>
    <row r="85" spans="2:8" ht="15.75" customHeight="1">
      <c r="B85" s="27"/>
      <c r="H85" s="27"/>
    </row>
    <row r="86" spans="2:8" ht="15.75" customHeight="1">
      <c r="B86" s="27"/>
      <c r="H86" s="27"/>
    </row>
    <row r="87" spans="2:8" ht="15.75" customHeight="1">
      <c r="B87" s="27"/>
      <c r="H87" s="27"/>
    </row>
    <row r="88" spans="2:8" ht="15.75" customHeight="1">
      <c r="B88" s="27"/>
      <c r="H88" s="27"/>
    </row>
    <row r="89" spans="2:8" ht="15.75" customHeight="1">
      <c r="B89" s="27"/>
      <c r="H89" s="27"/>
    </row>
    <row r="90" spans="2:8" ht="15.75" customHeight="1">
      <c r="B90" s="27"/>
      <c r="H90" s="27"/>
    </row>
    <row r="91" spans="2:8" ht="15.75" customHeight="1">
      <c r="B91" s="27"/>
      <c r="H91" s="27"/>
    </row>
    <row r="92" spans="2:8" ht="15.75" customHeight="1">
      <c r="B92" s="27"/>
      <c r="H92" s="27"/>
    </row>
    <row r="93" spans="2:8" ht="15.75" customHeight="1">
      <c r="B93" s="27"/>
      <c r="H93" s="27"/>
    </row>
    <row r="94" spans="2:8" ht="15.75" customHeight="1">
      <c r="B94" s="27"/>
      <c r="H94" s="27"/>
    </row>
    <row r="95" spans="2:8" ht="15.75" customHeight="1">
      <c r="B95" s="27"/>
      <c r="H95" s="27"/>
    </row>
    <row r="96" spans="2:8" ht="15.75" customHeight="1">
      <c r="B96" s="27"/>
      <c r="H96" s="27"/>
    </row>
    <row r="97" spans="2:8" ht="15.75" customHeight="1">
      <c r="B97" s="27"/>
      <c r="H97" s="27"/>
    </row>
    <row r="98" spans="2:8" ht="15.75" customHeight="1">
      <c r="B98" s="27"/>
      <c r="H98" s="27"/>
    </row>
    <row r="99" spans="2:8" ht="15.75" customHeight="1">
      <c r="B99" s="27"/>
      <c r="H99" s="27"/>
    </row>
    <row r="100" spans="2:8" ht="15.75" customHeight="1">
      <c r="B100" s="27"/>
      <c r="H100" s="27"/>
    </row>
    <row r="101" spans="2:8" ht="15.75" customHeight="1">
      <c r="B101" s="27"/>
      <c r="H101" s="27"/>
    </row>
    <row r="102" spans="2:8" ht="15.75" customHeight="1">
      <c r="B102" s="27"/>
      <c r="H102" s="27"/>
    </row>
    <row r="103" spans="2:8" ht="15.75" customHeight="1">
      <c r="B103" s="27"/>
      <c r="H103" s="27"/>
    </row>
    <row r="104" spans="2:8" ht="15.75" customHeight="1">
      <c r="B104" s="27"/>
      <c r="H104" s="27"/>
    </row>
    <row r="105" spans="2:8" ht="15.75" customHeight="1">
      <c r="B105" s="27"/>
      <c r="H105" s="27"/>
    </row>
    <row r="106" spans="2:8" ht="15.75" customHeight="1"/>
    <row r="107" spans="2:8" ht="15.75" customHeight="1"/>
    <row r="108" spans="2:8" ht="15.75" customHeight="1"/>
    <row r="109" spans="2:8" ht="15.75" customHeight="1"/>
    <row r="110" spans="2:8" ht="15.75" customHeight="1"/>
    <row r="111" spans="2:8" ht="15.75" customHeight="1"/>
    <row r="112" spans="2: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H6:H1000">
    <cfRule type="expression" dxfId="1" priority="1">
      <formula>$H6="Answered"</formula>
    </cfRule>
    <cfRule type="expression" dxfId="0" priority="2">
      <formula>$H6="Open"</formula>
    </cfRule>
  </conditionalFormatting>
  <dataValidations count="2">
    <dataValidation type="list" allowBlank="1" sqref="B6:B105" xr:uid="{00000000-0002-0000-0200-000000000000}">
      <formula1>"P1 - Now,P2 - Before Sprint 2,P2 - Before Sprint 3,P3 - Later"</formula1>
    </dataValidation>
    <dataValidation type="list" allowBlank="1" sqref="H6:H105" xr:uid="{00000000-0002-0000-0200-000001000000}">
      <formula1>"Open,In Discussion,Answered,Deferred"</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5" topLeftCell="A6" activePane="bottomLeft" state="frozen"/>
      <selection pane="bottomLeft" activeCell="B7" sqref="B7"/>
    </sheetView>
  </sheetViews>
  <sheetFormatPr defaultColWidth="12.625" defaultRowHeight="15" customHeight="1"/>
  <cols>
    <col min="1" max="1" width="12" customWidth="1"/>
    <col min="2" max="2" width="79" customWidth="1"/>
    <col min="3" max="3" width="73" customWidth="1"/>
    <col min="4" max="4" width="25" customWidth="1"/>
    <col min="5" max="5" width="26" customWidth="1"/>
    <col min="6" max="26" width="8.625" customWidth="1"/>
  </cols>
  <sheetData>
    <row r="1" spans="1:5" ht="31.5" customHeight="1">
      <c r="A1" s="35" t="s">
        <v>11</v>
      </c>
      <c r="B1" s="36"/>
      <c r="C1" s="36"/>
      <c r="D1" s="36"/>
      <c r="E1" s="36"/>
    </row>
    <row r="2" spans="1:5" ht="27" customHeight="1">
      <c r="A2" s="37" t="s">
        <v>13</v>
      </c>
      <c r="B2" s="36"/>
      <c r="C2" s="36"/>
      <c r="D2" s="36"/>
      <c r="E2" s="36"/>
    </row>
    <row r="3" spans="1:5" ht="24" customHeight="1">
      <c r="A3" s="2"/>
      <c r="B3" s="2"/>
      <c r="C3" s="2"/>
      <c r="D3" s="2"/>
      <c r="E3" s="2"/>
    </row>
    <row r="5" spans="1:5" ht="31.5" customHeight="1">
      <c r="A5" s="6" t="s">
        <v>15</v>
      </c>
      <c r="B5" s="6" t="s">
        <v>19</v>
      </c>
      <c r="C5" s="6" t="s">
        <v>21</v>
      </c>
      <c r="D5" s="6" t="s">
        <v>23</v>
      </c>
      <c r="E5" s="6" t="s">
        <v>24</v>
      </c>
    </row>
    <row r="6" spans="1:5" ht="69" customHeight="1">
      <c r="A6" s="7" t="s">
        <v>27</v>
      </c>
      <c r="B6" s="7" t="s">
        <v>31</v>
      </c>
      <c r="C6" s="7" t="s">
        <v>34</v>
      </c>
      <c r="D6" s="7" t="s">
        <v>37</v>
      </c>
      <c r="E6" s="7" t="s">
        <v>39</v>
      </c>
    </row>
    <row r="7" spans="1:5" ht="69" customHeight="1">
      <c r="A7" s="8" t="s">
        <v>43</v>
      </c>
      <c r="B7" s="8" t="s">
        <v>46</v>
      </c>
      <c r="C7" s="8" t="s">
        <v>49</v>
      </c>
      <c r="D7" s="8" t="s">
        <v>50</v>
      </c>
      <c r="E7" s="8" t="s">
        <v>39</v>
      </c>
    </row>
    <row r="8" spans="1:5" ht="69" customHeight="1">
      <c r="A8" s="7" t="s">
        <v>54</v>
      </c>
      <c r="B8" s="7" t="s">
        <v>57</v>
      </c>
      <c r="C8" s="7" t="s">
        <v>59</v>
      </c>
      <c r="D8" s="7" t="s">
        <v>62</v>
      </c>
      <c r="E8" s="7" t="s">
        <v>39</v>
      </c>
    </row>
    <row r="9" spans="1:5" ht="69" customHeight="1">
      <c r="A9" s="8" t="s">
        <v>65</v>
      </c>
      <c r="B9" s="8" t="s">
        <v>67</v>
      </c>
      <c r="C9" s="8" t="s">
        <v>70</v>
      </c>
      <c r="D9" s="8" t="s">
        <v>72</v>
      </c>
      <c r="E9" s="8" t="s">
        <v>39</v>
      </c>
    </row>
    <row r="10" spans="1:5" ht="69" customHeight="1">
      <c r="A10" s="7" t="s">
        <v>75</v>
      </c>
      <c r="B10" s="7" t="s">
        <v>77</v>
      </c>
      <c r="C10" s="7" t="s">
        <v>78</v>
      </c>
      <c r="D10" s="7" t="s">
        <v>79</v>
      </c>
      <c r="E10" s="7" t="s">
        <v>39</v>
      </c>
    </row>
    <row r="11" spans="1:5" ht="69" customHeight="1">
      <c r="A11" s="8" t="s">
        <v>81</v>
      </c>
      <c r="B11" s="8" t="s">
        <v>84</v>
      </c>
      <c r="C11" s="8" t="s">
        <v>88</v>
      </c>
      <c r="D11" s="8" t="s">
        <v>90</v>
      </c>
      <c r="E11" s="8" t="s">
        <v>39</v>
      </c>
    </row>
    <row r="12" spans="1:5" ht="69" customHeight="1">
      <c r="A12" s="7" t="s">
        <v>92</v>
      </c>
      <c r="B12" s="7" t="s">
        <v>94</v>
      </c>
      <c r="C12" s="7" t="s">
        <v>96</v>
      </c>
      <c r="D12" s="7" t="s">
        <v>98</v>
      </c>
      <c r="E12" s="7" t="s">
        <v>99</v>
      </c>
    </row>
    <row r="13" spans="1:5" ht="69" customHeight="1">
      <c r="A13" s="8" t="s">
        <v>101</v>
      </c>
      <c r="B13" s="8" t="s">
        <v>103</v>
      </c>
      <c r="C13" s="8" t="s">
        <v>106</v>
      </c>
      <c r="D13" s="8" t="s">
        <v>108</v>
      </c>
      <c r="E13" s="8" t="s">
        <v>110</v>
      </c>
    </row>
    <row r="14" spans="1:5" ht="69" customHeight="1">
      <c r="A14" s="7" t="s">
        <v>111</v>
      </c>
      <c r="B14" s="7" t="s">
        <v>112</v>
      </c>
      <c r="C14" s="7" t="s">
        <v>113</v>
      </c>
      <c r="D14" s="7" t="s">
        <v>115</v>
      </c>
      <c r="E14" s="7" t="s">
        <v>117</v>
      </c>
    </row>
    <row r="15" spans="1:5" ht="69" customHeight="1">
      <c r="A15" s="8" t="s">
        <v>119</v>
      </c>
      <c r="B15" s="8" t="s">
        <v>121</v>
      </c>
      <c r="C15" s="8" t="s">
        <v>123</v>
      </c>
      <c r="D15" s="8" t="s">
        <v>124</v>
      </c>
      <c r="E15" s="8" t="s">
        <v>117</v>
      </c>
    </row>
    <row r="16" spans="1:5" ht="69" customHeight="1">
      <c r="A16" s="7" t="s">
        <v>128</v>
      </c>
      <c r="B16" s="7" t="s">
        <v>130</v>
      </c>
      <c r="C16" s="7" t="s">
        <v>132</v>
      </c>
      <c r="D16" s="7" t="s">
        <v>134</v>
      </c>
      <c r="E16" s="7" t="s">
        <v>136</v>
      </c>
    </row>
    <row r="17" spans="1:5" ht="69" customHeight="1">
      <c r="A17" s="8" t="s">
        <v>139</v>
      </c>
      <c r="B17" s="8" t="s">
        <v>141</v>
      </c>
      <c r="C17" s="8" t="s">
        <v>144</v>
      </c>
      <c r="D17" s="8" t="s">
        <v>145</v>
      </c>
      <c r="E17" s="8" t="s">
        <v>147</v>
      </c>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pane ySplit="4" topLeftCell="A5" activePane="bottomLeft" state="frozen"/>
      <selection pane="bottomLeft" activeCell="B6" sqref="B6"/>
    </sheetView>
  </sheetViews>
  <sheetFormatPr defaultColWidth="12.625" defaultRowHeight="15" customHeight="1"/>
  <cols>
    <col min="1" max="1" width="9" customWidth="1"/>
    <col min="2" max="2" width="23" customWidth="1"/>
    <col min="3" max="3" width="100" customWidth="1"/>
    <col min="4" max="4" width="83" customWidth="1"/>
    <col min="5" max="26" width="8.625" customWidth="1"/>
  </cols>
  <sheetData>
    <row r="1" spans="1:4" ht="31.5" customHeight="1">
      <c r="A1" s="35" t="s">
        <v>245</v>
      </c>
      <c r="B1" s="36"/>
      <c r="C1" s="36"/>
      <c r="D1" s="36"/>
    </row>
    <row r="2" spans="1:4" ht="27" customHeight="1">
      <c r="A2" s="1"/>
      <c r="B2" s="1"/>
      <c r="C2" s="1"/>
      <c r="D2" s="1"/>
    </row>
    <row r="3" spans="1:4" ht="24" customHeight="1">
      <c r="A3" s="2"/>
      <c r="B3" s="2"/>
      <c r="C3" s="2"/>
      <c r="D3" s="2"/>
    </row>
    <row r="4" spans="1:4" ht="31.5" customHeight="1">
      <c r="A4" s="3" t="s">
        <v>250</v>
      </c>
      <c r="B4" s="3" t="s">
        <v>252</v>
      </c>
      <c r="C4" s="3" t="s">
        <v>253</v>
      </c>
      <c r="D4" s="3" t="s">
        <v>254</v>
      </c>
    </row>
    <row r="5" spans="1:4" ht="61.5" customHeight="1">
      <c r="A5" s="25" t="s">
        <v>255</v>
      </c>
      <c r="B5" s="25" t="s">
        <v>257</v>
      </c>
      <c r="C5" s="25" t="s">
        <v>258</v>
      </c>
      <c r="D5" s="25" t="s">
        <v>260</v>
      </c>
    </row>
    <row r="6" spans="1:4" ht="61.5" customHeight="1">
      <c r="A6" s="26" t="s">
        <v>262</v>
      </c>
      <c r="B6" s="26" t="s">
        <v>263</v>
      </c>
      <c r="C6" s="26" t="s">
        <v>265</v>
      </c>
      <c r="D6" s="26" t="s">
        <v>266</v>
      </c>
    </row>
    <row r="7" spans="1:4" ht="61.5" customHeight="1">
      <c r="A7" s="25" t="s">
        <v>267</v>
      </c>
      <c r="B7" s="25" t="s">
        <v>268</v>
      </c>
      <c r="C7" s="25" t="s">
        <v>269</v>
      </c>
      <c r="D7" s="25" t="s">
        <v>270</v>
      </c>
    </row>
    <row r="8" spans="1:4" ht="61.5" customHeight="1">
      <c r="A8" s="26" t="s">
        <v>271</v>
      </c>
      <c r="B8" s="26" t="s">
        <v>272</v>
      </c>
      <c r="C8" s="26" t="s">
        <v>273</v>
      </c>
      <c r="D8" s="26" t="s">
        <v>274</v>
      </c>
    </row>
    <row r="9" spans="1:4" ht="61.5" customHeight="1">
      <c r="A9" s="25" t="s">
        <v>275</v>
      </c>
      <c r="B9" s="25" t="s">
        <v>277</v>
      </c>
      <c r="C9" s="25" t="s">
        <v>278</v>
      </c>
      <c r="D9" s="25" t="s">
        <v>279</v>
      </c>
    </row>
    <row r="10" spans="1:4" ht="61.5" customHeight="1">
      <c r="A10" s="26" t="s">
        <v>280</v>
      </c>
      <c r="B10" s="26" t="s">
        <v>281</v>
      </c>
      <c r="C10" s="26" t="s">
        <v>283</v>
      </c>
      <c r="D10" s="26" t="s">
        <v>284</v>
      </c>
    </row>
    <row r="11" spans="1:4" ht="61.5" customHeight="1">
      <c r="A11" s="25" t="s">
        <v>285</v>
      </c>
      <c r="B11" s="25" t="s">
        <v>286</v>
      </c>
      <c r="C11" s="25" t="s">
        <v>287</v>
      </c>
      <c r="D11" s="25" t="s">
        <v>288</v>
      </c>
    </row>
    <row r="12" spans="1:4" ht="61.5" customHeight="1">
      <c r="A12" s="26" t="s">
        <v>289</v>
      </c>
      <c r="B12" s="26" t="s">
        <v>290</v>
      </c>
      <c r="C12" s="26" t="s">
        <v>291</v>
      </c>
      <c r="D12" s="26" t="s">
        <v>292</v>
      </c>
    </row>
    <row r="13" spans="1:4" ht="36" customHeight="1">
      <c r="A13" s="27" t="s">
        <v>293</v>
      </c>
      <c r="B13" s="27" t="s">
        <v>295</v>
      </c>
      <c r="C13" s="28" t="s">
        <v>296</v>
      </c>
      <c r="D13" s="28" t="s">
        <v>297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Backlog</vt:lpstr>
      <vt:lpstr>Sprint Tracker</vt:lpstr>
      <vt:lpstr>Open Questions</vt:lpstr>
      <vt:lpstr>Client Decisions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c-Gavin Hong</cp:lastModifiedBy>
  <dcterms:modified xsi:type="dcterms:W3CDTF">2026-10-14T14:37:49Z</dcterms:modified>
</cp:coreProperties>
</file>