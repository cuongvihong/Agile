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Summary" sheetId="1" state="visible" r:id="rId3"/>
    <sheet name="TestCases" sheetId="2" state="visible" r:id="rId4"/>
    <sheet name="Scenarios" sheetId="3" state="visible" r:id="rId5"/>
    <sheet name="Checkpoint" sheetId="4" state="visible" r:id="rId6"/>
    <sheet name="Assumptions" sheetId="5" state="visible" r:id="rId7"/>
    <sheet name="Questions" sheetId="6" state="visible" r:id="rId8"/>
    <sheet name="FS Trace" sheetId="7" state="visible" r:id="rId9"/>
    <sheet name="Changes from v2.1" sheetId="8" state="visible" r:id="rId10"/>
  </sheets>
  <definedNames>
    <definedName function="false" hidden="true" localSheetId="4" name="_xlnm._FilterDatabase" vbProcedure="false">Assumptions!$A$1:$N$51</definedName>
    <definedName function="false" hidden="true" localSheetId="7" name="_xlnm._FilterDatabase" vbProcedure="false">'Changes from v2.1'!$A$1:$G$227</definedName>
    <definedName function="false" hidden="true" localSheetId="3" name="_xlnm._FilterDatabase" vbProcedure="false">Checkpoint!$A$1:$R$26</definedName>
    <definedName function="false" hidden="true" localSheetId="6" name="_xlnm._FilterDatabase" vbProcedure="false">'FS Trace'!$A$1:$G$86</definedName>
    <definedName function="false" hidden="true" localSheetId="5" name="_xlnm._FilterDatabase" vbProcedure="false">Questions!$A$1:$C$50</definedName>
    <definedName function="false" hidden="true" localSheetId="2" name="_xlnm._FilterDatabase" vbProcedure="false">Scenarios!$A$1:$Q$33</definedName>
    <definedName function="false" hidden="true" localSheetId="1" name="_xlnm._FilterDatabase" vbProcedure="false">TestCases!$A$1:$W$158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<sst xmlns="http://schemas.openxmlformats.org/spreadsheetml/2006/main" count="7004" uniqueCount="2760">
  <si>
    <t xml:space="preserve">R1 Education Account Test Cases v2.2: Summary (Tender requirement R1, MOE Finance System, baseline FS R1 V1.0 and F03 of the first FS)</t>
  </si>
  <si>
    <t xml:space="preserve">Scope: functional and integration cases only. Performance and security are excluded. All counts are formulas over TestCases, Scenarios, Checkpoint, Assumptions and Questions. No test case has been executed.</t>
  </si>
  <si>
    <t xml:space="preserve">Test cases by Status</t>
  </si>
  <si>
    <t xml:space="preserve">Status</t>
  </si>
  <si>
    <t xml:space="preserve">Count</t>
  </si>
  <si>
    <t xml:space="preserve">Percent</t>
  </si>
  <si>
    <t xml:space="preserve">Meaning</t>
  </si>
  <si>
    <t xml:space="preserve">Approve</t>
  </si>
  <si>
    <t xml:space="preserve">The expected result is stated by the FS ([CR], [TD] or an untagged criterion), the tender or a client answer, or the open assumption was resolved. Assumption Ref is N/A.</t>
  </si>
  <si>
    <t xml:space="preserve">Draft</t>
  </si>
  <si>
    <t xml:space="preserve">The expected result rests on an open assumption (FS tag [WA] or an inference). Assumption Ref names it and its source. Each open assumption is a question in Questions.</t>
  </si>
  <si>
    <t xml:space="preserve">Block</t>
  </si>
  <si>
    <t xml:space="preserve">Information exists but no assumption can settle it: the FS defers the feature ([Deferred]) or two sources conflict. Dependency Ref lists the blocking questions.</t>
  </si>
  <si>
    <t xml:space="preserve">Reject</t>
  </si>
  <si>
    <t xml:space="preserve">No testable expectation exists in the sources. Steps are not written.</t>
  </si>
  <si>
    <t xml:space="preserve">Total</t>
  </si>
  <si>
    <t xml:space="preserve">Status by Priority</t>
  </si>
  <si>
    <t xml:space="preserve">Priority</t>
  </si>
  <si>
    <t xml:space="preserve">Critical</t>
  </si>
  <si>
    <t xml:space="preserve">High</t>
  </si>
  <si>
    <t xml:space="preserve">Medium</t>
  </si>
  <si>
    <t xml:space="preserve">Low</t>
  </si>
  <si>
    <t xml:space="preserve">Status by Severity (1 is the most severe)</t>
  </si>
  <si>
    <t xml:space="preserve">Severity</t>
  </si>
  <si>
    <t xml:space="preserve">Priority by Severity (test cases)</t>
  </si>
  <si>
    <t xml:space="preserve">Severity 1</t>
  </si>
  <si>
    <t xml:space="preserve">Severity 2</t>
  </si>
  <si>
    <t xml:space="preserve">Severity 3</t>
  </si>
  <si>
    <t xml:space="preserve">Severity 4</t>
  </si>
  <si>
    <t xml:space="preserve">Severity scale (Test plan 1.0.7)</t>
  </si>
  <si>
    <t xml:space="preserve">Blocks a core flow or corrupts a financial record</t>
  </si>
  <si>
    <t xml:space="preserve">Other major failure</t>
  </si>
  <si>
    <t xml:space="preserve">Lower impact, a workaround exists</t>
  </si>
  <si>
    <t xml:space="preserve">Cosmetic</t>
  </si>
  <si>
    <t xml:space="preserve">Status by Sprint (1 is the Sprint 1 MVP in the FS header, TBD waits for a decision, a next sprint feature or the CPF Transfer)</t>
  </si>
  <si>
    <t xml:space="preserve">Sprint</t>
  </si>
  <si>
    <t xml:space="preserve">1</t>
  </si>
  <si>
    <t xml:space="preserve">TBD</t>
  </si>
  <si>
    <t xml:space="preserve">Status by Test Type</t>
  </si>
  <si>
    <t xml:space="preserve">Test Type</t>
  </si>
  <si>
    <t xml:space="preserve">Functional</t>
  </si>
  <si>
    <t xml:space="preserve">Integration</t>
  </si>
  <si>
    <t xml:space="preserve">Status by Lens (counted over the scenarios)</t>
  </si>
  <si>
    <t xml:space="preserve">Lens</t>
  </si>
  <si>
    <t xml:space="preserve">Boundary</t>
  </si>
  <si>
    <t xml:space="preserve">Business Risk</t>
  </si>
  <si>
    <t xml:space="preserve">Data</t>
  </si>
  <si>
    <t xml:space="preserve">Data Integrity</t>
  </si>
  <si>
    <t xml:space="preserve">Failure&amp;Recovery</t>
  </si>
  <si>
    <t xml:space="preserve">Happy Path</t>
  </si>
  <si>
    <t xml:space="preserve">Negative</t>
  </si>
  <si>
    <t xml:space="preserve">Sequence</t>
  </si>
  <si>
    <t xml:space="preserve">State</t>
  </si>
  <si>
    <t xml:space="preserve">Workflow</t>
  </si>
  <si>
    <t xml:space="preserve">Status by Type</t>
  </si>
  <si>
    <t xml:space="preserve">Type</t>
  </si>
  <si>
    <t xml:space="preserve">positive</t>
  </si>
  <si>
    <t xml:space="preserve">negative</t>
  </si>
  <si>
    <t xml:space="preserve">boundary</t>
  </si>
  <si>
    <t xml:space="preserve">exception</t>
  </si>
  <si>
    <t xml:space="preserve">Status by Technique (counted over the scenarios)</t>
  </si>
  <si>
    <t xml:space="preserve">Technique</t>
  </si>
  <si>
    <t xml:space="preserve">BVA</t>
  </si>
  <si>
    <t xml:space="preserve">DecisionTable</t>
  </si>
  <si>
    <t xml:space="preserve">EP</t>
  </si>
  <si>
    <t xml:space="preserve">N/A</t>
  </si>
  <si>
    <t xml:space="preserve">StateTransition</t>
  </si>
  <si>
    <t xml:space="preserve">Checkpoints by Flag and Sprint</t>
  </si>
  <si>
    <t xml:space="preserve">Flag</t>
  </si>
  <si>
    <t xml:space="preserve">Sprint 1</t>
  </si>
  <si>
    <t xml:space="preserve">Sprint TBD</t>
  </si>
  <si>
    <t xml:space="preserve">Clear</t>
  </si>
  <si>
    <t xml:space="preserve">Assumed</t>
  </si>
  <si>
    <t xml:space="preserve">Open</t>
  </si>
  <si>
    <t xml:space="preserve">Assumptions by State</t>
  </si>
  <si>
    <t xml:space="preserve">Resolved</t>
  </si>
  <si>
    <t xml:space="preserve">Superseded</t>
  </si>
  <si>
    <t xml:space="preserve">Deferred</t>
  </si>
  <si>
    <t xml:space="preserve">Not adopted</t>
  </si>
  <si>
    <t xml:space="preserve">Agreed</t>
  </si>
  <si>
    <t xml:space="preserve">Questions</t>
  </si>
  <si>
    <t xml:space="preserve">Measure</t>
  </si>
  <si>
    <t xml:space="preserve">Questions with an assumption</t>
  </si>
  <si>
    <t xml:space="preserve">Questions without an assumption (Assumption Ref N/A)</t>
  </si>
  <si>
    <t xml:space="preserve">Questions with an answer</t>
  </si>
  <si>
    <t xml:space="preserve">Questions without an answer</t>
  </si>
  <si>
    <t xml:space="preserve">Coverage</t>
  </si>
  <si>
    <t xml:space="preserve">Checkpoints</t>
  </si>
  <si>
    <t xml:space="preserve">Checkpoints with at least one test case that can be generated</t>
  </si>
  <si>
    <t xml:space="preserve">Scenarios</t>
  </si>
  <si>
    <t xml:space="preserve">Test cases</t>
  </si>
  <si>
    <t xml:space="preserve">FS R1 V1.0 items listed (business rules, flows and acceptance criteria)</t>
  </si>
  <si>
    <t xml:space="preserve">FS R1 V1.0 items cited by at least one test case</t>
  </si>
  <si>
    <t xml:space="preserve">First FS items kept (F03, CPF Transfer Record, retry rules of F02) listed</t>
  </si>
  <si>
    <t xml:space="preserve">First FS items kept that at least one test case cites</t>
  </si>
  <si>
    <t xml:space="preserve">How to read this workbook</t>
  </si>
  <si>
    <t xml:space="preserve">Topic</t>
  </si>
  <si>
    <t xml:space="preserve">Note</t>
  </si>
  <si>
    <t xml:space="preserve">Baseline</t>
  </si>
  <si>
    <t xml:space="preserve">FS R1 V1.0 (file name [Agile] FS R1V1.0.docx, internal label Version 1.2). Every Traceability Requirement cell names the FS item and its tag. TC IDs of v2.1 are kept (sheet Changes from v2.1).</t>
  </si>
  <si>
    <t xml:space="preserve">Version 2.1</t>
  </si>
  <si>
    <t xml:space="preserve">14 Oct 2026. The QA lead keeps F03 of the first FS ([Agile] FS.docx section 1.3 and the CPF Transfer Record of section 2.4) as the rule for the CPF Transfer, because FS R1 V1.0 removed it. Scenario 14 has 12 cases. Six assumptions (ASM-R1-42 to 47) and six questions were added. Items of the first FS that are used carry the label First FS (replaced) in FS Trace.</t>
  </si>
  <si>
    <t xml:space="preserve">Version 2.2</t>
  </si>
  <si>
    <t xml:space="preserve">14 Oct 2026. Rebuilt against the current FS R1 V1.0 file. Section 2.4 (audit record), F01-AC11 and F01-EF04 are gone. Section 1.1.9 is labelled next sprint. F02 closes the account on age 16 or on loss of Singapore Citizenship. The F02 business rules are renumbered. F01-AC15, F01-AC16, F02-AC11 to AC15, F02-EF05, F02-BR13 and F02-BR14 are new. The sheet Changes from v2.1 lists every change. 10 cases are new, 9 cases are Reject and the Lens and Technique tables of this sheet are fixed.</t>
  </si>
  <si>
    <t xml:space="preserve">Chain</t>
  </si>
  <si>
    <t xml:space="preserve">Tender R1 clause or clarification, then Checkpoint (CP-R1), then Scenario (SCN-R1), then Test case (TC-R1-scenario-case). FS Trace maps each FS item to the cases. Defects are added after execution.</t>
  </si>
  <si>
    <t xml:space="preserve">Status rule</t>
  </si>
  <si>
    <t xml:space="preserve">Approve when the expected result is stated by the FS or a client answer, or when its assumption is resolved. Draft when it rests on an open assumption. Block when no assumption can settle it. Reject when no testable expectation exists. When BA answers a question: set the ASM State to Resolved, set Assumption Ref to N/A and the Status to Approve on the cases that make it.</t>
  </si>
  <si>
    <t xml:space="preserve">Assumption Ref</t>
  </si>
  <si>
    <t xml:space="preserve">The open assumptions the case makes, each with its ID and where it comes from (FS section and tag, register item or inference). N/A means no open assumption. A case with an entry here is Draft.</t>
  </si>
  <si>
    <t xml:space="preserve">Dependency Ref</t>
  </si>
  <si>
    <t xml:space="preserve">All assumptions the case depends on, open or resolved: the ones in Assumption Ref, the environment and test data ones (ASM-R1-01, 02 and 32), and the questions that have no assumption, written as Question on and a short topic, for example Question on late records. A Block case lists its blocking question here.</t>
  </si>
  <si>
    <t xml:space="preserve">One row per open assumption, with the assumption it confirms in Assumption Ref, plus the questions that have no assumption (Assumption Ref N/A, the question names the topic and the cases that wait). The question starts with who should answer: BA, Dev or PM. Type the reply in Answer. Then set the assumption to Resolved in Assumptions, set Assumption Ref to N/A and the Status to Approve on the cases that make it, or change them as the answer requires.</t>
  </si>
  <si>
    <t xml:space="preserve">Tags in the FS</t>
  </si>
  <si>
    <t xml:space="preserve">[CR] client confirmed, [TD] team decision with Dev, [WA] working assumption, [Deferred] not built in the MVP. QA reads an acceptance criterion or a flow step without a tag as a stated rule (see the question on untagged statements). A rule tagged [WA] gives a Draft case unless an untagged criterion states the same behaviour.</t>
  </si>
  <si>
    <t xml:space="preserve">Evidence</t>
  </si>
  <si>
    <t xml:space="preserve">Each Reason cell names the FS item, register item or minutes it comes from. A statement derived by QA starts with the word Inference and says what it was derived from. Where something was searched for and not found the cell says so.</t>
  </si>
  <si>
    <t xml:space="preserve">Run dates</t>
  </si>
  <si>
    <t xml:space="preserve">Creation cases use 15 Oct 2026 and closure cases 28 Oct 2026. Dates of birth are given for those dates. Shift every date of birth by the same number of days to run on another day (ASM-R1-02). A few cases use the FS example dates of 2034 or leap year dates.</t>
  </si>
  <si>
    <t xml:space="preserve">Student data</t>
  </si>
  <si>
    <t xml:space="preserve">All citizens are synthetic. Test NRICs have the letter T, seven digits that start with 99 and a check letter, so no real person has them (ASM-R1-32). Use no real personal data.</t>
  </si>
  <si>
    <t xml:space="preserve">Not in this workbook</t>
  </si>
  <si>
    <t xml:space="preserve">Performance (volume, batch window, peak) is in PRQ-MOE-FINANCE-001. Security (access control, personal data protection and retention, audit log integrity, signed requests) is in SEC-MOE-FINANCE-001. Top-Up belongs to R2, Payment to R9, parent login and Account Details screen to F08 and R8. Parent and guardian linking is outside F01.</t>
  </si>
  <si>
    <t xml:space="preserve">Actual Result</t>
  </si>
  <si>
    <t xml:space="preserve">Not Executed for every case. Fill in during SIT.</t>
  </si>
  <si>
    <t xml:space="preserve">Rules applied</t>
  </si>
  <si>
    <t xml:space="preserve">Rule</t>
  </si>
  <si>
    <t xml:space="preserve">Source</t>
  </si>
  <si>
    <t xml:space="preserve">Where it applies</t>
  </si>
  <si>
    <t xml:space="preserve">Output follows the Self-Enrol Funding workbook: 26 column TestCases sheet, Scenarios, Checkpoint, Assumptions. Questions, FS Trace and Changes from v2.1 are added</t>
  </si>
  <si>
    <t xml:space="preserve">User sample (Self-Enrol_Funding_Package)</t>
  </si>
  <si>
    <t xml:space="preserve">All sheets</t>
  </si>
  <si>
    <t xml:space="preserve">Status Approve, Draft, Block, Reject; Assumption Ref says where the assumption comes from and Dependency Ref lists what the case depends on</t>
  </si>
  <si>
    <t xml:space="preserve">User instruction 14 Oct 2026</t>
  </si>
  <si>
    <t xml:space="preserve">TestCases, Assumptions, Questions</t>
  </si>
  <si>
    <t xml:space="preserve">Every inference is labelled as an inference with its source and what it says</t>
  </si>
  <si>
    <t xml:space="preserve">CLAUDE.md learned rule 14 Oct 2026</t>
  </si>
  <si>
    <t xml:space="preserve">Reason, Assumptions</t>
  </si>
  <si>
    <t xml:space="preserve">The current FS file is the baseline. A rule that the FS removed is not guessed: the case becomes Reject (no expected result) or Block (information exists but is not settled)</t>
  </si>
  <si>
    <t xml:space="preserve">User instruction 14 Oct 2026 (rebuild the R1 cases)</t>
  </si>
  <si>
    <t xml:space="preserve">TestCases, Changes from v2.1</t>
  </si>
  <si>
    <t xml:space="preserve">Techniques: EP, BVA, Decision Table, State Transition. Each case has a clear behaviour, meaningful data, an observable result and explicit assumptions</t>
  </si>
  <si>
    <t xml:space="preserve">QA lead working method</t>
  </si>
  <si>
    <t xml:space="preserve">Scenarios and TestCases</t>
  </si>
  <si>
    <t xml:space="preserve">Traceability from requirement to checkpoint to scenario to test case; defects link later</t>
  </si>
  <si>
    <t xml:space="preserve">Checkpoint, Scenarios, TestCases, FS Trace</t>
  </si>
  <si>
    <t xml:space="preserve">Assumptions carry an ID, a reason, the basis, the impact and a way to confirm</t>
  </si>
  <si>
    <t xml:space="preserve">Assumptions, Questions</t>
  </si>
  <si>
    <t xml:space="preserve">Severity 1 to 4 and priority Critical to Low</t>
  </si>
  <si>
    <t xml:space="preserve">Test plan 1.0.7</t>
  </si>
  <si>
    <t xml:space="preserve">TestCases</t>
  </si>
  <si>
    <t xml:space="preserve">Performance and security are excluded</t>
  </si>
  <si>
    <t xml:space="preserve">User instruction 13 Oct 2026</t>
  </si>
  <si>
    <t xml:space="preserve">Whole workbook</t>
  </si>
  <si>
    <t xml:space="preserve">F03 of the first FS stays the rule for the CPF Transfer</t>
  </si>
  <si>
    <t xml:space="preserve">Scenario 14, S16-02, ASM-R1-42 to 47</t>
  </si>
  <si>
    <t xml:space="preserve">References</t>
  </si>
  <si>
    <t xml:space="preserve">FS R1 V1.0 (BA, file [Agile] FS R1V1.0.docx, label Version 1.2): F01 Account Creation, F02 Account Closure, data sections 2.1 to 2.3, delivery limitations</t>
  </si>
  <si>
    <t xml:space="preserve">First FS (BA, file [Agile] FS.docx, replaced): F03 Simulated Remaining Balance Transfer to CPF (section 1.3), CPF Transfer Record (section 2.4), F02 exception flows EF02 and EF03 and business rule BR10</t>
  </si>
  <si>
    <t xml:space="preserve">Tender requirement R1 and the 12 Oct 2026 clarification session (register TBD-01 to TBD-05, TBD-15, NEW-01 to NEW-04, CD-01 to CD-06), Minutes 4</t>
  </si>
  <si>
    <t xml:space="preserve">Flow R1 (Func1 diagram version 2), Dev database design Func1 (Student_Profile, Wallets, Transactions), Sprint Backlog TSK-R1-01 to TSK-R1-05, PM Product Backlog PB-05 and PB-16, Test plan 1.0.7 sections 4.2, 4.3 and 5, Self-Enrol Funding test case workbook (format reference)</t>
  </si>
  <si>
    <t xml:space="preserve">TC ID</t>
  </si>
  <si>
    <t xml:space="preserve">Requirement (Tender clause)</t>
  </si>
  <si>
    <t xml:space="preserve">Module</t>
  </si>
  <si>
    <t xml:space="preserve">Scenario ID</t>
  </si>
  <si>
    <t xml:space="preserve">Title</t>
  </si>
  <si>
    <t xml:space="preserve">Objective</t>
  </si>
  <si>
    <t xml:space="preserve">Precondition</t>
  </si>
  <si>
    <t xml:space="preserve">Postcondition</t>
  </si>
  <si>
    <t xml:space="preserve">Test Data</t>
  </si>
  <si>
    <t xml:space="preserve">Steps</t>
  </si>
  <si>
    <t xml:space="preserve">Expected Result</t>
  </si>
  <si>
    <t xml:space="preserve">Traceability Requirement</t>
  </si>
  <si>
    <t xml:space="preserve">Checkpoint Ref</t>
  </si>
  <si>
    <t xml:space="preserve">Reason</t>
  </si>
  <si>
    <t xml:space="preserve">TC-R1-01-01</t>
  </si>
  <si>
    <t xml:space="preserve">R1</t>
  </si>
  <si>
    <t xml:space="preserve">Education Account</t>
  </si>
  <si>
    <t xml:space="preserve">SCN-R1-01</t>
  </si>
  <si>
    <t xml:space="preserve">Account is created on the 7th birthday</t>
  </si>
  <si>
    <t xml:space="preserve">A Singapore Citizen who turns 7 on the business date gets an Active account, and a citizen who turns 7 the next day does not. Case: Account is created on the 7th birthday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</si>
  <si>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Mock Government Citizen API and has no Education Account</t>
  </si>
  <si>
    <t xml:space="preserve">Data created or changed by the steps stays in the SIT test data</t>
  </si>
  <si>
    <t xml:space="preserve">Student A: NRIC T9901011D, Singapore Citizen, DOB 15 Oct 2019. Business date 15 Oct 2026 (turns 7 that day)</t>
  </si>
  <si>
    <t xml:space="preserve">1. Set the business date to 15 Oct 2026
2. Run the Daily Incremental Synchronization
3. Look up the Education Account of student A by NRIC T9901011D</t>
  </si>
  <si>
    <t xml:space="preserve">1. The System creates one Education Account for student A
2. The Account Status is Active</t>
  </si>
  <si>
    <t xml:space="preserve">Not Executed</t>
  </si>
  <si>
    <t xml:space="preserve">Tender R1 (Education Account); FS R1 V1.0 F01-AC02, 1.1.5 step 9, 1.1.6 age examples</t>
  </si>
  <si>
    <t xml:space="preserve">CP-R1-02</t>
  </si>
  <si>
    <t xml:space="preserve">ASM-R1-01, ASM-R1-02, ASM-R1-03, ASM-R1-14, ASM-R1-32</t>
  </si>
  <si>
    <t xml:space="preserve">F01-AC02 says the Daily Sync creates the account for a citizen who just turned 7. The age example in 1.1.6 (DOB 15/06/2019, processing date 15/06/2026) gives the same offset.</t>
  </si>
  <si>
    <t xml:space="preserve">TC-R1-01-02</t>
  </si>
  <si>
    <t xml:space="preserve">No account the day before the 7th birthday</t>
  </si>
  <si>
    <t xml:space="preserve">A Singapore Citizen who turns 7 on the business date gets an Active account, and a citizen who turns 7 the next day does not. Case: No account the day before the 7th birthday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</si>
  <si>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B is a Singapore Citizen in the Mock Government Citizen API and has no Education Account</t>
  </si>
  <si>
    <t xml:space="preserve">Student B: NRIC T9901021A, Singapore Citizen, DOB 16 Oct 2019. Business date 15 Oct 2026 (6 years and 364 days old)</t>
  </si>
  <si>
    <t xml:space="preserve">1. Set the business date to 15 Oct 2026
2. Run the Daily Incremental Synchronization
3. Look up the Education Account of student B by NRIC T9901021A</t>
  </si>
  <si>
    <t xml:space="preserve">1. The System creates no Education Account for student B</t>
  </si>
  <si>
    <t xml:space="preserve">Tender R1 (Education Account); FS R1 V1.0 F01-AC04, 1.1.6 age examples</t>
  </si>
  <si>
    <t xml:space="preserve">The age example in 1.1.6 (DOB 15/06/2019, processing date 14/06/2026) says the citizen is not yet 7 and gets no account. F01-AC04 says the same for a citizen under 7.</t>
  </si>
  <si>
    <t xml:space="preserve">TC-R1-02-01</t>
  </si>
  <si>
    <t xml:space="preserve">SCN-R1-02</t>
  </si>
  <si>
    <t xml:space="preserve">No account for a citizen below 7</t>
  </si>
  <si>
    <t xml:space="preserve">A citizen below 7 or from 16 on, with no account, gets none. Case: No account for a citizen below 7</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</si>
  <si>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in the Mock Government Citizen API and has no Education Account</t>
  </si>
  <si>
    <t xml:space="preserve">Student A: NRIC T9902011Z, Singapore Citizen, DOB 15 Oct 2022. Business date 15 Oct 2026 (4 years old)</t>
  </si>
  <si>
    <t xml:space="preserve">1. Set the business date to 15 Oct 2026
2. Run the Initial Synchronization
3. Look up the Education Account of student A by NRIC T9902011Z</t>
  </si>
  <si>
    <t xml:space="preserve">1. The System creates no Education Account for student A</t>
  </si>
  <si>
    <t xml:space="preserve">Tender R1 (Education Account); FS R1 V1.0 F01-AC04, F01-AF02, 1.1.4 step 2</t>
  </si>
  <si>
    <t xml:space="preserve">F01-AC04 and F01-AF02 say a citizen under 7 gets no account.</t>
  </si>
  <si>
    <t xml:space="preserve">TC-R1-02-02</t>
  </si>
  <si>
    <t xml:space="preserve">No account for a citizen aged 18</t>
  </si>
  <si>
    <t xml:space="preserve">A citizen below 7 or from 16 on, with no account, gets none. Case: No account for a citizen aged 18</t>
  </si>
  <si>
    <t xml:space="preserve">Student A: NRIC T9902021G, Singapore Citizen, DOB 15 Oct 2008. Business date 15 Oct 2026 (18 years old)</t>
  </si>
  <si>
    <t xml:space="preserve">1. Set the business date to 15 Oct 2026
2. Run the Initial Synchronization
3. Look up the Education Account of student A by NRIC T9902021G</t>
  </si>
  <si>
    <t xml:space="preserve">Tender R1 (Education Account); FS R1 V1.0 F01-AC05, F01-AF02, F01-BR05</t>
  </si>
  <si>
    <t xml:space="preserve">F01-AC05 and F01-BR05 say a citizen from 16 on who has no account gets none.</t>
  </si>
  <si>
    <t xml:space="preserve">TC-R1-02-03</t>
  </si>
  <si>
    <t xml:space="preserve">No account for a citizen who turns 16 today</t>
  </si>
  <si>
    <t xml:space="preserve">A citizen below 7 or from 16 on, with no account, gets none. Case: No account for a citizen who turns 16 today</t>
  </si>
  <si>
    <t xml:space="preserve">Student A: NRIC T9902031D, Singapore Citizen, DOB 15 Oct 2010. Business date 15 Oct 2026 (turns 16 that day)</t>
  </si>
  <si>
    <t xml:space="preserve">1. Set the business date to 15 Oct 2026
2. Run the Initial Synchronization
3. Look up the Education Account of student A by NRIC T9902031D</t>
  </si>
  <si>
    <t xml:space="preserve">Tender R1 (Education Account); FS R1 V1.0 F01-BR05, F01-AC05, 1.1.6 age examples, F02-BR01 [CR]</t>
  </si>
  <si>
    <t xml:space="preserve">ASM-R1-01, ASM-R1-02, ASM-R1-03, ASM-R1-04, ASM-R1-14, ASM-R1-32, Question on 16th birthday rule</t>
  </si>
  <si>
    <t xml:space="preserve">1.1.6 gives DOB 15/06/2019 and processing date 15/06/2035 (16th birthday) as no new account. F02-BR01 [CR] closes at 16, so the same day is the upper boundary.</t>
  </si>
  <si>
    <t xml:space="preserve">TC-R1-03-01</t>
  </si>
  <si>
    <t xml:space="preserve">SCN-R1-03</t>
  </si>
  <si>
    <t xml:space="preserve">Singapore Citizen gets an account</t>
  </si>
  <si>
    <t xml:space="preserve">Citizenship decides whether an account is created. Case: Singapore Citizen gets an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</si>
  <si>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in the Mock Government Citizen API and has no Education Account</t>
  </si>
  <si>
    <t xml:space="preserve">Student A: NRIC T9903011E, Singapore Citizen, DOB 15 Oct 2019. Business date 15 Oct 2026</t>
  </si>
  <si>
    <t xml:space="preserve">1. Set the business date to 15 Oct 2026
2. Run the Daily Incremental Synchronization
3. Look up the Education Account of student A by NRIC T9903011E</t>
  </si>
  <si>
    <t xml:space="preserve">Tender R1 (Education Account); FS R1 V1.0 F01-BR01 [CR], F01-AC02</t>
  </si>
  <si>
    <t xml:space="preserve">CP-R1-01</t>
  </si>
  <si>
    <t xml:space="preserve">ASM-R1-01, ASM-R1-02, ASM-R1-14, ASM-R1-32</t>
  </si>
  <si>
    <t xml:space="preserve">F01-BR01 [CR] gives the account to Singapore Citizens.</t>
  </si>
  <si>
    <t xml:space="preserve">TC-R1-03-02</t>
  </si>
  <si>
    <t xml:space="preserve">Dual citizen gets an account</t>
  </si>
  <si>
    <t xml:space="preserve">Citizenship decides whether an account is created. Case: Dual citizen gets an account</t>
  </si>
  <si>
    <t xml:space="preserve">Student A: NRIC T9903021B, citizen of Singapore and another country (shown as Singapore Citizen, ASM-R1-31), DOB 15 Oct 2019. Business date 15 Oct 2026</t>
  </si>
  <si>
    <t xml:space="preserve">1. Set the business date to 15 Oct 2026
2. Run the Daily Incremental Synchronization
3. Look up the Education Account of student A by NRIC T9903021B</t>
  </si>
  <si>
    <t xml:space="preserve">Tender R1 (Education Account); Register NEW-03, 1.1.3 Required Data Validation</t>
  </si>
  <si>
    <t xml:space="preserve">ASM-R1-31: FS 1.1.3, register NEW-03</t>
  </si>
  <si>
    <t xml:space="preserve">ASM-R1-01, ASM-R1-02, ASM-R1-31, ASM-R1-32</t>
  </si>
  <si>
    <t xml:space="preserve">Register NEW-03 says a dual citizen counts as Singaporean. FS 1.1.3 requires a recognised Citizenship value but gives no list, so the way a dual citizen is shown is an assumption.</t>
  </si>
  <si>
    <t xml:space="preserve">TC-R1-03-03</t>
  </si>
  <si>
    <t xml:space="preserve">Permanent Resident gets no account</t>
  </si>
  <si>
    <t xml:space="preserve">Citizenship decides whether an account is created. Case: Permanent Resident gets no account</t>
  </si>
  <si>
    <t xml:space="preserve">Student A: NRIC T9903031Z, Permanent Resident, DOB 15 Oct 2019. Business date 15 Oct 2026</t>
  </si>
  <si>
    <t xml:space="preserve">1. Set the business date to 15 Oct 2026
2. Run the Daily Incremental Synchronization
3. Look up the Education Account of student A by NRIC T9903031Z</t>
  </si>
  <si>
    <t xml:space="preserve">Tender R1 (Education Account); FS R1 V1.0 F01-AC03, F01-AF01</t>
  </si>
  <si>
    <t xml:space="preserve">F01-AC03 says a Permanent Resident gets no account.</t>
  </si>
  <si>
    <t xml:space="preserve">TC-R1-03-04</t>
  </si>
  <si>
    <t xml:space="preserve">Foreign student gets no account</t>
  </si>
  <si>
    <t xml:space="preserve">Citizenship decides whether an account is created. Case: Foreign student gets no account</t>
  </si>
  <si>
    <t xml:space="preserve">Student A: NRIC T9903041G, Foreign, DOB 15 Oct 2019. Business date 15 Oct 2026</t>
  </si>
  <si>
    <t xml:space="preserve">1. Set the business date to 15 Oct 2026
2. Run the Daily Incremental Synchronization
3. Look up the Education Account of student A by NRIC T9903041G</t>
  </si>
  <si>
    <t xml:space="preserve">Tender R1 (Education Account); FS R1 V1.0 F01-AC03, F01-AF01, 2.1 rules</t>
  </si>
  <si>
    <t xml:space="preserve">F01-AC03 says a non Singapore Citizen gets no account. 2.1 names the Foreign Student as a profile without an account.</t>
  </si>
  <si>
    <t xml:space="preserve">TC-R1-03-05</t>
  </si>
  <si>
    <t xml:space="preserve">Citizen living overseas gets an account</t>
  </si>
  <si>
    <t xml:space="preserve">Citizenship decides whether an account is created. Case: Citizen living overseas gets an account</t>
  </si>
  <si>
    <t xml:space="preserve">Student A: NRIC T9903051D, Singapore Citizen, DOB 15 Oct 2019, residential Country Australia. Business date 15 Oct 2026</t>
  </si>
  <si>
    <t xml:space="preserve">1. Set the business date to 15 Oct 2026
2. Run the Daily Incremental Synchronization
3. Look up the Education Account of student A by NRIC T9903051D</t>
  </si>
  <si>
    <t xml:space="preserve">Tender R1 (Education Account); Register NEW-04, F01-BR01 [CR], 2.1 Country (optional)</t>
  </si>
  <si>
    <t xml:space="preserve">Register NEW-04 says a citizen studying overseas still gets an account. Inference: the only overseas field in the FS is the optional Country in 2.1, and optional data does not block creation (1.1.3).</t>
  </si>
  <si>
    <t xml:space="preserve">TC-R1-04-01</t>
  </si>
  <si>
    <t xml:space="preserve">SCN-R1-04</t>
  </si>
  <si>
    <t xml:space="preserve">New account starts Active with a zero balance in SGD</t>
  </si>
  <si>
    <t xml:space="preserve">A new account is Active with a zero SGD balance, a unique number and a link to the right Student Profile. Case: New account starts Active with a zero balance in SGD</t>
  </si>
  <si>
    <t xml:space="preserve">Student A: NRIC T9904011J, Singapore Citizen, DOB 15 Oct 2019. Business date 15 Oct 2026</t>
  </si>
  <si>
    <t xml:space="preserve">1. Set the business date to 15 Oct 2026
2. Run the Daily Incremental Synchronization
3. Look up the Education Account of student A by NRIC T9904011J
4. Read the Account Status, Account Balance and Currency</t>
  </si>
  <si>
    <t xml:space="preserve">1. The Account Status is Active
2. The Account Balance is SGD 0.00
3. The Currency is SGD</t>
  </si>
  <si>
    <t xml:space="preserve">Tender R1 (Education Account); FS R1 V1.0 F01-AC01, 1.1.4 step 8, 1.1.5 step 10, 1.1.8 table, 2.2, register TBD-15</t>
  </si>
  <si>
    <t xml:space="preserve">CP-R1-03</t>
  </si>
  <si>
    <t xml:space="preserve">ASM-R1-01, ASM-R1-02, ASM-R1-20, ASM-R1-32</t>
  </si>
  <si>
    <t xml:space="preserve">1.1.4 step 8 and 1.1.5 step 10 give Active, SGD 0.00 and SGD. The table in 1.1.8 lists the status and the balance. Register TBD-15 records that the initial balance is always zero.</t>
  </si>
  <si>
    <t xml:space="preserve">TC-R1-04-02</t>
  </si>
  <si>
    <t xml:space="preserve">Account number is unique and the account links to the right Student Profile</t>
  </si>
  <si>
    <t xml:space="preserve">A new account is Active with a zero SGD balance, a unique number and a link to the right Student Profile. Case: Account number is unique and the account links to the right Student Profile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</si>
  <si>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Students A and B are Singapore Citizens in the Mock Government Citizen API, turn 7 on the business date and have no Education Account</t>
  </si>
  <si>
    <t xml:space="preserve">Student A: NRIC T9904021H, Singapore Citizen, DOB 15 Oct 2019. Student B: NRIC T9904022F, Singapore Citizen, DOB 15 Oct 2019. Business date 15 Oct 2026</t>
  </si>
  <si>
    <t xml:space="preserve">1. Set the business date to 15 Oct 2026
2. Run the Daily Incremental Synchronization
3. Look up the Education Account of student A by NRIC T9904021H and of student B by NRIC T9904022F
4. Read the Education Account Number and the Account Holder Reference of each account</t>
  </si>
  <si>
    <t xml:space="preserve">1. Each account has an Education Account Number and the two numbers differ
2. The Account Holder Reference of the account of student A points to the Student Profile of T9904021H
3. The Account Holder Reference of the account of student B points to the Student Profile of T9904022F</t>
  </si>
  <si>
    <t xml:space="preserve">Tender R1 (Education Account); FS R1 V1.0 1.1.5 step 9, 1.1.8 table, 2.2</t>
  </si>
  <si>
    <t xml:space="preserve">1.1.8 says the Education Account Number is unique and the Account Holder Reference (Student id) links the account to the right Student Profile. 1.1.5 step 9 says the System links the account to the profile.</t>
  </si>
  <si>
    <t xml:space="preserve">TC-R1-04-03</t>
  </si>
  <si>
    <t xml:space="preserve">Creation date is set when the account is created</t>
  </si>
  <si>
    <t xml:space="preserve">A new account is Active with a zero SGD balance, a unique number and a link to the right Student Profile. Case: Creation date is set when the account is created</t>
  </si>
  <si>
    <t xml:space="preserve">Student A: NRIC T9904031E, Singapore Citizen, DOB 15 Oct 2019. Business date 15 Oct 2026</t>
  </si>
  <si>
    <t xml:space="preserve">1. Set the business date to 15 Oct 2026
2. Run the Daily Incremental Synchronization
3. Look up the Education Account of student A by NRIC T9904031E
4. Read the Account Creation Date</t>
  </si>
  <si>
    <t xml:space="preserve">1. The Account Creation Date is the date and time of the run on 15 Oct 2026</t>
  </si>
  <si>
    <t xml:space="preserve">Tender R1 (Education Account); FS R1 V1.0 1.1.5 step 11</t>
  </si>
  <si>
    <t xml:space="preserve">ASM-R1-01, ASM-R1-02, ASM-R1-32</t>
  </si>
  <si>
    <t xml:space="preserve">1.1.5 step 11 says the System records the Account Creation Date. The Creation Date and Closure Date rows of the 1.1.8 table were removed from the FS, so only the flow step states it. The empty closure date at creation is no longer stated and is not checked here (see S29-02).</t>
  </si>
  <si>
    <t xml:space="preserve">TC-R1-04-04</t>
  </si>
  <si>
    <t xml:space="preserve">A new account has no transaction</t>
  </si>
  <si>
    <t xml:space="preserve">A new account is Active with a zero SGD balance, a unique number and a link to the right Student Profile. Case: A new account has no transaction</t>
  </si>
  <si>
    <t xml:space="preserve">Student A: NRIC T9904041B, Singapore Citizen, DOB 15 Oct 2019. Business date 15 Oct 2026</t>
  </si>
  <si>
    <t xml:space="preserve">1. Set the business date to 15 Oct 2026
2. Run the Daily Incremental Synchronization
3. Look up the Education Account of student A by NRIC T9904041B
4. Open the transaction history of the account</t>
  </si>
  <si>
    <t xml:space="preserve">1. The transaction history has no entry</t>
  </si>
  <si>
    <t xml:space="preserve">Tender R1 (Education Account); FS R1 V1.0 2.3 Scope Note [WA], register TBD-15</t>
  </si>
  <si>
    <t xml:space="preserve">ASM-R1-36: FS 2.3 [WA]</t>
  </si>
  <si>
    <t xml:space="preserve">ASM-R1-01, ASM-R1-02, ASM-R1-32, ASM-R1-36</t>
  </si>
  <si>
    <t xml:space="preserve">2.3 Scope Note [WA] says F01 creates no transaction at creation unless the team decides to have an opening transaction.</t>
  </si>
  <si>
    <t xml:space="preserve">TC-R1-04-05</t>
  </si>
  <si>
    <t xml:space="preserve">A Permanent Resident gets no Student Profile and no account from the synchronization</t>
  </si>
  <si>
    <t xml:space="preserve">A new account is Active with a zero SGD balance, a unique number and a link to the right Student Profile. Case: A Permanent Resident gets no Student Profile and no account from the synchronization</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</si>
  <si>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in the Mock Government Citizen API and has no Student Profile or Education Account</t>
  </si>
  <si>
    <t xml:space="preserve">Student A: NRIC T9904051Z, Permanent Resident, DOB 15 Oct 2019. Business date 15 Oct 2026</t>
  </si>
  <si>
    <t xml:space="preserve">1. Set the business date to 15 Oct 2026
2. Run the Daily Incremental Synchronization
3. Look up the Student Profile of student A by NRIC T9904051Z
4. Look up the Education Account of student A by NRIC T9904051Z</t>
  </si>
  <si>
    <t xml:space="preserve">1. The synchronization stores no Student Profile for student A
2. No Education Account exists for student A</t>
  </si>
  <si>
    <t xml:space="preserve">Tender R1 (Education Account); FS R1 V1.0 F01-AC03, 1.1.4 Implementation Notes [TD], 2.1 rules</t>
  </si>
  <si>
    <t xml:space="preserve">ASM-R1-34: FS 1.1.4 Implementation Notes [TD], 2.1</t>
  </si>
  <si>
    <t xml:space="preserve">ASM-R1-01, ASM-R1-02, ASM-R1-32, ASM-R1-34</t>
  </si>
  <si>
    <t xml:space="preserve">Inference: the [TD] note in 1.1.4 stores a Student Profile only for a record processed successfully, and the queries of both synchronizations return Singapore Citizens, so no profile is made for a Permanent Resident. FS 2.1 says a profile can exist without an account, for example for a Permanent Resident, and does not say who creates it. See the question.</t>
  </si>
  <si>
    <t xml:space="preserve">TC-R1-04-06</t>
  </si>
  <si>
    <t xml:space="preserve">An eligible citizen without a Student Profile gets a profile and an account</t>
  </si>
  <si>
    <t xml:space="preserve">A new account is Active with a zero SGD balance, a unique number and a link to the right Student Profile. Case: An eligible citizen without a Student Profile gets a profile and an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</si>
  <si>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Mock Government Citizen API, has no Student Profile and no Education Account</t>
  </si>
  <si>
    <t xml:space="preserve">Student A: NRIC T9904061G, Singapore Citizen, DOB 15 Oct 2019. Business date 15 Oct 2026</t>
  </si>
  <si>
    <t xml:space="preserve">1. Set the business date to 15 Oct 2026
2. Run the Daily Incremental Synchronization
3. Look up the Student Profile of student A by NRIC T9904061G
4. Look up the Education Account of student A by NRIC T9904061G</t>
  </si>
  <si>
    <t xml:space="preserve">1. A Student Profile exists for student A
2. One Education Account exists for student A and its Account Holder Reference points to that profile</t>
  </si>
  <si>
    <t xml:space="preserve">Tender R1 (Education Account); FS R1 V1.0 1.1.4 steps 6 and 7, 1.1.5 steps 8 and 9, F01-AC15</t>
  </si>
  <si>
    <t xml:space="preserve">1.1.5 step 8 says the System creates the Student Profile from the Citizen Information when no account exists, and step 9 creates the account linked to it. F01-AC15 gives the same result for an eligible citizen with an empty Father and Mother NRIC.</t>
  </si>
  <si>
    <t xml:space="preserve">TC-R1-04-07</t>
  </si>
  <si>
    <t xml:space="preserve">A new account stores no Scheduled Closure Date</t>
  </si>
  <si>
    <t xml:space="preserve">A new account is Active with a zero SGD balance, a unique number and a link to the right Student Profile. Case: A new account stores no Scheduled Closure Date</t>
  </si>
  <si>
    <t xml:space="preserve">Student A: NRIC T9904071D, Singapore Citizen, DOB 15 Oct 2019. Business date 15 Oct 2026</t>
  </si>
  <si>
    <t xml:space="preserve">1. Set the business date to 15 Oct 2026
2. Run the Daily Incremental Synchronization
3. Look up the Education Account of student A by NRIC T9904071D
4. Read all stored fields of the account</t>
  </si>
  <si>
    <t xml:space="preserve">1. The account has no Scheduled Closure Date value</t>
  </si>
  <si>
    <t xml:space="preserve">Tender R1 (Education Account); FS R1 V1.0 F02-BR08 [TD], 1.2.1 [TD], 2.2 Business Rules [TD]</t>
  </si>
  <si>
    <t xml:space="preserve">F02-BR08 [TD] says the MVP stores no Scheduled Closure Date. 2.2 says the same. Closure is checked at a backend access.</t>
  </si>
  <si>
    <t xml:space="preserve">TC-R1-05-01</t>
  </si>
  <si>
    <t xml:space="preserve">SCN-R1-05</t>
  </si>
  <si>
    <t xml:space="preserve">Second run on the same day creates no duplicate</t>
  </si>
  <si>
    <t xml:space="preserve">The same NRIC never gets two accounts, whatever the job, rerun or account state. Case: Second run on the same day creates no duplicate</t>
  </si>
  <si>
    <t xml:space="preserve">Student A: NRIC T9905011F, Singapore Citizen, DOB 15 Oct 2019. Business date 15 Oct 2026</t>
  </si>
  <si>
    <t xml:space="preserve">1. Set the business date to 15 Oct 2026
2. Run the Daily Incremental Synchronization
3. Run the Daily Incremental Synchronization a second time on the same date
4. Search the Education Accounts by NRIC T9905011F</t>
  </si>
  <si>
    <t xml:space="preserve">1. The search returns exactly one Education Account for student A</t>
  </si>
  <si>
    <t xml:space="preserve">Tender R1 (Education Account); FS R1 V1.0 F01-AC12, 1.1.7 table, 1.1.5 step 7</t>
  </si>
  <si>
    <t xml:space="preserve">CP-R1-05</t>
  </si>
  <si>
    <t xml:space="preserve">F01-AC12 says a job run again on records already processed creates no extra account. The 1.1.7 table and 1.1.5 step 7 say a Daily Sync that meets the same citizen again skips the record.</t>
  </si>
  <si>
    <t xml:space="preserve">TC-R1-05-02</t>
  </si>
  <si>
    <t xml:space="preserve">Later run keeps the existing account</t>
  </si>
  <si>
    <t xml:space="preserve">The same NRIC never gets two accounts, whatever the job, rerun or account state. Case: Later run keeps the existing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</si>
  <si>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who turned 7 on 15 Oct 2026, and the account was created by the run of 15 Oct 2026 with the account number noted by the tester</t>
  </si>
  <si>
    <t xml:space="preserve">Student A: NRIC T9905021C, Singapore Citizen, DOB 15 Oct 2019. Second run date 16 Oct 2026</t>
  </si>
  <si>
    <t xml:space="preserve">1. Set the business date to 16 Oct 2026
2. Run the Daily Incremental Synchronization
3. Search the Education Accounts by NRIC T9905021C</t>
  </si>
  <si>
    <t xml:space="preserve">1. The search returns exactly one Education Account for student A
2. The Education Account Number is the one noted before the run</t>
  </si>
  <si>
    <t xml:space="preserve">Tender R1 (Education Account); FS R1 V1.0 1.1.7 table (Account đang Active)</t>
  </si>
  <si>
    <t xml:space="preserve">The 1.1.7 table says an Active account means no new account is created.</t>
  </si>
  <si>
    <t xml:space="preserve">TC-R1-05-03</t>
  </si>
  <si>
    <t xml:space="preserve">Student in the Initial Synchronization and in the Daily window gets one account</t>
  </si>
  <si>
    <t xml:space="preserve">The same NRIC never gets two accounts, whatever the job, rerun or account state. Case: Student in the Initial Synchronization and in the Daily window gets one account</t>
  </si>
  <si>
    <t xml:space="preserve">Student A: NRIC T9905031J, Singapore Citizen, DOB 15 Oct 2019. Business date 15 Oct 2026 for both runs</t>
  </si>
  <si>
    <t xml:space="preserve">1. Set the business date to 15 Oct 2026
2. Run the Initial Synchronization
3. Run the Daily Incremental Synchronization
4. Search the Education Accounts by NRIC T9905031J</t>
  </si>
  <si>
    <t xml:space="preserve">Tender R1 (Education Account); FS R1 V1.0 1.1.7 table (Daily Sync xử lý lại cùng Citizen), F01-AC06, F01-AC12</t>
  </si>
  <si>
    <t xml:space="preserve">Student A turns 7 on the Initial Synchronization day, so the Daily query returns the same citizen again. The 1.1.7 table says no duplicate is created.</t>
  </si>
  <si>
    <t xml:space="preserve">TC-R1-05-04</t>
  </si>
  <si>
    <t xml:space="preserve">Two siblings get two accounts</t>
  </si>
  <si>
    <t xml:space="preserve">The same NRIC never gets two accounts, whatever the job, rerun or account state. Case: Two siblings get two accounts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</si>
  <si>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Students A and B are Singapore Citizens, turn 7 on the business date, have the same surname and the same address and no Education Account</t>
  </si>
  <si>
    <t xml:space="preserve">Student A: NRIC T9905041H, DOB 15 Oct 2019. Student B: NRIC T9905042F, DOB 15 Oct 2019. Same surname and address, Singapore Citizens. Business date 15 Oct 2026</t>
  </si>
  <si>
    <t xml:space="preserve">1. Set the business date to 15 Oct 2026
2. Run the Daily Incremental Synchronization
3. Search the Education Accounts by NRIC T9905041H and by NRIC T9905042F</t>
  </si>
  <si>
    <t xml:space="preserve">1. The search finds one Education Account for student A
2. The search finds one Education Account for student B
3. The two accounts have different Education Account Numbers</t>
  </si>
  <si>
    <t xml:space="preserve">Tender R1 (Education Account); FS R1 V1.0 1.1.7 (NRIC is the Business Identifier [TD]), F01-BR01 [CR]</t>
  </si>
  <si>
    <t xml:space="preserve">1.1.7 [TD] says NRIC identifies the citizen, so two NRICs mean two accounts even at the same address.</t>
  </si>
  <si>
    <t xml:space="preserve">TC-R1-05-05</t>
  </si>
  <si>
    <t xml:space="preserve">Two records with the same NRIC and different data</t>
  </si>
  <si>
    <t xml:space="preserve">The same NRIC never gets two accounts, whatever the job, rerun or account state. Case: Two records with the same NRIC and different data</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</si>
  <si>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No Education Account exists for the NRIC</t>
  </si>
  <si>
    <t xml:space="preserve">Record 1: NRIC T9905051E, Singapore Citizen, DOB 15 Oct 2019. Record 2: NRIC T9905051E, Singapore Citizen, DOB 15 Oct 2018. Both in the same API response. Business date 15 Oct 2026</t>
  </si>
  <si>
    <t xml:space="preserve">1. Set the business date to 15 Oct 2026
2. Run the Initial Synchronization
3. Search the Education Accounts by NRIC T9905051E
4. Open the job log</t>
  </si>
  <si>
    <t xml:space="preserve">1. The search finds no Education Account for NRIC T9905051E
2. The job log records a Data Conflict for NRIC T9905051E</t>
  </si>
  <si>
    <t xml:space="preserve">Tender R1 (Education Account); FS R1 V1.0 F01-EF03 [WA]</t>
  </si>
  <si>
    <t xml:space="preserve">ASM-R1-33: FS F01-EF03 [WA]</t>
  </si>
  <si>
    <t xml:space="preserve">ASM-R1-01, ASM-R1-02, ASM-R1-32, ASM-R1-33</t>
  </si>
  <si>
    <t xml:space="preserve">F01-EF03 [WA] says no duplicate is created and a Data Conflict is recorded. It does not say whether any account is created, or where the conflict is recorded.</t>
  </si>
  <si>
    <t xml:space="preserve">TC-R1-05-06</t>
  </si>
  <si>
    <t xml:space="preserve">A Closed account blocks a new account</t>
  </si>
  <si>
    <t xml:space="preserve">The same NRIC never gets two accounts, whatever the job, rerun or account state. Case: A Closed account blocks a new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</si>
  <si>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with a Closed Education Account seeded as test data</t>
  </si>
  <si>
    <t xml:space="preserve">Student A: NRIC T9905061B, Singapore Citizen, DOB 15 Oct 2016. Closed account seeded. Business date 15 Oct 2026</t>
  </si>
  <si>
    <t xml:space="preserve">1. Set the business date to 15 Oct 2026
2. Run the Initial Synchronization
3. Search the Education Accounts by NRIC T9905061B</t>
  </si>
  <si>
    <t xml:space="preserve">1. The search returns exactly one Education Account for student A
2. It is the Closed account and its status is still Closed</t>
  </si>
  <si>
    <t xml:space="preserve">Tender R1 (Education Account); FS R1 V1.0 F01-AC07, F01-AF03, 1.1.7 table (Account đã Closed)</t>
  </si>
  <si>
    <t xml:space="preserve">F01-AC07 and F01-AF03 say a citizen who already has a Closed account gets no new account.</t>
  </si>
  <si>
    <t xml:space="preserve">TC-R1-05-07</t>
  </si>
  <si>
    <t xml:space="preserve">A Closed account hidden from the UI still blocks a new account</t>
  </si>
  <si>
    <t xml:space="preserve">The same NRIC never gets two accounts, whatever the job, rerun or account state. Case: A Closed account hidden from the UI still blocks a new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</si>
  <si>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with a Closed Education Account that the UI does not show, seeded as test data</t>
  </si>
  <si>
    <t xml:space="preserve">Student A: NRIC T9905071Z, Singapore Citizen, DOB 15 Oct 2016. Closed account seeded and hidden from the UI. Business date 15 Oct 2026</t>
  </si>
  <si>
    <t xml:space="preserve">1. Set the business date to 15 Oct 2026
2. Run the Initial Synchronization
3. Search the Education Accounts by NRIC T9905071Z in the backend</t>
  </si>
  <si>
    <t xml:space="preserve">1. The backend search returns exactly one Education Account for student A
2. No new account was created</t>
  </si>
  <si>
    <t xml:space="preserve">Tender R1 (Education Account); FS R1 V1.0 1.1.7 table (Closed Account bị ẩn khỏi UI), 1.1.7 note</t>
  </si>
  <si>
    <t xml:space="preserve">The 1.1.7 table says a Closed account hidden from the UI creates no new account. 1.1.7 says an account not shown on a screen still exists.</t>
  </si>
  <si>
    <t xml:space="preserve">TC-R1-05-08</t>
  </si>
  <si>
    <t xml:space="preserve">A repeated Initial Synchronization creates no duplicate</t>
  </si>
  <si>
    <t xml:space="preserve">The same NRIC never gets two accounts, whatever the job, rerun or account state. Case: A repeated Initial Synchronization creates no duplicate</t>
  </si>
  <si>
    <t xml:space="preserve">Student A: NRIC T9905081G, Singapore Citizen, DOB 15 Oct 2017 (9 years old). Business date 15 Oct 2026</t>
  </si>
  <si>
    <t xml:space="preserve">1. Set the business date to 15 Oct 2026
2. Run the Initial Synchronization
3. Run the Initial Synchronization again
4. Search the Education Accounts by NRIC T9905081G</t>
  </si>
  <si>
    <t xml:space="preserve">Tender R1 (Education Account); FS R1 V1.0 F01-AC06, F01-AC12, 1.1.7 table, 1.1.4 Implementation Notes [TD]</t>
  </si>
  <si>
    <t xml:space="preserve">F01-AC06 says a citizen with an Active account gets no duplicate and F01-AC12 says a job run again on processed records creates no extra account. The note [TD] in 1.1.4 describes a first run on a database without accounts, so a repeat is a rerun case that the FS does not describe in detail.</t>
  </si>
  <si>
    <t xml:space="preserve">TC-R1-06-01</t>
  </si>
  <si>
    <t xml:space="preserve">SCN-R1-06</t>
  </si>
  <si>
    <t xml:space="preserve">Daily Job creates no account for a late record of a citizen aged 9</t>
  </si>
  <si>
    <t xml:space="preserve">A record added to the dataset after the 7th birthday is not picked up by the Daily Job. Manual Account Creation and Bulk Re-synchronization handle it in the next sprint. Case: Daily Job creates no account for a late record of a citizen aged 9</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</si>
  <si>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No record for student A was in the Mock Government Citizen API before the business date and no Education Account exists for student A</t>
  </si>
  <si>
    <t xml:space="preserve">Student A: NRIC T9906011A, Singapore Citizen, DOB 15 Oct 2017. Record added to the API on 15 Oct 2026</t>
  </si>
  <si>
    <t xml:space="preserve">1. Add the record of student A to the Mock Government Citizen API
2. Set the business date to 15 Oct 2026
3. Run the Daily Incremental Synchronization
4. Look up the Education Account of student A by NRIC T9906011A</t>
  </si>
  <si>
    <t xml:space="preserve">1. The System creates no Education Account for student A in this run</t>
  </si>
  <si>
    <t xml:space="preserve">Tender R1 (Education Account); FS R1 V1.0 1.1.1 B [TD, Deferred], 1.1.5 Notes [TD], section 4 [TD], register NEW-02</t>
  </si>
  <si>
    <t xml:space="preserve">CP-R1-12</t>
  </si>
  <si>
    <t xml:space="preserve">ASM-R1-01, ASM-R1-02, ASM-R1-32, Question on late records</t>
  </si>
  <si>
    <t xml:space="preserve">1.1.1 B [TD, Deferred] and section 4 [TD] say the Daily Job does not process a record added late, and that Manual Account Creation and Bulk Re-synchronization handle it in the next sprint. Register NEW-02 expects an account once the citizen is in the feed. That difference stays a question.</t>
  </si>
  <si>
    <t xml:space="preserve">TC-R1-06-02</t>
  </si>
  <si>
    <t xml:space="preserve">Daily Job creates no account for a late record of a citizen aged 7 and 1 day</t>
  </si>
  <si>
    <t xml:space="preserve">A record added to the dataset after the 7th birthday is not picked up by the Daily Job. Manual Account Creation and Bulk Re-synchronization handle it in the next sprint. Case: Daily Job creates no account for a late record of a citizen aged 7 and 1 day</t>
  </si>
  <si>
    <t xml:space="preserve">Student A: NRIC T9906021I, Singapore Citizen, DOB 14 Oct 2019. Record added to the API on 15 Oct 2026 (7 years and 1 day old)</t>
  </si>
  <si>
    <t xml:space="preserve">1. Add the record of student A to the Mock Government Citizen API
2. Set the business date to 15 Oct 2026
3. Run the Daily Incremental Synchronization
4. Look up the Education Account of student A by NRIC T9906021I</t>
  </si>
  <si>
    <t xml:space="preserve">1.1.1 B [TD, Deferred] and section 4 [TD] say the Daily Job does not process a record added late, and that Manual Account Creation and Bulk Re-synchronization handle it in the next sprint. Register NEW-02 expects an account once the citizen is in the feed. That difference stays a question. Lower edge of the age range.</t>
  </si>
  <si>
    <t xml:space="preserve">TC-R1-06-03</t>
  </si>
  <si>
    <t xml:space="preserve">Daily Job creates no account for a late record on the last day before the 16th birthday</t>
  </si>
  <si>
    <t xml:space="preserve">A record added to the dataset after the 7th birthday is not picked up by the Daily Job. Manual Account Creation and Bulk Re-synchronization handle it in the next sprint. Case: Daily Job creates no account for a late record on the last day before the 16th birthday</t>
  </si>
  <si>
    <t xml:space="preserve">Student A: NRIC T9906031F, Singapore Citizen, DOB 16 Oct 2010. Record added to the API on 15 Oct 2026 (15 years and 364 days old)</t>
  </si>
  <si>
    <t xml:space="preserve">1. Add the record of student A to the Mock Government Citizen API
2. Set the business date to 15 Oct 2026
3. Run the Daily Incremental Synchronization
4. Look up the Education Account of student A by NRIC T9906031F</t>
  </si>
  <si>
    <t xml:space="preserve">Tender R1 (Education Account); FS R1 V1.0 1.1.1 B [TD, Deferred], 1.1.5 Notes [TD], section 4 [TD], F01-BR02, register NEW-02</t>
  </si>
  <si>
    <t xml:space="preserve">1.1.1 B [TD, Deferred] and section 4 [TD] say the Daily Job does not process a record added late, and that Manual Account Creation and Bulk Re-synchronization handle it in the next sprint. Register NEW-02 expects an account once the citizen is in the feed. That difference stays a question. Upper edge of the age range (F01-BR02).</t>
  </si>
  <si>
    <t xml:space="preserve">TC-R1-06-04</t>
  </si>
  <si>
    <t xml:space="preserve">A record added the day after the 7th birthday is not returned by the Daily query</t>
  </si>
  <si>
    <t xml:space="preserve">A record added to the dataset after the 7th birthday is not picked up by the Daily Job. Manual Account Creation and Bulk Re-synchronization handle it in the next sprint. Case: A record added the day after the 7th birthday is not returned by the Daily query</t>
  </si>
  <si>
    <t xml:space="preserve">Student A: NRIC T9906041C, Singapore Citizen, DOB 14 Oct 2019 (turned 7 on 14 Oct 2026). Record added to the API on 15 Oct 2026</t>
  </si>
  <si>
    <t xml:space="preserve">1. Add the record of student A to the Mock Government Citizen API
2. Set the business date to 15 Oct 2026
3. Run the Daily Incremental Synchronization
4. Look up the Education Account of student A by NRIC T9906041C</t>
  </si>
  <si>
    <t xml:space="preserve">Tender R1 (Education Account); FS R1 V1.0 1.1.5 step 2, 1.1.5 Notes [TD], section 4 [TD]</t>
  </si>
  <si>
    <t xml:space="preserve">Inference: 1.1.5 step 2 retrieves the citizens who turned 7 on the processing day, so the record of 14 Oct is not selected on 15 Oct. Section 4 [TD] says late records are not processed by the Daily Job. The case documents the limitation.</t>
  </si>
  <si>
    <t xml:space="preserve">TC-R1-06-05</t>
  </si>
  <si>
    <t xml:space="preserve">Manual Account Creation creates the account of an eligible late record</t>
  </si>
  <si>
    <t xml:space="preserve">A record added to the dataset after the 7th birthday is not picked up by the Daily Job. Manual Account Creation and Bulk Re-synchronization handle it in the next sprint. Case: Manual Account Creation creates the account of an eligible late record</t>
  </si>
  <si>
    <t xml:space="preserve">Tender R1 (Education Account); FS R1 V1.0 1.1.1 B [TD, Deferred] Manual Account Creation (Next sprint), section 3 (Future Manual Account Creation), section 4</t>
  </si>
  <si>
    <t xml:space="preserve">ASM-R1-01, Question on late records, Question on Manual Account Creation and Bulk Re-synchronization</t>
  </si>
  <si>
    <t xml:space="preserve">1.1.1 B names Manual Account Creation by an Authorized Admin for the next sprint. The FS gives no screen, input or rule except that the System checks eligibility first. No steps are written until the feature is specified.</t>
  </si>
  <si>
    <t xml:space="preserve">TC-R1-06-06</t>
  </si>
  <si>
    <t xml:space="preserve">Bulk Re-synchronization creates the missing accounts for citizens aged 7 to under 16 and no duplicate</t>
  </si>
  <si>
    <t xml:space="preserve">A record added to the dataset after the 7th birthday is not picked up by the Daily Job. Manual Account Creation and Bulk Re-synchronization handle it in the next sprint. Case: Bulk Re-synchronization creates the missing accounts for citizens aged 7 to under 16 and no duplicate</t>
  </si>
  <si>
    <t xml:space="preserve">Tender R1 (Education Account); FS R1 V1.0 1.1.1 B [TD, Deferred] Bulk Re-synchronization, section 3 (Future Bulk Re-synchronization), section 4</t>
  </si>
  <si>
    <t xml:space="preserve">1.1.1 B says an Authorized Admin triggers a new query of the Government Citizen Dataset for the ages 7 to under 16 to create the missing accounts, in the next sprint. The FS gives no trigger, screen or result rule. No steps are written until the feature is specified.</t>
  </si>
  <si>
    <t xml:space="preserve">TC-R1-07-01</t>
  </si>
  <si>
    <t xml:space="preserve">SCN-R1-07</t>
  </si>
  <si>
    <t xml:space="preserve">Record without a date of birth creates no account</t>
  </si>
  <si>
    <t xml:space="preserve">A record without required data creates no account. A record without optional data still creates one. Where the exception is recorded is an open question. Case: Record without a date of birth creates no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</si>
  <si>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record of student A is the only record of this student and no Education Account exists for the student</t>
  </si>
  <si>
    <t xml:space="preserve">Student A: NRIC T9907011G, Singapore Citizen, DOB empty. Business date 15 Oct 2026</t>
  </si>
  <si>
    <t xml:space="preserve">1. Set the business date to 15 Oct 2026
2. Run the Initial Synchronization
3. Look up the Education Account of student A by NRIC T9907011G</t>
  </si>
  <si>
    <t xml:space="preserve">Tender R1 (Education Account); FS R1 V1.0 1.1.3 Required Data Validation, F01-EF02, F01-AC08, 1.1.4 step 5</t>
  </si>
  <si>
    <t xml:space="preserve">CP-R1-10</t>
  </si>
  <si>
    <t xml:space="preserve">1.1.3 says missing required information creates no account and an exception is recorded. DOB is required. 1.1.4 step 5 says the System skips the record and creates no account. Whether an exception is recorded is covered by S07-14.</t>
  </si>
  <si>
    <t xml:space="preserve">TC-R1-07-02</t>
  </si>
  <si>
    <t xml:space="preserve">Record with an impossible date of birth creates no account</t>
  </si>
  <si>
    <t xml:space="preserve">A record without required data creates no account. A record without optional data still creates one. Where the exception is recorded is an open question. Case: Record with an impossible date of birth creates no account</t>
  </si>
  <si>
    <t xml:space="preserve">Student A: NRIC T9907021D, Singapore Citizen, DOB 31 Apr 2018. Business date 15 Oct 2026</t>
  </si>
  <si>
    <t xml:space="preserve">1. Set the business date to 15 Oct 2026
2. Run the Initial Synchronization
3. Look up the Education Account of student A by NRIC T9907021D</t>
  </si>
  <si>
    <t xml:space="preserve">Tender R1 (Education Account); FS R1 V1.0 1.1.3 Required Data Validation, F01-EF02, 1.1.4 step 5</t>
  </si>
  <si>
    <t xml:space="preserve">1.1.3 says DOB must be a valid date. 1.1.4 step 5 says the System skips the record and creates no account. Whether an exception is recorded is covered by S07-14.</t>
  </si>
  <si>
    <t xml:space="preserve">TC-R1-07-03</t>
  </si>
  <si>
    <t xml:space="preserve">Record with a date of birth in the future creates no account</t>
  </si>
  <si>
    <t xml:space="preserve">A record without required data creates no account. A record without optional data still creates one. Where the exception is recorded is an open question. Case: Record with a date of birth in the future creates no account</t>
  </si>
  <si>
    <t xml:space="preserve">Student A: NRIC T9907031A, Singapore Citizen, DOB 15 Oct 2030. Business date 15 Oct 2026</t>
  </si>
  <si>
    <t xml:space="preserve">1. Set the business date to 15 Oct 2026
2. Run the Initial Synchronization
3. Look up the Education Account of student A by NRIC T9907031A</t>
  </si>
  <si>
    <t xml:space="preserve">1.1.3 says DOB must not be in the future. 1.1.4 step 5 says the System skips the record and creates no account. Whether an exception is recorded is covered by S07-14.</t>
  </si>
  <si>
    <t xml:space="preserve">TC-R1-07-04</t>
  </si>
  <si>
    <t xml:space="preserve">Record without a citizenship value creates no account</t>
  </si>
  <si>
    <t xml:space="preserve">A record without required data creates no account. A record without optional data still creates one. Where the exception is recorded is an open question. Case: Record without a citizenship value creates no account</t>
  </si>
  <si>
    <t xml:space="preserve">Student A: NRIC T9907041I, Citizenship empty, DOB 15 Oct 2019. Business date 15 Oct 2026</t>
  </si>
  <si>
    <t xml:space="preserve">1. Set the business date to 15 Oct 2026
2. Run the Initial Synchronization
3. Look up the Education Account of student A by NRIC T9907041I</t>
  </si>
  <si>
    <t xml:space="preserve">Tender R1 (Education Account); FS R1 V1.0 1.1.3 Required Data Validation, F01-AC08, 1.1.4 step 5</t>
  </si>
  <si>
    <t xml:space="preserve">Citizenship is required in 1.1.3 and F01-AC08 says missing required information creates no account. 1.1.4 step 5 says the System skips the record and creates no account. Whether an exception is recorded is covered by S07-14.</t>
  </si>
  <si>
    <t xml:space="preserve">TC-R1-07-05</t>
  </si>
  <si>
    <t xml:space="preserve">Record without an NRIC creates no account</t>
  </si>
  <si>
    <t xml:space="preserve">A record without required data creates no account. A record without optional data still creates one. Where the exception is recorded is an open question. Case: Record without an NRIC creates no account</t>
  </si>
  <si>
    <t xml:space="preserve">1. The SIT environment is ready and both synchronizations can be run for a chosen business date (ASM-R1-01)
2. The Initial Synchronization has not run yet and can be run again for this case
3. The record of student A is the only record in the API and no Education Account exists</t>
  </si>
  <si>
    <t xml:space="preserve">Student A: NRIC empty, Singapore Citizen, DOB 15 Oct 2019. Business date 15 Oct 2026</t>
  </si>
  <si>
    <t xml:space="preserve">1. Set the business date to 15 Oct 2026
2. Run the Initial Synchronization
3. Search the Education Accounts by the Full Name and DOB of the record</t>
  </si>
  <si>
    <t xml:space="preserve">1. The System creates no Education Account for the record</t>
  </si>
  <si>
    <t xml:space="preserve">ASM-R1-01, ASM-R1-02</t>
  </si>
  <si>
    <t xml:space="preserve">1.1.3 says NRIC must not be empty. 1.1.4 step 5 says the System skips the record and creates no account. Whether an exception is recorded is covered by S07-14.</t>
  </si>
  <si>
    <t xml:space="preserve">TC-R1-07-06</t>
  </si>
  <si>
    <t xml:space="preserve">Record without an address still creates the account</t>
  </si>
  <si>
    <t xml:space="preserve">A record without required data creates no account. A record without optional data still creates one. Where the exception is recorded is an open question. Case: Record without an address still creates the account</t>
  </si>
  <si>
    <t xml:space="preserve">Student A: NRIC T9907061C, Singapore Citizen, DOB 15 Oct 2019, Block, Street, Unit, Postal Code and Country empty. Business date 15 Oct 2026</t>
  </si>
  <si>
    <t xml:space="preserve">1. Set the business date to 15 Oct 2026
2. Run the Initial Synchronization
3. Look up the Education Account of student A by NRIC T9907061C</t>
  </si>
  <si>
    <t xml:space="preserve">Tender R1 (Education Account); FS R1 V1.0 1.1.3 (Thiếu optional information), 2.1 Business Rules</t>
  </si>
  <si>
    <t xml:space="preserve">1.1.3 and 2.1 say missing optional information does not block account creation. Address fields are optional.</t>
  </si>
  <si>
    <t xml:space="preserve">TC-R1-07-07</t>
  </si>
  <si>
    <t xml:space="preserve">Record without a Full Name creates no account</t>
  </si>
  <si>
    <t xml:space="preserve">A record without required data creates no account. A record without optional data still creates one. Where the exception is recorded is an open question. Case: Record without a Full Name creates no account</t>
  </si>
  <si>
    <t xml:space="preserve">Student A: NRIC T9907071J, Singapore Citizen, DOB 15 Oct 2019, Full Name empty. Business date 15 Oct 2026</t>
  </si>
  <si>
    <t xml:space="preserve">1. Set the business date to 15 Oct 2026
2. Run the Initial Synchronization
3. Look up the Education Account of student A by NRIC T9907071J</t>
  </si>
  <si>
    <t xml:space="preserve">1.1.3 says Full Name must not be empty. 1.1.4 step 5 says the System skips the record and creates no account. Whether an exception is recorded is covered by S07-14.</t>
  </si>
  <si>
    <t xml:space="preserve">TC-R1-07-08</t>
  </si>
  <si>
    <t xml:space="preserve">Record with an NRIC of the wrong format creates no account</t>
  </si>
  <si>
    <t xml:space="preserve">A record without required data creates no account. A record without optional data still creates one. Where the exception is recorded is an open question. Case: Record with an NRIC of the wrong format creates no account</t>
  </si>
  <si>
    <t xml:space="preserve">Student A: NRIC T123 (too short for any NRIC format), Singapore Citizen, DOB 15 Oct 2019. Business date 15 Oct 2026</t>
  </si>
  <si>
    <t xml:space="preserve">1. Set the business date to 15 Oct 2026
2. Run the Initial Synchronization
3. Search the Education Accounts by NRIC T123</t>
  </si>
  <si>
    <t xml:space="preserve">1. The System creates no Education Account for NRIC T123</t>
  </si>
  <si>
    <t xml:space="preserve">Tender R1 (Education Account); FS R1 V1.0 1.1.3 Required Data Validation, 1.1.4 step 5</t>
  </si>
  <si>
    <t xml:space="preserve">1.1.3 says NRIC must meet the supported format. The format is not given, so the value is chosen to fail any plausible format. 1.1.4 step 5 says the System skips the record and creates no account. Whether an exception is recorded is covered by S07-14.</t>
  </si>
  <si>
    <t xml:space="preserve">TC-R1-07-09</t>
  </si>
  <si>
    <t xml:space="preserve">Record without a Gender creates no account</t>
  </si>
  <si>
    <t xml:space="preserve">A record without required data creates no account. A record without optional data still creates one. Where the exception is recorded is an open question. Case: Record without a Gender creates no account</t>
  </si>
  <si>
    <t xml:space="preserve">Student A: NRIC T9907091E, Singapore Citizen, DOB 15 Oct 2019, Gender empty. Business date 15 Oct 2026</t>
  </si>
  <si>
    <t xml:space="preserve">1. Set the business date to 15 Oct 2026
2. Run the Initial Synchronization
3. Look up the Education Account of student A by NRIC T9907091E</t>
  </si>
  <si>
    <t xml:space="preserve">Tender R1 (Education Account); FS R1 V1.0 1.1.3 Gender Yes [WA], 2.1 Gender [TD], 1.1.4 step 5</t>
  </si>
  <si>
    <t xml:space="preserve">ASM-R1-30: FS 1.1.3 [WA], 2.1 [TD]</t>
  </si>
  <si>
    <t xml:space="preserve">ASM-R1-01, ASM-R1-02, ASM-R1-14, ASM-R1-30, ASM-R1-32</t>
  </si>
  <si>
    <t xml:space="preserve">1.1.3 lists Gender as required [WA] and 2.1 as required [TD]. Whether it stays required is open. 1.1.4 step 5 says the System skips the record and creates no account. Whether an exception is recorded is covered by S07-14.</t>
  </si>
  <si>
    <t xml:space="preserve">TC-R1-07-10</t>
  </si>
  <si>
    <t xml:space="preserve">Record with a Gender outside the valid list creates no account</t>
  </si>
  <si>
    <t xml:space="preserve">A record without required data creates no account. A record without optional data still creates one. Where the exception is recorded is an open question. Case: Record with a Gender outside the valid list creates no account</t>
  </si>
  <si>
    <t xml:space="preserve">Student A: NRIC T9907101F, Singapore Citizen, DOB 15 Oct 2019, Gender XX. Business date 15 Oct 2026</t>
  </si>
  <si>
    <t xml:space="preserve">1. Set the business date to 15 Oct 2026
2. Run the Initial Synchronization
3. Look up the Education Account of student A by NRIC T9907101F</t>
  </si>
  <si>
    <t xml:space="preserve">1.1.3 says Gender must be in the valid list if it stays required. The list is not given. 1.1.4 step 5 says the System skips the record and creates no account. Whether an exception is recorded is covered by S07-14.</t>
  </si>
  <si>
    <t xml:space="preserve">TC-R1-07-11</t>
  </si>
  <si>
    <t xml:space="preserve">Record with a Citizenship value outside the recognised list creates no account</t>
  </si>
  <si>
    <t xml:space="preserve">A record without required data creates no account. A record without optional data still creates one. Where the exception is recorded is an open question. Case: Record with a Citizenship value outside the recognised list creates no account</t>
  </si>
  <si>
    <t xml:space="preserve">Student A: NRIC T9907111C, Citizenship XYZ, DOB 15 Oct 2019. Business date 15 Oct 2026</t>
  </si>
  <si>
    <t xml:space="preserve">1. Set the business date to 15 Oct 2026
2. Run the Initial Synchronization
3. Look up the Education Account of student A by NRIC T9907111C</t>
  </si>
  <si>
    <t xml:space="preserve">ASM-R1-01, ASM-R1-02, ASM-R1-14, ASM-R1-31, ASM-R1-32</t>
  </si>
  <si>
    <t xml:space="preserve">1.1.3 says Citizenship must be in the list of recognised values. The list is not given, so the value is chosen to fail any plausible list. 1.1.4 step 5 says the System skips the record and creates no account. Whether an exception is recorded is covered by S07-14.</t>
  </si>
  <si>
    <t xml:space="preserve">TC-R1-07-12</t>
  </si>
  <si>
    <t xml:space="preserve">Record without a Race still creates the account</t>
  </si>
  <si>
    <t xml:space="preserve">A record without required data creates no account. A record without optional data still creates one. Where the exception is recorded is an open question. Case: Record without a Race still creates the account</t>
  </si>
  <si>
    <t xml:space="preserve">Student A: NRIC T9907121J, Singapore Citizen, DOB 15 Oct 2019, Race empty. Business date 15 Oct 2026</t>
  </si>
  <si>
    <t xml:space="preserve">1. Set the business date to 15 Oct 2026
2. Run the Initial Synchronization
3. Look up the Education Account of student A by NRIC T9907121J</t>
  </si>
  <si>
    <t xml:space="preserve">1. The System creates one Education Account for student A</t>
  </si>
  <si>
    <t xml:space="preserve">Tender R1 (Education Account); FS R1 V1.0 1.1.3 field table (Race: No), 2.1</t>
  </si>
  <si>
    <t xml:space="preserve">Race is not required in 1.1.3 and 2.1.</t>
  </si>
  <si>
    <t xml:space="preserve">TC-R1-07-13</t>
  </si>
  <si>
    <t xml:space="preserve">Record without a Father NRIC and a Mother NRIC still creates the account</t>
  </si>
  <si>
    <t xml:space="preserve">A record without required data creates no account. A record without optional data still creates one. Where the exception is recorded is an open question. Case: Record without a Father NRIC and a Mother NRIC still creates the account</t>
  </si>
  <si>
    <t xml:space="preserve">Student A: NRIC T9907131H, Singapore Citizen, DOB 15 Oct 2019, Father NRIC and Mother NRIC empty. Business date 15 Oct 2026</t>
  </si>
  <si>
    <t xml:space="preserve">1. Set the business date to 15 Oct 2026
2. Run the Initial Synchronization
3. Look up the Education Account of student A by NRIC T9907131H
4. Look up the Student Profile of student A by NRIC T9907131H</t>
  </si>
  <si>
    <t xml:space="preserve">1. The System creates one Education Account for student A
2. The Account Status is Active
3. A Student Profile exists for student A and the account links to it
4. The Citizen Information provided is stored in the Student Profile</t>
  </si>
  <si>
    <t xml:space="preserve">Tender R1 (Education Account); FS R1 V1.0 F01-AC09, F01-AC15, F01-AF04, 1.1.1 A, 1.1.3</t>
  </si>
  <si>
    <t xml:space="preserve">F01-AC09 and F01-AC15 say an eligible citizen with all required data and an empty Father and Mother NRIC gets a Student Profile and one Active Education Account linked to it. Father and Mother NRIC are optional (1.1.3).</t>
  </si>
  <si>
    <t xml:space="preserve">TC-R1-07-14</t>
  </si>
  <si>
    <t xml:space="preserve">An exception is recorded for an invalid record</t>
  </si>
  <si>
    <t xml:space="preserve">A record without required data creates no account. A record without optional data still creates one. Where the exception is recorded is an open question. Case: An exception is recorded for an invalid record</t>
  </si>
  <si>
    <t xml:space="preserve">Tender R1 (Education Account); FS R1 V1.0 1.1.3 Required Data Validation, F01-EF02; against 1.1.4 Implementation Notes [TD] and F01-AC08</t>
  </si>
  <si>
    <t xml:space="preserve">ASM-R1-01, Question on exception record</t>
  </si>
  <si>
    <t xml:space="preserve">1.1.3 and F01-EF02 say the System records an exception for a record with missing or invalid required data. F01-AC08 no longer says an error is recorded, and the note [TD] in 1.1.4 requires no processing history or result per record. The FS gives no place or format for the exception. No steps are written until the conflict is answered.</t>
  </si>
  <si>
    <t xml:space="preserve">TC-R1-08-01</t>
  </si>
  <si>
    <t xml:space="preserve">SCN-R1-08</t>
  </si>
  <si>
    <t xml:space="preserve">Leap day citizen gets the account on 28 Feb in a non leap year</t>
  </si>
  <si>
    <t xml:space="preserve">A citizen born on 29 February follows the leap day rule. Case: Leap day citizen gets the account on 28 Feb in a non leap year</t>
  </si>
  <si>
    <t xml:space="preserve">Student A: NRIC T9908011B, Singapore Citizen, DOB 29 Feb 2024. Business date 28 Feb 2031 (Friday, non leap year)</t>
  </si>
  <si>
    <t xml:space="preserve">1. Set the business date to 28 Feb 2031
2. Run the Daily Incremental Synchronization
3. Look up the Education Account of student A by NRIC T9908011B</t>
  </si>
  <si>
    <t xml:space="preserve">Tender R1 (Education Account); FS R1 V1.0 1.1.6 Leap Year Handling [WA], F01-AC14 [WA]. Register TBD-01 says 1 Mar</t>
  </si>
  <si>
    <t xml:space="preserve">ASM-R1-22: FS 1.1.6 [WA], F01-AC14 [WA]</t>
  </si>
  <si>
    <t xml:space="preserve">ASM-R1-01, ASM-R1-02, ASM-R1-22, ASM-R1-32</t>
  </si>
  <si>
    <t xml:space="preserve">1.1.6 [WA, cần confirm] uses 28 Feb as the age date for a 29 Feb birth in a non leap year. Register TBD-01 says 1 Mar 00:00 and Confirmed.</t>
  </si>
  <si>
    <t xml:space="preserve">TC-R1-08-02</t>
  </si>
  <si>
    <t xml:space="preserve">Leap day citizen has exactly one account after 1 Mar</t>
  </si>
  <si>
    <t xml:space="preserve">A citizen born on 29 February follows the leap day rule. Case: Leap day citizen has exactly one account after 1 Mar</t>
  </si>
  <si>
    <t xml:space="preserve">Student A: NRIC T9908021Z, Singapore Citizen, DOB 29 Feb 2024. Business dates 28 Feb 2031 and 1 Mar 2031</t>
  </si>
  <si>
    <t xml:space="preserve">1. Set the business date to 28 Feb 2031
2. Run the Daily Incremental Synchronization
3. Set the business date to 1 Mar 2031
4. Run the Daily Incremental Synchronization
5. Search the Education Accounts by NRIC T9908021Z</t>
  </si>
  <si>
    <t xml:space="preserve">1. The search returns exactly one Active Education Account for student A</t>
  </si>
  <si>
    <t xml:space="preserve">Tender R1 (Education Account); FS R1 V1.0 F01-AC14 [WA], 1.1.7 table</t>
  </si>
  <si>
    <t xml:space="preserve">The result holds under both leap rules: the FS creates the account on 28 Feb and the register on 1 Mar, and the 1.1.7 table says a second run creates no duplicate.</t>
  </si>
  <si>
    <t xml:space="preserve">TC-R1-08-03</t>
  </si>
  <si>
    <t xml:space="preserve">No account the day before the earliest leap day date</t>
  </si>
  <si>
    <t xml:space="preserve">A citizen born on 29 February follows the leap day rule. Case: No account the day before the earliest leap day date</t>
  </si>
  <si>
    <t xml:space="preserve">Student A: NRIC T9908031G, Singapore Citizen, DOB 29 Feb 2024. Business date 27 Feb 2031 (Thursday)</t>
  </si>
  <si>
    <t xml:space="preserve">1. Set the business date to 27 Feb 2031
2. Run the Daily Incremental Synchronization
3. Look up the Education Account of student A by NRIC T9908031G</t>
  </si>
  <si>
    <t xml:space="preserve">Tender R1 (Education Account); FS R1 V1.0 F01-AC14 [WA], 1.1.6 Leap Year Handling [WA], F01-AC04</t>
  </si>
  <si>
    <t xml:space="preserve">Both leap rules give the 7th birthday no earlier than 28 Feb, so 27 Feb gives no account under either rule.</t>
  </si>
  <si>
    <t xml:space="preserve">TC-R1-08-04</t>
  </si>
  <si>
    <t xml:space="preserve">Leap day citizen turns 16 on 29 Feb 2028 and the account closes on access</t>
  </si>
  <si>
    <t xml:space="preserve">A citizen born on 29 February follows the leap day rule. Case: Leap day citizen turns 16 on 29 Feb 2028 and the account closes on access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</si>
  <si>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was born on 29 Feb 2012</t>
  </si>
  <si>
    <t xml:space="preserve">Student A: NRIC T9908041D, Singapore Citizen, DOB 29 Feb 2012. Account balance 0.00. Access on 29 Feb 2028 (leap year)</t>
  </si>
  <si>
    <t xml:space="preserve">1. Set the business date to 29 Feb 2028
2. Send a parent view request for the Education Account of student A
3. Look up the Education Account of student A by NRIC T9908041D</t>
  </si>
  <si>
    <t xml:space="preserve">1. The Account Status is Closed</t>
  </si>
  <si>
    <t xml:space="preserve">Tender R1 (Education Account); FS R1 V1.0 F02-BR01 [CR], F02-AC15 [WA], 1.2.5 Leap Year Handling [WA]</t>
  </si>
  <si>
    <t xml:space="preserve">ASM-R1-01, ASM-R1-02, ASM-R1-04, ASM-R1-14, ASM-R1-32, Question on leap rule in F02</t>
  </si>
  <si>
    <t xml:space="preserve">Inference: the 16th birthday of a 29 Feb 2012 birth is 29 Feb 2028, which exists, so the 28 Feb rule of 1.2.5 does not apply. F02-BR01 [CR] closes at 16. F02-AC15 [WA] asks for the agreed leap year rule at the age 16 mark. See the question on the F02 leap sentence.</t>
  </si>
  <si>
    <t xml:space="preserve">TC-R1-08-05</t>
  </si>
  <si>
    <t xml:space="preserve">Leap day citizen is still Active on 28 Feb 2028</t>
  </si>
  <si>
    <t xml:space="preserve">A citizen born on 29 February follows the leap day rule. Case: Leap day citizen is still Active on 28 Feb 2028</t>
  </si>
  <si>
    <t xml:space="preserve">Student A: NRIC T9908051A, Singapore Citizen, DOB 29 Feb 2012. Account balance 0.00. Access on 28 Feb 2028</t>
  </si>
  <si>
    <t xml:space="preserve">1. Set the business date to 28 Feb 2028
2. Send a parent view request for the Education Account of student A
3. Look up the Education Account of student A by NRIC T9908051A</t>
  </si>
  <si>
    <t xml:space="preserve">1. The Account Status is Active</t>
  </si>
  <si>
    <t xml:space="preserve">Tender R1 (Education Account); FS R1 V1.0 F02-AF01, 1.2.5 examples</t>
  </si>
  <si>
    <t xml:space="preserve">Inference: the 16th birthday is 29 Feb 2028, so the day before gives Active (F02-AF01, example DOB 10/10/2018 on 09/10/2034).</t>
  </si>
  <si>
    <t xml:space="preserve">TC-R1-09-01</t>
  </si>
  <si>
    <t xml:space="preserve">SCN-R1-09</t>
  </si>
  <si>
    <t xml:space="preserve">Initial Synchronization creates accounts for eligible citizens only</t>
  </si>
  <si>
    <t xml:space="preserve">Both synchronizations read the Mock Government Citizen API with the credential and select the right citizens, and a bad record does not stop the others. Case: Initial Synchronization creates accounts for eligible citizens only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</si>
  <si>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B and C are in the Mock Government Citizen API and none has an Education Account</t>
  </si>
  <si>
    <t xml:space="preserve">Student A: NRIC T9909011H, Singapore Citizen, DOB 15 Oct 2019. Student B: NRIC T9909012F, Permanent Resident, DOB 15 Oct 2019. Student C: NRIC T9909013D, Singapore Citizen, DOB 15 Oct 2022. Business date 15 Oct 2026</t>
  </si>
  <si>
    <t xml:space="preserve">1. Set the business date to 15 Oct 2026
2. Run the Initial Synchronization
3. Search the Education Accounts by NRIC T9909011H, T9909012F and T9909013D</t>
  </si>
  <si>
    <t xml:space="preserve">1. The System creates one Education Account for student A
2. The System creates no Education Account for student B or student C</t>
  </si>
  <si>
    <t xml:space="preserve">Tender R1 (Education Account); FS R1 V1.0 1.1.4 steps 2 and 3, F01-AC03, F01-AC04</t>
  </si>
  <si>
    <t xml:space="preserve">CP-R1-11</t>
  </si>
  <si>
    <t xml:space="preserve">1.1.4 step 2 asks for the Singapore Citizens aged 7 to under 16. F01-AC03 and F01-AC04 give no account to a Permanent Resident or a citizen under 7.</t>
  </si>
  <si>
    <t xml:space="preserve">TC-R1-09-02</t>
  </si>
  <si>
    <t xml:space="preserve">Daily Job queries only the citizens who turned 7 on the processing day</t>
  </si>
  <si>
    <t xml:space="preserve">Both synchronizations read the Mock Government Citizen API with the credential and select the right citizens, and a bad record does not stop the others. Case: Daily Job queries only the citizens who turned 7 on the processing 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</si>
  <si>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B has an Active account created by the run of 14 Oct 2026. Students A and C have no account and are in the API</t>
  </si>
  <si>
    <t xml:space="preserve">Student A: NRIC T9909021E, Singapore Citizen, DOB 15 Oct 2019. Student B: NRIC T9909022C, Singapore Citizen, DOB 14 Oct 2019. Student C: NRIC T9909023A, Singapore Citizen, DOB 16 Oct 2019. Business date 15 Oct 2026</t>
  </si>
  <si>
    <t xml:space="preserve">1. Set the business date to 15 Oct 2026
2. Run the Daily Incremental Synchronization
3. Open the request log of the Mock Government Citizen API
4. Search the Education Accounts by NRIC T9909021E, T9909022C and T9909023A</t>
  </si>
  <si>
    <t xml:space="preserve">1. The request log shows one query for the citizens who turned 7 on 15 Oct 2026 (DOB 15 Oct 2019)
2. The System creates one Education Account for student A
3. Student B still has exactly one account, the one created on 14 Oct 2026
4. Student C has no Education Account</t>
  </si>
  <si>
    <t xml:space="preserve">Tender R1 (Education Account); FS R1 V1.0 1.1.5 step 2, 1.1.5 Notes [TD] (the Daily Sync retrieves only the citizens who just turned 7)</t>
  </si>
  <si>
    <t xml:space="preserve">1.1.5 step 2 and the [TD] note say the Daily Job retrieves only the citizens who just turned 7 and does not scan the whole dataset again. Inference: the query value is the DOB 15 Oct 2019, because a citizen turns 7 on the 7th birthday (1.1.6).</t>
  </si>
  <si>
    <t xml:space="preserve">TC-R1-09-03</t>
  </si>
  <si>
    <t xml:space="preserve">One invalid record does not stop the other records</t>
  </si>
  <si>
    <t xml:space="preserve">Both synchronizations read the Mock Government Citizen API with the credential and select the right citizens, and a bad record does not stop the others. Case: One invalid record does not stop the other records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</si>
  <si>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API holds three records: students A and C are valid Singapore Citizens, student B has no DOB</t>
  </si>
  <si>
    <t xml:space="preserve">Student A: NRIC T9909031B, DOB 15 Oct 2019. Student B: NRIC T9909032J, DOB empty. Student C: NRIC T9909033I, DOB 15 Oct 2019. All Singapore Citizens. Business date 15 Oct 2026</t>
  </si>
  <si>
    <t xml:space="preserve">1. Set the business date to 15 Oct 2026
2. Run the Initial Synchronization
3. Search the Education Accounts by NRIC T9909031B, T9909032J and T9909033I</t>
  </si>
  <si>
    <t xml:space="preserve">1. The System creates one Education Account for student A and one for student C
2. The System creates no Education Account for student B</t>
  </si>
  <si>
    <t xml:space="preserve">Tender R1 (Education Account); FS R1 V1.0 1.1.4 steps 5 and 10, 1.1.3 Required Data Validation, F01-EF02</t>
  </si>
  <si>
    <t xml:space="preserve">1.1.4 step 5 skips an invalid record and step 10 goes on with the remaining records. F01-EF02 says a record with missing required data creates no account.</t>
  </si>
  <si>
    <t xml:space="preserve">TC-R1-09-04</t>
  </si>
  <si>
    <t xml:space="preserve">A failed day is recovered by the next day's job</t>
  </si>
  <si>
    <t xml:space="preserve">Both synchronizations read the Mock Government Citizen API with the credential and select the right citizens, and a bad record does not stop the others. Case: A failed day is recovered by the next day's job</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</si>
  <si>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Mock Government Citizen API can be set to time out and to respond
5. Student A is a Singapore Citizen in the API and has no Education Account</t>
  </si>
  <si>
    <t xml:space="preserve">Student A: NRIC T9909041Z, Singapore Citizen, DOB 15 Oct 2019. Business dates 15 Oct 2026 and 16 Oct 2026</t>
  </si>
  <si>
    <t xml:space="preserve">1. Set the Mock Government Citizen API to time out
2. Set the business date to 15 Oct 2026
3. Run the Daily Incremental Synchronization and let the retry after 15 minutes run
4. Look up the Education Account of student A by NRIC T9909041Z
5. Open the job log
6. Set the Mock Government Citizen API to respond
7. Set the business date to 16 Oct 2026
8. Run the Daily Incremental Synchronization
9. Look up the Education Account of student A by NRIC T9909041Z</t>
  </si>
  <si>
    <t xml:space="preserve">1. After the first day the job log shows the failed job and no account exists for student A
2. After the second day the System creates one Education Account for student A</t>
  </si>
  <si>
    <t xml:space="preserve">Tender R1 (Education Account); FS R1 V1.0 1.1.9 table (Timeout, Retry Failure, Missed Processing Date) [WA, next sprint]</t>
  </si>
  <si>
    <t xml:space="preserve">ASM-R1-01, ASM-R1-02, ASM-R1-23, ASM-R1-28, ASM-R1-32, Question on job recovery</t>
  </si>
  <si>
    <t xml:space="preserve">FS 1.1.9 is labelled next sprint and F01-AC11 was removed. Recovery of a failed day is outside the Sprint 1 scope. The steps are kept as a candidate for the next sprint.</t>
  </si>
  <si>
    <t xml:space="preserve">TC-R1-09-05</t>
  </si>
  <si>
    <t xml:space="preserve">Weekly frequency reads the data only on the seventh day</t>
  </si>
  <si>
    <t xml:space="preserve">Both synchronizations read the Mock Government Citizen API with the credential and select the right citizens, and a bad record does not stop the others. Case: Weekly frequency reads the data only on the seventh day</t>
  </si>
  <si>
    <t xml:space="preserve">Tender R1 (Education Account); Register NEW-02 against FS 1.1.2 [TD] (once a day)</t>
  </si>
  <si>
    <t xml:space="preserve">ASM-R1-01, Question on weekly frequency</t>
  </si>
  <si>
    <t xml:space="preserve">The FS runs the job once a day [TD] and has no weekly setting. Register NEW-02 says the frequency is weekly or daily. No steps are written until the conflict is answered.</t>
  </si>
  <si>
    <t xml:space="preserve">TC-R1-09-06</t>
  </si>
  <si>
    <t xml:space="preserve">Each request to the Mock Government Citizen API carries the API credential</t>
  </si>
  <si>
    <t xml:space="preserve">Both synchronizations read the Mock Government Citizen API with the credential and select the right citizens, and a bad record does not stop the others. Case: Each request to the Mock Government Citizen API carries the API credential</t>
  </si>
  <si>
    <t xml:space="preserve">1. The SIT environment is ready and both synchronizations can be run for a chosen business date (ASM-R1-01)
2. The Initial Synchronization has already run</t>
  </si>
  <si>
    <t xml:space="preserve">Business date 15 Oct 2026. Any citizen in the API</t>
  </si>
  <si>
    <t xml:space="preserve">1. Set the business date to 15 Oct 2026
2. Run the Daily Incremental Synchronization
3. Open the request log of the Mock Government Citizen API</t>
  </si>
  <si>
    <t xml:space="preserve">1. Every request of the run has an API credential field
2. The credential field is not empty</t>
  </si>
  <si>
    <t xml:space="preserve">Tender R1 (Education Account); FS R1 V1.0 1.1.2 table (Data Access [TD]), 1.1.4 step 2, 1.1.5 step 2</t>
  </si>
  <si>
    <t xml:space="preserve">1.1.2 [TD] says the System sends the API request with an API credential. 1.1.4 step 2 and 1.1.5 step 2 say the request is authenticated.</t>
  </si>
  <si>
    <t xml:space="preserve">TC-R1-09-07</t>
  </si>
  <si>
    <t xml:space="preserve">The Initial Synchronization is followed by the Daily Job</t>
  </si>
  <si>
    <t xml:space="preserve">Both synchronizations read the Mock Government Citizen API with the credential and select the right citizens, and a bad record does not stop the others. Case: The Initial Synchronization is followed by the Daily Job</t>
  </si>
  <si>
    <t xml:space="preserve">1. The SIT environment is ready and both synchronizations can be run for a chosen business date (ASM-R1-01)
2. The Initial Synchronization has not run yet and can be run again for this case</t>
  </si>
  <si>
    <t xml:space="preserve">Business dates 15 Oct 2026 and 16 Oct 2026. Any citizen in the API</t>
  </si>
  <si>
    <t xml:space="preserve">1. Set the business date to 15 Oct 2026
2. Start the first processing of the environment
3. Set the business date to 16 Oct 2026
4. Start the scheduled job of the next day
5. Open the request log of the Mock Government Citizen API</t>
  </si>
  <si>
    <t xml:space="preserve">1. The request of the first run asks for the Singapore Citizens aged 7 to under 16
2. The request of the next day asks only for the citizens who turned 7 on 16 Oct 2026</t>
  </si>
  <si>
    <t xml:space="preserve">Tender R1 (Education Account); FS R1 V1.0 1.1.1 A and B, 1.1.2 table (Initial Trigger, Recurring Trigger), 1.1.4 step 2, 1.1.5 step 2</t>
  </si>
  <si>
    <t xml:space="preserve">1.1.1 says that after the Initial Synchronization the System runs the Daily Job. The two query shapes come from 1.1.4 step 2 and 1.1.5 step 2. The Job Name field of section 2.4 is gone, so the request log is read instead.</t>
  </si>
  <si>
    <t xml:space="preserve">TC-R1-10-01</t>
  </si>
  <si>
    <t xml:space="preserve">SCN-R1-10</t>
  </si>
  <si>
    <t xml:space="preserve">Account appears with the midnight run</t>
  </si>
  <si>
    <t xml:space="preserve">No account exists before the midnight run and it exists after it. The job runs once a day. Case: Account appears with the midnight run</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</si>
  <si>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a chosen Singapore time</t>
  </si>
  <si>
    <t xml:space="preserve">Student A: NRIC T9910011C, Singapore Citizen, DOB 15 Oct 2019. Clock times 14 Oct 2026 23:59 and 15 Oct 2026 00:01, Singapore time</t>
  </si>
  <si>
    <t xml:space="preserve">1. Set the business clock to 14 Oct 2026 23:59
2. Look up the Education Account of student A by NRIC T9910011C
3. Let the scheduled Daily Job start at 15 Oct 2026 00:00
4. Set the business clock to 15 Oct 2026 00:01
5. Look up the Education Account of student A by NRIC T9910011C</t>
  </si>
  <si>
    <t xml:space="preserve">1. At 23:59 on 14 Oct 2026 no Education Account exists for student A
2. At 00:01 on 15 Oct 2026 one Active Education Account exists for student A</t>
  </si>
  <si>
    <t xml:space="preserve">Tender R1 (Education Account); FS R1 V1.0 1.1.2 table (Execution Time [WA])</t>
  </si>
  <si>
    <t xml:space="preserve">ASM-R1-24: FS 1.1.2 [WA]</t>
  </si>
  <si>
    <t xml:space="preserve">ASM-R1-01, ASM-R1-02, ASM-R1-24, ASM-R1-32</t>
  </si>
  <si>
    <t xml:space="preserve">1.1.2 gives 00:00 SGT as the Daily Job time and tags it [WA].</t>
  </si>
  <si>
    <t xml:space="preserve">TC-R1-10-02</t>
  </si>
  <si>
    <t xml:space="preserve">The job time is Singapore time and not UTC</t>
  </si>
  <si>
    <t xml:space="preserve">No account exists before the midnight run and it exists after it. The job runs once a day. Case: The job time is Singapore time and not UTC</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</si>
  <si>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a chosen UTC time</t>
  </si>
  <si>
    <t xml:space="preserve">Student A: NRIC T9910021J, Singapore Citizen, DOB 15 Oct 2019. Clock times 14 Oct 2026 15:59 UTC (23:59 SGT) and 14 Oct 2026 16:01 UTC (00:01 SGT on 15 Oct)</t>
  </si>
  <si>
    <t xml:space="preserve">1. Set the business clock to 14 Oct 2026 15:59 UTC
2. Look up the Education Account of student A by NRIC T9910021J
3. Set the business clock to 14 Oct 2026 16:01 UTC and let the scheduled job run
4. Look up the Education Account of student A by NRIC T9910021J</t>
  </si>
  <si>
    <t xml:space="preserve">1. At 15:59 UTC no Education Account exists for student A
2. At 16:01 UTC one Active Education Account exists for student A</t>
  </si>
  <si>
    <t xml:space="preserve">Tender R1 (Education Account); FS R1 V1.0 1.1.2 table (Execution Time SGT, UTC+8 [WA])</t>
  </si>
  <si>
    <t xml:space="preserve">1.1.2 gives 00:00 SGT (UTC+8) [WA]. 16:00 UTC is 00:00 SGT of the next day.</t>
  </si>
  <si>
    <t xml:space="preserve">TC-R1-10-03</t>
  </si>
  <si>
    <t xml:space="preserve">The job runs once a day</t>
  </si>
  <si>
    <t xml:space="preserve">No account exists before the midnight run and it exists after it. The job runs once a day. Case: The job runs once a day</t>
  </si>
  <si>
    <t xml:space="preserve">1. The SIT environment is ready and both synchronizations can be run for a chosen business date (ASM-R1-01)
2. The Initial Synchronization has already run
3. QA can move the business clock through a whole day</t>
  </si>
  <si>
    <t xml:space="preserve">Business clock from 15 Oct 2026 00:00 to 16 Oct 2026 00:00, Singapore time. No failure injected</t>
  </si>
  <si>
    <t xml:space="preserve">1. Move the business clock across 15 Oct 2026
2. Open the request log of the Mock Government Citizen API</t>
  </si>
  <si>
    <t xml:space="preserve">1. The request log shows the requests of exactly one scheduled Daily Job run for 15 Oct 2026</t>
  </si>
  <si>
    <t xml:space="preserve">Tender R1 (Education Account); FS R1 V1.0 1.1.2 table (Execution Frequency [TD])</t>
  </si>
  <si>
    <t xml:space="preserve">1.1.2 [TD] says the job runs once a day. The run is read from the request log because the FS no longer has a processing record.</t>
  </si>
  <si>
    <t xml:space="preserve">TC-R1-11-01</t>
  </si>
  <si>
    <t xml:space="preserve">SCN-R1-11</t>
  </si>
  <si>
    <t xml:space="preserve">School transfer does not change the account</t>
  </si>
  <si>
    <t xml:space="preserve">School transfer, no school record, held back year, drop out and Student Profile Status do not decide the account. Case: School transfer does not change the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</si>
  <si>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on 15 Oct 2026 and is enrolled at School X</t>
  </si>
  <si>
    <t xml:space="preserve">Student A: NRIC T9911011I, Singapore Citizen, DOB 15 Oct 2019. Transfer from School X to School Y on 16 Oct 2026</t>
  </si>
  <si>
    <t xml:space="preserve">1. Change the school record of student A to School Y
2. Set the business date to 16 Oct 2026
3. Run the Daily Incremental Synchronization
4. Look up the Education Account of student A by NRIC T9911011I</t>
  </si>
  <si>
    <t xml:space="preserve">1. The Education Account of student A is still Active
2. The Education Account Number and the balance are the same as before the transfer</t>
  </si>
  <si>
    <t xml:space="preserve">Tender R1 (Education Account); FS R1 V1.0 F01-BR04, F02-BR07</t>
  </si>
  <si>
    <t xml:space="preserve">CP-R1-06</t>
  </si>
  <si>
    <t xml:space="preserve">F01-BR04 says account creation does not depend on school enrolment. F02-BR07 says school level, cohort, class and schooling status do not decide the age used for closure.</t>
  </si>
  <si>
    <t xml:space="preserve">TC-R1-11-02</t>
  </si>
  <si>
    <t xml:space="preserve">Citizen without a school record gets an account</t>
  </si>
  <si>
    <t xml:space="preserve">School transfer, no school record, held back year, drop out and Student Profile Status do not decide the account. Case: Citizen without a school record gets an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</si>
  <si>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school record and no Education Account</t>
  </si>
  <si>
    <t xml:space="preserve">Student A: NRIC T9911021F, Singapore Citizen, DOB 15 Oct 2019, school record empty. Business date 15 Oct 2026</t>
  </si>
  <si>
    <t xml:space="preserve">1. Set the business date to 15 Oct 2026
2. Run the Daily Incremental Synchronization
3. Look up the Education Account of student A by NRIC T9911021F</t>
  </si>
  <si>
    <t xml:space="preserve">Tender R1 (Education Account); FS R1 V1.0 F01-BR04, 2.1 Business Rules (School, Level, Cohort and Class are not required)</t>
  </si>
  <si>
    <t xml:space="preserve">2.1 says School, Level, Cohort and Class are not required to create the account.</t>
  </si>
  <si>
    <t xml:space="preserve">TC-R1-11-03</t>
  </si>
  <si>
    <t xml:space="preserve">Student who leaves school before 16 keeps an Active account</t>
  </si>
  <si>
    <t xml:space="preserve">School transfer, no school record, held back year, drop out and Student Profile Status do not decide the account. Case: Student who leaves school before 16 keeps an Active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</si>
  <si>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is enrolled at School X</t>
  </si>
  <si>
    <t xml:space="preserve">Student A: NRIC T9911031C, Singapore Citizen, DOB 15 Oct 2014 (12 years old). Enrolment ended on 20 Oct 2026. Business date 21 Oct 2026</t>
  </si>
  <si>
    <t xml:space="preserve">1. Mark the enrolment of student A at School X as ended on 20 Oct 2026
2. Set the business date to 21 Oct 2026
3. Send a parent view request for the Education Account of student A
4. Look up the Education Account of student A by NRIC T9911031C</t>
  </si>
  <si>
    <t xml:space="preserve">1. The Education Account of student A is still Active</t>
  </si>
  <si>
    <t xml:space="preserve">Tender R1 (Education Account); FS R1 V1.0 F01-BR03, F02-BR07, register TBD-02 (open)</t>
  </si>
  <si>
    <t xml:space="preserve">ASM-R1-17: FS F01-BR03, F02-BR07, register TBD-02</t>
  </si>
  <si>
    <t xml:space="preserve">ASM-R1-01, ASM-R1-02, ASM-R1-17, ASM-R1-32</t>
  </si>
  <si>
    <t xml:space="preserve">Register TBD-02 leaves the status after a drop out open. F01-BR03 and F02-BR07 say schooling does not decide the account.</t>
  </si>
  <si>
    <t xml:space="preserve">TC-R1-11-04</t>
  </si>
  <si>
    <t xml:space="preserve">A held back or late starting student follows the date of birth</t>
  </si>
  <si>
    <t xml:space="preserve">School transfer, no school record, held back year, drop out and Student Profile Status do not decide the account. Case: A held back or late starting student follows the date of birth</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</si>
  <si>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is enrolled in Kindergarten 2 and has no Education Account</t>
  </si>
  <si>
    <t xml:space="preserve">Student A: NRIC T9911041J, Singapore Citizen, DOB 15 Oct 2019, enrolled in Kindergarten 2 (late start). Business date 15 Oct 2026</t>
  </si>
  <si>
    <t xml:space="preserve">1. Set the business date to 15 Oct 2026
2. Run the Daily Incremental Synchronization
3. Look up the Education Account of student A by NRIC T9911041J</t>
  </si>
  <si>
    <t xml:space="preserve">1. The System creates one Education Account for student A on the 7th birthday</t>
  </si>
  <si>
    <t xml:space="preserve">Tender R1 (Education Account); FS R1 V1.0 F01-AC10, F01-BR03</t>
  </si>
  <si>
    <t xml:space="preserve">F01-AC10 says a student who repeats a year or starts late is still evaluated by DOB.</t>
  </si>
  <si>
    <t xml:space="preserve">TC-R1-11-05</t>
  </si>
  <si>
    <t xml:space="preserve">Student Profile Status Inactive does not stop the account</t>
  </si>
  <si>
    <t xml:space="preserve">School transfer, no school record, held back year, drop out and Student Profile Status do not decide the account. Case: Student Profile Status Inactive does not stop the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</si>
  <si>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with a Student Profile Status Inactive and no Education Account</t>
  </si>
  <si>
    <t xml:space="preserve">Student A: NRIC T9911051H, Singapore Citizen, DOB 15 Oct 2019, Student Profile Status Inactive. Business date 15 Oct 2026</t>
  </si>
  <si>
    <t xml:space="preserve">1. Set the business date to 15 Oct 2026
2. Run the Daily Incremental Synchronization
3. Look up the Education Account of student A by NRIC T9911051H</t>
  </si>
  <si>
    <t xml:space="preserve">Tender R1 (Education Account); FS R1 V1.0 F01-BR04, 2.1 [TD]</t>
  </si>
  <si>
    <t xml:space="preserve">ASM-R1-35: FS 2.1 [TD], F01-BR04</t>
  </si>
  <si>
    <t xml:space="preserve">ASM-R1-01, ASM-R1-02, ASM-R1-32, ASM-R1-35</t>
  </si>
  <si>
    <t xml:space="preserve">The [WA] note in 1.1.3 that said the Student Profile Status is not an eligibility condition is no longer in the FS. 2.1 [TD] says the status is independent of the account status and F01-BR04 says creation does not depend on enrolment. No status values are listed.</t>
  </si>
  <si>
    <t xml:space="preserve">TC-R1-12-01</t>
  </si>
  <si>
    <t xml:space="preserve">SCN-R1-12</t>
  </si>
  <si>
    <t xml:space="preserve">Creating an account creates no sign in for the student</t>
  </si>
  <si>
    <t xml:space="preserve">Creating an account creates no sign in for the student. Case: Creating an account creates no sign in for the student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</si>
  <si>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The sign in accounts of the environment can be listed</t>
  </si>
  <si>
    <t xml:space="preserve">Student A: NRIC T9912011D, Singapore Citizen, DOB 15 Oct 2019. Business date 15 Oct 2026</t>
  </si>
  <si>
    <t xml:space="preserve">1. Note the sign in accounts of the environment
2. Set the business date to 15 Oct 2026
3. Run the Daily Incremental Synchronization
4. Look up the Education Account of student A by NRIC T9912011D
5. List the sign in accounts again</t>
  </si>
  <si>
    <t xml:space="preserve">1. The System creates one Education Account for student A
2. No sign in account is added and none is linked to student A</t>
  </si>
  <si>
    <t xml:space="preserve">Tender R1 (Education Account); CD-01, 1.1.2 Data Source Clarification</t>
  </si>
  <si>
    <t xml:space="preserve">CP-R1-17</t>
  </si>
  <si>
    <t xml:space="preserve">ASM-R1-01, ASM-R1-02, ASM-R1-05, ASM-R1-32</t>
  </si>
  <si>
    <t xml:space="preserve">Client clarification CD-01 says an Education Account is a financial account and not a login account.</t>
  </si>
  <si>
    <t xml:space="preserve">TC-R1-13-01</t>
  </si>
  <si>
    <t xml:space="preserve">SCN-R1-13</t>
  </si>
  <si>
    <t xml:space="preserve">Account closes when the holder turns 16 and a parent views it</t>
  </si>
  <si>
    <t xml:space="preserve">A backend access finds the account Active the day before the 16th birthday and Closed from it, also when the access comes later. Case: Account closes when the holder turns 16 and a parent views it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</si>
  <si>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t>
  </si>
  <si>
    <t xml:space="preserve">Student A: NRIC T9913011Z, Singapore Citizen, DOB 28 Oct 2010. Balance 0.00. Parent view on 28 Oct 2026 (turns 16 that day)</t>
  </si>
  <si>
    <t xml:space="preserve">1. Set the business date to 28 Oct 2026
2. Send a parent view request for the Education Account of student A
3. Look up the Education Account of student A by NRIC T9913011Z</t>
  </si>
  <si>
    <t xml:space="preserve">1. The response to the parent view shows the Account Status Closed
2. The stored Account Status is Closed</t>
  </si>
  <si>
    <t xml:space="preserve">Tender R1 (Education Account); FS R1 V1.0 F02-AC02, F02-BR01 [CR], F02-BR02 [TD], F02-AF03, 1.2.3 step 13, 1.2.5, F02-BR04</t>
  </si>
  <si>
    <t xml:space="preserve">CP-R1-04</t>
  </si>
  <si>
    <t xml:space="preserve">ASM-R1-01, ASM-R1-02, ASM-R1-04, ASM-R1-06, ASM-R1-14, ASM-R1-26, ASM-R1-32, Question on 16th birthday rule</t>
  </si>
  <si>
    <t xml:space="preserve">F02-AC02 says a parent view of an account of a holder who just turned 16 with balance 0 turns the account to Closed. 1.2.5 gives DOB 10/10/2018 closing on 10/10/2034, the 16th birthday.</t>
  </si>
  <si>
    <t xml:space="preserve">TC-R1-13-02</t>
  </si>
  <si>
    <t xml:space="preserve">Account stays Active the day before the 16th birthday</t>
  </si>
  <si>
    <t xml:space="preserve">A backend access finds the account Active the day before the 16th birthday and Closed from it, also when the access comes later. Case: Account stays Active the day before the 16th birthday</t>
  </si>
  <si>
    <t xml:space="preserve">Student A: NRIC T9913021G, Singapore Citizen, DOB 29 Oct 2010. Balance 0.00. Parent view on 28 Oct 2026 (15 years and 364 days old)</t>
  </si>
  <si>
    <t xml:space="preserve">1. Set the business date to 28 Oct 2026
2. Send a parent view request for the Education Account of student A
3. Look up the Education Account of student A by NRIC T9913021G</t>
  </si>
  <si>
    <t xml:space="preserve">1. The response to the parent view shows the Account Status Active
2. The stored Account Status is Active</t>
  </si>
  <si>
    <t xml:space="preserve">Tender R1 (Education Account); FS R1 V1.0 F02-AC01, F02-AF01, 1.2.5 example (DOB 10/10/2018 on 09/10/2034), F02-BR06</t>
  </si>
  <si>
    <t xml:space="preserve">F02-AF01 says a holder under 16 keeps an Active account. The 1.2.5 example gives Active the day before the 16th birthday.</t>
  </si>
  <si>
    <t xml:space="preserve">TC-R1-13-03</t>
  </si>
  <si>
    <t xml:space="preserve">An overdue account is closed at the next access</t>
  </si>
  <si>
    <t xml:space="preserve">A backend access finds the account Active the day before the 16th birthday and Closed from it, also when the access comes later. Case: An overdue account is closed at the next access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</si>
  <si>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and no backend access happened since the 16th birthday</t>
  </si>
  <si>
    <t xml:space="preserve">Student A: NRIC T9913031D, Singapore Citizen, DOB 25 Oct 2010 (turned 16 three days before). Balance 0.00. MOE HQ retrieval on 28 Oct 2026</t>
  </si>
  <si>
    <t xml:space="preserve">1. Set the business date to 28 Oct 2026
2. Send an MOE HQ retrieval request for the Education Account of student A
3. Look up the Education Account of student A by NRIC T9913031D</t>
  </si>
  <si>
    <t xml:space="preserve">1. The data returned to MOE HQ shows the Account Status Closed
2. The stored Account Status is Closed</t>
  </si>
  <si>
    <t xml:space="preserve">Tender R1 (Education Account); FS R1 V1.0 F02-AC03, F02-AF03, 1.2.5 example (DOB 10/10/2018 on 15/12/2034)</t>
  </si>
  <si>
    <t xml:space="preserve">ASM-R1-01, ASM-R1-02, ASM-R1-04, ASM-R1-06, ASM-R1-14, ASM-R1-26, ASM-R1-32</t>
  </si>
  <si>
    <t xml:space="preserve">F02-AC03 says the backend closes an overdue account before it returns data. The 1.2.5 example (access on 15/12/2034) says closure happens at the access if the account is not yet Closed.</t>
  </si>
  <si>
    <t xml:space="preserve">TC-R1-14-01</t>
  </si>
  <si>
    <t xml:space="preserve">SCN-R1-14</t>
  </si>
  <si>
    <t xml:space="preserve">Remaining balance is transferred to CPF at closure</t>
  </si>
  <si>
    <t xml:space="preserve">The exact balance goes to CPF through the Mock CPF Service and the account balance becomes zero. A Transfer Record keeps Success or Failed. A zero balance closes without a transfer. A failure, a retry and an interruption never lose or duplicate money. Case: Remaining balance is transferred to CPF at closure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</si>
  <si>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125.50 (seeded as test data)</t>
  </si>
  <si>
    <t xml:space="preserve">Student A: NRIC T9914011E, DOB 28 Oct 2010. Balance 125.50. Parent view on 28 Oct 2026</t>
  </si>
  <si>
    <t xml:space="preserve">1. Set the business date to 28 Oct 2026
2. Send a parent view request for the Education Account of student A
3. Open the transfers received by the Mock CPF Service
4. Look up the Education Account of student A by NRIC T9914011E</t>
  </si>
  <si>
    <t xml:space="preserve">1. The Mock CPF Service received one transfer of 125.50 for student A
2. The balance of the account is 0.00
3. The Account Status is Closed</t>
  </si>
  <si>
    <t xml:space="preserve">Tender R1 (Education Account); FS R1 V1.0 1.2.7 [CR] (remaining balance goes to CPF) and [Deferred], first FS F03-BR01, F03-BR02, F03-BR03 [WA], F03-AC01, F02-AC10</t>
  </si>
  <si>
    <t xml:space="preserve">CP-R1-07</t>
  </si>
  <si>
    <t xml:space="preserve">ASM-R1-42: First FS 1.3 F03-BR02 to BR07 [WA] (replaced), F03-AC01 to AC04, 2.4</t>
  </si>
  <si>
    <t xml:space="preserve">ASM-R1-01, ASM-R1-02, ASM-R1-04, ASM-R1-20, ASM-R1-32, ASM-R1-42, ASM-R1-47, Question on CPF delivery</t>
  </si>
  <si>
    <t xml:space="preserve">1.2.7 [CR] says the remaining balance goes to CPF and [Deferred] says the transfer is not built. First FS F03-BR02 sets the Transfer Amount to the Remaining Balance at closure and F03-AC01 expects the balance 0 after a successful transfer.</t>
  </si>
  <si>
    <t xml:space="preserve">TC-R1-14-02</t>
  </si>
  <si>
    <t xml:space="preserve">Smallest balance is transferred exactly</t>
  </si>
  <si>
    <t xml:space="preserve">The exact balance goes to CPF through the Mock CPF Service and the account balance becomes zero. A Transfer Record keeps Success or Failed. A zero balance closes without a transfer. A failure, a retry and an interruption never lose or duplicate money. Case: Smallest balance is transferred exactly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</si>
  <si>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0.01 (seeded as test data)</t>
  </si>
  <si>
    <t xml:space="preserve">Student A: NRIC T9914021B, DOB 28 Oct 2010. Balance 0.01. Parent view on 28 Oct 2026</t>
  </si>
  <si>
    <t xml:space="preserve">1. Set the business date to 28 Oct 2026
2. Send a parent view request for the Education Account of student A
3. Open the transfers received by the Mock CPF Service
4. Look up the Education Account of student A by NRIC T9914021B</t>
  </si>
  <si>
    <t xml:space="preserve">1. The Mock CPF Service received one transfer of 0.01 for student A
2. The balance of the account is 0.00</t>
  </si>
  <si>
    <t xml:space="preserve">Tender R1 (Education Account); FS R1 V1.0 1.2.7 [CR] and [Deferred], 2.3 (two decimals), first FS F03-BR02</t>
  </si>
  <si>
    <t xml:space="preserve">First FS F03-BR02 sets the Transfer Amount to the Remaining Balance, so the smallest amount moves in full. FS 2.3 gives two decimals.</t>
  </si>
  <si>
    <t xml:space="preserve">TC-R1-14-03</t>
  </si>
  <si>
    <t xml:space="preserve">Account with a zero balance after credits and debits closes</t>
  </si>
  <si>
    <t xml:space="preserve">The exact balance goes to CPF through the Mock CPF Service and the account balance becomes zero. A Transfer Record keeps Success or Failed. A zero balance closes without a transfer. A failure, a retry and an interruption never lose or duplicate money. Case: Account with a zero balance after credits and debits closes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</si>
  <si>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after a credit of 20.00 and a debit of 20.00 posted earlier</t>
  </si>
  <si>
    <t xml:space="preserve">Student A: NRIC T9914031Z, DOB 28 Oct 2010. Balance 0.00 with two transactions. Parent view on 28 Oct 2026</t>
  </si>
  <si>
    <t xml:space="preserve">1. Set the business date to 28 Oct 2026
2. Send a parent view request for the Education Account of student A
3. Look up the Education Account of student A by NRIC T9914031Z
4. Open the transaction history of the account</t>
  </si>
  <si>
    <t xml:space="preserve">1. The Account Status is Closed
2. The Account Balance is SGD 0.00
3. The transaction history still shows the credit of 20.00 and the debit of 20.00</t>
  </si>
  <si>
    <t xml:space="preserve">Tender R1 (Education Account); FS R1 V1.0 1.2.7 table row 1 (balance 0.00 completes closure), F02-AC02, F02-BR01 [CR], F02-BR11 [TD]</t>
  </si>
  <si>
    <t xml:space="preserve">ASM-R1-01, ASM-R1-02, ASM-R1-04, ASM-R1-14, ASM-R1-20, ASM-R1-32</t>
  </si>
  <si>
    <t xml:space="preserve">1.2.7 table row 1 says an account due for closure with a balance of 0.00 completes closure. F02-AC02 and F02-BR01 [CR] state the same result for a holder who reached 16. F02-BR11 [TD] keeps the transaction history.</t>
  </si>
  <si>
    <t xml:space="preserve">TC-R1-14-04</t>
  </si>
  <si>
    <t xml:space="preserve">Failed CPF transfer keeps the balance and flags the account</t>
  </si>
  <si>
    <t xml:space="preserve">The exact balance goes to CPF through the Mock CPF Service and the account balance becomes zero. A Transfer Record keeps Success or Failed. A zero balance closes without a transfer. A failure, a retry and an interruption never lose or duplicate money. Case: Failed CPF transfer keeps the balance and flags the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</si>
  <si>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is set to return Failure
5. The balance of the account is 125.50 (seeded as test data)</t>
  </si>
  <si>
    <t xml:space="preserve">Student A: NRIC T9914041G, DOB 28 Oct 2010. Balance 125.50. Parent view on 28 Oct 2026</t>
  </si>
  <si>
    <t xml:space="preserve">1. Set the business date to 28 Oct 2026
2. Send a parent view request for the Education Account of student A
3. Look up the Education Account of student A by NRIC T9914041G</t>
  </si>
  <si>
    <t xml:space="preserve">1. The balance of the account is still 125.50
2. The Account Status is still Active
3. The account is flagged for manual MOE HQ handling</t>
  </si>
  <si>
    <t xml:space="preserve">Tender R1 (Education Account); first FS F03-EF01, F03-BR05 [WA], F03-AC03, register TBD-05 (failed transfers flagged for manual MOE HQ handling), 1.2.7 [Deferred]</t>
  </si>
  <si>
    <t xml:space="preserve">ASM-R1-42: First FS 1.3 F03-BR02 to BR07 [WA] (replaced), F03-AC01 to AC04, 2.4
ASM-R1-43: First FS F03-EF01, F03-BR05 [WA], F03-AC03, 2.4, register TBD-05</t>
  </si>
  <si>
    <t xml:space="preserve">ASM-R1-01, ASM-R1-02, ASM-R1-04, ASM-R1-20, ASM-R1-32, ASM-R1-42, ASM-R1-43, ASM-R1-47, Question on CPF delivery</t>
  </si>
  <si>
    <t xml:space="preserve">First FS F03-EF01 says a failure keeps the balance and F03-AC03 says the account is not Closed. Register TBD-05 adds the flag for manual MOE HQ handling. The first FS has no flag.</t>
  </si>
  <si>
    <t xml:space="preserve">TC-R1-14-05</t>
  </si>
  <si>
    <t xml:space="preserve">A second access sends no second transfer</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</si>
  <si>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second access sends no second transfer</t>
  </si>
  <si>
    <t xml:space="preserve">Student A: NRIC T9914051D, DOB 28 Oct 2010. Balance 125.50. Parent views on 28 Oct 2026 and 29 Oct 2026</t>
  </si>
  <si>
    <t xml:space="preserve">1. Set the business date to 28 Oct 2026
2. Send a parent view request for the Education Account of student A
3. Set the business date to 29 Oct 2026
4. Send a parent view request for the Education Account of student A
5. Open the transfers received by the Mock CPF Service
6. Open the CPF Transfer Records of student A</t>
  </si>
  <si>
    <t xml:space="preserve">1. The Mock CPF Service received exactly one transfer of 125.50 for student A
2. The CPF Transfer Records of student A hold exactly one record with Transfer Status Success</t>
  </si>
  <si>
    <t xml:space="preserve">Tender R1 (Education Account); FS R1 V1.0 1.2.7 [CR] and [Deferred], F02-BR12 [TD], first FS F03-BR04 [WA], F03-AF02, F03-AC04</t>
  </si>
  <si>
    <t xml:space="preserve">First FS F03-BR04 allows one successful transfer per account and F03-AC04 says a later run creates no further transfer. F02-BR12 says repeated access does not repeat closure.</t>
  </si>
  <si>
    <t xml:space="preserve">TC-R1-14-06</t>
  </si>
  <si>
    <t xml:space="preserve">A zero balance makes no transfer and no Transfer Record</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</si>
  <si>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zero balance makes no transfer and no Transfer Record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</si>
  <si>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The CPF Transfer is built and the Mock CPF Service can be set to succeed or to fail</t>
  </si>
  <si>
    <t xml:space="preserve">Student A: NRIC T9914061A, DOB 28 Oct 2010. Balance 0.00. Parent view on 28 Oct 2026</t>
  </si>
  <si>
    <t xml:space="preserve">1. Set the business date to 28 Oct 2026
2. Send a parent view request for the Education Account of student A
3. Open the transfers received by the Mock CPF Service
4. Open the CPF Transfer Records of student A
5. Look up the Education Account of student A by NRIC T9914061A</t>
  </si>
  <si>
    <t xml:space="preserve">1. The Mock CPF Service received no transfer for student A
2. No CPF Transfer Record exists for student A
3. The Account Status is Closed</t>
  </si>
  <si>
    <t xml:space="preserve">Tender R1 (Education Account); FS R1 V1.0 1.2.7 table row 1, first FS F03-BR06 [WA], F03-AF01, F03-AC02, 1.3.3 step 4</t>
  </si>
  <si>
    <t xml:space="preserve">First FS F03-AF01 skips the monetary transfer at a balance of 0 and F03-AC02 allows the closure. Inference: step 4 of 1.3.3 creates a Transfer Record only when the amount is above 0, so none exists at 0.</t>
  </si>
  <si>
    <t xml:space="preserve">TC-R1-14-07</t>
  </si>
  <si>
    <t xml:space="preserve">A successful transfer is recorded with its amount, status and date</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</si>
  <si>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successful transfer is recorded with its amount, status and date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</si>
  <si>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150.00 (seeded as test data)</t>
  </si>
  <si>
    <t xml:space="preserve">Student A: NRIC T9914071I, DOB 28 Oct 2010. Balance 150.00. Parent view on 28 Oct 2026</t>
  </si>
  <si>
    <t xml:space="preserve">1. Set the business date to 28 Oct 2026
2. Send a parent view request for the Education Account of student A
3. Open the transfers received by the Mock CPF Service
4. Open the CPF Transfer Records of student A
5. Look up the Education Account of student A by NRIC T9914071I</t>
  </si>
  <si>
    <t xml:space="preserve">1. The Mock CPF Service received one transfer of 150.00 for student A
2. One CPF Transfer Record exists with the Account ID of the account of student A, a Transfer ID, Transfer Amount 150.00 and Transfer Status Success
3. The Transfer Date of the record is 28 Oct 2026
4. The balance of the account is 0.00
5. The Account Status is Closed</t>
  </si>
  <si>
    <t xml:space="preserve">Tender R1 (Education Account); first FS F03-AC01, F03-BR02, 1.3.3 step 6, 2.4 (first FS)</t>
  </si>
  <si>
    <t xml:space="preserve">First FS F03-AC01 gives Remaining Balance 150, Transfer Amount 150, Transfer Status Success and Balance 0 after closure. Step 6 records the Transfer Date and 2.4 lists the other fields. Inference: the Transfer Date is the business date of the access, because 2.4 defines it as the time of the successful transfer.</t>
  </si>
  <si>
    <t xml:space="preserve">TC-R1-14-08</t>
  </si>
  <si>
    <t xml:space="preserve">A failed transfer is recorded as Failed with a reason and no date</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</si>
  <si>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failed transfer is recorded as Failed with a reason and no date</t>
  </si>
  <si>
    <t xml:space="preserve">Student A: NRIC T9914081F, DOB 28 Oct 2010. Balance 125.50. Parent view on 28 Oct 2026</t>
  </si>
  <si>
    <t xml:space="preserve">1. Set the business date to 28 Oct 2026
2. Send a parent view request for the Education Account of student A
3. Open the CPF Transfer Records of student A
4. Look up the Education Account of student A by NRIC T9914081F</t>
  </si>
  <si>
    <t xml:space="preserve">1. One CPF Transfer Record exists with Transfer Amount 125.50 and Transfer Status Failed
2. The Failure Reason of the record has a value
3. The Transfer Date of the record has no value
4. The Account Status is not Closed</t>
  </si>
  <si>
    <t xml:space="preserve">Tender R1 (Education Account); first FS F03-EF01, F03-AC03, 1.3.3 steps 4 to 6, 2.4 (first FS)</t>
  </si>
  <si>
    <t xml:space="preserve">First FS F03-EF01 records Failed and F03-AC03 expects Transfer Status Failed with the account not Closed. Inference: Transfer Date is defined in 2.4 as the time of the successful transfer, so a failed record has none, and Failure Reason is the optional field for the cause.</t>
  </si>
  <si>
    <t xml:space="preserve">TC-R1-14-09</t>
  </si>
  <si>
    <t xml:space="preserve">A failed transfer is retried at the next access and succeeds once</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</si>
  <si>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failed transfer is retried at the next access and succeeds once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</si>
  <si>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return Failure and then Success
5. The balance of the account is 125.50 (seeded as test data)</t>
  </si>
  <si>
    <t xml:space="preserve">Student A: NRIC T9914091C, DOB 28 Oct 2010. Balance 125.50. First parent view on 28 Oct 2026 with the service set to Failure, second parent view on 29 Oct 2026 with the service set to Success</t>
  </si>
  <si>
    <t xml:space="preserve">1. Set the Mock CPF Service to return Failure
2. Set the business date to 28 Oct 2026
3. Send a parent view request for the Education Account of student A
4. Set the Mock CPF Service to return Success
5. Set the business date to 29 Oct 2026
6. Send a parent view request for the Education Account of student A
7. Open the transfers received by the Mock CPF Service
8. Open the CPF Transfer Records of student A
9. Look up the Education Account of student A by NRIC T9914091C</t>
  </si>
  <si>
    <t xml:space="preserve">1. The Mock CPF Service answered Success to exactly one transfer of 125.50 for student A
2. The CPF Transfer Records of student A hold exactly one record with Transfer Status Success
3. The balance of the account is 0.00
4. The Account Status is Closed</t>
  </si>
  <si>
    <t xml:space="preserve">Tender R1 (Education Account); first FS F03-EF01, F03-BR07 [WA], F03-BR04 [WA], F02 EF02 (first FS), F02 EF03 (first FS), F02 BR10 (first FS)</t>
  </si>
  <si>
    <t xml:space="preserve">ASM-R1-42: First FS 1.3 F03-BR02 to BR07 [WA] (replaced), F03-AC01 to AC04, 2.4
ASM-R1-44: First FS F02 exception flows EF02 and EF03, F02 BR10 [WA], F03-BR07 [WA]</t>
  </si>
  <si>
    <t xml:space="preserve">ASM-R1-01, ASM-R1-02, ASM-R1-04, ASM-R1-20, ASM-R1-32, ASM-R1-42, ASM-R1-44, ASM-R1-47, Question on CPF delivery</t>
  </si>
  <si>
    <t xml:space="preserve">First FS F02 exception flow EF02 records the error for retry and EF03 says a retry is safe. F03-BR07 and F03-BR04 allow one successful transfer. Inference: the first FS retried at the next batch, FS R1 V1.0 closes at an access, so the retry is placed at the next access.</t>
  </si>
  <si>
    <t xml:space="preserve">TC-R1-14-10</t>
  </si>
  <si>
    <t xml:space="preserve">Processing that stops after a successful transfer is finished at the next access</t>
  </si>
  <si>
    <t xml:space="preserve">The exact balance goes to CPF through the Mock CPF Service and the account balance becomes zero. A Transfer Record keeps Success or Failed. A zero balance closes without a transfer. A failure, a retry and an interruption never lose or duplicate money. Case: Processing that stops after a successful transfer is finished at the next access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</si>
  <si>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is set to succeed
5. QA can stop the processing after the Mock CPF Service answers Success and before the account is updated
6. The balance of the account is 125.50 (seeded as test data)</t>
  </si>
  <si>
    <t xml:space="preserve">Student A: NRIC T9914101D, DOB 28 Oct 2010. Balance 125.50. First parent view on 28 Oct 2026 interrupted after the transfer, second parent view on 29 Oct 2026</t>
  </si>
  <si>
    <t xml:space="preserve">1. Set the business date to 28 Oct 2026
2. Send a parent view request for the Education Account of student A and stop the processing after the Mock CPF Service answers Success and before the account is updated
3. Set the business date to 29 Oct 2026
4. Send a parent view request for the Education Account of student A
5. Open the transfers received by the Mock CPF Service
6. Open the CPF Transfer Records of student A
7. Look up the Education Account of student A by NRIC T9914101D</t>
  </si>
  <si>
    <t xml:space="preserve">1. The Mock CPF Service received exactly one transfer of 125.50 for student A
2. The CPF Transfer Records of student A hold exactly one record with Transfer Status Success
3. The balance of the account is 0.00
4. The Account Status is Closed</t>
  </si>
  <si>
    <t xml:space="preserve">Tender R1 (Education Account); first FS F03-EF02 [WA], F03-AF02, F03-BR04 [WA], F03-BR07 [WA], F03-AC04, F02 BR10 (first FS)</t>
  </si>
  <si>
    <t xml:space="preserve">ASM-R1-42: First FS 1.3 F03-BR02 to BR07 [WA] (replaced), F03-AC01 to AC04, 2.4
ASM-R1-45: First FS F03-BR04 [WA], F03-BR07 [WA], F03-AF02, F03-EF02 [WA], F03-AC04, F02 BR10 [WA]</t>
  </si>
  <si>
    <t xml:space="preserve">ASM-R1-01, ASM-R1-02, ASM-R1-04, ASM-R1-20, ASM-R1-32, ASM-R1-42, ASM-R1-45, ASM-R1-47, Question on CPF delivery</t>
  </si>
  <si>
    <t xml:space="preserve">First FS F03-EF02 [WA] says that after an interruption following a successful transfer the retry sends no second transfer and finishes the account update from the recorded transfer. F03-AF02 and F03-AC04 say the same for an existing successful transfer.</t>
  </si>
  <si>
    <t xml:space="preserve">TC-R1-14-11</t>
  </si>
  <si>
    <t xml:space="preserve">A credit posted the day before closure is part of the transferred amount</t>
  </si>
  <si>
    <t xml:space="preserve">The exact balance goes to CPF through the Mock CPF Service and the account balance becomes zero. A Transfer Record keeps Success or Failed. A zero balance closes without a transfer. A failure, a retry and an interruption never lose or duplicate money. Case: A credit posted the day before closure is part of the transferred amount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</si>
  <si>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was 100.00 on 26 Oct 2026 and a credit of 25.50 was posted on 27 Oct 2026 (seeded as test data)</t>
  </si>
  <si>
    <t xml:space="preserve">Student A: NRIC T9914111A, DOB 28 Oct 2010. Balance 100.00 on 26 Oct 2026, credit 25.50 posted on 27 Oct 2026. Parent view on 28 Oct 2026</t>
  </si>
  <si>
    <t xml:space="preserve">1. Set the business date to 28 Oct 2026
2. Send a parent view request for the Education Account of student A
3. Open the transfers received by the Mock CPF Service
4. Look up the Education Account of student A by NRIC T9914111A</t>
  </si>
  <si>
    <t xml:space="preserve">Tender R1 (Education Account); first FS F03-BR02, F03-AC01, 1.3.3 step 2</t>
  </si>
  <si>
    <t xml:space="preserve">First FS F03-BR02 sets the Transfer Amount to the Remaining Balance at the time of closure, so a credit posted the day before is included.</t>
  </si>
  <si>
    <t xml:space="preserve">TC-R1-14-12</t>
  </si>
  <si>
    <t xml:space="preserve">An account marked Closure Deferred closes through the transfer once it is delivered</t>
  </si>
  <si>
    <t xml:space="preserve">The exact balance goes to CPF through the Mock CPF Service and the account balance becomes zero. A Transfer Record keeps Success or Failed. A zero balance closes without a transfer. A failure, a retry and an interruption never lose or duplicate money. Case: An account marked Closure Deferred closes through the transfer once it is delivered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</si>
  <si>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The CPF Transfer is not built yet and the access of 28 Oct 2026 marks the account Closure Deferred
5. The CPF Transfer can then be made available with the Mock CPF Service set to succeed</t>
  </si>
  <si>
    <t xml:space="preserve">Student A: NRIC T9914121I, DOB 28 Oct 2010. Balance 125.50. First parent view on 28 Oct 2026 before the transfer exists, second parent view on 29 Oct 2026 after it exists</t>
  </si>
  <si>
    <t xml:space="preserve">1. Set the business date to 28 Oct 2026
2. Send a parent view request for the Education Account of student A while the CPF Transfer is not built
3. Make the CPF Transfer available with the Mock CPF Service set to return Success
4. Set the business date to 29 Oct 2026
5. Send a parent view request for the Education Account of student A
6. Open the transfers received by the Mock CPF Service
7. Look up the Education Account of student A by NRIC T9914121I</t>
  </si>
  <si>
    <t xml:space="preserve">1. The Mock CPF Service received one transfer of 125.50 for student A
2. The balance of the account is 0.00
3. The Account Status is Closed
4. The account no longer carries the Closure Deferred marker</t>
  </si>
  <si>
    <t xml:space="preserve">Tender R1 (Education Account); FS R1 V1.0 1.2.7 table row 4, F02-EF04 [WA], first FS F03-BR02</t>
  </si>
  <si>
    <t xml:space="preserve">ASM-R1-41: FS 1.2.7 table row 2 [WA], F02-EF04 [WA], F02-AC10
ASM-R1-42: First FS 1.3 F03-BR02 to BR07 [WA] (replaced), F03-AC01 to AC04, 2.4
ASM-R1-46: FS 1.2.7 table row 4, first FS F03</t>
  </si>
  <si>
    <t xml:space="preserve">ASM-R1-01, ASM-R1-02, ASM-R1-04, ASM-R1-20, ASM-R1-32, ASM-R1-41, ASM-R1-42, ASM-R1-46, ASM-R1-47, Question on CPF delivery</t>
  </si>
  <si>
    <t xml:space="preserve">1.2.7 table row 4 says closure completes once the CPF Transfer is built and gives no steps. Inference: the next backend access is the moment of closure (1.2.1) and F03 of the first FS is the transfer rule.</t>
  </si>
  <si>
    <t xml:space="preserve">TC-R1-15-01</t>
  </si>
  <si>
    <t xml:space="preserve">SCN-R1-15</t>
  </si>
  <si>
    <t xml:space="preserve">Pending transaction stops the closure</t>
  </si>
  <si>
    <t xml:space="preserve">A pending transaction stops the closure until it is settled. Case: Pending transaction stops the closure</t>
  </si>
  <si>
    <t xml:space="preserve">Tender R1 (Education Account); FS R1 V1.0 1.2.2 [TD], F02-BR09 [TD], 1.2.7</t>
  </si>
  <si>
    <t xml:space="preserve">CP-R1-08</t>
  </si>
  <si>
    <t xml:space="preserve">Question on pending transactions</t>
  </si>
  <si>
    <t xml:space="preserve">1.2.2 says the team assumes no pending transaction at closure and F02 builds no reconciliation. No expected result exists for a pending item.</t>
  </si>
  <si>
    <t xml:space="preserve">TC-R1-15-02</t>
  </si>
  <si>
    <t xml:space="preserve">Closure completes after the pending item is settled</t>
  </si>
  <si>
    <t xml:space="preserve">A pending transaction stops the closure until it is settled. Case: Closure completes after the pending item is settled</t>
  </si>
  <si>
    <t xml:space="preserve">Same as S15-01. The settlement of a pending item belongs to the Top-Up and Payment functions (1.2.7).</t>
  </si>
  <si>
    <t xml:space="preserve">TC-R1-16-01</t>
  </si>
  <si>
    <t xml:space="preserve">SCN-R1-16</t>
  </si>
  <si>
    <t xml:space="preserve">Unpaid fee does not stop the closure</t>
  </si>
  <si>
    <t xml:space="preserve">Unpaid fees do not stop the closure. Case: Unpaid fee does not stop the closure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</si>
  <si>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Student A has an unpaid fee of 50.00 in the fee data</t>
  </si>
  <si>
    <t xml:space="preserve">Student A: NRIC T9916011F, DOB 28 Oct 2010. Balance 0.00, unpaid fee 50.00. Parent view on 28 Oct 2026</t>
  </si>
  <si>
    <t xml:space="preserve">1. Set the business date to 28 Oct 2026
2. Send a parent view request for the Education Account of student A
3. Look up the Education Account of student A by NRIC T9916011F</t>
  </si>
  <si>
    <t xml:space="preserve">1. The Account Status is Closed
2. The unpaid fee of 50.00 is still unpaid</t>
  </si>
  <si>
    <t xml:space="preserve">Tender R1 (Education Account); Register NEW-01, F02-AC02, 1.2.7 table row 1</t>
  </si>
  <si>
    <t xml:space="preserve">CP-R1-09</t>
  </si>
  <si>
    <t xml:space="preserve">ASM-R1-01, ASM-R1-02, ASM-R1-04, ASM-R1-14, ASM-R1-32</t>
  </si>
  <si>
    <t xml:space="preserve">Register NEW-01 says unpaid fees do not block closure. The balance is 0.00 so closure does not need the CPF transfer: F02-AC02 and the 1.2.7 table row 1 say an account with balance 0 turns Closed. The FS does not mention fees.</t>
  </si>
  <si>
    <t xml:space="preserve">TC-R1-16-02</t>
  </si>
  <si>
    <t xml:space="preserve">Whole balance goes to CPF when a fee is unpaid</t>
  </si>
  <si>
    <t xml:space="preserve">Unpaid fees do not stop the closure. Case: Whole balance goes to CPF when a fee is unpaid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</si>
  <si>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4. Student A has an unpaid fee of 50.00
5. The CPF Transfer is built and the Mock CPF Service can be set to succeed or to fail</t>
  </si>
  <si>
    <t xml:space="preserve">Student A: NRIC T9916021C, DOB 28 Oct 2010. Balance 125.50, unpaid fee 50.00. Parent view on 28 Oct 2026</t>
  </si>
  <si>
    <t xml:space="preserve">1. Set the business date to 28 Oct 2026
2. Send a parent view request for the Education Account of student A
3. Open the transfers received by the Mock CPF Service
4. Open the fee record of student A</t>
  </si>
  <si>
    <t xml:space="preserve">1. The Mock CPF Service received one transfer of 125.50 for student A
2. The unpaid fee of 50.00 is still unpaid</t>
  </si>
  <si>
    <t xml:space="preserve">Tender R1 (Education Account); Register NEW-01, 1.2.7 [Deferred], first FS F03-BR02</t>
  </si>
  <si>
    <t xml:space="preserve">ASM-R1-01, ASM-R1-02, ASM-R1-04, ASM-R1-20, ASM-R1-32, ASM-R1-42, ASM-R1-47, Question on unpaid fees, Question on CPF delivery</t>
  </si>
  <si>
    <t xml:space="preserve">Register NEW-01 says unpaid fees do not block closure. First FS F03-BR02 sets the Transfer Amount to the whole Remaining Balance and has no fee term (searched the first FS for fee: no match). Inference: the fee is not deducted. Whether the balance settles fees stays a question.</t>
  </si>
  <si>
    <t xml:space="preserve">TC-R1-17-01</t>
  </si>
  <si>
    <t xml:space="preserve">SCN-R1-17</t>
  </si>
  <si>
    <t xml:space="preserve">Payment request on a closed account is refused</t>
  </si>
  <si>
    <t xml:space="preserve">A closed account refuses Top-Up and Payment, stays readable with its history, and is not deleted. Case: Payment request on a closed account is refused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</si>
  <si>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 Closed Education Account with a balance of 0.00, closed by the access of 28 Oct 2026</t>
  </si>
  <si>
    <t xml:space="preserve">Student A: NRIC T9917011A, DOB 28 Oct 2010. Payment request of 1.00 on 29 Oct 2026</t>
  </si>
  <si>
    <t xml:space="preserve">1. Set the business date to 29 Oct 2026
2. Send a Payment request of 1.00 on the account
3. Look up the Education Account of student A by NRIC T9917011A
4. Open the transaction history of the account</t>
  </si>
  <si>
    <t xml:space="preserve">1. The System does not execute the Payment
2. The balance is still 0.00
3. The transaction history has no new entry</t>
  </si>
  <si>
    <t xml:space="preserve">Tender R1 (Education Account); FS R1 V1.0 1.2.3 step 3, F02-AC07, F02-BR10 [WA]</t>
  </si>
  <si>
    <t xml:space="preserve">CP-R1-15</t>
  </si>
  <si>
    <t xml:space="preserve">ASM-R1-01, ASM-R1-02, ASM-R1-04, ASM-R1-19, ASM-R1-32</t>
  </si>
  <si>
    <t xml:space="preserve">1.2.3 step 3 says a Closed account refuses a financial action. F02-AC07 says no transaction is done on a Closed account. F02-BR10 carries [WA] but the untagged criteria state the same behaviour.</t>
  </si>
  <si>
    <t xml:space="preserve">TC-R1-17-02</t>
  </si>
  <si>
    <t xml:space="preserve">Top-Up request on a closed account is refused</t>
  </si>
  <si>
    <t xml:space="preserve">A closed account refuses Top-Up and Payment, stays readable with its history, and is not deleted. Case: Top-Up request on a closed account is refused</t>
  </si>
  <si>
    <t xml:space="preserve">Student A: NRIC T9917021I, DOB 28 Oct 2010. Top-Up request of 1.00 on 29 Oct 2026</t>
  </si>
  <si>
    <t xml:space="preserve">1. Set the business date to 29 Oct 2026
2. Send a Top-Up request of 1.00 on the account
3. Look up the Education Account of student A by NRIC T9917021I
4. Open the transaction history of the account</t>
  </si>
  <si>
    <t xml:space="preserve">1. The System does not execute the Top-Up
2. The balance is still 0.00
3. The transaction history has no new entry</t>
  </si>
  <si>
    <t xml:space="preserve">Same as S17-01 for a Top-Up.</t>
  </si>
  <si>
    <t xml:space="preserve">TC-R1-17-03</t>
  </si>
  <si>
    <t xml:space="preserve">Closed account and its history stay readable to the authorised parent</t>
  </si>
  <si>
    <t xml:space="preserve">A closed account refuses Top-Up and Payment, stays readable with its history, and is not deleted. Case: Closed account and its history stay readable to the authorised parent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</si>
  <si>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 Closed Education Account with a credit of 20.00 and a debit of 20.00 in its history, closed on 28 Oct 2026
4. An authorised parent exists</t>
  </si>
  <si>
    <t xml:space="preserve">Student A: NRIC T9917031F, DOB 28 Oct 2010. Credit 20.00 and debit 20.00 before closure. Parent view on 29 Oct 2026</t>
  </si>
  <si>
    <t xml:space="preserve">1. Set the business date to 29 Oct 2026
2. Send a parent view request for the Education Account of student A
3. Open the transaction history in the response</t>
  </si>
  <si>
    <t xml:space="preserve">1. The Account Status is Closed
2. The history shows the credit of 20.00 and the debit of 20.00
3. No transaction can be started from the response</t>
  </si>
  <si>
    <t xml:space="preserve">Tender R1 (Education Account); FS R1 V1.0 F02-AC07, F02-BR11 [TD], 2.3 Business Rules (Transaction History is kept)</t>
  </si>
  <si>
    <t xml:space="preserve">F02-AC07 says an authorised parent can view a Closed account and its history and cannot do a transaction. F02-BR11 [TD] keeps the history.</t>
  </si>
  <si>
    <t xml:space="preserve">TC-R1-17-04</t>
  </si>
  <si>
    <t xml:space="preserve">A closed account is not deleted</t>
  </si>
  <si>
    <t xml:space="preserve">A closed account refuses Top-Up and Payment, stays readable with its history, and is not deleted. Case: A closed account is not deleted</t>
  </si>
  <si>
    <t xml:space="preserve">Student A: NRIC T9917041C, DOB 28 Oct 2010. Search on 29 Oct 2026</t>
  </si>
  <si>
    <t xml:space="preserve">1. Set the business date to 29 Oct 2026
2. Search the Education Accounts by NRIC T9917041C in the backend</t>
  </si>
  <si>
    <t xml:space="preserve">1. The backend returns the Closed account of student A with its Education Account Number</t>
  </si>
  <si>
    <t xml:space="preserve">Tender R1 (Education Account); FS R1 V1.0 1.1.7 [WA] (no Hard Delete or Soft Delete in Sprint 1), F02-BR11 [TD]</t>
  </si>
  <si>
    <t xml:space="preserve">ASM-R1-38: FS 1.1.7 [WA]</t>
  </si>
  <si>
    <t xml:space="preserve">ASM-R1-01, ASM-R1-02, ASM-R1-32, ASM-R1-38</t>
  </si>
  <si>
    <t xml:space="preserve">1.1.7 [WA] says a Closed account is not deleted. F02-BR11 [TD] keeps it for lookup and audit.</t>
  </si>
  <si>
    <t xml:space="preserve">TC-R1-18-01</t>
  </si>
  <si>
    <t xml:space="preserve">SCN-R1-18</t>
  </si>
  <si>
    <t xml:space="preserve">Child who becomes a citizen after 7 gets an account through Manual Account Creation or Bulk Re-synchronization</t>
  </si>
  <si>
    <t xml:space="preserve">A citizen who becomes a Singapore Citizen after the Initial Synchronization is not added by the Daily Job. Manual Account Creation or Bulk Re-synchronization handle it in the next sprint. Case: Child who becomes a citizen after 7 gets an account through Manual Account Creation or Bulk Re-synchronization</t>
  </si>
  <si>
    <t xml:space="preserve">Tender R1 (Education Account); FS R1 V1.0 section 4 [TD], 1.1.1 B [TD, Deferred]; register TBD-03 (creation follows feed processing)</t>
  </si>
  <si>
    <t xml:space="preserve">CP-R1-13</t>
  </si>
  <si>
    <t xml:space="preserve">ASM-R1-01, Question on citizenship gained after 7, Question on Manual Account Creation and Bulk Re-synchronization</t>
  </si>
  <si>
    <t xml:space="preserve">Section 4 [TD] says a citizen whose citizenship changes after the Initial Synchronization is not processed by the Daily Job, and 1.1.1 B names Manual Account Creation and Bulk Re-synchronization for the next sprint. Register TBD-03 says the account is created once the citizen is in the feed. No steps are written until the next sprint feature is specified.</t>
  </si>
  <si>
    <t xml:space="preserve">TC-R1-18-02</t>
  </si>
  <si>
    <t xml:space="preserve">Child who becomes a citizen below 7 gets the account on the 7th birthday</t>
  </si>
  <si>
    <t xml:space="preserve">A citizen who becomes a Singapore Citizen after the Initial Synchronization is not added by the Daily Job. Manual Account Creation or Bulk Re-synchronization handle it in the next sprint. Case: Child who becomes a citizen below 7 gets the account on the 7th birthday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</si>
  <si>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aged 6 in the API and has no Education Account</t>
  </si>
  <si>
    <t xml:space="preserve">Student A: NRIC T9918021D, DOB 16 Oct 2019. Citizenship changes to Singapore Citizen on 15 Oct 2026. Business dates 15 Oct 2026 and 16 Oct 2026</t>
  </si>
  <si>
    <t xml:space="preserve">1. Change the citizenship of student A to Singapore Citizen in the API
2. Set the business date to 15 Oct 2026
3. Run the Daily Incremental Synchronization
4. Look up the Education Account of student A by NRIC T9918021D
5. Set the business date to 16 Oct 2026
6. Run the Daily Incremental Synchronization
7. Look up the Education Account of student A by NRIC T9918021D</t>
  </si>
  <si>
    <t xml:space="preserve">1. After the run of 15 Oct 2026 no account exists for student A
2. After the run of 16 Oct 2026 the System creates one Active Education Account for student A</t>
  </si>
  <si>
    <t xml:space="preserve">Tender R1 (Education Account); FS R1 V1.0 1.1.5 steps 2 and 3, F01-AC02</t>
  </si>
  <si>
    <t xml:space="preserve">1.1.5 step 2 retrieves the Singapore Citizens who just turned 7, so a citizen who is a Singapore Citizen on the 7th birthday gets the account.</t>
  </si>
  <si>
    <t xml:space="preserve">TC-R1-18-03</t>
  </si>
  <si>
    <t xml:space="preserve">Citizen who becomes a dual citizen keeps the account</t>
  </si>
  <si>
    <t xml:space="preserve">A citizen who becomes a Singapore Citizen after the Initial Synchronization is not added by the Daily Job. Manual Account Creation or Bulk Re-synchronization handle it in the next sprint. Case: Citizen who becomes a dual citizen keeps the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</si>
  <si>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is a Singapore Citizen aged 9 with an Active Education Account and a balance of 0.00
4. The API changes the citizenship of student A to citizen of Singapore and another country (ASM-R1-31)</t>
  </si>
  <si>
    <t xml:space="preserve">Student A: NRIC T9918031A, DOB 15 Oct 2017. Citizenship changes on 16 Oct 2026. Parent view on 16 Oct 2026</t>
  </si>
  <si>
    <t xml:space="preserve">1. Change the citizenship of student A in the Mock Government Citizen API
2. Set the business date to 16 Oct 2026
3. Send a parent view request for the Education Account of student A
4. Search the Education Accounts by NRIC T9918031A</t>
  </si>
  <si>
    <t xml:space="preserve">1. The search returns exactly one Education Account for student A
2. The Account Status is Active and the Education Account Number is unchanged</t>
  </si>
  <si>
    <t xml:space="preserve">Tender R1 (Education Account); Register NEW-03, FS R1 V1.0 F02-BR05, 1.2.2 (Closure Eligibility)</t>
  </si>
  <si>
    <t xml:space="preserve">Register NEW-03 says a dual citizen counts as Singaporean, so F02-BR05 (closure when the holder is no longer a Singapore Citizen) does not apply. The way a dual citizen is shown is assumed (ASM-R1-31).</t>
  </si>
  <si>
    <t xml:space="preserve">TC-R1-18-04</t>
  </si>
  <si>
    <t xml:space="preserve">A citizen who gained citizenship after 7 is not added by the Daily Incremental Synchronization</t>
  </si>
  <si>
    <t xml:space="preserve">A citizen who becomes a Singapore Citizen after the Initial Synchronization is not added by the Daily Job. Manual Account Creation or Bulk Re-synchronization handle it in the next sprint. Case: A citizen who gained citizenship after 7 is not added by the Daily Incremental Synchronization</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</si>
  <si>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aged 9 in the API and has no Education Account</t>
  </si>
  <si>
    <t xml:space="preserve">Student A: NRIC T9918041I, DOB 15 Oct 2017. Citizenship changes to Singapore Citizen on 15 Oct 2026. Business dates 15 Oct 2026 and 16 Oct 2026</t>
  </si>
  <si>
    <t xml:space="preserve">1. Change the citizenship of student A to Singapore Citizen in the Mock Government Citizen API
2. Set the business date to 15 Oct 2026
3. Run the Daily Incremental Synchronization
4. Set the business date to 16 Oct 2026
5. Run the Daily Incremental Synchronization
6. Look up the Education Account of student A by NRIC T9918041I</t>
  </si>
  <si>
    <t xml:space="preserve">1. The System creates no Education Account for student A in either run</t>
  </si>
  <si>
    <t xml:space="preserve">Tender R1 (Education Account); FS R1 V1.0 section 4 [TD] (Incremental Synchronization Scope), 1.1.5 Notes [TD]</t>
  </si>
  <si>
    <t xml:space="preserve">Section 4 [TD] says a record whose citizenship changes after the Initial Synchronization is not processed by the Daily Job. The case documents the FS rule. The register says the opposite (see the question).</t>
  </si>
  <si>
    <t xml:space="preserve">TC-R1-19-01</t>
  </si>
  <si>
    <t xml:space="preserve">SCN-R1-19</t>
  </si>
  <si>
    <t xml:space="preserve">Account closes at a backend access when the holder is no longer a Singapore Citizen</t>
  </si>
  <si>
    <t xml:space="preserve">An account whose holder is no longer a Singapore Citizen is closed at a backend access (team decision that needs business confirmation). A Closed account is not reopened. Case: Account closes at a backend access when the holder is no longer a Singapore Citizen</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</si>
  <si>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API changes the citizenship of student A to Foreign on 20 Oct 2026</t>
  </si>
  <si>
    <t xml:space="preserve">Student A: NRIC T9919011B, DOB 15 Oct 2016 (10 years old). Citizenship lost on 20 Oct 2026. Balance 0.00. Parent view on 20 Oct 2026</t>
  </si>
  <si>
    <t xml:space="preserve">1. Change the citizenship of student A to Foreign in the Mock Government Citizen API
2. Set the business date to 20 Oct 2026
3. Send a parent view request for the Education Account of student A
4. Look up the Education Account of student A by NRIC T9919011B</t>
  </si>
  <si>
    <t xml:space="preserve">1. The response to the parent view shows the Account Status Closed
2. The stored Account Status is Closed
3. The Actual Account Closure Date has a value</t>
  </si>
  <si>
    <t xml:space="preserve">Tender R1 (Education Account); FS R1 V1.0 F02-BR05 [TD, needs business confirmation], F02-AC11 [TD], F02-AF04, 1.2.5 example row 4 [TD], 1.2.6 [TD]</t>
  </si>
  <si>
    <t xml:space="preserve">ASM-R1-07: FS F02-BR05 [TD], F02-AC11 [TD], 1.2.6</t>
  </si>
  <si>
    <t xml:space="preserve">ASM-R1-01, ASM-R1-02, ASM-R1-07, ASM-R1-14, ASM-R1-32</t>
  </si>
  <si>
    <t xml:space="preserve">F02-BR05 and F02-AC11 [TD] say that when the Government data shows the holder is no longer a Singapore Citizen, the System runs closure processing. F02-BR05 and 1.2.6 add that the business has not confirmed this. The balance is 0.00, so closure needs no balance handling (1.2.7 table row 1).</t>
  </si>
  <si>
    <t xml:space="preserve">TC-R1-19-02</t>
  </si>
  <si>
    <t xml:space="preserve">Regained citizenship after a closure creates no second account</t>
  </si>
  <si>
    <t xml:space="preserve">An account whose holder is no longer a Singapore Citizen is closed at a backend access (team decision that needs business confirmation). A Closed account is not reopened. Case: Regained citizenship after a closure creates no second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</si>
  <si>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in the Mock Government Citizen API with a Closed Education Account seeded as test data (closed after a loss of citizenship)</t>
  </si>
  <si>
    <t xml:space="preserve">Student A: NRIC T9919021Z, DOB 15 Oct 2016. Closed account seeded. Citizenship regained on 25 Oct 2026. Business date 25 Oct 2026</t>
  </si>
  <si>
    <t xml:space="preserve">1. Set the citizenship of student A to Singapore Citizen in the Mock Government Citizen API
2. Set the business date to 25 Oct 2026
3. Run the Initial Synchronization
4. Search the Education Accounts by NRIC T9919021Z</t>
  </si>
  <si>
    <t xml:space="preserve">1. The search returns exactly one Education Account for student A
2. The Education Account Number is the one of the Closed account</t>
  </si>
  <si>
    <t xml:space="preserve">F01-AC07 and F01-AF03 say a citizen who already has a Closed account gets no new account, whatever the citizenship now is.</t>
  </si>
  <si>
    <t xml:space="preserve">TC-R1-19-03</t>
  </si>
  <si>
    <t xml:space="preserve">Closure by loss of citizenship with a balance above 0.00 does not use the CPF rule by default</t>
  </si>
  <si>
    <t xml:space="preserve">An account whose holder is no longer a Singapore Citizen is closed at a backend access (team decision that needs business confirmation). A Closed account is not reopened. Case: Closure by loss of citizenship with a balance above 0.00 does not use the CPF rule by default</t>
  </si>
  <si>
    <t xml:space="preserve">Tender R1 (Education Account); FS R1 V1.0 1.2.7 table row 3 and Important note, section 4 [Open Business Decision]</t>
  </si>
  <si>
    <t xml:space="preserve">ASM-R1-01, ASM-R1-07, Question on citizenship based closure balance</t>
  </si>
  <si>
    <t xml:space="preserve">1.2.7 says an account closed for loss of citizenship before 16 follows closure by [TD] but the handling of the remaining balance is not confirmed, and the CPF Transfer rule of age based closure must not be used by default. Section 4 lists it as an open business decision. No steps are written until the business decides.</t>
  </si>
  <si>
    <t xml:space="preserve">TC-R1-19-04</t>
  </si>
  <si>
    <t xml:space="preserve">Top-Up and Payment on an account of a holder who lost citizenship are not executed</t>
  </si>
  <si>
    <t xml:space="preserve">An account whose holder is no longer a Singapore Citizen is closed at a backend access (team decision that needs business confirmation). A Closed account is not reopened. Case: Top-Up and Payment on an account of a holder who lost citizenship are not executed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</si>
  <si>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The API shows the citizenship of student A as Foreign from 21 Oct 2026</t>
  </si>
  <si>
    <t xml:space="preserve">Student A: NRIC T9919041D, DOB 15 Oct 2016. Balance 0.00. Citizenship lost on 21 Oct 2026. Top-Up request of 10.00 and Payment request of 5.00 on 21 Oct 2026</t>
  </si>
  <si>
    <t xml:space="preserve">1. Set the citizenship of student A to Foreign in the Mock Government Citizen API
2. Set the business date to 21 Oct 2026
3. Send a Top-Up request of 10.00 on the account
4. Send a Payment request of 5.00 on the account
5. Look up the Education Account of student A by NRIC T9919041D</t>
  </si>
  <si>
    <t xml:space="preserve">1. The System does not execute the Top-Up
2. The System does not execute the Payment
3. The balance is still 0.00
4. The Account Status is Closed</t>
  </si>
  <si>
    <t xml:space="preserve">Tender R1 (Education Account); FS R1 V1.0 F02-AF05, F02-AF04, 1.2.3 step 10, F02-BR05 [TD, needs business confirmation]</t>
  </si>
  <si>
    <t xml:space="preserve">F02-AF05 says a Top-Up or Payment on an account that is due for closure runs the closure check and does not go on. F02-AF04 makes loss of citizenship a closure condition [TD]. Step 10 stops new financial transactions during closure.</t>
  </si>
  <si>
    <t xml:space="preserve">TC-R1-19-05</t>
  </si>
  <si>
    <t xml:space="preserve">A Closed account is not reopened when the citizenship is regained</t>
  </si>
  <si>
    <t xml:space="preserve">An account whose holder is no longer a Singapore Citizen is closed at a backend access (team decision that needs business confirmation). A Closed account is not reopened. Case: A Closed account is not reopened when the citizenship is regained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</si>
  <si>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 Closed Education Account with a balance of 0.00, closed after a loss of citizenship (seeded as test data)
4. An authorised parent exists</t>
  </si>
  <si>
    <t xml:space="preserve">Student A: NRIC T9919051A, DOB 15 Oct 2016. Closed account seeded. Citizenship regained on 26 Oct 2026. Parent view on 26 Oct 2026</t>
  </si>
  <si>
    <t xml:space="preserve">1. Set the citizenship of student A to Singapore Citizen in the Mock Government Citizen API
2. Set the business date to 26 Oct 2026
3. Send a parent view request for the Education Account of student A
4. Look up the Education Account of student A by NRIC T9919051A</t>
  </si>
  <si>
    <t xml:space="preserve">1. The Account Status is still Closed
2. The Actual Account Closure Date is unchanged</t>
  </si>
  <si>
    <t xml:space="preserve">Tender R1 (Education Account); FS R1 V1.0 F02-AF02, F02-AC06, F02-BR12 [TD]</t>
  </si>
  <si>
    <t xml:space="preserve">ASM-R1-48: FS F02-AF02, F02-AC06 (no reopening rule)</t>
  </si>
  <si>
    <t xml:space="preserve">ASM-R1-01, ASM-R1-02, ASM-R1-14, ASM-R1-32, ASM-R1-48</t>
  </si>
  <si>
    <t xml:space="preserve">Inference: F02-AF02 and F02-AC06 say a Closed account is not closed again and its Actual Closure Date does not change. Searched FS R1 V1.0 for reopen and reactivate (and the Vietnamese terms): no rule reopens an account, so it stays Closed.</t>
  </si>
  <si>
    <t xml:space="preserve">TC-R1-20-01</t>
  </si>
  <si>
    <t xml:space="preserve">SCN-R1-20</t>
  </si>
  <si>
    <t xml:space="preserve">Departure data deactivates the account</t>
  </si>
  <si>
    <t xml:space="preserve">Departure data deactivates the account (Func1 diagram). Case: Departure data deactivates the account</t>
  </si>
  <si>
    <t xml:space="preserve">Tender R1 (Education Account); No FS item. Flow R1 (Func1 diagram), register NEW-04</t>
  </si>
  <si>
    <t xml:space="preserve">CP-R1-14</t>
  </si>
  <si>
    <t xml:space="preserve">ASM-R1-01, Question on citizen leaves the country</t>
  </si>
  <si>
    <t xml:space="preserve">The FS has no departure input or rule. Only the Func1 diagram deactivates the account when the citizen leaves the country, and register NEW-04 keeps the account of a citizen studying overseas. No steps are written until the scope is decided.</t>
  </si>
  <si>
    <t xml:space="preserve">TC-R1-21-01</t>
  </si>
  <si>
    <t xml:space="preserve">SCN-R1-21</t>
  </si>
  <si>
    <t xml:space="preserve">Credit increases the balance by the exact amount</t>
  </si>
  <si>
    <t xml:space="preserve">Credits and debits change the balance exactly, a debit above the balance is refused, and a failed debit changes nothing. Case: Credit increases the balance by the exact amount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</si>
  <si>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100.00 (seeded as test data)</t>
  </si>
  <si>
    <t xml:space="preserve">Student A: NRIC T9921011C. Balance 100.00. Credit 25.50</t>
  </si>
  <si>
    <t xml:space="preserve">1. Post a credit of 25.50 on the account through a Top-Up request or the transaction test interface
2. Look up the Education Account of student A by NRIC T9921011C
3. Open the transaction history of the account</t>
  </si>
  <si>
    <t xml:space="preserve">1. The balance is 125.50
2. The transaction history has one new incoming entry of 25.50</t>
  </si>
  <si>
    <t xml:space="preserve">Tender R1 (Education Account); FS R1 V1.0 2.3 Business Rules (Successful incoming transaction làm tăng Account Balance)</t>
  </si>
  <si>
    <t xml:space="preserve">CP-R1-16</t>
  </si>
  <si>
    <t xml:space="preserve">2.3 says a successful incoming transaction increases the balance.</t>
  </si>
  <si>
    <t xml:space="preserve">TC-R1-21-02</t>
  </si>
  <si>
    <t xml:space="preserve">Debit equal to the balance leaves zero</t>
  </si>
  <si>
    <t xml:space="preserve">Credits and debits change the balance exactly, a debit above the balance is refused, and a failed debit changes nothing. Case: Debit equal to the balance leaves zero</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</si>
  <si>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t>
  </si>
  <si>
    <t xml:space="preserve">Student A: NRIC T9921021J. Balance 125.50. Debit 125.50</t>
  </si>
  <si>
    <t xml:space="preserve">1. Post a debit of 125.50 on the account through a Payment request or the transaction test interface
2. Look up the Education Account of student A by NRIC T9921021J
3. Open the transaction history of the account</t>
  </si>
  <si>
    <t xml:space="preserve">1. The System accepts the debit
2. The balance is 0.00
3. The transaction history has one new outgoing entry of 125.50</t>
  </si>
  <si>
    <t xml:space="preserve">Tender R1 (Education Account); FS R1 V1.0 2.3 Business Rules (Successful outgoing transaction làm giảm Account Balance)</t>
  </si>
  <si>
    <t xml:space="preserve">2.3 says a successful outgoing transaction decreases the balance. A balance of 0.00 is not negative.</t>
  </si>
  <si>
    <t xml:space="preserve">TC-R1-21-03</t>
  </si>
  <si>
    <t xml:space="preserve">Debit above the balance by 0.01 is refused</t>
  </si>
  <si>
    <t xml:space="preserve">Credits and debits change the balance exactly, a debit above the balance is refused, and a failed debit changes nothing. Case: Debit above the balance by 0.01 is refused</t>
  </si>
  <si>
    <t xml:space="preserve">Student A: NRIC T9921031H. Balance 125.50. Debit 125.51</t>
  </si>
  <si>
    <t xml:space="preserve">1. Post a debit of 125.51 on the account through a Payment request or the transaction test interface
2. Look up the Education Account of student A by NRIC T9921031H
3. Open the transaction history of the account</t>
  </si>
  <si>
    <t xml:space="preserve">1. The System refuses the debit
2. The balance is still 125.50
3. The transaction history has no successful entry for the debit</t>
  </si>
  <si>
    <t xml:space="preserve">Tender R1 (Education Account); FS R1 V1.0 2.3 Business Rules (Negative Account Balance [WA])</t>
  </si>
  <si>
    <t xml:space="preserve">ASM-R1-21: FS 2.3 [WA]</t>
  </si>
  <si>
    <t xml:space="preserve">ASM-R1-01, ASM-R1-02, ASM-R1-20, ASM-R1-21, ASM-R1-32</t>
  </si>
  <si>
    <t xml:space="preserve">2.3 [WA] says a negative balance is not supported in the MVP, so a debit above the balance cannot succeed.</t>
  </si>
  <si>
    <t xml:space="preserve">TC-R1-21-04</t>
  </si>
  <si>
    <t xml:space="preserve">Debit that fails halfway leaves the balance and history unchanged</t>
  </si>
  <si>
    <t xml:space="preserve">Credits and debits change the balance exactly, a debit above the balance is refused, and a failed debit changes nothing. Case: Debit that fails halfway leaves the balance and history unchanged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</si>
  <si>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QA can make the debit fail after the balance changes and before the history entry is saved</t>
  </si>
  <si>
    <t xml:space="preserve">Student A: NRIC T9921041E. Balance 125.50. Debit 20.00 with an injected failure</t>
  </si>
  <si>
    <t xml:space="preserve">1. Post a debit of 20.00 on the account through a Payment request or the transaction test interface with the failure injected
2. Look up the Education Account of student A by NRIC T9921041E
3. Open the transaction history of the account</t>
  </si>
  <si>
    <t xml:space="preserve">1. The balance is still 125.50
2. The transaction history shows the debit as Failed or has no entry for it, and no success entry</t>
  </si>
  <si>
    <t xml:space="preserve">Tender R1 (Education Account); FS R1 V1.0 2.3 Business Rules (Failed Transaction không làm thay đổi Account Balance [WA])</t>
  </si>
  <si>
    <t xml:space="preserve">2.3 [WA] says a failed transaction does not change the balance. 2.3 lists Failed as a transaction status.</t>
  </si>
  <si>
    <t xml:space="preserve">TC-R1-21-05</t>
  </si>
  <si>
    <t xml:space="preserve">Amounts keep two decimals</t>
  </si>
  <si>
    <t xml:space="preserve">Credits and debits change the balance exactly, a debit above the balance is refused, and a failed debit changes nothing. Case: Amounts keep two decimals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</si>
  <si>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t>
  </si>
  <si>
    <t xml:space="preserve">Student A: NRIC T9921051B. Balance 0.00. Credits 0.10 and 0.20</t>
  </si>
  <si>
    <t xml:space="preserve">1. Post a credit of 0.10 on the account through a Top-Up request or the transaction test interface
2. Post a credit of 0.20 on the account through a Top-Up request or the transaction test interface
3. Look up the Education Account of student A by NRIC T9921051B</t>
  </si>
  <si>
    <t xml:space="preserve">1. The balance is exactly 0.30</t>
  </si>
  <si>
    <t xml:space="preserve">Tender R1 (Education Account); FS R1 V1.0 2.3 Business Rules (chính xác đến 2 chữ số thập phân)</t>
  </si>
  <si>
    <t xml:space="preserve">2.3 says money is exact to two decimals in SGD. The sum of 0.10 and 0.20 exposes a binary rounding error.</t>
  </si>
  <si>
    <t xml:space="preserve">TC-R1-21-06</t>
  </si>
  <si>
    <t xml:space="preserve">Each transaction record has the required fields</t>
  </si>
  <si>
    <t xml:space="preserve">Credits and debits change the balance exactly, a debit above the balance is refused, and a failed debit changes nothing. Case: Each transaction record has the required fields</t>
  </si>
  <si>
    <t xml:space="preserve">Student A: NRIC T9921061Z. Balance 100.00. Credit 25.50 and debit 10.00</t>
  </si>
  <si>
    <t xml:space="preserve">1. Post a credit of 25.50 on the account through a Top-Up request or the transaction test interface
2. Post a debit of 10.00 on the account through a Payment request or the transaction test interface
3. Open the transaction history of the account</t>
  </si>
  <si>
    <t xml:space="preserve">1. Each entry has a Transaction Reference Number and the two numbers differ
2. Each entry shows the Related Education Account, the Direction, the Amount in SGD, the Status and the Date
3. The credit is incoming and the debit is outgoing</t>
  </si>
  <si>
    <t xml:space="preserve">Tender R1 (Education Account); FS R1 V1.0 2.3 field table (Required fields)</t>
  </si>
  <si>
    <t xml:space="preserve">2.3 marks Reference Number, Related Education Account, Direction, Amount, Status and Date as required.</t>
  </si>
  <si>
    <t xml:space="preserve">TC-R1-22-01</t>
  </si>
  <si>
    <t xml:space="preserve">SCN-R1-22</t>
  </si>
  <si>
    <t xml:space="preserve">Account with an approved exception stays open after 16</t>
  </si>
  <si>
    <t xml:space="preserve">An approved exception keeps the account open after 16. Case: Account with an approved exception stays open after 16</t>
  </si>
  <si>
    <t xml:space="preserve">Tender R1 (Education Account); FS R1 V1.0 F02-BR01 [CR]</t>
  </si>
  <si>
    <t xml:space="preserve">CP-R1-19</t>
  </si>
  <si>
    <t xml:space="preserve">Question on exception after 16</t>
  </si>
  <si>
    <t xml:space="preserve">The test plan fixtures list this account but no source defines the approver, the duration or the effect on the balance. F02-BR01 [CR] closes every account at 16.</t>
  </si>
  <si>
    <t xml:space="preserve">TC-R1-23-01</t>
  </si>
  <si>
    <t xml:space="preserve">SCN-R1-23</t>
  </si>
  <si>
    <t xml:space="preserve">Citizen who is not eligible for FAS still gets an account</t>
  </si>
  <si>
    <t xml:space="preserve">Whether a citizen is eligible for FAS or has a pending FAS decision does not change the account. Case: Citizen who is not eligible for FAS still gets an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</si>
  <si>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Education Account and is not eligible for FAS</t>
  </si>
  <si>
    <t xml:space="preserve">Student A: NRIC T9923011D, Singapore Citizen, DOB 15 Oct 2019, FAS status not eligible. Business date 15 Oct 2026</t>
  </si>
  <si>
    <t xml:space="preserve">1. Set the business date to 15 Oct 2026
2. Run the Daily Incremental Synchronization
3. Look up the Education Account of student A by NRIC T9923011D</t>
  </si>
  <si>
    <t xml:space="preserve">Tender R1 (Education Account); Minutes 4, 1.1.6 (conditions list no FAS)</t>
  </si>
  <si>
    <t xml:space="preserve">CP-R1-18</t>
  </si>
  <si>
    <t xml:space="preserve">Minutes 4 say account eligibility and FAS eligibility are separate criteria. FS 1.1.6 lists the creation conditions and FAS is not one.</t>
  </si>
  <si>
    <t xml:space="preserve">TC-R1-23-02</t>
  </si>
  <si>
    <t xml:space="preserve">Pending FAS decision does not delay the account</t>
  </si>
  <si>
    <t xml:space="preserve">Whether a citizen is eligible for FAS or has a pending FAS decision does not change the account. Case: Pending FAS decision does not delay the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</si>
  <si>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Education Account and has a FAS application that is still pending</t>
  </si>
  <si>
    <t xml:space="preserve">Student A: NRIC T9923021A, Singapore Citizen, DOB 15 Oct 2019, FAS application pending. Business date 15 Oct 2026</t>
  </si>
  <si>
    <t xml:space="preserve">1. Set the business date to 15 Oct 2026
2. Run the Daily Incremental Synchronization
3. Look up the Education Account of student A by NRIC T9923021A</t>
  </si>
  <si>
    <t xml:space="preserve">Same as S23-01 for a pending FAS decision.</t>
  </si>
  <si>
    <t xml:space="preserve">TC-R1-24-01</t>
  </si>
  <si>
    <t xml:space="preserve">SCN-R1-24</t>
  </si>
  <si>
    <t xml:space="preserve">Initial Synchronization creates accounts for citizens aged 7 to under 16</t>
  </si>
  <si>
    <t xml:space="preserve">The first run creates accounts for citizens aged 7 to under 16 and for no one else. Case: Initial Synchronization creates accounts for citizens aged 7 to under 16</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</si>
  <si>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B and C are Singapore Citizens in the Mock Government Citizen API and have no Education Account</t>
  </si>
  <si>
    <t xml:space="preserve">Student A: NRIC T9924011Z, DOB 15 Oct 2019 (turns 7 today). Student B: NRIC T9924012H, DOB 15 Oct 2016 (10 years old). Student C: NRIC T9924013F, DOB 16 Oct 2010 (15 years and 364 days old). Business date 15 Oct 2026</t>
  </si>
  <si>
    <t xml:space="preserve">1. Set the business date to 15 Oct 2026
2. Run the Initial Synchronization
3. Search the Education Accounts by NRIC T9924011Z, T9924012H and T9924013F</t>
  </si>
  <si>
    <t xml:space="preserve">1. The System creates one Active Education Account for each of the three students
2. The balance of each account is SGD 0.00</t>
  </si>
  <si>
    <t xml:space="preserve">Tender R1 (Education Account); FS R1 V1.0 1.1.1 A [TD], 1.1.4 steps 2 to 9, F01-AC01</t>
  </si>
  <si>
    <t xml:space="preserve">CP-R1-20</t>
  </si>
  <si>
    <t xml:space="preserve">1.1.1 A [TD] and 1.1.4 step 2 say the Initial Synchronization covers every Singapore Citizen aged 7 to under 16. F01-AC01 gives a citizen aged 10 an Active account with balance 0.00. F01-BR02 states the age range without a tag now.</t>
  </si>
  <si>
    <t xml:space="preserve">TC-R1-24-02</t>
  </si>
  <si>
    <t xml:space="preserve">Initial Synchronization creates no account for the other citizens</t>
  </si>
  <si>
    <t xml:space="preserve">The first run creates accounts for citizens aged 7 to under 16 and for no one else. Case: Initial Synchronization creates no account for the other citizens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</si>
  <si>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D to H are in the Mock Government Citizen API and have no Education Account</t>
  </si>
  <si>
    <t xml:space="preserve">Student D: NRIC T9924024A, Singapore Citizen, DOB 15 Oct 2010 (turns 16 today). Student E: NRIC T9924025Z, Singapore Citizen, DOB 15 Oct 2008 (18 years old). Student F: NRIC T9924026H, Permanent Resident, DOB 15 Oct 2016. Student G: NRIC T9924027F, Singapore Citizen, DOB 16 Oct 2019 (6 years and 364 days old). Student H: NRIC T9924028D, Foreign, DOB 15 Oct 2016. Business date 15 Oct 2026</t>
  </si>
  <si>
    <t xml:space="preserve">1. Set the business date to 15 Oct 2026
2. Run the Initial Synchronization
3. Search the Education Accounts by NRIC T9924024A, T9924025Z, T9924026H, T9924027F and T9924028D</t>
  </si>
  <si>
    <t xml:space="preserve">1. The System creates no Education Account for any of the five students</t>
  </si>
  <si>
    <t xml:space="preserve">Tender R1 (Education Account); FS R1 V1.0 F01-AC03, F01-AC04, F01-AC05, F01-BR05, 1.1.4 steps 2 and 3</t>
  </si>
  <si>
    <t xml:space="preserve">F01-AC05 gives no account from 16 on, F01-AC04 none below 7 and F01-AC03 none to a non Singapore Citizen.</t>
  </si>
  <si>
    <t xml:space="preserve">TC-R1-24-03</t>
  </si>
  <si>
    <t xml:space="preserve">Initial Synchronization skips a citizen who already has an account</t>
  </si>
  <si>
    <t xml:space="preserve">The first run creates accounts for citizens aged 7 to under 16 and for no one else. Case: Initial Synchronization skips a citizen who already has an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</si>
  <si>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and has an Active Education Account seeded as test data, with the account number noted by the tester</t>
  </si>
  <si>
    <t xml:space="preserve">Student A: NRIC T9924031D, Singapore Citizen, DOB 15 Oct 2016. Business date 15 Oct 2026</t>
  </si>
  <si>
    <t xml:space="preserve">1. Set the business date to 15 Oct 2026
2. Run the Initial Synchronization
3. Search the Education Accounts by NRIC T9924031D</t>
  </si>
  <si>
    <t xml:space="preserve">Tender R1 (Education Account); FS R1 V1.0 F01-AF03, 1.1.1 A (the System checks the existing Education Account before it creates), 1.1.7 table</t>
  </si>
  <si>
    <t xml:space="preserve">F01-AF03 says a citizen who already has an account is skipped. 1.1.1 A says the System checks the existing account before it creates one. The note [TD] in 1.1.4 describes a database without accounts, so the account here is seeded.</t>
  </si>
  <si>
    <t xml:space="preserve">TC-R1-24-04</t>
  </si>
  <si>
    <t xml:space="preserve">Initial Synchronization with no eligible citizen creates nothing and finishes</t>
  </si>
  <si>
    <t xml:space="preserve">The first run creates accounts for citizens aged 7 to under 16 and for no one else. Case: Initial Synchronization with no eligible citizen creates nothing and finishes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</si>
  <si>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API holds two Permanent Residents and no Singapore Citizen</t>
  </si>
  <si>
    <t xml:space="preserve">Student A: NRIC T9924041A, Permanent Resident, DOB 15 Oct 2016. Student B: NRIC T9924042Z, Permanent Resident, DOB 15 Oct 2017. Business date 15 Oct 2026</t>
  </si>
  <si>
    <t xml:space="preserve">1. Set the business date to 15 Oct 2026
2. Run the Initial Synchronization
3. Search the Education Accounts by NRIC T9924041A and T9924042Z
4. Open the job log</t>
  </si>
  <si>
    <t xml:space="preserve">1. The System creates no Education Account
2. The job log has no Job Failure record for the run</t>
  </si>
  <si>
    <t xml:space="preserve">Tender R1 (Education Account); FS R1 V1.0 1.1.4 steps 3 and 10, F01-AC03</t>
  </si>
  <si>
    <t xml:space="preserve">1.1.4 says the System processes the records the API returns and ends when none is left. No record qualifies, so nothing is created. No Job Failure is expected because no error occurs (F01-EF01 applies to a failure only).</t>
  </si>
  <si>
    <t xml:space="preserve">TC-R1-25-01</t>
  </si>
  <si>
    <t xml:space="preserve">SCN-R1-25</t>
  </si>
  <si>
    <t xml:space="preserve">The Daily Job runs on a Saturday</t>
  </si>
  <si>
    <t xml:space="preserve">The Daily Job runs on weekends and holidays. The recovery of missed days is next sprint. Case: The Daily Job runs on a Saturday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</si>
  <si>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date to Saturday 17 Oct 2026</t>
  </si>
  <si>
    <t xml:space="preserve">Student A: NRIC T9925011E, Singapore Citizen, DOB 17 Oct 2019. Saturday 17 Oct 2026</t>
  </si>
  <si>
    <t xml:space="preserve">1. Set the business date to Saturday 17 Oct 2026 and let the scheduled Daily Job run
2. Look up the Education Account of student A by NRIC T9925011E</t>
  </si>
  <si>
    <t xml:space="preserve">1. The System creates one Active Education Account for student A on the Saturday</t>
  </si>
  <si>
    <t xml:space="preserve">Tender R1 (Education Account); FS R1 V1.0 1.1.2 table (Weekends and Public Holidays), F01-AC13</t>
  </si>
  <si>
    <t xml:space="preserve">ASM-R1-01, ASM-R1-02, ASM-R1-14, ASM-R1-24, ASM-R1-27, ASM-R1-32</t>
  </si>
  <si>
    <t xml:space="preserve">1.1.2 and F01-AC13 carry no tag now: the job keeps running on weekends and public holidays and follows the daily schedule. The run time of 00:00 is [WA] (ASM-R1-24), so the case sets the date and lets the scheduled job run.</t>
  </si>
  <si>
    <t xml:space="preserve">TC-R1-25-02</t>
  </si>
  <si>
    <t xml:space="preserve">The Daily Job runs on a public holiday</t>
  </si>
  <si>
    <t xml:space="preserve">The Daily Job runs on weekends and holidays. The recovery of missed days is next sprint. Case: The Daily Job runs on a public holiday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</si>
  <si>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date to 25 Dec 2026, a public holiday</t>
  </si>
  <si>
    <t xml:space="preserve">Student A: NRIC T9925021B, Singapore Citizen, DOB 25 Dec 2019. Friday 25 Dec 2026 (public holiday)</t>
  </si>
  <si>
    <t xml:space="preserve">1. Set the business date to 25 Dec 2026 and let the scheduled Daily Job run
2. Look up the Education Account of student A by NRIC T9925021B</t>
  </si>
  <si>
    <t xml:space="preserve">1. The System creates one Active Education Account for student A on the public holiday</t>
  </si>
  <si>
    <t xml:space="preserve">Same rule as S25-01 for a public holiday.</t>
  </si>
  <si>
    <t xml:space="preserve">TC-R1-25-03</t>
  </si>
  <si>
    <t xml:space="preserve">A missed day is covered by the next run</t>
  </si>
  <si>
    <t xml:space="preserve">The Daily Job runs on weekends and holidays. The recovery of missed days is next sprint. Case: A missed day is covered by the next run</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</si>
  <si>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Daily Job did not run on 15 Oct 2026
5. Student A is a Singapore Citizen in the API and has no Education Account</t>
  </si>
  <si>
    <t xml:space="preserve">Student A: NRIC T9925031Z, Singapore Citizen, DOB 15 Oct 2019. Student B: NRIC T9925032H, Singapore Citizen, DOB 16 Oct 2019. No run on 15 Oct 2026. Run on 16 Oct 2026</t>
  </si>
  <si>
    <t xml:space="preserve">1. Set the business date to 16 Oct 2026
2. Run the Daily Incremental Synchronization
3. Search the Education Accounts by NRIC T9925031Z and T9925032H</t>
  </si>
  <si>
    <t xml:space="preserve">1. The System creates one Education Account for student A, whose 7th birthday was the missed day
2. The System creates one Education Account for student B, whose 7th birthday is the run day</t>
  </si>
  <si>
    <t xml:space="preserve">Tender R1 (Education Account); FS R1 V1.0 1.1.9 table (Missed Processing Date) [WA, next sprint], 1.1.5 step 2</t>
  </si>
  <si>
    <t xml:space="preserve">ASM-R1-01, ASM-R1-02, ASM-R1-14, ASM-R1-23, ASM-R1-32, Question on job recovery</t>
  </si>
  <si>
    <t xml:space="preserve">F01-AC11 and F01-EF04 were removed from the FS and 1.1.9 is labelled next sprint. Recovery of a missed day is outside the Sprint 1 scope. The steps are kept as a candidate for the next sprint.</t>
  </si>
  <si>
    <t xml:space="preserve">TC-R1-25-04</t>
  </si>
  <si>
    <t xml:space="preserve">Two missed days are both covered and each citizen gets one account</t>
  </si>
  <si>
    <t xml:space="preserve">The Daily Job runs on weekends and holidays. The recovery of missed days is next sprint. Case: Two missed days are both covered and each citizen gets one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</si>
  <si>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Daily Job did not run on Mon 19 Oct 2026 and Tue 20 Oct 2026
5. Students A, B and C are Singapore Citizens in the API and have no Education Account</t>
  </si>
  <si>
    <t xml:space="preserve">Student A: NRIC T9925041G, DOB 19 Oct 2019. Student B: NRIC T9925042E, DOB 20 Oct 2019. Student C: NRIC T9925043C, DOB 21 Oct 2019. No run on 19 and 20 Oct 2026. Run on Wed 21 Oct 2026</t>
  </si>
  <si>
    <t xml:space="preserve">1. Set the business date to 21 Oct 2026
2. Run the Daily Incremental Synchronization
3. Run the Daily Incremental Synchronization a second time on the same date
4. Search the Education Accounts by NRIC T9925041G, T9925042E and T9925043C</t>
  </si>
  <si>
    <t xml:space="preserve">1. The System creates one Education Account for each of the three students
2. The second run creates no further account</t>
  </si>
  <si>
    <t xml:space="preserve">Tender R1 (Education Account); FS R1 V1.0 1.1.9 table (Missed Processing Date, Job chạy lại) [WA, next sprint], 1.1.5 step 2</t>
  </si>
  <si>
    <t xml:space="preserve">F01-AC11 and F01-EF04 were removed from the FS and 1.1.9 is labelled next sprint. Recovery of two missed days is outside the Sprint 1 scope. The steps are kept as a candidate for the next sprint.</t>
  </si>
  <si>
    <t xml:space="preserve">TC-R1-26-01</t>
  </si>
  <si>
    <t xml:space="preserve">SCN-R1-26</t>
  </si>
  <si>
    <t xml:space="preserve">Authentication failure stops the job and is recorded</t>
  </si>
  <si>
    <t xml:space="preserve">An authentication failure is recorded as a Job Failure. The timeout, retry and recovery rules are next sprint [WA]. Case: Authentication failure stops the job and is recorded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</si>
  <si>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reject the credential</t>
  </si>
  <si>
    <t xml:space="preserve">Student A: NRIC T9926011J, Singapore Citizen, DOB 15 Oct 2019. Business date 15 Oct 2026. API credential rejected</t>
  </si>
  <si>
    <t xml:space="preserve">1. Set the Mock Government Citizen API to reject the credential
2. Set the business date to 15 Oct 2026
3. Run the Daily Incremental Synchronization
4. Look up the Education Account of student A by NRIC T9926011J
5. Open the job log</t>
  </si>
  <si>
    <t xml:space="preserve">1. The System creates no Education Account for student A
2. The job log has a Job Failure record for the run</t>
  </si>
  <si>
    <t xml:space="preserve">Tender R1 (Education Account); FS R1 V1.0 F01-EF01 (1.1.10)</t>
  </si>
  <si>
    <t xml:space="preserve">CP-R1-21</t>
  </si>
  <si>
    <t xml:space="preserve">F01-EF01 says the System records a Job Failure when the Government API authentication fails and applies failure handling. The FS does not say where the Job Failure is recorded, so the case reads the job log that Dev provides (ASM-R1-01). Inference: no account is created because the job cannot read any citizen.</t>
  </si>
  <si>
    <t xml:space="preserve">TC-R1-26-02</t>
  </si>
  <si>
    <t xml:space="preserve">A timeout is recorded and the retry after 15 minutes succeeds</t>
  </si>
  <si>
    <t xml:space="preserve">An authentication failure is recorded as a Job Failure. The timeout, retry and recovery rules are next sprint [WA]. Case: A timeout is recorded and the retry after 15 minutes succeeds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</si>
  <si>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time out on the first request only</t>
  </si>
  <si>
    <t xml:space="preserve">Student A: NRIC T9926021H, Singapore Citizen, DOB 15 Oct 2019. Business date 15 Oct 2026. First request times out, second request after 15 minutes succeeds</t>
  </si>
  <si>
    <t xml:space="preserve">1. Set the Mock Government Citizen API to time out on the first request only
2. Set the business date to 15 Oct 2026
3. Run the Daily Incremental Synchronization
4. Let 15 minutes pass
5. Look up the Education Account of student A by NRIC T9926021H
6. Open the job log</t>
  </si>
  <si>
    <t xml:space="preserve">1. The job log shows the timeout error of the first attempt
2. The job log shows a retry 15 minutes after the first attempt that succeeds
3. The System creates one Education Account for student A</t>
  </si>
  <si>
    <t xml:space="preserve">Tender R1 (Education Account); FS R1 V1.0 1.1.9 table [WA] (Government API Timeout, First Job Failure)</t>
  </si>
  <si>
    <t xml:space="preserve">ASM-R1-01, ASM-R1-02, ASM-R1-28, ASM-R1-32, Question on job recovery</t>
  </si>
  <si>
    <t xml:space="preserve">FS 1.1.9 is labelled next sprint and its rules are proposals [WA]. The steps are kept as a candidate for the next sprint. 1.1.9 [WA] says a timeout is recorded and the job retries once after 15 minutes.</t>
  </si>
  <si>
    <t xml:space="preserve">TC-R1-26-03</t>
  </si>
  <si>
    <t xml:space="preserve">A failed retry leaves the job Failed until the next scheduled job</t>
  </si>
  <si>
    <t xml:space="preserve">An authentication failure is recorded as a Job Failure. The timeout, retry and recovery rules are next sprint [WA]. Case: A failed retry leaves the job Failed until the next scheduled job</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</si>
  <si>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time out on every request</t>
  </si>
  <si>
    <t xml:space="preserve">Student A: NRIC T9926031E, Singapore Citizen, DOB 15 Oct 2019. Business date 15 Oct 2026. Both requests time out</t>
  </si>
  <si>
    <t xml:space="preserve">1. Set the Mock Government Citizen API to time out on every request
2. Set the business date to 15 Oct 2026
3. Run the Daily Incremental Synchronization
4. Let 15 minutes pass and let the retry run
5. Let 60 minutes pass
6. Look up the Education Account of student A by NRIC T9926031E
7. Open the job log</t>
  </si>
  <si>
    <t xml:space="preserve">1. The job log shows the run with a failed status and a failure reason
2. No further attempt is made before the next scheduled job
3. The System creates no Education Account for student A</t>
  </si>
  <si>
    <t xml:space="preserve">Tender R1 (Education Account); FS R1 V1.0 1.1.9 table [WA] (Retry Failure)</t>
  </si>
  <si>
    <t xml:space="preserve">FS 1.1.9 is labelled next sprint and its rules are proposals [WA]. The steps are kept as a candidate for the next sprint. 1.1.9 [WA] says a failed retry is recorded as Failed and the job waits for the next scheduled job.</t>
  </si>
  <si>
    <t xml:space="preserve">TC-R1-26-04</t>
  </si>
  <si>
    <t xml:space="preserve">The job retries once only</t>
  </si>
  <si>
    <t xml:space="preserve">An authentication failure is recorded as a Job Failure. The timeout, retry and recovery rules are next sprint [WA]. Case: The job retries once only</t>
  </si>
  <si>
    <t xml:space="preserve">Student A: NRIC T9926041B, Singapore Citizen, DOB 15 Oct 2019. Business date 15 Oct 2026. Every request times out</t>
  </si>
  <si>
    <t xml:space="preserve">1. Set the Mock Government Citizen API to time out on every request
2. Set the business date to 15 Oct 2026
3. Run the Daily Incremental Synchronization
4. Let 120 minutes pass
5. Open the request log of the Mock Government Citizen API</t>
  </si>
  <si>
    <t xml:space="preserve">1. The request log shows exactly two attempts for the run, the second 15 minutes after the first</t>
  </si>
  <si>
    <t xml:space="preserve">Tender R1 (Education Account); FS R1 V1.0 1.1.9 table [WA] (First Job Failure: retry once after 15 minutes)</t>
  </si>
  <si>
    <t xml:space="preserve">FS 1.1.9 is labelled next sprint and its rules are proposals [WA]. The steps are kept as a candidate for the next sprint. 1.1.9 [WA] says one retry after 15 minutes.</t>
  </si>
  <si>
    <t xml:space="preserve">TC-R1-26-05</t>
  </si>
  <si>
    <t xml:space="preserve">Account creation failure leaves no incomplete account</t>
  </si>
  <si>
    <t xml:space="preserve">An authentication failure is recorded as a Job Failure. The timeout, retry and recovery rules are next sprint [WA]. Case: Account creation failure leaves no incomplete account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</si>
  <si>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Student B is a Singapore Citizen in the API, turns 7 on the business date and has no Education Account
6. QA can make the account creation for student A fail</t>
  </si>
  <si>
    <t xml:space="preserve">Student A: NRIC T9926051Z, DOB 15 Oct 2019, creation fails. Student B: NRIC T9926052H, DOB 15 Oct 2019. Business date 15 Oct 2026</t>
  </si>
  <si>
    <t xml:space="preserve">1. Inject a failure into the account creation of student A
2. Set the business date to 15 Oct 2026
3. Run the Daily Incremental Synchronization
4. Search the Education Accounts by NRIC T9926051Z and T9926052H
5. Open the job log</t>
  </si>
  <si>
    <t xml:space="preserve">1. No Education Account, complete or partial, exists for student A
2. The job log has a failure entry for NRIC T9926051Z
3. The System creates one Education Account for student B</t>
  </si>
  <si>
    <t xml:space="preserve">Tender R1 (Education Account); FS R1 V1.0 1.1.9 table (Account Creation Failure) [WA, next sprint], 1.1.4 step 10</t>
  </si>
  <si>
    <t xml:space="preserve">ASM-R1-01, ASM-R1-02, ASM-R1-29, ASM-R1-32, Question on job recovery</t>
  </si>
  <si>
    <t xml:space="preserve">FS 1.1.9 is labelled next sprint and its rules are proposals [WA]. The steps are kept as a candidate for the next sprint. 1.1.9 [WA] says a creation failure is recorded and no incomplete account is stored. 1.1.4 step 10 says the job goes on with the other records.</t>
  </si>
  <si>
    <t xml:space="preserve">TC-R1-26-06</t>
  </si>
  <si>
    <t xml:space="preserve">A job that stops halfway is completed by the next run without duplicates</t>
  </si>
  <si>
    <t xml:space="preserve">An authentication failure is recorded as a Job Failure. The timeout, retry and recovery rules are next sprint [WA]. Case: A job that stops halfway is completed by the next run without duplicates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</si>
  <si>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to D are Singapore Citizens in the API and have no Education Account
5. QA can make the API fail after the second record</t>
  </si>
  <si>
    <t xml:space="preserve">Students A to D: NRIC T9926061G, T9926062E, T9926063C, T9926064A, Singapore Citizens, DOB 15 Oct 2019. Business date 15 Oct 2026. The API fails after two records and the retry fails</t>
  </si>
  <si>
    <t xml:space="preserve">1. Set the Mock Government Citizen API to fail after the second record
2. Set the business date to 15 Oct 2026
3. Run the Initial Synchronization
4. Set the Mock Government Citizen API to respond
5. Run the Initial Synchronization again
6. Search the Education Accounts by NRIC T9926061G, T9926062E, T9926063C and T9926064A</t>
  </si>
  <si>
    <t xml:space="preserve">1. Each of the four students has exactly one Education Account
2. No record is lost and none is duplicated</t>
  </si>
  <si>
    <t xml:space="preserve">Tender R1 (Education Account); FS R1 V1.0 1.1.9 Recovery Principle [WA, next sprint], 1.1.9 table (Job chạy lại)</t>
  </si>
  <si>
    <t xml:space="preserve">ASM-R1-01, ASM-R1-02, ASM-R1-14, ASM-R1-28, ASM-R1-32, Question on job recovery</t>
  </si>
  <si>
    <t xml:space="preserve">FS 1.1.9 is labelled next sprint and its rules are proposals [WA]. The steps are kept as a candidate for the next sprint. The Recovery Principle [WA] says a partly done job must not leave records unprocessed for good, and 1.1.9 says a rerun creates no duplicate. F01-EF04 was removed from the FS.</t>
  </si>
  <si>
    <t xml:space="preserve">TC-R1-27-01</t>
  </si>
  <si>
    <t xml:space="preserve">SCN-R1-27</t>
  </si>
  <si>
    <t xml:space="preserve">Each synchronization writes a processing record with its required fields</t>
  </si>
  <si>
    <t xml:space="preserve">FS R1 V1.0 has no processing record of a synchronization run, so no expected result exists. Case: Each synchronization writes a processing record with its required fields</t>
  </si>
  <si>
    <t xml:space="preserve">Tender R1 (Education Account); FS R1 V1.0 1.1.4 Implementation Notes [TD]; section 2.4 removed from the FS</t>
  </si>
  <si>
    <t xml:space="preserve">CP-R1-22</t>
  </si>
  <si>
    <t xml:space="preserve">ASM-R1-01, Question on synchronization record</t>
  </si>
  <si>
    <t xml:space="preserve">FS R1 V1.0 no longer has section 2.4 (Data Synchronization &amp; Audit Information) or the step that wrote a processing record. Searched FS R1 V1.0 for Processing Log, Processing Reference, Total Records, Skipped Records and Processing Result: the only match is the note [TD] in 1.1.4 that requires no processing result per record. No testable expectation exists.</t>
  </si>
  <si>
    <t xml:space="preserve">TC-R1-27-02</t>
  </si>
  <si>
    <t xml:space="preserve">Total Records equals the number of records the job processed</t>
  </si>
  <si>
    <t xml:space="preserve">FS R1 V1.0 has no processing record of a synchronization run, so no expected result exists. Case: Total Records equals the number of records the job processed</t>
  </si>
  <si>
    <t xml:space="preserve">TC-R1-27-03</t>
  </si>
  <si>
    <t xml:space="preserve">Successful, Failed and Skipped counts match the outcome of each record</t>
  </si>
  <si>
    <t xml:space="preserve">FS R1 V1.0 has no processing record of a synchronization run, so no expected result exists. Case: Successful, Failed and Skipped counts match the outcome of each record</t>
  </si>
  <si>
    <t xml:space="preserve">TC-R1-27-04</t>
  </si>
  <si>
    <t xml:space="preserve">A rerun writes its own processing record</t>
  </si>
  <si>
    <t xml:space="preserve">FS R1 V1.0 has no processing record of a synchronization run, so no expected result exists. Case: A rerun writes its own processing record</t>
  </si>
  <si>
    <t xml:space="preserve">TC-R1-27-05</t>
  </si>
  <si>
    <t xml:space="preserve">Last Successful Processing Coverage shows the days covered after a recovery</t>
  </si>
  <si>
    <t xml:space="preserve">FS R1 V1.0 has no processing record of a synchronization run, so no expected result exists. Case: Last Successful Processing Coverage shows the days covered after a recovery</t>
  </si>
  <si>
    <t xml:space="preserve">TC-R1-28-01</t>
  </si>
  <si>
    <t xml:space="preserve">SCN-R1-28</t>
  </si>
  <si>
    <t xml:space="preserve">Top-Up request on an account of a holder aged 16 is not executed</t>
  </si>
  <si>
    <t xml:space="preserve">Top-Up, Payment, balance and history views, and MOE HQ retrieval each trigger the closure check first. Case: Top-Up request on an account of a holder aged 16 is not executed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</si>
  <si>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earlier, and an authorised parent exists, with a balance of 0.00</t>
  </si>
  <si>
    <t xml:space="preserve">Student A: NRIC T9928011A, DOB 28 Oct 2010. Balance 0.00. Top-Up request of 10.00 on 28 Oct 2026 (turns 16 that day)</t>
  </si>
  <si>
    <t xml:space="preserve">1. Set the business date to 28 Oct 2026
2. Send a Top-Up request of 10.00 on the account
3. Look up the Education Account of student A by NRIC T9928011A
4. Open the transaction history of the account</t>
  </si>
  <si>
    <t xml:space="preserve">1. The System does not execute the Top-Up
2. The Account Status is Closed
3. The balance is 0.00 and the transaction history has no new entry</t>
  </si>
  <si>
    <t xml:space="preserve">Tender R1 (Education Account); FS R1 V1.0 F02-AC04, F02-AC14, F02-AF05, 1.2.2</t>
  </si>
  <si>
    <t xml:space="preserve">CP-R1-23</t>
  </si>
  <si>
    <t xml:space="preserve">ASM-R1-01, ASM-R1-02, ASM-R1-04, ASM-R1-14, ASM-R1-26, ASM-R1-32</t>
  </si>
  <si>
    <t xml:space="preserve">F02-AC04 and F02-AF05 say a Top-Up on an account of a holder who reached 16 is not executed. 1.2.2 says closure eligibility is checked before the transaction.</t>
  </si>
  <si>
    <t xml:space="preserve">TC-R1-28-02</t>
  </si>
  <si>
    <t xml:space="preserve">Payment request on an account of a holder aged 16 is not executed</t>
  </si>
  <si>
    <t xml:space="preserve">Top-Up, Payment, balance and history views, and MOE HQ retrieval each trigger the closure check first. Case: Payment request on an account of a holder aged 16 is not executed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</si>
  <si>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earlier, and an authorised parent exists, with a balance of 125.50 (seeded as test data)</t>
  </si>
  <si>
    <t xml:space="preserve">Student A: NRIC T9928021I, DOB 28 Oct 2010. Balance 125.50. Payment request of 5.00 on 28 Oct 2026 (turns 16 that day)</t>
  </si>
  <si>
    <t xml:space="preserve">1. Set the business date to 28 Oct 2026
2. Send a Payment request of 5.00 on the account
3. Look up the Education Account of student A by NRIC T9928021I
4. Open the transaction history of the account</t>
  </si>
  <si>
    <t xml:space="preserve">1. The System does not execute the Payment
2. The balance is still 125.50 and the transaction history has no new entry</t>
  </si>
  <si>
    <t xml:space="preserve">Tender R1 (Education Account); FS R1 V1.0 F02-AC05, F02-AC14, F02-AF05, 1.2.2</t>
  </si>
  <si>
    <t xml:space="preserve">ASM-R1-01, ASM-R1-02, ASM-R1-04, ASM-R1-14, ASM-R1-20, ASM-R1-26, ASM-R1-32</t>
  </si>
  <si>
    <t xml:space="preserve">F02-AC05 and F02-AF05 say a Payment on an account of a holder who reached 16 is not executed. The status of an account with a balance is covered in scenario 31.</t>
  </si>
  <si>
    <t xml:space="preserve">TC-R1-28-03</t>
  </si>
  <si>
    <t xml:space="preserve">Parent view of the balance triggers the closure check</t>
  </si>
  <si>
    <t xml:space="preserve">Top-Up, Payment, balance and history views, and MOE HQ retrieval each trigger the closure check first. Case: Parent view of the balance triggers the closure check</t>
  </si>
  <si>
    <t xml:space="preserve">Student A: NRIC T9928031F, DOB 28 Oct 2010. Balance 0.00. Parent balance view on 28 Oct 2026</t>
  </si>
  <si>
    <t xml:space="preserve">1. Set the business date to 28 Oct 2026
2. Send a parent balance view request for the account
3. Look up the Education Account of student A by NRIC T9928031F</t>
  </si>
  <si>
    <t xml:space="preserve">1. The response shows the Account Status Closed
2. The stored Account Status is Closed</t>
  </si>
  <si>
    <t xml:space="preserve">Tender R1 (Education Account); FS R1 V1.0 1.2.2 (examples of backend actions: parent views the balance), F02-BR02 [TD]</t>
  </si>
  <si>
    <t xml:space="preserve">1.2.2 lists a parent view of the balance as a backend action that triggers the closure check. F02-BR02 [TD] says every such action triggers it.</t>
  </si>
  <si>
    <t xml:space="preserve">TC-R1-28-04</t>
  </si>
  <si>
    <t xml:space="preserve">Parent view of the transaction history triggers the check and shows the history</t>
  </si>
  <si>
    <t xml:space="preserve">Top-Up, Payment, balance and history views, and MOE HQ retrieval each trigger the closure check first. Case: Parent view of the transaction history triggers the check and shows the history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</si>
  <si>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credit of 20.00 and a debit of 20.00 in its history and a balance of 0.00
4. An authorised parent exists</t>
  </si>
  <si>
    <t xml:space="preserve">Student A: NRIC T9928041C, DOB 28 Oct 2010. Parent transaction history view on 28 Oct 2026</t>
  </si>
  <si>
    <t xml:space="preserve">1. Set the business date to 28 Oct 2026
2. Send a parent transaction history view request for the account
3. Look up the Education Account of student A by NRIC T9928041C</t>
  </si>
  <si>
    <t xml:space="preserve">1. The response shows the Account Status Closed
2. The response shows the credit of 20.00 and the debit of 20.00</t>
  </si>
  <si>
    <t xml:space="preserve">Tender R1 (Education Account); FS R1 V1.0 1.2.2, F02-AC07, F02-BR11 [TD]</t>
  </si>
  <si>
    <t xml:space="preserve">1.2.2 lists a parent view of the transaction history as a trigger. F02-AC07 and F02-BR11 [TD] say the history stays readable after closure.</t>
  </si>
  <si>
    <t xml:space="preserve">TC-R1-28-05</t>
  </si>
  <si>
    <t xml:space="preserve">MOE HQ retrieval of an account of a holder aged 15 leaves it Active</t>
  </si>
  <si>
    <t xml:space="preserve">Top-Up, Payment, balance and history views, and MOE HQ retrieval each trigger the closure check first. Case: MOE HQ retrieval of an account of a holder aged 15 leaves it Active</t>
  </si>
  <si>
    <t xml:space="preserve">Student A: NRIC T9928051J, DOB 29 Oct 2010. Balance 0.00. MOE HQ retrieval on 28 Oct 2026 (15 years and 364 days old)</t>
  </si>
  <si>
    <t xml:space="preserve">1. Set the business date to 28 Oct 2026
2. Send an MOE HQ retrieval request for the Education Account of student A
3. Look up the Education Account of student A by NRIC T9928051J</t>
  </si>
  <si>
    <t xml:space="preserve">1. The data returned to MOE HQ shows the Account Status Active
2. The stored Account Status is Active</t>
  </si>
  <si>
    <t xml:space="preserve">Tender R1 (Education Account); FS R1 V1.0 F02-AF01, 1.2.2, 1.2.5 example (09/10/2034), F02-BR06</t>
  </si>
  <si>
    <t xml:space="preserve">F02-AF01 says a holder under 16 keeps an Active account at any backend action, MOE HQ retrieval included.</t>
  </si>
  <si>
    <t xml:space="preserve">TC-R1-28-06</t>
  </si>
  <si>
    <t xml:space="preserve">Top-Up request on an account of a holder aged 15 is executed</t>
  </si>
  <si>
    <t xml:space="preserve">Top-Up, Payment, balance and history views, and MOE HQ retrieval each trigger the closure check first. Case: Top-Up request on an account of a holder aged 15 is executed</t>
  </si>
  <si>
    <t xml:space="preserve">Student A: NRIC T9928061H, DOB 29 Oct 2010. Balance 0.00. Top-Up request of 10.00 on 28 Oct 2026 (15 years and 364 days old)</t>
  </si>
  <si>
    <t xml:space="preserve">1. Set the business date to 28 Oct 2026
2. Send a Top-Up request of 10.00 on the account
3. Look up the Education Account of student A by NRIC T9928061H
4. Open the transaction history of the account</t>
  </si>
  <si>
    <t xml:space="preserve">1. The System executes the Top-Up
2. The balance is 10.00 and the Account Status is Active</t>
  </si>
  <si>
    <t xml:space="preserve">Tender R1 (Education Account); FS R1 V1.0 F02-AF01, 1.2.2, 2.3 Business Rules</t>
  </si>
  <si>
    <t xml:space="preserve">The closure check lets a holder under 16 go on (F02-AF01). A successful incoming transaction increases the balance (2.3).</t>
  </si>
  <si>
    <t xml:space="preserve">TC-R1-28-07</t>
  </si>
  <si>
    <t xml:space="preserve">Payment request on an account of a holder aged 15 is executed</t>
  </si>
  <si>
    <t xml:space="preserve">Top-Up, Payment, balance and history views, and MOE HQ retrieval each trigger the closure check first. Case: Payment request on an account of a holder aged 15 is executed</t>
  </si>
  <si>
    <t xml:space="preserve">Student A: NRIC T9928071E, DOB 29 Oct 2010. Balance 125.50. Payment request of 5.00 on 28 Oct 2026 (15 years and 364 days old)</t>
  </si>
  <si>
    <t xml:space="preserve">1. Set the business date to 28 Oct 2026
2. Send a Payment request of 5.00 on the account
3. Look up the Education Account of student A by NRIC T9928071E
4. Open the transaction history of the account</t>
  </si>
  <si>
    <t xml:space="preserve">1. The System executes the Payment
2. The balance is 120.50 and the Account Status is Active</t>
  </si>
  <si>
    <t xml:space="preserve">The closure check lets a holder under 16 go on (F02-AF01). A successful outgoing transaction decreases the balance (2.3).</t>
  </si>
  <si>
    <t xml:space="preserve">TC-R1-28-08</t>
  </si>
  <si>
    <t xml:space="preserve">Batch Top-Up does not top up an account of a holder aged 16</t>
  </si>
  <si>
    <t xml:space="preserve">Top-Up, Payment, balance and history views, and MOE HQ retrieval each trigger the closure check first. Case: Batch Top-Up does not top up an account of a holder aged 16</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</si>
  <si>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Students A and B have Active Education Accounts with a balance of 0.00 and the Batch Top-Up function is built and can be run for both accounts</t>
  </si>
  <si>
    <t xml:space="preserve">Student A: NRIC T9928081B, DOB 28 Oct 2010, turns 16 on 28 Oct 2026. Student B: NRIC T9928082J, DOB 28 Oct 2011, aged 15. Batch Top-Up of 10.00 for each account on 28 Oct 2026</t>
  </si>
  <si>
    <t xml:space="preserve">1. Set the business date to 28 Oct 2026
2. Run the Batch Top-Up of 10.00 for the accounts of students A and B
3. Look up the Education Account of student A by NRIC T9928081B and of student B by NRIC T9928082J
4. Open the transaction history of both accounts</t>
  </si>
  <si>
    <t xml:space="preserve">1. The System does not top up the account of student A
2. The Account Status of student A is Closed and the balance is 0.00
3. The transaction history of student A has no new entry
4. The account of student B is topped up by 10.00 as the batch requests</t>
  </si>
  <si>
    <t xml:space="preserve">Tender R1 (Education Account); FS R1 V1.0 1.2.2 (Backend Actions: Top-Up request, including Batch Top-Up if that function accesses the Account), F02-AC04, F02-AC14, F02-AF05, F02-AF01</t>
  </si>
  <si>
    <t xml:space="preserve">ASM-R1-49: FS 1.2.2</t>
  </si>
  <si>
    <t xml:space="preserve">ASM-R1-01, ASM-R1-02, ASM-R1-04, ASM-R1-14, ASM-R1-26, ASM-R1-32, ASM-R1-49</t>
  </si>
  <si>
    <t xml:space="preserve">1.2.2 lists the Batch Top-Up among the backend actions that need the closure check, if that function accesses the Account. F02-AC04 and F02-AC14 say a Top-Up on an account of a holder aged 16 is not executed even when the stored status is still Active. Student B is a control: under 16, the check lets the batch go on (F02-AF01).</t>
  </si>
  <si>
    <t xml:space="preserve">TC-R1-29-01</t>
  </si>
  <si>
    <t xml:space="preserve">SCN-R1-29</t>
  </si>
  <si>
    <t xml:space="preserve">A second access to a Closed account does not repeat the closure</t>
  </si>
  <si>
    <t xml:space="preserve">Closure is recorded once, a repeated access changes nothing, a failed closure leaves the account consistent, and without access the stored status stays Active. Case: A second access to a Closed account does not repeat the closure</t>
  </si>
  <si>
    <t xml:space="preserve">Student A: NRIC T9929011G, DOB 28 Oct 2010. Balance 0.00. Parent views on 28 Oct 2026 and 29 Oct 2026</t>
  </si>
  <si>
    <t xml:space="preserve">1. Set the business date to 28 Oct 2026
2. Send a parent view request for the Education Account of student A
3. Note the Actual Account Closure Date
4. Set the business date to 29 Oct 2026
5. Send a parent view request for the Education Account of student A
6. Look up the Education Account of student A by NRIC T9929011G</t>
  </si>
  <si>
    <t xml:space="preserve">1. The Account Status is Closed
2. The Actual Account Closure Date is the one noted after the first view</t>
  </si>
  <si>
    <t xml:space="preserve">Tender R1 (Education Account); FS R1 V1.0 F02-AC06, F02-AF02, F02-BR12 [TD]</t>
  </si>
  <si>
    <t xml:space="preserve">F02-AC06 and F02-AF02 say a Closed account that is accessed again is not closed a second time and its Actual Closure Date does not change. F02-BR12 [TD] says repeated access does not repeat the closure.</t>
  </si>
  <si>
    <t xml:space="preserve">TC-R1-29-02</t>
  </si>
  <si>
    <t xml:space="preserve">Closure sets the Actual Account Closure Date</t>
  </si>
  <si>
    <t xml:space="preserve">Closure is recorded once, a repeated access changes nothing, a failed closure leaves the account consistent, and without access the stored status stays Active. Case: Closure sets the Actual Account Closure Date</t>
  </si>
  <si>
    <t xml:space="preserve">Student A: NRIC T9929021D, DOB 28 Oct 2010. Balance 0.00. Parent view on 28 Oct 2026</t>
  </si>
  <si>
    <t xml:space="preserve">1. Set the business date to 28 Oct 2026
2. Look up the Education Account of student A by NRIC T9929021D and read the Actual Account Closure Date
3. Send a parent view request for the Education Account of student A
4. Look up the Education Account of student A by NRIC T9929021D and read the Actual Account Closure Date</t>
  </si>
  <si>
    <t xml:space="preserve">1. Before the parent view the Actual Account Closure Date has no value
2. After the parent view the Actual Account Closure Date is the date and time of the closure on 28 Oct 2026</t>
  </si>
  <si>
    <t xml:space="preserve">Tender R1 (Education Account); FS R1 V1.0 1.2.3 step 12, F02-AC06</t>
  </si>
  <si>
    <t xml:space="preserve">ASM-R1-39: FS 1.2.3 step 12, F02-AC06</t>
  </si>
  <si>
    <t xml:space="preserve">ASM-R1-01, ASM-R1-02, ASM-R1-14, ASM-R1-26, ASM-R1-32, ASM-R1-39</t>
  </si>
  <si>
    <t xml:space="preserve">1.2.3 step 12 says the System records the Actual Closure Date when it sets the status Closed. The FS no longer defines the value or the field (the row of 2.2 was removed) and the wallet table of the Dev design has no closure date column (Func1), so the value and the place where it is read are assumed. Inference: the date is empty before the closure.</t>
  </si>
  <si>
    <t xml:space="preserve">TC-R1-29-03</t>
  </si>
  <si>
    <t xml:space="preserve">Closure writes a Closure Processing Result</t>
  </si>
  <si>
    <t xml:space="preserve">Closure is recorded once, a repeated access changes nothing, a failed closure leaves the account consistent, and without access the stored status stays Active. Case: Closure writes a Closure Processing Result</t>
  </si>
  <si>
    <t xml:space="preserve">Tender R1 (Education Account); FS R1 V1.0 1.2.3 step 12 (the step no longer records a result); the old step text was removed</t>
  </si>
  <si>
    <t xml:space="preserve">The old step 12 recorded a Closure Processing Result. The current 1.2.3 step 12 records the Actual Closure Date only. Searched FS R1 V1.0 for Closure Processing Result and Processing Result: no match for the closure. No testable expectation exists.</t>
  </si>
  <si>
    <t xml:space="preserve">TC-R1-29-04</t>
  </si>
  <si>
    <t xml:space="preserve">Without any backend access the stored status stays Active after the 16th birthday</t>
  </si>
  <si>
    <t xml:space="preserve">Closure is recorded once, a repeated access changes nothing, a failed closure leaves the account consistent, and without access the stored status stays Active. Case: Without any backend access the stored status stays Active after the 16th birthday</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</si>
  <si>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and no backend access happens after the 16th birthday</t>
  </si>
  <si>
    <t xml:space="preserve">Student A: NRIC T9929041I, DOB 25 Oct 2010 (turned 16 three days before). Balance 0.00. No access. Business date 28 Oct 2026</t>
  </si>
  <si>
    <t xml:space="preserve">1. Set the business date to 28 Oct 2026
2. Read the stored Account Status of student A directly from storage without any backend request</t>
  </si>
  <si>
    <t xml:space="preserve">1. The stored Account Status is still Active</t>
  </si>
  <si>
    <t xml:space="preserve">Tender R1 (Education Account); FS R1 V1.0 1.2.4 (Account Status is updated when a backend action touches the Account), section 4 Backend-Triggered Closure [TD]</t>
  </si>
  <si>
    <t xml:space="preserve">ASM-R1-01, ASM-R1-02, ASM-R1-14, ASM-R1-26, ASM-R1-32, Question on closure only on access</t>
  </si>
  <si>
    <t xml:space="preserve">1.2.4 and section 4 [TD] say the status is updated when the account is accessed and not at the 16th birthday if no backend activity happens. The case documents this delivery limitation.</t>
  </si>
  <si>
    <t xml:space="preserve">TC-R1-29-05</t>
  </si>
  <si>
    <t xml:space="preserve">Closing the account leaves the Student Profile Status unchanged</t>
  </si>
  <si>
    <t xml:space="preserve">Closure is recorded once, a repeated access changes nothing, a failed closure leaves the account consistent, and without access the stored status stays Active. Case: Closing the account leaves the Student Profile Status unchanged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</si>
  <si>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Student Profile Status of student A is noted by the tester</t>
  </si>
  <si>
    <t xml:space="preserve">Student A: NRIC T9929051F, DOB 28 Oct 2010. Balance 0.00. Parent view on 28 Oct 2026</t>
  </si>
  <si>
    <t xml:space="preserve">1. Set the business date to 28 Oct 2026
2. Send a parent view request for the Education Account of student A
3. Look up the Education Account of student A by NRIC T9929051F
4. Read the Student Profile Status of student A</t>
  </si>
  <si>
    <t xml:space="preserve">1. The Account Status is Closed
2. The Student Profile Status is the one noted before the closure</t>
  </si>
  <si>
    <t xml:space="preserve">Tender R1 (Education Account); FS R1 V1.0 2.1 (Student Profile Status [TD]), 2.1 Note</t>
  </si>
  <si>
    <t xml:space="preserve">ASM-R1-01, ASM-R1-02, ASM-R1-14, ASM-R1-26, ASM-R1-32</t>
  </si>
  <si>
    <t xml:space="preserve">2.1 [TD] says the Student Profile Status is independent of the Education Account Status.</t>
  </si>
  <si>
    <t xml:space="preserve">TC-R1-29-06</t>
  </si>
  <si>
    <t xml:space="preserve">A closure that fails leaves the account consistent</t>
  </si>
  <si>
    <t xml:space="preserve">Closure is recorded once, a repeated access changes nothing, a failed closure leaves the account consistent, and without access the stored status stays Active. Case: A closure that fails leaves the account consistent</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</si>
  <si>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QA can make the closure fail after the check and before the status is saved</t>
  </si>
  <si>
    <t xml:space="preserve">Student A: NRIC T9929061C, DOB 28 Oct 2010. Balance 0.00. Parent view on 28 Oct 2026 with an injected closure failure</t>
  </si>
  <si>
    <t xml:space="preserve">1. Set the business date to 28 Oct 2026
2. Inject a failure into the closure of the account
3. Send a parent view request for the Education Account of student A
4. Look up the Education Account of student A by NRIC T9929061C</t>
  </si>
  <si>
    <t xml:space="preserve">1. The Account Status is Active
2. The Actual Account Closure Date has no value
3. The balance is still 0.00</t>
  </si>
  <si>
    <t xml:space="preserve">Tender R1 (Education Account); FS R1 V1.0 F02-EF03</t>
  </si>
  <si>
    <t xml:space="preserve">F02-EF03 says a failed closure is not recorded as a success and the Account Status and Balance are not updated wrongly. The Closure Processing Result is no longer in the FS.</t>
  </si>
  <si>
    <t xml:space="preserve">TC-R1-30-01</t>
  </si>
  <si>
    <t xml:space="preserve">SCN-R1-30</t>
  </si>
  <si>
    <t xml:space="preserve">The latest date of birth keeps the account Active</t>
  </si>
  <si>
    <t xml:space="preserve">The check uses the latest date of birth, ignores school and creation date, and does not close the account when the Government API fails or returns no valid record. Case: The latest date of birth keeps the account Active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</si>
  <si>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The Student Profile holds DOB 10 Oct 2018. The Government API now returns DOB 10 Nov 2018 for the NRIC</t>
  </si>
  <si>
    <t xml:space="preserve">Student A: NRIC T9930011B. Stored DOB 10 Oct 2018. Latest DOB 10 Nov 2018. Parent view on 10 Oct 2034</t>
  </si>
  <si>
    <t xml:space="preserve">1. Set the business date to 10 Oct 2034
2. Send a parent view request for the Education Account of student A
3. Look up the Education Account of student A by NRIC T9930011B</t>
  </si>
  <si>
    <t xml:space="preserve">Tender R1 (Education Account); FS R1 V1.0 F02-BR03 [TD], F02-AC12, 1.2.3 steps 5 and 6</t>
  </si>
  <si>
    <t xml:space="preserve">F02-BR03 [TD] says the age comes from the current DOB. 1.2.3 step 5 gets the current data from the Government API. The dates are the 1.2.5 example.</t>
  </si>
  <si>
    <t xml:space="preserve">TC-R1-30-02</t>
  </si>
  <si>
    <t xml:space="preserve">The latest date of birth closes the account on the corrected date</t>
  </si>
  <si>
    <t xml:space="preserve">The check uses the latest date of birth, ignores school and creation date, and does not close the account when the Government API fails or returns no valid record. Case: The latest date of birth closes the account on the corrected date</t>
  </si>
  <si>
    <t xml:space="preserve">Student A: NRIC T9930021Z. Stored DOB 10 Oct 2018. Latest DOB 10 Nov 2018. Parent view on 10 Nov 2034</t>
  </si>
  <si>
    <t xml:space="preserve">1. Set the business date to 10 Nov 2034
2. Send a parent view request for the Education Account of student A
3. Look up the Education Account of student A by NRIC T9930021Z</t>
  </si>
  <si>
    <t xml:space="preserve">The 16th birthday by the current DOB is 10 Nov 2034 (F02-BR03 [TD]).</t>
  </si>
  <si>
    <t xml:space="preserve">TC-R1-30-03</t>
  </si>
  <si>
    <t xml:space="preserve">Government API failure on access does not close the account and is recorded</t>
  </si>
  <si>
    <t xml:space="preserve">The check uses the latest date of birth, ignores school and creation date, and does not close the account when the Government API fails or returns no valid record. Case: Government API failure on access does not close the account and is recorded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</si>
  <si>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Mock Government Citizen API can be set to time out</t>
  </si>
  <si>
    <t xml:space="preserve">Student A: NRIC T9930031G, DOB 28 Oct 2010. Balance 0.00. Parent view on 28 Oct 2026 while the API times out</t>
  </si>
  <si>
    <t xml:space="preserve">1. Set the Mock Government Citizen API to time out
2. Set the business date to 28 Oct 2026
3. Send a parent view request for the Education Account of student A
4. Look up the Education Account of student A by NRIC T9930031G
5. Open the error records</t>
  </si>
  <si>
    <t xml:space="preserve">1. The Account Status is not changed to Closed
2. An error for the failed Government API call is recorded</t>
  </si>
  <si>
    <t xml:space="preserve">Tender R1 (Education Account); FS R1 V1.0 F02-AC09 [WA], F02-EF01 [WA]</t>
  </si>
  <si>
    <t xml:space="preserve">ASM-R1-40: FS F02-AC09 [WA], F02-EF01 [WA]</t>
  </si>
  <si>
    <t xml:space="preserve">ASM-R1-01, ASM-R1-02, ASM-R1-14, ASM-R1-26, ASM-R1-32, ASM-R1-40</t>
  </si>
  <si>
    <t xml:space="preserve">F02-AC09 [WA] says the account is not updated to Closed when the Government API failed, and F02-EF01 [WA] says the technical error is recorded. Both are working assumptions.</t>
  </si>
  <si>
    <t xml:space="preserve">TC-R1-30-04</t>
  </si>
  <si>
    <t xml:space="preserve">Government API failure blocks a financial action that needs the check</t>
  </si>
  <si>
    <t xml:space="preserve">The check uses the latest date of birth, ignores school and creation date, and does not close the account when the Government API fails or returns no valid record. Case: Government API failure blocks a financial action that needs the check</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</si>
  <si>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The Mock Government Citizen API can be set to time out</t>
  </si>
  <si>
    <t xml:space="preserve">Student A: NRIC T9930041D, DOB 15 Oct 2016 (10 years old). Balance 125.50. Payment request of 5.00 on 28 Oct 2026 while the API times out</t>
  </si>
  <si>
    <t xml:space="preserve">1. Set the Mock Government Citizen API to time out
2. Set the business date to 28 Oct 2026
3. Send a Payment request of 5.00 on the account
4. Look up the Education Account of student A by NRIC T9930041D</t>
  </si>
  <si>
    <t xml:space="preserve">1. The System does not execute the Payment
2. The balance is still 125.50</t>
  </si>
  <si>
    <t xml:space="preserve">Tender R1 (Education Account); FS R1 V1.0 F02-EF01 [WA], F02-AC09 [WA]</t>
  </si>
  <si>
    <t xml:space="preserve">ASM-R1-01, ASM-R1-02, ASM-R1-14, ASM-R1-20, ASM-R1-26, ASM-R1-32, ASM-R1-40</t>
  </si>
  <si>
    <t xml:space="preserve">F02-EF01 [WA] says financial actions that need the eligibility check are blocked while the Government API does not respond. F02-AC09 [WA] says financial operations follow the failure rule.</t>
  </si>
  <si>
    <t xml:space="preserve">TC-R1-30-05</t>
  </si>
  <si>
    <t xml:space="preserve">A held back student closes by the date of birth</t>
  </si>
  <si>
    <t xml:space="preserve">The check uses the latest date of birth, ignores school and creation date, and does not close the account when the Government API fails or returns no valid record. Case: A held back student closes by the date of birth</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</si>
  <si>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is enrolled in Primary 5, below the usual school year
4. An authorised parent exists</t>
  </si>
  <si>
    <t xml:space="preserve">Student A: NRIC T9930051A, DOB 28 Oct 2010, enrolled in Primary 5. Balance 0.00. Parent view on 28 Oct 2026</t>
  </si>
  <si>
    <t xml:space="preserve">1. Set the business date to 28 Oct 2026
2. Send a parent view request for the Education Account of student A
3. Look up the Education Account of student A by NRIC T9930051A</t>
  </si>
  <si>
    <t xml:space="preserve">Tender R1 (Education Account); FS R1 V1.0 F02-AC08, F02-BR07</t>
  </si>
  <si>
    <t xml:space="preserve">F02-AC08 says a student who repeats a year or starts late still closes by DOB. F02-BR07 says school level, cohort, class and schooling status do not decide the age.</t>
  </si>
  <si>
    <t xml:space="preserve">TC-R1-30-06</t>
  </si>
  <si>
    <t xml:space="preserve">The creation date does not move the closure date</t>
  </si>
  <si>
    <t xml:space="preserve">The check uses the latest date of birth, ignores school and creation date, and does not close the account when the Government API fails or returns no valid record. Case: The creation date does not move the closure date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</si>
  <si>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on 28 Oct 2026 through the Initial Synchronization at age 12, with a balance of 0.00
4. An authorised parent exists</t>
  </si>
  <si>
    <t xml:space="preserve">Student A: NRIC T9930061I, DOB 28 Oct 2014. Account created 28 Oct 2026. Parent views on 28 Oct 2029 (15 years old) and 28 Oct 2030 (16 years old)</t>
  </si>
  <si>
    <t xml:space="preserve">1. Set the business date to 28 Oct 2029
2. Send a parent view request for the Education Account of student A
3. Look up the Education Account of student A by NRIC T9930061I
4. Set the business date to 28 Oct 2030
5. Send a parent view request for the Education Account of student A
6. Look up the Education Account of student A by NRIC T9930061I</t>
  </si>
  <si>
    <t xml:space="preserve">1. After the view of 28 Oct 2029 the Account Status is Active
2. After the view of 28 Oct 2030 the Account Status is Closed, four years after the creation date</t>
  </si>
  <si>
    <t xml:space="preserve">Tender R1 (Education Account); FS R1 V1.0 F02-BR03 [TD], F02-BR01 [CR]</t>
  </si>
  <si>
    <t xml:space="preserve">Inference: F02-BR03 [TD] takes the age from the current DOB and F02-BR01 [CR] closes at 16, so the Account Creation Date is not an input. The statement that the creation date does not affect the closure age was removed from F02-BR04, now F02-BR07.</t>
  </si>
  <si>
    <t xml:space="preserve">TC-R1-30-07</t>
  </si>
  <si>
    <t xml:space="preserve">Government API returns no valid record: the account is not closed and an error result is returned</t>
  </si>
  <si>
    <t xml:space="preserve">The check uses the latest date of birth, ignores school and creation date, and does not close the account when the Government API fails or returns no valid record. Case: Government API returns no valid record: the account is not closed and an error result is returned</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</si>
  <si>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Mock Government Citizen API can be set to return no valid record for an NRIC</t>
  </si>
  <si>
    <t xml:space="preserve">Student A: NRIC T9930071F, DOB 28 Oct 2010, turns 16 on 28 Oct 2026. Balance 0.00. Parent view on 28 Oct 2026 while the API returns no valid record for the NRIC</t>
  </si>
  <si>
    <t xml:space="preserve">1. Set the Mock Government Citizen API to return no valid citizen record for NRIC T9930071F
2. Set the business date to 28 Oct 2026
3. Send a parent view request for the Education Account of student A
4. Look up the Education Account of student A by NRIC T9930071F</t>
  </si>
  <si>
    <t xml:space="preserve">1. The Account Status is still Active, not Closed
2. The backend action receives an error result</t>
  </si>
  <si>
    <t xml:space="preserve">Tender R1 (Education Account); FS R1 V1.0 F02-EF02 [WA], F02-BR14 [WA]</t>
  </si>
  <si>
    <t xml:space="preserve">ASM-R1-50: FS F02-EF02 [WA], F02-BR14 [WA]</t>
  </si>
  <si>
    <t xml:space="preserve">ASM-R1-01, ASM-R1-02, ASM-R1-04, ASM-R1-14, ASM-R1-26, ASM-R1-32, ASM-R1-50</t>
  </si>
  <si>
    <t xml:space="preserve">F02-EF02 and F02-BR14 [WA] say that when the Government API returns no valid citizen record the System does not conclude that the account is due for closure and returns a suitable error result to the backend action. The FS does not define the error result. The holder turns 16 on the test date, so a wrong closure would show.</t>
  </si>
  <si>
    <t xml:space="preserve">TC-R1-31-01</t>
  </si>
  <si>
    <t xml:space="preserve">SCN-R1-31</t>
  </si>
  <si>
    <t xml:space="preserve">Closure is deferred when the balance is above 0.00</t>
  </si>
  <si>
    <t xml:space="preserve">A due account with a balance above 0.00 is not closed, keeps its balance and refuses new financial operations while CPF is not built. Case: Closure is deferred when the balance is above 0.00</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</si>
  <si>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125.50 (seeded as test data)
5. An authorised parent exists</t>
  </si>
  <si>
    <t xml:space="preserve">Student A: NRIC T9931011H, DOB 28 Oct 2010. Balance 125.50. Parent view on 28 Oct 2026</t>
  </si>
  <si>
    <t xml:space="preserve">1. Set the business date to 28 Oct 2026
2. Send a parent view request for the Education Account of student A
3. Look up the Education Account of student A by NRIC T9931011H</t>
  </si>
  <si>
    <t xml:space="preserve">1. The account is marked Closure Deferred
2. The Account Status is not Closed
3. The balance is still 125.50</t>
  </si>
  <si>
    <t xml:space="preserve">Tender R1 (Education Account); FS R1 V1.0 1.2.7 table row 2 [WA], F02-EF04 [WA], F02-AC10</t>
  </si>
  <si>
    <t xml:space="preserve">CP-R1-24</t>
  </si>
  <si>
    <t xml:space="preserve">ASM-R1-41: FS 1.2.7 table row 2 [WA], F02-EF04 [WA], F02-AC10</t>
  </si>
  <si>
    <t xml:space="preserve">ASM-R1-01, ASM-R1-02, ASM-R1-04, ASM-R1-14, ASM-R1-20, ASM-R1-26, ASM-R1-32, ASM-R1-41</t>
  </si>
  <si>
    <t xml:space="preserve">1.2.7 [WA] says an account due for closure with a balance above 0.00 and no CPF transfer is marked Closure Deferred and keeps its balance.</t>
  </si>
  <si>
    <t xml:space="preserve">TC-R1-31-02</t>
  </si>
  <si>
    <t xml:space="preserve">Closure Deferred blocks new financial operations</t>
  </si>
  <si>
    <t xml:space="preserve">A due account with a balance above 0.00 is not closed, keeps its balance and refuses new financial operations while CPF is not built. Case: Closure Deferred blocks new financial operations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</si>
  <si>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125.50 (seeded as test data)
5. An authorised parent exists
6. The account is marked Closure Deferred after the view of 28 Oct 2026</t>
  </si>
  <si>
    <t xml:space="preserve">Student A: NRIC T9931021E, DOB 28 Oct 2010. Balance 125.50. Top-Up request of 10.00 and Payment request of 5.00 on 29 Oct 2026</t>
  </si>
  <si>
    <t xml:space="preserve">1. Set the business date to 29 Oct 2026
2. Send a Top-Up request of 10.00 on the account
3. Send a Payment request of 5.00 on the account
4. Look up the Education Account of student A by NRIC T9931021E</t>
  </si>
  <si>
    <t xml:space="preserve">1. The System does not execute the Top-Up
2. The System does not execute the Payment
3. The balance is still 125.50</t>
  </si>
  <si>
    <t xml:space="preserve">Tender R1 (Education Account); FS R1 V1.0 1.2.7 table row 2 [WA] (ngăn financial operations mới), F02-AC04, F02-AC05</t>
  </si>
  <si>
    <t xml:space="preserve">1.2.7 [WA] says new financial operations are blocked while the closure is deferred. F02-AC04 and F02-AC05 refuse them at 16 in any case.</t>
  </si>
  <si>
    <t xml:space="preserve">TC-R1-31-03</t>
  </si>
  <si>
    <t xml:space="preserve">No simulated CPF transfer is recorded</t>
  </si>
  <si>
    <t xml:space="preserve">A due account with a balance above 0.00 is not closed, keeps its balance and refuses new financial operations while CPF is not built. Case: No simulated CPF transfer is recorded</t>
  </si>
  <si>
    <t xml:space="preserve">Student A: NRIC T9931031B, DOB 28 Oct 2010. Balance 125.50. Parent view on 28 Oct 2026</t>
  </si>
  <si>
    <t xml:space="preserve">1. Set the business date to 28 Oct 2026
2. Send a parent view request for the Education Account of student A
3. Look up the Education Account of student A by NRIC T9931031B
4. Open the transaction history of the account</t>
  </si>
  <si>
    <t xml:space="preserve">1. The transaction history has no CPF Transfer entry
2. The balance is still 125.50</t>
  </si>
  <si>
    <t xml:space="preserve">Tender R1 (Education Account); FS R1 V1.0 F02-AC10 (không giả định chuyển tiền thành công), F02-EF04 [WA]</t>
  </si>
  <si>
    <t xml:space="preserve">F02-AC10 and F02-EF04 [WA] say the System does not record a simulated CPF transfer as a success.</t>
  </si>
  <si>
    <t xml:space="preserve">TC-R1-31-04</t>
  </si>
  <si>
    <t xml:space="preserve">Smallest balance 0.01 also defers the closure</t>
  </si>
  <si>
    <t xml:space="preserve">A due account with a balance above 0.00 is not closed, keeps its balance and refuses new financial operations while CPF is not built. Case: Smallest balance 0.01 also defers the closure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</si>
  <si>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0.01 (seeded as test data)
5. An authorised parent exists</t>
  </si>
  <si>
    <t xml:space="preserve">Student A: NRIC T9931041Z, DOB 28 Oct 2010. Balance 0.01. Parent view on 28 Oct 2026</t>
  </si>
  <si>
    <t xml:space="preserve">1. Set the business date to 28 Oct 2026
2. Send a parent view request for the Education Account of student A
3. Look up the Education Account of student A by NRIC T9931041Z</t>
  </si>
  <si>
    <t xml:space="preserve">1. The account is marked Closure Deferred
2. The Account Status is not Closed
3. The balance is still 0.01</t>
  </si>
  <si>
    <t xml:space="preserve">Tender R1 (Education Account); FS R1 V1.0 1.2.7 table row 2 [WA] (Balance greater than SGD 0.00)</t>
  </si>
  <si>
    <t xml:space="preserve">1.2.7 [WA] defers every balance above 0.00, so 0.01 is the smallest balance that defers. Balance 0.00 closes (S13-01).</t>
  </si>
  <si>
    <t xml:space="preserve">TC-R1-31-05</t>
  </si>
  <si>
    <t xml:space="preserve">A repeated access keeps one Closure Deferred marker and the same balance</t>
  </si>
  <si>
    <t xml:space="preserve">A due account with a balance above 0.00 is not closed, keeps its balance and refuses new financial operations while CPF is not built. Case: A repeated access keeps one Closure Deferred marker and the same balance</t>
  </si>
  <si>
    <t xml:space="preserve">Student A: NRIC T9931051G, DOB 28 Oct 2010. Balance 125.50. Parent views on 28 Oct 2026 and 29 Oct 2026</t>
  </si>
  <si>
    <t xml:space="preserve">1. Set the business date to 28 Oct 2026
2. Send a parent view request for the Education Account of student A
3. Set the business date to 29 Oct 2026
4. Send a parent view request for the Education Account of student A
5. Look up the Education Account of student A by NRIC T9931051G</t>
  </si>
  <si>
    <t xml:space="preserve">1. The account has one Closure Deferred marker
2. The balance is still 125.50</t>
  </si>
  <si>
    <t xml:space="preserve">Tender R1 (Education Account); FS R1 V1.0 F02-BR12 [TD], 1.2.7 table [WA]</t>
  </si>
  <si>
    <t xml:space="preserve">F02-BR12 [TD] says repeated access does not repeat closure processing. The same holds for a deferred closure by inference. The Closure Processing Result is no longer in the FS.</t>
  </si>
  <si>
    <t xml:space="preserve">TC-R1-32-01</t>
  </si>
  <si>
    <t xml:space="preserve">SCN-R1-32</t>
  </si>
  <si>
    <t xml:space="preserve">Daily Job does not read a student who has an account and does not update the address</t>
  </si>
  <si>
    <t xml:space="preserve">Student data is stored at account creation. The Daily Job and the closure check do not refresh it, and R1 does not rescan a student after a Government update. Case: Daily Job does not read a student who has an account and does not update the address</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</si>
  <si>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aged 10, has an Active Education Account and a Student Profile with the address stored at creation (seeded as test data)</t>
  </si>
  <si>
    <t xml:space="preserve">Student A: NRIC T9932011C, Singapore Citizen, DOB 15 Oct 2016. Address at creation: Block 12, Sample Road, Unit 05-07, Postal Code 120012. Address in the Mock Government Citizen API from 15 Oct 2026: Block 20, Test Avenue, Unit 08-02, Postal Code 200020. Business date 15 Oct 2026</t>
  </si>
  <si>
    <t xml:space="preserve">1. Change the address of student A in the Mock Government Citizen API
2. Set the business date to 15 Oct 2026
3. Run the Daily Incremental Synchronization
4. Open the request log of the Mock Government Citizen API
5. Look up the Student Profile of student A by NRIC T9932011C and read the address
6. Search the Education Accounts by NRIC T9932011C</t>
  </si>
  <si>
    <t xml:space="preserve">1. The request log shows only the query for the citizens who turned 7 on 15 Oct 2026, and the response does not include student A
2. The address in the Student Profile is still the address stored at creation
3. The search returns exactly one Education Account for student A</t>
  </si>
  <si>
    <t xml:space="preserve">Tender R1 (Education Account); FS R1 V1.0 F01-AC16, 1.1.1 [TD] (the Daily Incremental Sync does not resynchronize Existing Student Profiles), 1.1.5 Notes [TD]</t>
  </si>
  <si>
    <t xml:space="preserve">CP-R1-25</t>
  </si>
  <si>
    <t xml:space="preserve">F01-AC16 says the Daily Sync does not retrieve a student who already has an account again and does not update the address. 1.1.1 and the 1.1.5 notes [TD] say the same. Inference: the Daily query is limited to the citizens who turned 7 (1.1.5 step 2), so a student aged 10 is not read.</t>
  </si>
  <si>
    <t xml:space="preserve">TC-R1-32-02</t>
  </si>
  <si>
    <t xml:space="preserve">Closure check does not update the address or the gender of the Student Profile</t>
  </si>
  <si>
    <t xml:space="preserve">Student data is stored at account creation. The Daily Job and the closure check do not refresh it, and R1 does not rescan a student after a Government update. Case: Closure check does not update the address or the gender of the Student Profile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</si>
  <si>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aged 14, has an Active Education Account with a balance of 0.00 and a Student Profile with the address and gender stored at creation (seeded as test data)
4. An authorised parent exists</t>
  </si>
  <si>
    <t xml:space="preserve">Student A: NRIC T9932021J, DOB 15 Oct 2012. Address at creation: Block 12, Sample Road, Unit 05-07, Postal Code 120012, gender Female. In the Mock Government Citizen API from 20 Oct 2026: Block 20, Test Avenue, Unit 08-02, Postal Code 200020, gender Male. Parent view on 20 Oct 2026</t>
  </si>
  <si>
    <t xml:space="preserve">1. Change the address and the gender of student A in the Mock Government Citizen API
2. Set the business date to 20 Oct 2026
3. Send a parent view request for the Education Account of student A
4. Look up the Student Profile of student A by NRIC T9932021J and read the address and the gender
5. Look up the Education Account of student A by NRIC T9932021J</t>
  </si>
  <si>
    <t xml:space="preserve">1. The Account Status is still Active
2. The address and the gender in the Student Profile are the ones stored at creation</t>
  </si>
  <si>
    <t xml:space="preserve">Tender R1 (Education Account); FS R1 V1.0 F02-AC13, F02-BR13 [TD], 1.2.6 Student Data Synchronization Boundary [TD]</t>
  </si>
  <si>
    <t xml:space="preserve">F02-AC13 says a Government update of the address or gender after creation is not copied into the Student Profile by F02. F02-BR13 [TD] says the closure check does not update the Student Profile.</t>
  </si>
  <si>
    <t xml:space="preserve">TC-R1-32-03</t>
  </si>
  <si>
    <t xml:space="preserve">Closure check does not update the full name or the race of the Student Profile</t>
  </si>
  <si>
    <t xml:space="preserve">Student data is stored at account creation. The Daily Job and the closure check do not refresh it, and R1 does not rescan a student after a Government update. Case: Closure check does not update the full name or the race of the Student Profile</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</si>
  <si>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aged 14, has an Active Education Account with a balance of 0.00 and a Student Profile with the name and race stored at creation (seeded as test data)
4. An authorised parent exists</t>
  </si>
  <si>
    <t xml:space="preserve">Student A: NRIC T9932031H, DOB 15 Oct 2012. Name at creation: Test Student Alpha, race Chinese. In the Mock Government Citizen API from 20 Oct 2026: Test Student Beta, race Malay. Parent view on 20 Oct 2026</t>
  </si>
  <si>
    <t xml:space="preserve">1. Change the full name and the race of student A in the Mock Government Citizen API
2. Set the business date to 20 Oct 2026
3. Send a parent view request for the Education Account of student A
4. Look up the Student Profile of student A by NRIC T9932031H and read the full name and the race</t>
  </si>
  <si>
    <t xml:space="preserve">1. The full name and the race in the Student Profile are the ones stored at creation</t>
  </si>
  <si>
    <t xml:space="preserve">Tender R1 (Education Account); FS R1 V1.0 F02-EF05, 1.2.3 Notes [TD], 1.2.6 Student Data Synchronization Boundary [TD]</t>
  </si>
  <si>
    <t xml:space="preserve">F02-EF05 and the notes [TD] of 1.2.3 and 1.2.6 say F02 does not copy changes of the full name, address, gender, race or parent NRIC into the Student Profile.</t>
  </si>
  <si>
    <t xml:space="preserve">TC-R1-32-04</t>
  </si>
  <si>
    <t xml:space="preserve">A Government update of the Father or Mother NRIC needs no rescan by R1</t>
  </si>
  <si>
    <t xml:space="preserve">Student data is stored at account creation. The Daily Job and the closure check do not refresh it, and R1 does not rescan a student after a Government update. Case: A Government update of the Father or Mother NRIC needs no rescan by R1</t>
  </si>
  <si>
    <t xml:space="preserve">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aged 10, has an Active Education Account and a Student Profile with Father NRIC and Mother NRIC empty (seeded as test data)</t>
  </si>
  <si>
    <t xml:space="preserve">Student A: NRIC T9932041E, DOB 15 Oct 2016, Father NRIC and Mother NRIC empty at creation. Father NRIC T9932042C added in the Mock Government Citizen API on 15 Oct 2026. Business date 15 Oct 2026</t>
  </si>
  <si>
    <t xml:space="preserve">1. Add the Father NRIC T9932042C to the record of student A in the Mock Government Citizen API
2. Set the business date to 15 Oct 2026
3. Run the Daily Incremental Synchronization
4. Look up the Student Profile of student A by NRIC T9932041E and read the Father NRIC</t>
  </si>
  <si>
    <t xml:space="preserve">1. The Father NRIC in the Student Profile is still empty
2. The System does not rescan student A</t>
  </si>
  <si>
    <t xml:space="preserve">Tender R1 (Education Account); FS R1 V1.0 1.1.1 Cross-Function Dependency R8, F01-AC16, 1.1.5 Notes [TD]</t>
  </si>
  <si>
    <t xml:space="preserve">1.1.1 (Cross-Function Dependency R8) says a Government update of the Father or Mother NRIC after creation does not make R1 scan the student again. R8 checks the relationship when the parent signs in.</t>
  </si>
  <si>
    <t xml:space="preserve">Checkpoint</t>
  </si>
  <si>
    <t xml:space="preserve">Condition</t>
  </si>
  <si>
    <t xml:space="preserve">Open ASM and questions</t>
  </si>
  <si>
    <t xml:space="preserve">A Singapore Citizen who turns 7 on the business date gets an Active account, and a citizen who turns 7 the next day does not</t>
  </si>
  <si>
    <t xml:space="preserve">FS F01-AC02, 1.1.5 step 2, 1.1.6 examples</t>
  </si>
  <si>
    <t xml:space="preserve">No account outside the age range</t>
  </si>
  <si>
    <t xml:space="preserve">A citizen below 7 or from 16 on, with no account, gets none</t>
  </si>
  <si>
    <t xml:space="preserve">FS F01-AC04, F01-AC05, F01-BR05</t>
  </si>
  <si>
    <t xml:space="preserve">Question on 16th birthday rule</t>
  </si>
  <si>
    <t xml:space="preserve">Eligibility by citizenship</t>
  </si>
  <si>
    <t xml:space="preserve">Citizenship decides whether an account is created</t>
  </si>
  <si>
    <t xml:space="preserve">FS F01-BR01 [CR], F01-AC03, register NEW-03, NEW-04</t>
  </si>
  <si>
    <t xml:space="preserve">ASM-R1-31</t>
  </si>
  <si>
    <t xml:space="preserve">New account starts clean</t>
  </si>
  <si>
    <t xml:space="preserve">A new account is Active with a zero SGD balance, a unique number and a link to the right Student Profile</t>
  </si>
  <si>
    <t xml:space="preserve">FS 1.1.4 steps 6 to 9, 1.1.5 steps 8 to 11, 1.1.8, 2.2, 2.3 Scope Note, register TBD-15</t>
  </si>
  <si>
    <t xml:space="preserve">ASM-R1-34, ASM-R1-36</t>
  </si>
  <si>
    <t xml:space="preserve">One account per citizen</t>
  </si>
  <si>
    <t xml:space="preserve">The same NRIC never gets two accounts, whatever the job, rerun or account state</t>
  </si>
  <si>
    <t xml:space="preserve">FS 1.1.7, F01-AC06, F01-AC07, F01-AC12, F01-EF03</t>
  </si>
  <si>
    <t xml:space="preserve">ASM-R1-33</t>
  </si>
  <si>
    <t xml:space="preserve">Late records</t>
  </si>
  <si>
    <t xml:space="preserve">A record added to the dataset after the 7th birthday is not picked up by the Daily Job. Manual Account Creation and Bulk Re-synchronization handle it in the next sprint</t>
  </si>
  <si>
    <t xml:space="preserve">FS 1.1.1 B [TD, Deferred], 1.1.5 Notes [TD], section 4 [TD], register NEW-02</t>
  </si>
  <si>
    <t xml:space="preserve">Question on Manual Account Creation and Bulk Re-synchronization, Question on late records</t>
  </si>
  <si>
    <t xml:space="preserve">Invalid or missing citizen data</t>
  </si>
  <si>
    <t xml:space="preserve">A record without required data creates no account. A record without optional data still creates one. Where the exception is recorded is an open question</t>
  </si>
  <si>
    <t xml:space="preserve">FS 1.1.3, F01-EF02, F01-AC08, F01-AC09, 1.1.4 step 5 and Implementation Notes [TD]</t>
  </si>
  <si>
    <t xml:space="preserve">ASM-R1-30, Question on exception record</t>
  </si>
  <si>
    <t xml:space="preserve">Leap day births</t>
  </si>
  <si>
    <t xml:space="preserve">A citizen born on 29 February follows the leap day rule</t>
  </si>
  <si>
    <t xml:space="preserve">FS 1.1.6 Leap Year Handling [WA], F01-AC14 [WA], F02-AC15 [WA], register TBD-01</t>
  </si>
  <si>
    <t xml:space="preserve">ASM-R1-22, Question on leap rule in F02</t>
  </si>
  <si>
    <t xml:space="preserve">Citizen data intake</t>
  </si>
  <si>
    <t xml:space="preserve">Both synchronizations read the Mock Government Citizen API with the credential and select the right citizens, and a bad record does not stop the others</t>
  </si>
  <si>
    <t xml:space="preserve">FS 1.1.1, 1.1.2, 1.1.4, 1.1.5, 1.1.9 (next sprint)</t>
  </si>
  <si>
    <t xml:space="preserve">Question on job recovery, Question on weekly frequency</t>
  </si>
  <si>
    <t xml:space="preserve">Daily run at 00:00</t>
  </si>
  <si>
    <t xml:space="preserve">No account exists before the midnight run and it exists after it. The job runs once a day</t>
  </si>
  <si>
    <t xml:space="preserve">FS 1.1.2 Execution Time [WA], Execution Frequency [TD]</t>
  </si>
  <si>
    <t xml:space="preserve">ASM-R1-24</t>
  </si>
  <si>
    <t xml:space="preserve">Account does not depend on school status</t>
  </si>
  <si>
    <t xml:space="preserve">School transfer, no school record, held back year, drop out and Student Profile Status do not decide the account</t>
  </si>
  <si>
    <t xml:space="preserve">FS F01-BR03, F01-BR04, F01-AC10, F02-BR07, register TBD-02</t>
  </si>
  <si>
    <t xml:space="preserve">ASM-R1-17, ASM-R1-35</t>
  </si>
  <si>
    <t xml:space="preserve">Account is not a login account</t>
  </si>
  <si>
    <t xml:space="preserve">Client clarification CD-01</t>
  </si>
  <si>
    <t xml:space="preserve">Account closes at the 16th birthday on backend access</t>
  </si>
  <si>
    <t xml:space="preserve">A backend access finds the account Active the day before the 16th birthday and Closed from it, also when the access comes later</t>
  </si>
  <si>
    <t xml:space="preserve">FS F02-BR01 [CR], F02-AC01 to F02-AC03, 1.2.5</t>
  </si>
  <si>
    <t xml:space="preserve">Closing balance goes to CPF</t>
  </si>
  <si>
    <t xml:space="preserve">The exact balance goes to CPF through the Mock CPF Service and the account balance becomes zero. A Transfer Record keeps Success or Failed. A zero balance closes without a transfer. A failure, a retry and an interruption never lose or duplicate money</t>
  </si>
  <si>
    <t xml:space="preserve">FS 1.2.7 [CR] [Deferred], F02-AC02, F02-AC10, register TBD-05, first FS F03-BR01 to BR07, AF01, AF02, EF01, EF02, F03-AC01 to AC04, 2.4</t>
  </si>
  <si>
    <t xml:space="preserve">ASM-R1-41, ASM-R1-42, ASM-R1-43, ASM-R1-44, ASM-R1-45, ASM-R1-46, Question on CPF delivery</t>
  </si>
  <si>
    <t xml:space="preserve">Pending transactions at closure</t>
  </si>
  <si>
    <t xml:space="preserve">A pending transaction stops the closure until it is settled</t>
  </si>
  <si>
    <t xml:space="preserve">FS 1.2.2 [TD], F02-BR09 [TD], CD-02</t>
  </si>
  <si>
    <t xml:space="preserve">Unpaid fees on the closure day</t>
  </si>
  <si>
    <t xml:space="preserve">Unpaid fees do not stop the closure</t>
  </si>
  <si>
    <t xml:space="preserve">Register NEW-01</t>
  </si>
  <si>
    <t xml:space="preserve">ASM-R1-42, Question on CPF delivery, Question on unpaid fees</t>
  </si>
  <si>
    <t xml:space="preserve">Closed account accepts no new transactions</t>
  </si>
  <si>
    <t xml:space="preserve">A closed account refuses Top-Up and Payment, stays readable with its history, and is not deleted</t>
  </si>
  <si>
    <t xml:space="preserve">FS 1.2.3 step 3, F02-AC07, F02-BR11 [TD], F02-BR10 [WA], 1.1.7 [WA]</t>
  </si>
  <si>
    <t xml:space="preserve">ASM-R1-38</t>
  </si>
  <si>
    <t xml:space="preserve">Citizenship gained after age 7</t>
  </si>
  <si>
    <t xml:space="preserve">A citizen who becomes a Singapore Citizen after the Initial Synchronization is not added by the Daily Job. Manual Account Creation or Bulk Re-synchronization handle it in the next sprint</t>
  </si>
  <si>
    <t xml:space="preserve">FS section 4 [TD], 1.1.1 B [TD, Deferred], register TBD-03</t>
  </si>
  <si>
    <t xml:space="preserve">ASM-R1-31, Question on Manual Account Creation and Bulk Re-synchronization, Question on citizenship gained after 7</t>
  </si>
  <si>
    <t xml:space="preserve">Citizenship lost before 16</t>
  </si>
  <si>
    <t xml:space="preserve">An account whose holder is no longer a Singapore Citizen is closed at a backend access (team decision that needs business confirmation). A Closed account is not reopened</t>
  </si>
  <si>
    <t xml:space="preserve">FS F02-BR05 [TD], F02-AC11 [TD], F02-AF04, F02-AF05, 1.2.6 [TD], 1.2.7 and section 4 [Open Business Decision], F01-AC07, F02-AC06</t>
  </si>
  <si>
    <t xml:space="preserve">ASM-R1-07, ASM-R1-48, Question on citizenship based closure balance</t>
  </si>
  <si>
    <t xml:space="preserve">Citizen leaves the country</t>
  </si>
  <si>
    <t xml:space="preserve">Departure data deactivates the account (Func1 diagram)</t>
  </si>
  <si>
    <t xml:space="preserve">Flow R1, register NEW-04</t>
  </si>
  <si>
    <t xml:space="preserve">Question on citizen leaves the country</t>
  </si>
  <si>
    <t xml:space="preserve">Balance arithmetic and debit boundary</t>
  </si>
  <si>
    <t xml:space="preserve">Credits and debits change the balance exactly, a debit above the balance is refused, and a failed debit changes nothing</t>
  </si>
  <si>
    <t xml:space="preserve">FS 2.3 Business Rules</t>
  </si>
  <si>
    <t xml:space="preserve">ASM-R1-21</t>
  </si>
  <si>
    <t xml:space="preserve">Exception after 16</t>
  </si>
  <si>
    <t xml:space="preserve">An approved exception keeps the account open after 16</t>
  </si>
  <si>
    <t xml:space="preserve">Test plan 1.0.7 section 4.2 fixtures</t>
  </si>
  <si>
    <t xml:space="preserve">Account eligibility is separate from FAS eligibility</t>
  </si>
  <si>
    <t xml:space="preserve">Whether a citizen is eligible for FAS or has a pending FAS decision does not change the account</t>
  </si>
  <si>
    <t xml:space="preserve">Minutes 4</t>
  </si>
  <si>
    <t xml:space="preserve">Initial Synchronization population</t>
  </si>
  <si>
    <t xml:space="preserve">The first run creates accounts for citizens aged 7 to under 16 and for no one else</t>
  </si>
  <si>
    <t xml:space="preserve">FS 1.1.1 A [TD], 1.1.4, F01-BR02, F01-AC01</t>
  </si>
  <si>
    <t xml:space="preserve">Weekend, holiday and missed days</t>
  </si>
  <si>
    <t xml:space="preserve">The Daily Job runs on weekends and holidays. The recovery of missed days is next sprint</t>
  </si>
  <si>
    <t xml:space="preserve">FS 1.1.2, F01-AC13, 1.1.5 step 2, 1.1.9 (next sprint)</t>
  </si>
  <si>
    <t xml:space="preserve">Question on job recovery</t>
  </si>
  <si>
    <t xml:space="preserve">Government API failure and job recovery</t>
  </si>
  <si>
    <t xml:space="preserve">An authentication failure is recorded as a Job Failure. The timeout, retry and recovery rules are next sprint [WA]</t>
  </si>
  <si>
    <t xml:space="preserve">FS F01-EF01, 1.1.9 (next sprint)</t>
  </si>
  <si>
    <t xml:space="preserve">Synchronization audit record (removed from the FS)</t>
  </si>
  <si>
    <t xml:space="preserve">FS R1 V1.0 has no processing record of a synchronization run, so no expected result exists</t>
  </si>
  <si>
    <t xml:space="preserve">FS 1.1.4 Implementation Notes [TD]; section 2.4 removed from the FS</t>
  </si>
  <si>
    <t xml:space="preserve">Question on synchronization record</t>
  </si>
  <si>
    <t xml:space="preserve">Closure check on every backend action</t>
  </si>
  <si>
    <t xml:space="preserve">Top-Up, Payment, balance and history views, and MOE HQ retrieval each trigger the closure check first</t>
  </si>
  <si>
    <t xml:space="preserve">FS 1.2.2, F02-AC04, F02-AC05, F02-AC14, F02-AF01, F02-AF05</t>
  </si>
  <si>
    <t xml:space="preserve">ASM-R1-49</t>
  </si>
  <si>
    <t xml:space="preserve">Closure result and repeated access</t>
  </si>
  <si>
    <t xml:space="preserve">Closure is recorded once, a repeated access changes nothing, a failed closure leaves the account consistent, and without access the stored status stays Active</t>
  </si>
  <si>
    <t xml:space="preserve">FS 1.2.3 steps 11 to 13, F02-AC06, F02-BR12 [TD], F02-EF03, 1.2.4, section 4</t>
  </si>
  <si>
    <t xml:space="preserve">ASM-R1-39, Question on closure only on access, Question on synchronization record</t>
  </si>
  <si>
    <t xml:space="preserve">Closure check data and Government API failure</t>
  </si>
  <si>
    <t xml:space="preserve">The check uses the latest date of birth, ignores school and creation date, and does not close the account when the Government API fails or returns no valid record</t>
  </si>
  <si>
    <t xml:space="preserve">FS F02-BR03 [TD], F02-BR07, F02-BR14 [WA], F02-AC08, F02-AC09 [WA], F02-AC12, F02-EF01 [WA], F02-EF02 [WA]</t>
  </si>
  <si>
    <t xml:space="preserve">ASM-R1-40, ASM-R1-50</t>
  </si>
  <si>
    <t xml:space="preserve">Closure Deferred with a remaining balance</t>
  </si>
  <si>
    <t xml:space="preserve">A due account with a balance above 0.00 is not closed, keeps its balance and refuses new financial operations while CPF is not built</t>
  </si>
  <si>
    <t xml:space="preserve">FS 1.2.7 table row 2 [WA], F02-EF04 [WA], F02-AC10</t>
  </si>
  <si>
    <t xml:space="preserve">ASM-R1-41</t>
  </si>
  <si>
    <t xml:space="preserve">Student data stays as stored</t>
  </si>
  <si>
    <t xml:space="preserve">Student data is stored at account creation. The Daily Job and the closure check do not refresh it, and R1 does not rescan a student after a Government update</t>
  </si>
  <si>
    <t xml:space="preserve">FS F01-AC16, F02-AC13, F02-BR13 [TD], F02-EF05, 1.1.1 (Cross-Function Dependency R8), 1.2.6 [TD]</t>
  </si>
  <si>
    <t xml:space="preserve">CP ID</t>
  </si>
  <si>
    <t xml:space="preserve">Point to test</t>
  </si>
  <si>
    <t xml:space="preserve">FS R1 V1.0 items</t>
  </si>
  <si>
    <t xml:space="preserve">Test case can be generated</t>
  </si>
  <si>
    <t xml:space="preserve">Expected test case status</t>
  </si>
  <si>
    <t xml:space="preserve">Short reason</t>
  </si>
  <si>
    <t xml:space="preserve">TC IDs</t>
  </si>
  <si>
    <t xml:space="preserve">Defect IDs</t>
  </si>
  <si>
    <t xml:space="preserve">Tender R1, FS F01-BR01 [CR], register NEW-03, NEW-04</t>
  </si>
  <si>
    <t xml:space="preserve">R1.1 Education Accounts are for Singapore Citizens only. Dual citizens count as Singaporean. A citizen studying overseas still gets an account.</t>
  </si>
  <si>
    <t xml:space="preserve">Only Singapore Citizens, including dual citizens, get an account. Permanent Residents and foreign students do not.</t>
  </si>
  <si>
    <t xml:space="preserve">F01-BR01, F01-AC03, F01-AF01, 2.1 rules</t>
  </si>
  <si>
    <t xml:space="preserve">The FS and the register state who is eligible. How a dual citizen is shown is assumed.</t>
  </si>
  <si>
    <t xml:space="preserve">TC-R1-03-01, TC-R1-03-02, TC-R1-03-03, TC-R1-03-04, TC-R1-03-05</t>
  </si>
  <si>
    <t xml:space="preserve">Tender R1, FS 1.1.1 [CR], F01-BR02, F01-BR05</t>
  </si>
  <si>
    <t xml:space="preserve">R1.2 The account is created and activated automatically when the child turns 7.</t>
  </si>
  <si>
    <t xml:space="preserve">The account appears on the 7th birthday, not before, and not for citizens outside the age range.</t>
  </si>
  <si>
    <t xml:space="preserve">F01-AC02, F01-AC04, F01-AC05, F01-BR02, F01-BR05, 1.1.6 examples</t>
  </si>
  <si>
    <t xml:space="preserve">The FS gives the age rule and dated examples.</t>
  </si>
  <si>
    <t xml:space="preserve">TC-R1-01-01, TC-R1-01-02, TC-R1-02-01, TC-R1-02-02, TC-R1-02-03</t>
  </si>
  <si>
    <t xml:space="preserve">Register TBD-15, FS 1.1.8, F01-AC01</t>
  </si>
  <si>
    <t xml:space="preserve">R1.3 A new account starts Active with a zero balance.</t>
  </si>
  <si>
    <t xml:space="preserve">Opening state, balance, currency, account number, holder link and creation date of a new account.</t>
  </si>
  <si>
    <t xml:space="preserve">1.1.4 steps 6 to 9, 1.1.5 steps 8 to 11, 1.1.8, 2.2, 2.3 Scope Note</t>
  </si>
  <si>
    <t xml:space="preserve">The flow steps and the 1.1.8 table state the opening values. The opening transaction and the profile of a Permanent Resident are assumptions.</t>
  </si>
  <si>
    <t xml:space="preserve">TC-R1-04-01, TC-R1-04-02, TC-R1-04-03, TC-R1-04-04, TC-R1-04-05, TC-R1-04-06, TC-R1-04-07</t>
  </si>
  <si>
    <t xml:space="preserve">Tender R1, FS F02-BR01 [CR]</t>
  </si>
  <si>
    <t xml:space="preserve">R1.4 The account is closed automatically when the child reaches 16.</t>
  </si>
  <si>
    <t xml:space="preserve">On a backend access the account is Active before the 16th birthday and Closed from it.</t>
  </si>
  <si>
    <t xml:space="preserve">F02-BR01, F02-BR02, F02-AC01 to F02-AC03, 1.2.3, 1.2.5</t>
  </si>
  <si>
    <t xml:space="preserve">The 16th birthday is [CR]. Closure happens at a backend access [TD].</t>
  </si>
  <si>
    <t xml:space="preserve">TC-R1-13-01, TC-R1-13-02, TC-R1-13-03</t>
  </si>
  <si>
    <t xml:space="preserve">Tender R1, FS 1.1.7 [CR] [TD]</t>
  </si>
  <si>
    <t xml:space="preserve">R1.5 Each citizen has one Education Account. A rerun creates no duplicate.</t>
  </si>
  <si>
    <t xml:space="preserve">No second account for the same NRIC, whatever the job, rerun or account state.</t>
  </si>
  <si>
    <t xml:space="preserve">1.1.7 table, F01-AC06, F01-AC07, F01-AC12, F01-AF03, F01-EF03</t>
  </si>
  <si>
    <t xml:space="preserve">One account per citizen is [CR]. Conflicting records are an assumption.</t>
  </si>
  <si>
    <t xml:space="preserve">TC-R1-05-01, TC-R1-05-02, TC-R1-05-03, TC-R1-05-04, TC-R1-05-05, TC-R1-05-06, TC-R1-05-07, TC-R1-05-08</t>
  </si>
  <si>
    <t xml:space="preserve">Client clarification CD-06, FS F01-BR03, F01-BR04, F02-BR07</t>
  </si>
  <si>
    <t xml:space="preserve">R1.6 The account does not depend on schooling status, school enrolment or school transfer.</t>
  </si>
  <si>
    <t xml:space="preserve">School transfer, class change, held back year, no school record and Student Profile Status do not decide the account.</t>
  </si>
  <si>
    <t xml:space="preserve">F01-BR03, F01-BR04, F01-AC10, F02-BR07, 1.1.3 note</t>
  </si>
  <si>
    <t xml:space="preserve">The independence from schooling is stated in the FS (F01-BR03, F01-BR04, F02-BR07). The drop out and the profile status cases are assumptions.</t>
  </si>
  <si>
    <t xml:space="preserve">TC-R1-11-01, TC-R1-11-02, TC-R1-11-03, TC-R1-11-04, TC-R1-11-05</t>
  </si>
  <si>
    <t xml:space="preserve">CD-02, register TBD-05, FS 1.2.7 [CR] and [Deferred], first FS F03</t>
  </si>
  <si>
    <t xml:space="preserve">R1.7 At closure the remaining balance is transferred to CPF. A mock API is acceptable.</t>
  </si>
  <si>
    <t xml:space="preserve">The remaining balance goes to CPF through the Mock CPF Service, a CPF Transfer Record keeps the result, and a failure, a retry or an interruption never loses or duplicates money.</t>
  </si>
  <si>
    <t xml:space="preserve">1.2.7, F02-AC10, section 4 item 3, first FS F03-BR01 to BR07, F03-AC01 to AC04, 2.4</t>
  </si>
  <si>
    <t xml:space="preserve">FS R1 V1.0 defers the transfer. The QA lead keeps F03 of the first FS as the rule, so the cases are Draft and wait for the delivery sprint.</t>
  </si>
  <si>
    <t xml:space="preserve">TC-R1-14-01, TC-R1-14-02, TC-R1-14-03, TC-R1-14-04, TC-R1-14-05, TC-R1-14-06, TC-R1-14-07, TC-R1-14-08, TC-R1-14-09, TC-R1-14-10, TC-R1-14-11, TC-R1-14-12</t>
  </si>
  <si>
    <t xml:space="preserve">CD-02, FS 1.2.2 [TD], F02-BR09 [TD]</t>
  </si>
  <si>
    <t xml:space="preserve">R1.8 There should be no pending transactions at closure.</t>
  </si>
  <si>
    <t xml:space="preserve">Closure behaviour when a transaction is pending.</t>
  </si>
  <si>
    <t xml:space="preserve">1.2.2, 1.2.7, F02-BR09</t>
  </si>
  <si>
    <t xml:space="preserve">The team assumes none exist and builds no reconciliation.</t>
  </si>
  <si>
    <t xml:space="preserve">TC-R1-15-01, TC-R1-15-02</t>
  </si>
  <si>
    <t xml:space="preserve">R1.9 Unpaid fees do not block closure.</t>
  </si>
  <si>
    <t xml:space="preserve">Closure when the student has an unpaid fee.</t>
  </si>
  <si>
    <t xml:space="preserve">Not in FS V1.0, register NEW-01</t>
  </si>
  <si>
    <t xml:space="preserve">The client confirmed that closure is not blocked. The CPF amount waits for the transfer.</t>
  </si>
  <si>
    <t xml:space="preserve">TC-R1-16-01, TC-R1-16-02</t>
  </si>
  <si>
    <t xml:space="preserve">CD-03, FS 1.1.3, 2.1</t>
  </si>
  <si>
    <t xml:space="preserve">R1.10 Account setup uses NRIC, name, date of birth, citizenship and gender. Missing or invalid required data creates no account and an exception is recorded.</t>
  </si>
  <si>
    <t xml:space="preserve">Required and optional data, and the handling of invalid data.</t>
  </si>
  <si>
    <t xml:space="preserve">1.1.3 Required Data Validation, F01-EF02, F01-AC08, F01-AC09, 1.1.4 step 5, 2.1 Business Rules</t>
  </si>
  <si>
    <t xml:space="preserve">Most rules are stated. The place where the exception is recorded conflicts inside the FS (see the question on the exception record). Gender and the value lists need confirmation.</t>
  </si>
  <si>
    <t xml:space="preserve">TC-R1-07-01, TC-R1-07-02, TC-R1-07-03, TC-R1-07-04, TC-R1-07-05, TC-R1-07-06, TC-R1-07-07, TC-R1-07-08, TC-R1-07-09, TC-R1-07-10, TC-R1-07-11, TC-R1-07-12, TC-R1-07-13, TC-R1-07-14</t>
  </si>
  <si>
    <t xml:space="preserve">Register NEW-02, FS 1.1.2, 1.1.4, 1.1.5</t>
  </si>
  <si>
    <t xml:space="preserve">R1.11 Citizenship data comes from the government source. The FS uses a Mock Government Citizen API with an API credential.</t>
  </si>
  <si>
    <t xml:space="preserve">Both synchronizations read the Mock Government Citizen API with the credential and select the right citizens.</t>
  </si>
  <si>
    <t xml:space="preserve">1.1.1, 1.1.2, 1.1.4, 1.1.5, F01-AC01, F01-AC02</t>
  </si>
  <si>
    <t xml:space="preserve">The mechanism is a team decision [TD]. Weekly frequency conflicts with the register. The recovery rules of 1.1.9 are next sprint.</t>
  </si>
  <si>
    <t xml:space="preserve">TC-R1-09-01, TC-R1-09-02, TC-R1-09-03, TC-R1-09-04, TC-R1-09-05, TC-R1-09-06, TC-R1-09-07</t>
  </si>
  <si>
    <t xml:space="preserve">FS 1.1.1 B, 1.1.2, 1.1.5, 1.1.6 [WA], section 4, register TBD-01</t>
  </si>
  <si>
    <t xml:space="preserve">R1.12 Eligibility is evaluated daily. A 29 February birth follows a leap day rule.</t>
  </si>
  <si>
    <t xml:space="preserve">Daily schedule, weekends, holidays, missed days, late records and the leap day rule.</t>
  </si>
  <si>
    <t xml:space="preserve">1.1.1 B, 1.1.2, 1.1.5, 1.1.9 (next sprint), section 4, F01-AC13, F01-AC14, 1.1.6 Leap Year Handling</t>
  </si>
  <si>
    <t xml:space="preserve">ASM-R1-22, ASM-R1-24, Question on Manual Account Creation and Bulk Re-synchronization, Question on job recovery, Question on late records, Question on leap rule in F02</t>
  </si>
  <si>
    <t xml:space="preserve">Weekends and holidays have no tag now. The run time and the leap rule are [WA]. Late records and missed days are next sprint (Deferred) and those cases are Block.</t>
  </si>
  <si>
    <t xml:space="preserve">TC-R1-06-01, TC-R1-06-02, TC-R1-06-03, TC-R1-06-04, TC-R1-06-05, TC-R1-06-06, TC-R1-08-01, TC-R1-08-02, TC-R1-08-03, TC-R1-08-04, TC-R1-08-05, TC-R1-10-01, TC-R1-10-02, TC-R1-10-03, TC-R1-25-01, TC-R1-25-02, TC-R1-25-03, TC-R1-25-04</t>
  </si>
  <si>
    <t xml:space="preserve">FS F02-BR05 [TD], section 4, register TBD-03, TBD-04</t>
  </si>
  <si>
    <t xml:space="preserve">R1.13 A change of citizenship changes eligibility.</t>
  </si>
  <si>
    <t xml:space="preserve">Citizenship gained and lost after the account stage.</t>
  </si>
  <si>
    <t xml:space="preserve">F02-BR05, F02-AC11, F02-AF04, F02-AF05, section 4, 1.2.6, 1.2.7</t>
  </si>
  <si>
    <t xml:space="preserve">ASM-R1-07, ASM-R1-31, ASM-R1-48, Question on Manual Account Creation and Bulk Re-synchronization, Question on citizenship based closure balance, Question on citizenship gained after 7</t>
  </si>
  <si>
    <t xml:space="preserve">Gain is [TD] and conflicts with the register. Loss closes the account by team decision that needs business confirmation [TD]. The balance handling is an open business decision.</t>
  </si>
  <si>
    <t xml:space="preserve">TC-R1-18-01, TC-R1-18-02, TC-R1-18-03, TC-R1-18-04, TC-R1-19-01, TC-R1-19-02, TC-R1-19-03, TC-R1-19-04, TC-R1-19-05</t>
  </si>
  <si>
    <t xml:space="preserve">Flow R1 (Func1 diagram), register NEW-04</t>
  </si>
  <si>
    <t xml:space="preserve">R1.14 The account is deactivated when the citizen leaves the country.</t>
  </si>
  <si>
    <t xml:space="preserve">The account after departure data arrives.</t>
  </si>
  <si>
    <t xml:space="preserve">No FS item</t>
  </si>
  <si>
    <t xml:space="preserve">Only the team diagram states it. The FS has no input.</t>
  </si>
  <si>
    <t xml:space="preserve">FS F02-BR10, F02-BR11, F02-AC06, F02-AC07</t>
  </si>
  <si>
    <t xml:space="preserve">R1.15 A closed account accepts no new transactions and its record and history stay readable.</t>
  </si>
  <si>
    <t xml:space="preserve">A Top-Up or Payment on a closed account, the history after closure and the stored account.</t>
  </si>
  <si>
    <t xml:space="preserve">1.2.3 step 3, F02-BR10, F02-BR11, F02-AC06, F02-AC07, 1.1.7 [WA]</t>
  </si>
  <si>
    <t xml:space="preserve">The untagged criteria state the behaviour. F02-BR10 and the no delete rule are [WA].</t>
  </si>
  <si>
    <t xml:space="preserve">TC-R1-17-01, TC-R1-17-02, TC-R1-17-03, TC-R1-17-04</t>
  </si>
  <si>
    <t xml:space="preserve">FS 2.3, DB design Func1</t>
  </si>
  <si>
    <t xml:space="preserve">R1.16 The balance follows the transactions exactly. A failed transaction leaves it unchanged.</t>
  </si>
  <si>
    <t xml:space="preserve">Balance arithmetic, decimals, the debit boundary and failed transactions.</t>
  </si>
  <si>
    <t xml:space="preserve">2.3 Business Rules</t>
  </si>
  <si>
    <t xml:space="preserve">The arithmetic is stated. Failed transaction and negative balance are [WA].</t>
  </si>
  <si>
    <t xml:space="preserve">TC-R1-21-01, TC-R1-21-02, TC-R1-21-03, TC-R1-21-04, TC-R1-21-05, TC-R1-21-06</t>
  </si>
  <si>
    <t xml:space="preserve">CD-01</t>
  </si>
  <si>
    <t xml:space="preserve">R1.17 An Education Account is a financial account and not a login account.</t>
  </si>
  <si>
    <t xml:space="preserve">Creating the account creates no sign in for the student.</t>
  </si>
  <si>
    <t xml:space="preserve">1.1.2 Data Source Clarification, CD-01</t>
  </si>
  <si>
    <t xml:space="preserve">ASM-R1-01 only</t>
  </si>
  <si>
    <t xml:space="preserve">The client said it. The way to observe it is assumed.</t>
  </si>
  <si>
    <t xml:space="preserve">R1.18 Account eligibility and FAS eligibility are separate criteria.</t>
  </si>
  <si>
    <t xml:space="preserve">A citizen who is not eligible for FAS still gets an account.</t>
  </si>
  <si>
    <t xml:space="preserve">1.1.6 (conditions do not include FAS)</t>
  </si>
  <si>
    <t xml:space="preserve">The client stated that the criteria are separate.</t>
  </si>
  <si>
    <t xml:space="preserve">TC-R1-23-01, TC-R1-23-02</t>
  </si>
  <si>
    <t xml:space="preserve">Test plan 1.0.7 section 4.2</t>
  </si>
  <si>
    <t xml:space="preserve">R1.19 An account with an approved exception after 16 (named in the test plan fixtures).</t>
  </si>
  <si>
    <t xml:space="preserve">The after 16 exception path.</t>
  </si>
  <si>
    <t xml:space="preserve">F02-BR01 [CR] has no exception</t>
  </si>
  <si>
    <t xml:space="preserve">No requirement text exists.</t>
  </si>
  <si>
    <t xml:space="preserve">FS 1.1.1 [TD], 1.1.4</t>
  </si>
  <si>
    <t xml:space="preserve">R1.20 The Initial Synchronization checks every Singapore Citizen aged 7 to under 16 who has no account.</t>
  </si>
  <si>
    <t xml:space="preserve">The first run creates accounts for the eligible citizens and for no one else.</t>
  </si>
  <si>
    <t xml:space="preserve">1.1.1 A, 1.1.4, F01-BR02, F01-AC01</t>
  </si>
  <si>
    <t xml:space="preserve">The mechanism is [TD]. The age scope has no tag conflict any more.</t>
  </si>
  <si>
    <t xml:space="preserve">TC-R1-24-01, TC-R1-24-02, TC-R1-24-03, TC-R1-24-04</t>
  </si>
  <si>
    <t xml:space="preserve">FS 1.1.9 [WA] (next sprint), F01-EF01</t>
  </si>
  <si>
    <t xml:space="preserve">R1.21 Job failure, retry and recovery do not lose records and create no duplicate.</t>
  </si>
  <si>
    <t xml:space="preserve">Authentication failure, timeout, retry, failed job, partial job and account creation failure.</t>
  </si>
  <si>
    <t xml:space="preserve">1.1.9, F01-EF01</t>
  </si>
  <si>
    <t xml:space="preserve">Only the authentication failure is in Sprint 1. The rest is [WA] and labelled next sprint, so those cases are Block.</t>
  </si>
  <si>
    <t xml:space="preserve">TC-R1-26-01, TC-R1-26-02, TC-R1-26-03, TC-R1-26-04, TC-R1-26-05, TC-R1-26-06</t>
  </si>
  <si>
    <t xml:space="preserve">R1.22 Every synchronization records its result for audit.</t>
  </si>
  <si>
    <t xml:space="preserve">The processing record of each run, with its counts and failure reasons.</t>
  </si>
  <si>
    <t xml:space="preserve">1.1.4 Implementation Notes (no Processing History or Processing Result per record)</t>
  </si>
  <si>
    <t xml:space="preserve">FS R1 V1.0 removed section 2.4 and requires no processing history or result per record, so no expected result exists.</t>
  </si>
  <si>
    <t xml:space="preserve">TC-R1-27-01, TC-R1-27-02, TC-R1-27-03, TC-R1-27-04, TC-R1-27-05</t>
  </si>
  <si>
    <t xml:space="preserve">FS 1.2.1 to 1.2.5 [TD]</t>
  </si>
  <si>
    <t xml:space="preserve">R1.23 Every backend action that reads or processes an account first checks the closure condition.</t>
  </si>
  <si>
    <t xml:space="preserve">Each kind of backend action, repeated access, the data source of the check, and failures.</t>
  </si>
  <si>
    <t xml:space="preserve">1.2.1 to 1.2.5, F02-BR02, F02-BR03, F02-BR07, F02-BR12, F02-BR14, F02-AC01 to F02-AC09, F02-AC12, F02-AC14, F02-EF01 to F02-EF03</t>
  </si>
  <si>
    <t xml:space="preserve">ASM-R1-39, ASM-R1-40, ASM-R1-49, ASM-R1-50, Question on closure only on access, Question on synchronization record</t>
  </si>
  <si>
    <t xml:space="preserve">The mechanism is [TD]. The failure behaviours are [WA] (F02-AC09, F02-EF01, F02-EF02, F02-BR14).</t>
  </si>
  <si>
    <t xml:space="preserve">TC-R1-28-01, TC-R1-28-02, TC-R1-28-03, TC-R1-28-04, TC-R1-28-05, TC-R1-28-06, TC-R1-28-07, TC-R1-28-08, TC-R1-29-01, TC-R1-29-02, TC-R1-29-03, TC-R1-29-04, TC-R1-29-05, TC-R1-29-06, TC-R1-30-01, TC-R1-30-02, TC-R1-30-03, TC-R1-30-04, TC-R1-30-05, TC-R1-30-06, TC-R1-30-07</t>
  </si>
  <si>
    <t xml:space="preserve">FS 1.2.7 table row 2 [WA]</t>
  </si>
  <si>
    <t xml:space="preserve">R1.24 An account due for closure with a balance above 0.00 and no CPF transfer is not reported as closed.</t>
  </si>
  <si>
    <t xml:space="preserve">Closure Deferred: balance kept, no simulated transfer, new financial operations blocked.</t>
  </si>
  <si>
    <t xml:space="preserve">1.2.7 table row 2, F02-EF04, F02-AC10</t>
  </si>
  <si>
    <t xml:space="preserve">The deferred rule is [WA] (1.2.7 table row 2, F02-EF04). F02-AC10 has no tag but refers to the agreed rule.</t>
  </si>
  <si>
    <t xml:space="preserve">TC-R1-31-01, TC-R1-31-02, TC-R1-31-03, TC-R1-31-04, TC-R1-31-05</t>
  </si>
  <si>
    <t xml:space="preserve">FS R1 V1.0 F01-AC16, F02-AC13, F02-BR13 [TD], 1.1.1, 1.2.6</t>
  </si>
  <si>
    <t xml:space="preserve">R1.25 Student data is stored at account creation. The Daily Job and the closure check do not refresh it (FS R1 V1.0 only, not in the tender).</t>
  </si>
  <si>
    <t xml:space="preserve">A Government update of the address, gender, name, race or parent NRIC after creation is not copied into the Student Profile by the Daily Job or by the closure check.</t>
  </si>
  <si>
    <t xml:space="preserve">F01-AC16, F02-AC13, F02-BR13, F02-EF05, 1.1.1 Cross-Function Dependency R8, 1.2.3 Notes, 1.2.6</t>
  </si>
  <si>
    <t xml:space="preserve">The FS states the boundary with untagged criteria and team decisions.</t>
  </si>
  <si>
    <t xml:space="preserve">TC-R1-32-01, TC-R1-32-02, TC-R1-32-03, TC-R1-32-04</t>
  </si>
  <si>
    <t xml:space="preserve">ASM ID</t>
  </si>
  <si>
    <t xml:space="preserve">Requirement</t>
  </si>
  <si>
    <t xml:space="preserve">Original gap</t>
  </si>
  <si>
    <t xml:space="preserve">Assumption</t>
  </si>
  <si>
    <t xml:space="preserve">Source (as in Assumption Ref)</t>
  </si>
  <si>
    <t xml:space="preserve">Source detail</t>
  </si>
  <si>
    <t xml:space="preserve">If the answer differs</t>
  </si>
  <si>
    <t xml:space="preserve">Resolution</t>
  </si>
  <si>
    <t xml:space="preserve">Cases that make this assumption (Assumption Ref)</t>
  </si>
  <si>
    <t xml:space="preserve">Other cases that depend on it (Dependency Ref)</t>
  </si>
  <si>
    <t xml:space="preserve">Question to confirm</t>
  </si>
  <si>
    <t xml:space="preserve">ASM-R1-01</t>
  </si>
  <si>
    <t xml:space="preserve">Dependency</t>
  </si>
  <si>
    <t xml:space="preserve">All R1 cases</t>
  </si>
  <si>
    <t xml:space="preserve">FS R1 V1.0 does not describe the test environment, the Mock Government Citizen API controls or how a backend action is triggered.</t>
  </si>
  <si>
    <t xml:space="preserve">The SIT environment is ready. QA can (1) run the Initial Synchronization and the Daily Job for a chosen business date and time, and run the Initial Synchronization again; (2) load records into the Mock Government Citizen API and set it to succeed, reject the credential, time out or fail, and change the data of a record; (3) send the backend requests that read or process an account (parent view, balance and history view, MOE HQ retrieval, Top-Up, Payment, Batch Top-Up), as API calls where a screen or function is not built; (4) seed an account with a status, balance, fee record and transactions; (5) read the job log (Job Failure and errors) and the request log of the Mock Government Citizen API; (6) read the stored status of an account and the stored Student Profile without making a backend access; (7) inject a failure while an account is created or closed or a transaction is posted.</t>
  </si>
  <si>
    <t xml:space="preserve">FS 1.1.2</t>
  </si>
  <si>
    <t xml:space="preserve">FS 1.1.2 Sprint 1 Integration: Mock Government Citizen API [TD]. Register TBD-14 (mock integrations acceptable). Sprint Backlog TSK-R1-03.</t>
  </si>
  <si>
    <t xml:space="preserve">A test cannot start without an environment and the controls it needs.</t>
  </si>
  <si>
    <t xml:space="preserve">A case that needs a missing control moves to unit or API level, or becomes Block.</t>
  </si>
  <si>
    <t xml:space="preserve">None yet</t>
  </si>
  <si>
    <t xml:space="preserve">None</t>
  </si>
  <si>
    <t xml:space="preserve">154 test cases, see the TestCases sheet</t>
  </si>
  <si>
    <t xml:space="preserve">Dev: To run the R1 test cases in SIT, QA needs to do seven things. Run the Initial Synchronization and the Daily Job for a date and time we choose, and run the Initial Synchronization again. Load citizen records into the Mock Government Citizen API and make it succeed, reject the credential, time out or fail. Send the backend requests that read or process an account (parent view, MOE HQ retrieval, Top-Up, Payment, Batch Top-Up) as API calls where there is no screen. Create an account with a chosen status, balance, fee and transactions. Read the job log and the request log of the Mock Government Citizen API. Read the stored status of an account and the stored Student Profile without opening the account. Make a failure happen while an account is created or closed or a transaction is posted. Is each of these possible in SIT, and what is the alternative for the ones that are not?</t>
  </si>
  <si>
    <t xml:space="preserve">ASM-R1-02</t>
  </si>
  <si>
    <t xml:space="preserve">The FS gives examples with dates but the sprint test window needs fixed dates.</t>
  </si>
  <si>
    <t xml:space="preserve">Creation cases use the business date 15 Oct 2026. Closure cases use 28 Oct 2026. Dates of birth are set for those dates and shift together if another date is used. The tester sets the business date and starts the job by hand.</t>
  </si>
  <si>
    <t xml:space="preserve">Test data design</t>
  </si>
  <si>
    <t xml:space="preserve">Test plan 1.0.7 section 4.3. FS 1.1.6 and 1.2.5 give the same offsets (age 7 on the birthday, age 16 on the birthday).</t>
  </si>
  <si>
    <t xml:space="preserve">A boundary case needs a fixed date to be repeatable.</t>
  </si>
  <si>
    <t xml:space="preserve">Shift every date of birth by the same number of days. The expected results do not change.</t>
  </si>
  <si>
    <t xml:space="preserve">QA test data choice, no question</t>
  </si>
  <si>
    <t xml:space="preserve">141 test cases, see the TestCases sheet</t>
  </si>
  <si>
    <t xml:space="preserve">ASM-R1-03</t>
  </si>
  <si>
    <t xml:space="preserve">R1 age rules</t>
  </si>
  <si>
    <t xml:space="preserve">The tender says age 7 and age 16 but not how age is counted.</t>
  </si>
  <si>
    <t xml:space="preserve">Age is counted from the exact date of birth. A citizen is eligible from the 7th birthday up to the day before the 16th birthday.</t>
  </si>
  <si>
    <t xml:space="preserve">FS F01-BR02, 1.1.6</t>
  </si>
  <si>
    <t xml:space="preserve">FS F01-BR02, F01-AC04, F01-AC05 and the age examples in 1.1.6 (DOB 15/06/2019: not eligible on 14/06/2026, eligible on 15/06/2026, no new account on 15/06/2035).</t>
  </si>
  <si>
    <t xml:space="preserve">The FS gives the rule and three dated examples.</t>
  </si>
  <si>
    <t xml:space="preserve">Not applicable, resolved.</t>
  </si>
  <si>
    <t xml:space="preserve">FS R1 V1.0, 1.1.6 age examples</t>
  </si>
  <si>
    <t xml:space="preserve">ASM-R1-04</t>
  </si>
  <si>
    <t xml:space="preserve">Tender R1 closure</t>
  </si>
  <si>
    <t xml:space="preserve">The tender says the account closes when the child reaches 16. The team lead said one day before the 16th birthday on 11 Oct.</t>
  </si>
  <si>
    <t xml:space="preserve">The account is due for closure on the 16th birthday itself.</t>
  </si>
  <si>
    <t xml:space="preserve">FS F02-BR01 [CR], 1.2.5</t>
  </si>
  <si>
    <t xml:space="preserve">FS F02-BR01 [CR] and the example in 1.2.5 (DOB 10/10/2018: Active on 09/10/2034, closure on 10/10/2034).</t>
  </si>
  <si>
    <t xml:space="preserve">A client confirmed rule with a dated example.</t>
  </si>
  <si>
    <t xml:space="preserve">Not applicable, resolved. The team lead rule is not in the FS (see the question on the 16th birthday rule).</t>
  </si>
  <si>
    <t xml:space="preserve">FS F02-BR01 [CR] and 1.2.5 example</t>
  </si>
  <si>
    <t xml:space="preserve">44 test cases, see the TestCases sheet</t>
  </si>
  <si>
    <t xml:space="preserve">ASM-R1-05</t>
  </si>
  <si>
    <t xml:space="preserve">R1 not a login account</t>
  </si>
  <si>
    <t xml:space="preserve">The client says an Education Account is a financial account and not a login account. No way to check this is described.</t>
  </si>
  <si>
    <t xml:space="preserve">QA can list the sign in accounts of the SIT environment and see whether one is linked to the student.</t>
  </si>
  <si>
    <t xml:space="preserve">Client clarification CD-01. FS 1.1.2 Data Source Clarification says Singpass for parent login is a separate function.</t>
  </si>
  <si>
    <t xml:space="preserve">The rule is stated, only the way to observe it is missing.</t>
  </si>
  <si>
    <t xml:space="preserve">If sign in accounts cannot be listed, S12-01 is checked by trying to sign in with the student NRIC.</t>
  </si>
  <si>
    <t xml:space="preserve">Dev: The tender says the Education Account is a financial account and not a login account. How can QA check in SIT that no sign in account is created or linked to the student? For example, can QA read a list of the sign in accounts?</t>
  </si>
  <si>
    <t xml:space="preserve">ASM-R1-06</t>
  </si>
  <si>
    <t xml:space="preserve">R1 closure status</t>
  </si>
  <si>
    <t xml:space="preserve">Sources used the words closed, deactivated and inactive.</t>
  </si>
  <si>
    <t xml:space="preserve">Account Status has two values in the MVP: Active and Closed.</t>
  </si>
  <si>
    <t xml:space="preserve">FS 2.2</t>
  </si>
  <si>
    <t xml:space="preserve">FS 2.2 Account Status 'gồm Active và Closed trong MVP'.</t>
  </si>
  <si>
    <t xml:space="preserve">The FS names the statuses.</t>
  </si>
  <si>
    <t xml:space="preserve">FS R1 V1.0, 2.2</t>
  </si>
  <si>
    <t xml:space="preserve">ASM-R1-07</t>
  </si>
  <si>
    <t xml:space="preserve">R1 citizenship lost</t>
  </si>
  <si>
    <t xml:space="preserve">Citizenship lost before 16 was open in the register (TBD-04). The FS now closes the account and asks for business confirmation.</t>
  </si>
  <si>
    <t xml:space="preserve">When a backend access finds that the Account Holder is no longer a Singapore Citizen before 16, the System runs closure processing. With a balance of 0.00 the account becomes Closed and the Actual Closure Date is set. A Top-Up or Payment request on that account is not executed. The handling of a balance above 0.00 is not defined (open business decision).</t>
  </si>
  <si>
    <t xml:space="preserve">FS F02-BR05 [TD], F02-AC11 [TD], 1.2.6</t>
  </si>
  <si>
    <t xml:space="preserve">FS F02-BR05 [TD, needs business or client confirmation], F02-AC11 [TD], F02-AF04, 1.2.5 example row 4 [TD], 1.2.6 [TD]. The 1.2.7 table and section 4 [Open Business Decision] say the handling of the remaining balance is not confirmed.</t>
  </si>
  <si>
    <t xml:space="preserve">The FS states the rule as a team decision and says the business has not confirmed it.</t>
  </si>
  <si>
    <t xml:space="preserve">If the account is not closed on loss of citizenship, S19-01 and S19-04 change and S19-03 is replaced.</t>
  </si>
  <si>
    <t xml:space="preserve">TC-R1-19-01, TC-R1-19-04</t>
  </si>
  <si>
    <t xml:space="preserve">BA: FS F02-BR05 and F02-AC11 close the account when the account holder is no longer a Singapore Citizen, and F02-BR05 says the business must confirm this. Is the closure confirmed? Where does a balance above 0.00 go (see the question on citizenship based closure balance)? Can the account be reopened if the citizenship is regained?</t>
  </si>
  <si>
    <t xml:space="preserve">ASM-R1-08</t>
  </si>
  <si>
    <t xml:space="preserve">R1 citizenship gained</t>
  </si>
  <si>
    <t xml:space="preserve">v1 assumed creation at the next feed run (register TBD-03).</t>
  </si>
  <si>
    <t xml:space="preserve">Superseded by FS section 4 [TD]: a citizen who gains citizenship after the Initial Synchronization is not added by the Daily Incremental Synchronization.</t>
  </si>
  <si>
    <t xml:space="preserve">FS section 4 [TD]</t>
  </si>
  <si>
    <t xml:space="preserve">FS section 4 Incremental Synchronization Scope [TD] and 1.1.5 Notes [TD].</t>
  </si>
  <si>
    <t xml:space="preserve">The FS now states the behaviour.</t>
  </si>
  <si>
    <t xml:space="preserve">See the question on the conflict with register TBD-03.</t>
  </si>
  <si>
    <t xml:space="preserve">FS R1 V1.0, section 4 [TD]</t>
  </si>
  <si>
    <t xml:space="preserve">ASM-R1-09</t>
  </si>
  <si>
    <t xml:space="preserve">R1 CPF transfer</t>
  </si>
  <si>
    <t xml:space="preserve">v1 assumed a mock CPF API.</t>
  </si>
  <si>
    <t xml:space="preserve">Superseded in v2.1 by the F03 carry over and the Mock CPF Service dependency. FS 1.2.7 still defers the transfer.</t>
  </si>
  <si>
    <t xml:space="preserve">FS 1.2.7 [Deferred]</t>
  </si>
  <si>
    <t xml:space="preserve">FS 1.2.7 and section 4 [Deferred] CPF Transfer.</t>
  </si>
  <si>
    <t xml:space="preserve">The FS defers the transfer. The QA lead keeps F03 of the first FS as the rule.</t>
  </si>
  <si>
    <t xml:space="preserve">See the questions on the F03 carry over and on the Mock CPF Service.</t>
  </si>
  <si>
    <t xml:space="preserve">Replaced by ASM-R1-42 and ASM-R1-47 on 14 Oct 2026</t>
  </si>
  <si>
    <t xml:space="preserve">ASM-R1-10</t>
  </si>
  <si>
    <t xml:space="preserve">R1 pending transactions</t>
  </si>
  <si>
    <t xml:space="preserve">v1 assumed that a pending transaction stops closure.</t>
  </si>
  <si>
    <t xml:space="preserve">The team assumes no pending transaction exists at closure and F02 builds no reconciliation.</t>
  </si>
  <si>
    <t xml:space="preserve">FS 1.2.2 [TD], F02-BR09 [TD]</t>
  </si>
  <si>
    <t xml:space="preserve">FS 1.2.2, 1.2.7 and F02-BR09.</t>
  </si>
  <si>
    <t xml:space="preserve">The FS now states the team assumption.</t>
  </si>
  <si>
    <t xml:space="preserve">See the question on pending transactions.</t>
  </si>
  <si>
    <t xml:space="preserve">FS R1 V1.0, F02-BR09 [TD]</t>
  </si>
  <si>
    <t xml:space="preserve">ASM-R1-11</t>
  </si>
  <si>
    <t xml:space="preserve">R1 unpaid fees at closure</t>
  </si>
  <si>
    <t xml:space="preserve">v1 assumed that the whole balance goes to CPF when a fee is unpaid.</t>
  </si>
  <si>
    <t xml:space="preserve">Not adopted as an assumption of its own. Register NEW-01 says unpaid fees do not block closure. Case S16-02 follows F03-BR02 of the first FS, so the Transfer Amount is the whole Remaining Balance and no fee is deducted.</t>
  </si>
  <si>
    <t xml:space="preserve">Register NEW-01. FS R1 V1.0 is silent. First FS F03-BR02 has no fee term (searched the first FS for fee: no match).</t>
  </si>
  <si>
    <t xml:space="preserve">Whether the balance settles fees before the transfer stays a question.</t>
  </si>
  <si>
    <t xml:space="preserve">See the question on unpaid fees.</t>
  </si>
  <si>
    <t xml:space="preserve">Kept as a question. Case S16-02 is Draft on ASM-R1-42</t>
  </si>
  <si>
    <t xml:space="preserve">ASM-R1-12</t>
  </si>
  <si>
    <t xml:space="preserve">R1 student data</t>
  </si>
  <si>
    <t xml:space="preserve">v1 had no rule for a record with missing or invalid data.</t>
  </si>
  <si>
    <t xml:space="preserve">A record with missing or invalid required data creates no account. The System skips the record and goes on with the other records.</t>
  </si>
  <si>
    <t xml:space="preserve">FS 1.1.3, F01-AC08, 1.1.4 step 5</t>
  </si>
  <si>
    <t xml:space="preserve">FS 1.1.3 Required Data Validation, F01-AC08 and 1.1.4 step 5. The place where the exception is recorded is a separate question: 1.1.3 and F01-EF02 say it is recorded, F01-AC08 and the note [TD] in 1.1.4 do not.</t>
  </si>
  <si>
    <t xml:space="preserve">The FS states the result for the account.</t>
  </si>
  <si>
    <t xml:space="preserve">FS R1 V1.0, 1.1.4 step 5 and F01-AC08</t>
  </si>
  <si>
    <t xml:space="preserve">ASM-R1-13</t>
  </si>
  <si>
    <t xml:space="preserve">R1 late records</t>
  </si>
  <si>
    <t xml:space="preserve">v1 assumed that a late record is activated at the next run.</t>
  </si>
  <si>
    <t xml:space="preserve">Superseded by the FS: a record added after the 7th birthday is not processed by the Daily Job. Manual Account Creation and Bulk Re-synchronization handle it in the next sprint.</t>
  </si>
  <si>
    <t xml:space="preserve">FS 1.1.1 B [TD, Deferred]</t>
  </si>
  <si>
    <t xml:space="preserve">FS 1.1.1 B [TD, Deferred], 1.1.5 Notes [Deferred] and section 4.</t>
  </si>
  <si>
    <t xml:space="preserve">The FS states the limit.</t>
  </si>
  <si>
    <t xml:space="preserve">See the question on late records.</t>
  </si>
  <si>
    <t xml:space="preserve">FS R1 V1.0, 1.1.1 B and section 4</t>
  </si>
  <si>
    <t xml:space="preserve">ASM-R1-14</t>
  </si>
  <si>
    <t xml:space="preserve">R1 identifier</t>
  </si>
  <si>
    <t xml:space="preserve">v1 did not know the identifier.</t>
  </si>
  <si>
    <t xml:space="preserve">NRIC is the Business Identifier of a citizen and is used to find the Student Profile and the linked account.</t>
  </si>
  <si>
    <t xml:space="preserve">FS 1.1.7 [TD]</t>
  </si>
  <si>
    <t xml:space="preserve">FS 1.1.7 [TD] and 2.1.</t>
  </si>
  <si>
    <t xml:space="preserve">The FS names the identifier.</t>
  </si>
  <si>
    <t xml:space="preserve">FS R1 V1.0, 1.1.7 [TD]</t>
  </si>
  <si>
    <t xml:space="preserve">91 test cases, see the TestCases sheet</t>
  </si>
  <si>
    <t xml:space="preserve">ASM-R1-15</t>
  </si>
  <si>
    <t xml:space="preserve">R1 feed processing</t>
  </si>
  <si>
    <t xml:space="preserve">v1 had no rule for a bad row or an unavailable source.</t>
  </si>
  <si>
    <t xml:space="preserve">Superseded by FS 1.1.4 step 10 (continue with the other records). The job failure rules of ASM-R1-28 are next sprint.</t>
  </si>
  <si>
    <t xml:space="preserve">FS 1.1.4, 1.1.9</t>
  </si>
  <si>
    <t xml:space="preserve">FS 1.1.4 step 10 and the 1.1.9 table (next sprint).</t>
  </si>
  <si>
    <t xml:space="preserve">Not applicable.</t>
  </si>
  <si>
    <t xml:space="preserve">FS R1 V1.0, 1.1.4 step 10</t>
  </si>
  <si>
    <t xml:space="preserve">ASM-R1-16</t>
  </si>
  <si>
    <t xml:space="preserve">R1 feed frequency</t>
  </si>
  <si>
    <t xml:space="preserve">v1 assumed a weekly or daily frequency (register NEW-02).</t>
  </si>
  <si>
    <t xml:space="preserve">Superseded by FS 1.1.2: the job runs once a day [TD].</t>
  </si>
  <si>
    <t xml:space="preserve">FS 1.1.2 [TD]</t>
  </si>
  <si>
    <t xml:space="preserve">FS 1.1.2 Execution Frequency.</t>
  </si>
  <si>
    <t xml:space="preserve">The FS fixes the frequency.</t>
  </si>
  <si>
    <t xml:space="preserve">See the question on weekly frequency.</t>
  </si>
  <si>
    <t xml:space="preserve">FS R1 V1.0, 1.1.2 [TD]</t>
  </si>
  <si>
    <t xml:space="preserve">ASM-R1-17</t>
  </si>
  <si>
    <t xml:space="preserve">R1 school drop out</t>
  </si>
  <si>
    <t xml:space="preserve">The register lists the status after a drop out before 16 as open (TBD-02).</t>
  </si>
  <si>
    <t xml:space="preserve">A student who leaves school before 16 keeps an Active account.</t>
  </si>
  <si>
    <t xml:space="preserve">FS F01-BR03, F02-BR07, register TBD-02</t>
  </si>
  <si>
    <t xml:space="preserve">FS F01-BR03 (age does not depend on Schooling Status) and F02-BR07 (school does not affect the closure age). Register TBD-02 is open. Inference: leaving school is a Schooling Status change, so it does not close the account.</t>
  </si>
  <si>
    <t xml:space="preserve">The nearest confirmed rule is independence from schooling status.</t>
  </si>
  <si>
    <t xml:space="preserve">If a drop out closes or freezes the account, S11-03 expects that status.</t>
  </si>
  <si>
    <t xml:space="preserve">BA: A student leaves school before turning 16. We assumed the account stays Active, because F02-BR07 says school status does not affect closure. Is this correct, or should the account change in some way?</t>
  </si>
  <si>
    <t xml:space="preserve">ASM-R1-18</t>
  </si>
  <si>
    <t xml:space="preserve">R1 leaving the country</t>
  </si>
  <si>
    <t xml:space="preserve">The Func1 diagram deactivates the account when the citizen leaves the country. The FS has no departure input.</t>
  </si>
  <si>
    <t xml:space="preserve">Not adopted. The FS has no departure data and no rule, and register NEW-04 keeps the account of a citizen studying overseas.</t>
  </si>
  <si>
    <t xml:space="preserve">Searched FS R1 V1.0: no departure input or rule.</t>
  </si>
  <si>
    <t xml:space="preserve">No expected result can be written.</t>
  </si>
  <si>
    <t xml:space="preserve">See the question on leaving the country.</t>
  </si>
  <si>
    <t xml:space="preserve">Moved to a question, case S20-01 is Block</t>
  </si>
  <si>
    <t xml:space="preserve">ASM-R1-19</t>
  </si>
  <si>
    <t xml:space="preserve">R1 closed account</t>
  </si>
  <si>
    <t xml:space="preserve">v1 had no rule for a closed account.</t>
  </si>
  <si>
    <t xml:space="preserve">A Closed account refuses new financial transactions and stays readable, with its history.</t>
  </si>
  <si>
    <t xml:space="preserve">FS 1.2.3 step 3, F02-AC07</t>
  </si>
  <si>
    <t xml:space="preserve">FS 1.2.3 step 3, F02-AC06, F02-AC07 and F02-BR11 [TD]. F02-BR10 carries [WA] but the untagged acceptance criteria state the same behaviour.</t>
  </si>
  <si>
    <t xml:space="preserve">The untagged acceptance criteria state it.</t>
  </si>
  <si>
    <t xml:space="preserve">Not applicable, resolved. The tag conflict is a confirm only question.</t>
  </si>
  <si>
    <t xml:space="preserve">FS R1 V1.0, F02-AC07 and 1.2.3 step 3</t>
  </si>
  <si>
    <t xml:space="preserve">TC-R1-17-01, TC-R1-17-02, TC-R1-17-03</t>
  </si>
  <si>
    <t xml:space="preserve">ASM-R1-20</t>
  </si>
  <si>
    <t xml:space="preserve">R1 amounts</t>
  </si>
  <si>
    <t xml:space="preserve">v1 assumed two decimals.</t>
  </si>
  <si>
    <t xml:space="preserve">Money is in SGD with two decimals. The smallest amount is 0.01.</t>
  </si>
  <si>
    <t xml:space="preserve">FS 2.3</t>
  </si>
  <si>
    <t xml:space="preserve">FS 2.3 Business Rules 'chính xác đến 2 chữ số thập phân theo SGD'.</t>
  </si>
  <si>
    <t xml:space="preserve">The FS states it.</t>
  </si>
  <si>
    <t xml:space="preserve">FS R1 V1.0, 2.3</t>
  </si>
  <si>
    <t xml:space="preserve">TC-R1-04-01, TC-R1-14-01, TC-R1-14-02, TC-R1-14-03, TC-R1-14-04, TC-R1-14-05, TC-R1-14-06, TC-R1-14-07, TC-R1-14-08, TC-R1-14-09, TC-R1-14-10, TC-R1-14-11, TC-R1-14-12, TC-R1-16-02, TC-R1-21-01, TC-R1-21-02, TC-R1-21-03, TC-R1-21-04, TC-R1-21-05, TC-R1-21-06, TC-R1-28-02, TC-R1-28-06, TC-R1-28-07, TC-R1-30-04, TC-R1-31-01, TC-R1-31-02, TC-R1-31-03, TC-R1-31-04, TC-R1-31-05</t>
  </si>
  <si>
    <t xml:space="preserve">R1 balance handling</t>
  </si>
  <si>
    <t xml:space="preserve">Two balance rules are marked as working assumptions.</t>
  </si>
  <si>
    <t xml:space="preserve">A failed transaction leaves the balance unchanged, and no negative balance is allowed, so a debit above the balance is refused.</t>
  </si>
  <si>
    <t xml:space="preserve">FS 2.3 [WA]</t>
  </si>
  <si>
    <t xml:space="preserve">FS 2.3 Business Rules: 'Failed Transaction không làm thay đổi Account Balance. [WA]' and 'Negative Account Balance không được hỗ trợ trong MVP. [WA]'.</t>
  </si>
  <si>
    <t xml:space="preserve">Both rules are tagged [WA] and no untagged criterion covers them.</t>
  </si>
  <si>
    <t xml:space="preserve">If a debit above the balance is allowed or a failed debit changes the balance, S21-03 and S21-04 change.</t>
  </si>
  <si>
    <t xml:space="preserve">TC-R1-21-03, TC-R1-21-04</t>
  </si>
  <si>
    <t xml:space="preserve">BA: FS 2.3 says a failed transaction does not change the balance and that a negative balance is not supported. We assumed a debit larger than the balance is refused and the balance stays the same. Is this correct, and what does the system return when it refuses the debit?</t>
  </si>
  <si>
    <t xml:space="preserve">ASM-R1-22</t>
  </si>
  <si>
    <t xml:space="preserve">R1 leap day births</t>
  </si>
  <si>
    <t xml:space="preserve">The FS and the register give different dates for a citizen born on 29 February.</t>
  </si>
  <si>
    <t xml:space="preserve">A citizen born on 29 February is evaluated as turning 7 on 28 February in a non leap year, as the FS says. Cases that hold under both rules are Approve.</t>
  </si>
  <si>
    <t xml:space="preserve">FS 1.1.6 [WA], F01-AC14 [WA]</t>
  </si>
  <si>
    <t xml:space="preserve">FS 1.1.6 Leap Year Handling '[WA] (cần confirm)' and F01-AC14 [WA] give 28/02. Register TBD-01 gives 1 March 00:00 and says Confirmed.</t>
  </si>
  <si>
    <t xml:space="preserve">The FS is the baseline, the register conflict is open.</t>
  </si>
  <si>
    <t xml:space="preserve">If the rule is 1 March, S08-01 expects no account on 28 Feb 2031 and an account on 1 Mar 2031.</t>
  </si>
  <si>
    <t xml:space="preserve">BA: FS 1.1.6 and F01-AC14 say a citizen born on 29 February turns 7 on 28 February in a non leap year. Register item TBD-01, which the client confirmed, says 1 March at 00:00. Which date is correct? We assumed 28 February, as the FS says.</t>
  </si>
  <si>
    <t xml:space="preserve">ASM-R1-23</t>
  </si>
  <si>
    <t xml:space="preserve">R1 missed run</t>
  </si>
  <si>
    <t xml:space="preserve">The missed day rule is a working assumption in 1.1.9, which is labelled next sprint.</t>
  </si>
  <si>
    <t xml:space="preserve">After a missed or failed day the next Daily Job queries every day not yet processed successfully and creates the accounts due, once each.</t>
  </si>
  <si>
    <t xml:space="preserve">FS 1.1.9 [WA] (next sprint)</t>
  </si>
  <si>
    <t xml:space="preserve">FS 1.1.9 table row 'Missed Processing Date' [WA] and the Recovery Principle. The section is labelled next sprint. F01-AC11 and F01-EF04 were removed from the FS.</t>
  </si>
  <si>
    <t xml:space="preserve">The FS proposes it, and the section is next sprint.</t>
  </si>
  <si>
    <t xml:space="preserve">If missed days are not recovered, S25-03, S25-04 and S09-04 expect no account for the missed day.</t>
  </si>
  <si>
    <t xml:space="preserve">None yet. The cases are Block, Sprint TBD.</t>
  </si>
  <si>
    <t xml:space="preserve">TC-R1-09-04, TC-R1-25-03, TC-R1-25-04</t>
  </si>
  <si>
    <t xml:space="preserve">Dev: After a day when the Daily Job did not run or failed, how does the next run find the days that were not processed, and which dates of birth does it send to the Mock Government Citizen API? We assumed the next run covers every unprocessed day and creates each account once. FS 1.1.9 is labelled next sprint.</t>
  </si>
  <si>
    <t xml:space="preserve">R1 daily evaluation</t>
  </si>
  <si>
    <t xml:space="preserve">The run time is a working assumption.</t>
  </si>
  <si>
    <t xml:space="preserve">The Daily Job starts at 00:00 Singapore time (UTC+8) and processes the citizens who turn 7 on that date.</t>
  </si>
  <si>
    <t xml:space="preserve">FS 1.1.2 [WA]</t>
  </si>
  <si>
    <t xml:space="preserve">FS 1.1.2 Execution Time '00:00 AM Singapore Time (SGT, UTC+8) [WA]'. Execution Frequency 'Một lần mỗi ngày [TD]'.</t>
  </si>
  <si>
    <t xml:space="preserve">The FS tags the time as [WA]. The frequency is [TD].</t>
  </si>
  <si>
    <t xml:space="preserve">If the time or the zone differs, change the times in S10-01 and S10-02 only.</t>
  </si>
  <si>
    <t xml:space="preserve">TC-R1-10-01, TC-R1-10-02</t>
  </si>
  <si>
    <t xml:space="preserve">TC-R1-25-01, TC-R1-25-02</t>
  </si>
  <si>
    <t xml:space="preserve">BA: FS 1.1.2 says the Daily Job runs at 00:00 Singapore time, marked as a working assumption. We assumed a run at 00:00 on 15 October processes the citizens who turn 7 on 15 October. Is 00:00 confirmed, and which date does a run at that time use as the processing date?</t>
  </si>
  <si>
    <t xml:space="preserve">ASM-R1-25</t>
  </si>
  <si>
    <t xml:space="preserve">Scope</t>
  </si>
  <si>
    <t xml:space="preserve">Performance and security were asked to be left out of this workbook.</t>
  </si>
  <si>
    <t xml:space="preserve">This workbook holds functional and integration cases only. Performance is in PRQ-MOE-FINANCE-001 and security in SEC-MOE-FINANCE-001. Top-Up belongs to R2 and Payment to R9.</t>
  </si>
  <si>
    <t xml:space="preserve">Stated by the QA lead.</t>
  </si>
  <si>
    <t xml:space="preserve">If a topic moves between documents, add or drop cases here.</t>
  </si>
  <si>
    <t xml:space="preserve">Agreed 13 Oct 2026</t>
  </si>
  <si>
    <t xml:space="preserve">ASM-R1-26</t>
  </si>
  <si>
    <t xml:space="preserve">R1 sprint</t>
  </si>
  <si>
    <t xml:space="preserve">The FS header says Sprint 1 MVP and covers closure. The PM backlog puts account closure (PB-16) in Sprint 3.</t>
  </si>
  <si>
    <t xml:space="preserve">All F01 and F02 cases are labelled Sprint 1 because the FS header says Sprint 1 MVP. Cases that need the Deferred CPF Transfer or a decision are labelled TBD.</t>
  </si>
  <si>
    <t xml:space="preserve">FS header 'Sprint 1 MVP'</t>
  </si>
  <si>
    <t xml:space="preserve">FS header and section 1.2 (F02 inside the Sprint 1 MVP). PM Product Backlog PB-16 (Sprint 3).</t>
  </si>
  <si>
    <t xml:space="preserve">The FS is the newer document.</t>
  </si>
  <si>
    <t xml:space="preserve">If closure is tested in Sprint 3, relabel the cases of scenarios 13, 19, 28, 29, 30, 31 and 32.</t>
  </si>
  <si>
    <t xml:space="preserve">TC-R1-13-01, TC-R1-13-02, TC-R1-13-03, TC-R1-28-01, TC-R1-28-02, TC-R1-28-03, TC-R1-28-04, TC-R1-28-05, TC-R1-28-06, TC-R1-28-07, TC-R1-28-08, TC-R1-29-01, TC-R1-29-02, TC-R1-29-04, TC-R1-29-05, TC-R1-29-06, TC-R1-30-01, TC-R1-30-02, TC-R1-30-03, TC-R1-30-04, TC-R1-30-05, TC-R1-30-06, TC-R1-30-07, TC-R1-31-01, TC-R1-31-02, TC-R1-31-03, TC-R1-31-04, TC-R1-31-05, TC-R1-32-02, TC-R1-32-03</t>
  </si>
  <si>
    <t xml:space="preserve">PM: The FS header says account closure (F02) is part of Sprint 1, but PM backlog item PB-16 puts it in Sprint 3. In which sprint is closure built and tested? For now we label the closure cases Sprint 1.</t>
  </si>
  <si>
    <t xml:space="preserve">ASM-R1-27</t>
  </si>
  <si>
    <t xml:space="preserve">R1 weekends and holidays</t>
  </si>
  <si>
    <t xml:space="preserve">The FS marks the weekend and holiday run as a working assumption.</t>
  </si>
  <si>
    <t xml:space="preserve">The Daily Job runs on Saturdays, Sundays and public holidays like on other days.</t>
  </si>
  <si>
    <t xml:space="preserve">FS 1.1.2, F01-AC13</t>
  </si>
  <si>
    <t xml:space="preserve">FS 1.1.2 'Weekends &amp; Public Holidays: Job tiếp tục chạy' and F01-AC13. The [WA] tag of v2.1 is no longer in the FS.</t>
  </si>
  <si>
    <t xml:space="preserve">The FS states it without a tag.</t>
  </si>
  <si>
    <t xml:space="preserve">Not applicable, resolved. The run time is a separate assumption (ASM-R1-24).</t>
  </si>
  <si>
    <t xml:space="preserve">FS R1 V1.0, 1.1.2 and F01-AC13 (no tag)</t>
  </si>
  <si>
    <t xml:space="preserve">ASM-R1-28</t>
  </si>
  <si>
    <t xml:space="preserve">R1 job failure and recovery</t>
  </si>
  <si>
    <t xml:space="preserve">The failure and recovery rules are proposed operational rules in a section labelled next sprint.</t>
  </si>
  <si>
    <t xml:space="preserve">On a Government API timeout the job records the error and retries once after 15 minutes. If the retry fails the job is recorded as Failed and waits for the next scheduled job. A job that stops halfway leaves no citizen record unprocessed after the next run.</t>
  </si>
  <si>
    <t xml:space="preserve">FS 1.1.9 table 'Proposed Operational Rules [WA]' (Timeout, First Job Failure, Retry Failure) and the Recovery Principle. The section is labelled next sprint.</t>
  </si>
  <si>
    <t xml:space="preserve">The FS proposes them.</t>
  </si>
  <si>
    <t xml:space="preserve">If retry is different (count or delay), change S26-02 to S26-04 and S26-06.</t>
  </si>
  <si>
    <t xml:space="preserve">TC-R1-09-04, TC-R1-26-02, TC-R1-26-03, TC-R1-26-04, TC-R1-26-06</t>
  </si>
  <si>
    <t xml:space="preserve">BA: FS 1.1.9 (labelled next sprint) proposes that when the Government API times out, the job records the error and retries once after 15 minutes. If the retry also fails, the job is marked Failed and waits for the next scheduled run. Are these rules accepted? When a job stops halfway, how does it know which records it has already processed?</t>
  </si>
  <si>
    <t xml:space="preserve">ASM-R1-29</t>
  </si>
  <si>
    <t xml:space="preserve">R1 account creation failure</t>
  </si>
  <si>
    <t xml:space="preserve">The creation failure rule is a working assumption.</t>
  </si>
  <si>
    <t xml:space="preserve">If creating the account fails for a record, no incomplete Education Account is stored, the failure is recorded, and the job goes on with the other records.</t>
  </si>
  <si>
    <t xml:space="preserve">FS 1.1.9 table row 'Account Creation Failure'.</t>
  </si>
  <si>
    <t xml:space="preserve">The FS proposes it.</t>
  </si>
  <si>
    <t xml:space="preserve">If a partial account is kept, S26-05 changes.</t>
  </si>
  <si>
    <t xml:space="preserve">None yet. The case is Block, Sprint TBD.</t>
  </si>
  <si>
    <t xml:space="preserve">BA: FS 1.1.9 (labelled next sprint) says that if creating the account fails for one citizen record, the failure is recorded and no incomplete account is stored. We assumed the job also goes on with the next record (1.1.4 step 10). Is this correct?</t>
  </si>
  <si>
    <t xml:space="preserve">ASM-R1-30</t>
  </si>
  <si>
    <t xml:space="preserve">R1 required fields</t>
  </si>
  <si>
    <t xml:space="preserve">The FS tags Gender as required in two ways: [WA] in 1.1.3 and [TD] with the note Data Design in 2.1.</t>
  </si>
  <si>
    <t xml:space="preserve">Gender is required in the MVP. A record with an empty Gender, or a value outside the valid list, creates no account and is recorded as an exception.</t>
  </si>
  <si>
    <t xml:space="preserve">FS 1.1.3 [WA], 2.1 [TD]</t>
  </si>
  <si>
    <t xml:space="preserve">FS 1.1.3 table 'Gender: Yes [WA]' and the validation line 'nếu được giữ là required field trong MVP'. FS 2.1 'Yes [TD] with the note Data Design'.</t>
  </si>
  <si>
    <t xml:space="preserve">The two tags differ and the valid values are not listed.</t>
  </si>
  <si>
    <t xml:space="preserve">If Gender is optional, S07-09 and S07-10 expect an account.</t>
  </si>
  <si>
    <t xml:space="preserve">TC-R1-07-09, TC-R1-07-10</t>
  </si>
  <si>
    <t xml:space="preserve">BA: The FS marks Gender as required, as a working assumption. We assumed a record with an empty Gender, or a Gender outside the valid list, creates no account and is recorded as an exception. Is Gender required in the MVP, and which values are valid?</t>
  </si>
  <si>
    <t xml:space="preserve">R1 citizenship values</t>
  </si>
  <si>
    <t xml:space="preserve">The FS requires a recognised value for Citizenship but does not list the values or the way a dual citizen is shown.</t>
  </si>
  <si>
    <t xml:space="preserve">The dataset shows citizenship as Singapore Citizen, Permanent Resident or Foreign. A dual citizen of Singapore and another country is shown as Singapore Citizen.</t>
  </si>
  <si>
    <t xml:space="preserve">FS 1.1.3, register NEW-03</t>
  </si>
  <si>
    <t xml:space="preserve">FS 1.1.3 'Citizenship phải thuộc danh sách giá trị được hệ thống nhận diện'. Register NEW-03: a dual citizen counts as Singaporean.</t>
  </si>
  <si>
    <t xml:space="preserve">Only the principle is stated.</t>
  </si>
  <si>
    <t xml:space="preserve">If another value shows a dual citizen, change the Test Data of S03-02 and S18-03.</t>
  </si>
  <si>
    <t xml:space="preserve">TC-R1-03-02, TC-R1-18-03</t>
  </si>
  <si>
    <t xml:space="preserve">Dev: Which Citizenship values does the Mock Government Citizen API return, and how does it show a person with two citizenships? We assumed the values Singapore Citizen, Permanent Resident and Foreign, and that a dual citizen is shown as Singapore Citizen.</t>
  </si>
  <si>
    <t xml:space="preserve">ASM-R1-32</t>
  </si>
  <si>
    <t xml:space="preserve">The FS requires a supported NRIC format but does not give it, and gives no mock API credential.</t>
  </si>
  <si>
    <t xml:space="preserve">Test NRICs have one letter T, seven digits that start with 99 and a check letter, for example T9901011D. Year 99 is not issued to a real person. Gender uses Male or Female and Citizenship uses the values of ASM-R1-31. A record has a Full Name, no address and no parent NRIC unless the Test Data says otherwise.</t>
  </si>
  <si>
    <t xml:space="preserve">FS 1.1.3</t>
  </si>
  <si>
    <t xml:space="preserve">FS 1.1.3 'NRIC không được trống và phải đáp ứng định dạng định danh được hỗ trợ' (format not given) and 1.1.2 (API credential, value not given).</t>
  </si>
  <si>
    <t xml:space="preserve">The test data must follow some format.</t>
  </si>
  <si>
    <t xml:space="preserve">Replace the NRICs of the Test Data. The expected results do not change.</t>
  </si>
  <si>
    <t xml:space="preserve">138 test cases, see the TestCases sheet</t>
  </si>
  <si>
    <t xml:space="preserve">Dev: Which NRIC format and check rule does the Mock Government Citizen API accept, and which API credential should QA use in SIT? We use made up NRICs that start with T99 and end with a check letter, for example T9901011D, so that no real person is affected.</t>
  </si>
  <si>
    <t xml:space="preserve">R1 duplicate citizen records</t>
  </si>
  <si>
    <t xml:space="preserve">The FS says no duplicate and a Data Conflict is recorded but not whether any account is created.</t>
  </si>
  <si>
    <t xml:space="preserve">When two records have the same NRIC and different data, no account is created from either record, no duplicate is created and a Data Conflict is recorded in the job log.</t>
  </si>
  <si>
    <t xml:space="preserve">FS F01-EF03 [WA]</t>
  </si>
  <si>
    <t xml:space="preserve">FS F01-EF03 [WA]: 'Không tạo duplicate; ghi nhận Data Conflict'.</t>
  </si>
  <si>
    <t xml:space="preserve">The FS leaves the account open.</t>
  </si>
  <si>
    <t xml:space="preserve">If one record wins and creates an account, S05-05 expects one account.</t>
  </si>
  <si>
    <t xml:space="preserve">BA: Two citizen records have the same NRIC but different data. We assumed no account is created from either record, no duplicate is created and a Data Conflict is recorded. FS F01-EF03 states this as a working assumption. Is it correct, and where is the Data Conflict recorded, now that the FS has no processing record?</t>
  </si>
  <si>
    <t xml:space="preserve">ASM-R1-34</t>
  </si>
  <si>
    <t xml:space="preserve">R1 student profile</t>
  </si>
  <si>
    <t xml:space="preserve">FS 1.1.4 stores a Student Profile only for a record processed successfully, and FS 2.1 says a profile can exist without an account, for example for a Permanent Resident. It does not say who creates that profile.</t>
  </si>
  <si>
    <t xml:space="preserve">The synchronization stores a Student Profile only for a record that creates an Education Account. A Permanent Resident or a foreign student gets no Student Profile from F01 and no account.</t>
  </si>
  <si>
    <t xml:space="preserve">FS 1.1.4 Implementation Notes [TD], 2.1</t>
  </si>
  <si>
    <t xml:space="preserve">FS 1.1.4 Implementation Notes [TD] (only successfully processed Citizen Records are stored) and the queries of 1.1.4 step 2 and 1.1.5 step 2 (Singapore Citizens only). FS 2.1: 'Student Profile có thể tồn tại mà không có Education Account, ví dụ Permanent Resident hoặc Foreign Student', without saying who creates it. Inference: F01 does not make the profile of a Permanent Resident.</t>
  </si>
  <si>
    <t xml:space="preserve">Two statements of the FS point in different directions.</t>
  </si>
  <si>
    <t xml:space="preserve">If a profile is stored for every valid record, S04-05 expects a profile for the Permanent Resident.</t>
  </si>
  <si>
    <t xml:space="preserve">BA: FS 1.1.4 [TD] stores a Student Profile only for a record that is processed successfully, and the queries return Singapore Citizens only. FS 2.1 says a Student Profile can exist without an Education Account, for example for a Permanent Resident. Does F01 create a Student Profile for a Permanent Resident or a foreign student, or is that profile made by another function?</t>
  </si>
  <si>
    <t xml:space="preserve">ASM-R1-35</t>
  </si>
  <si>
    <t xml:space="preserve">R1 student profile status</t>
  </si>
  <si>
    <t xml:space="preserve">The FS says Student Profile Status is not an eligibility condition but lists no values.</t>
  </si>
  <si>
    <t xml:space="preserve">A Student Profile Status of Inactive does not stop account creation.</t>
  </si>
  <si>
    <t xml:space="preserve">FS 2.1 [TD], F01-BR04</t>
  </si>
  <si>
    <t xml:space="preserve">FS 2.1 Student Profile Status 'System-managed [TD]', independent of the Education Account Status, and F01-BR04. No values are listed. The [WA] note of 1.1.3 in v2.1 is no longer in the FS.</t>
  </si>
  <si>
    <t xml:space="preserve">The FS says the status is independent of the account and lists no values.</t>
  </si>
  <si>
    <t xml:space="preserve">If the status blocks creation, S11-05 expects no account.</t>
  </si>
  <si>
    <t xml:space="preserve">BA: Which values can the Student Profile Status have? We assumed the value Inactive does not stop the account from being created. Can any value block account creation?</t>
  </si>
  <si>
    <t xml:space="preserve">ASM-R1-36</t>
  </si>
  <si>
    <t xml:space="preserve">R1 opening transaction</t>
  </si>
  <si>
    <t xml:space="preserve">The FS says F01 creates no opening transaction unless the team decides so.</t>
  </si>
  <si>
    <t xml:space="preserve">F01 creates no opening transaction. The transaction history of a new account is empty.</t>
  </si>
  <si>
    <t xml:space="preserve">FS 2.3 Scope Note [WA]. Register TBD-15 (initial balance always zero).</t>
  </si>
  <si>
    <t xml:space="preserve">If an opening transaction of 0.00 is created, S04-04 expects one entry.</t>
  </si>
  <si>
    <t xml:space="preserve">BA: When an account is created with a balance of 0.00, we assumed no opening transaction is created and the transaction history is empty. Is this correct, or should an opening transaction of 0.00 be recorded?</t>
  </si>
  <si>
    <t xml:space="preserve">ASM-R1-37</t>
  </si>
  <si>
    <t xml:space="preserve">R1 audit record fields</t>
  </si>
  <si>
    <t xml:space="preserve">Some audit fields were marked Proposed in section 2.4.</t>
  </si>
  <si>
    <t xml:space="preserve">Superseded. FS R1 V1.0 removed section 2.4, so no processing record with counts exists.</t>
  </si>
  <si>
    <t xml:space="preserve">FS 2.4 (removed)</t>
  </si>
  <si>
    <t xml:space="preserve">FS R1 V1.0 has no section 2.4. Searched for Processing Log, Successful Records, Failed Records, Skipped Records and Last Successful Processing Coverage: no match. The note [TD] in 1.1.4 requires no processing history or result per record.</t>
  </si>
  <si>
    <t xml:space="preserve">The section is gone.</t>
  </si>
  <si>
    <t xml:space="preserve">Not applicable. If a processing record returns, scenario 27 is rewritten.</t>
  </si>
  <si>
    <t xml:space="preserve">FS R1 V1.0 has no section 2.4. The cases of scenario 27 are Reject.</t>
  </si>
  <si>
    <t xml:space="preserve">R1 no deletion</t>
  </si>
  <si>
    <t xml:space="preserve">The FS says there is no hard or soft delete in Sprint 1 as a working assumption.</t>
  </si>
  <si>
    <t xml:space="preserve">A Closed account is never deleted. It stays stored and can be found by NRIC after closure.</t>
  </si>
  <si>
    <t xml:space="preserve">FS 1.1.7 [WA]</t>
  </si>
  <si>
    <t xml:space="preserve">FS 1.1.7 [WA] 'Education Account không hỗ trợ Hard Delete hoặc Soft Delete trong Sprint 1'.</t>
  </si>
  <si>
    <t xml:space="preserve">If closed accounts are archived, S17-04 changes.</t>
  </si>
  <si>
    <t xml:space="preserve">BA: We assumed a Closed account is never deleted or archived in Sprint 1 and can still be found by NRIC. Is this confirmed?</t>
  </si>
  <si>
    <t xml:space="preserve">ASM-R1-39</t>
  </si>
  <si>
    <t xml:space="preserve">R1 actual closure date</t>
  </si>
  <si>
    <t xml:space="preserve">The FS says the System records the Actual Closure Date but does not define the value or the field. The row of 2.2 was removed.</t>
  </si>
  <si>
    <t xml:space="preserve">When an account is closed, the Actual Closure Date is set to the date and time the closure completed. It has no value before the closure.</t>
  </si>
  <si>
    <t xml:space="preserve">FS 1.2.3 step 12, F02-AC06</t>
  </si>
  <si>
    <t xml:space="preserve">FS 1.2.3 step 12 ('ghi nhận Actual Closure Date') and F02-AC06 (the date does not change on a repeated access). The Actual Account Closure Date row of 2.2 was removed from the FS. The wallet table of the Dev design (Func1) has no closure date column.</t>
  </si>
  <si>
    <t xml:space="preserve">The FS says the date is recorded and does not define the value or the field.</t>
  </si>
  <si>
    <t xml:space="preserve">If the field is not stored, S29-02 and the date check of S29-01 change.</t>
  </si>
  <si>
    <t xml:space="preserve">BA: FS 1.2.3 step 12 says the System records the Actual Closure Date. We assumed it is the date and time the closure finishes and that it has no value before the closure. Is this correct? Dev: The wallet table of the database design has no closure date column. Where is the Actual Closure Date stored and how can QA read it?</t>
  </si>
  <si>
    <t xml:space="preserve">ASM-R1-40</t>
  </si>
  <si>
    <t xml:space="preserve">R1 Government API failure on access</t>
  </si>
  <si>
    <t xml:space="preserve">The behaviour of the account and of financial actions during a Government API failure is a working assumption.</t>
  </si>
  <si>
    <t xml:space="preserve">When the Government API does not respond during the closure check, the account is not closed, a technical error is recorded and financial actions that need the eligibility check are blocked for that request.</t>
  </si>
  <si>
    <t xml:space="preserve">FS F02-AC09 [WA], F02-EF01 [WA]</t>
  </si>
  <si>
    <t xml:space="preserve">FS F02-AC09 [WA] and F02-EF01 [WA]. F02-AC09 had no tag in v2.1.</t>
  </si>
  <si>
    <t xml:space="preserve">The FS tags both as working assumptions.</t>
  </si>
  <si>
    <t xml:space="preserve">If the financial action proceeds, S30-04 changes. If no error is recorded, S30-03 changes.</t>
  </si>
  <si>
    <t xml:space="preserve">TC-R1-30-03, TC-R1-30-04</t>
  </si>
  <si>
    <t xml:space="preserve">BA: When the Government API does not answer during the closure check, we assumed the account is not closed, a technical error is recorded and a Top-Up or Payment request is blocked for that request. FS F02-AC09 and F02-EF01 mark this as a working assumption. Is it accepted?</t>
  </si>
  <si>
    <t xml:space="preserve">R1 Closure Deferred</t>
  </si>
  <si>
    <t xml:space="preserve">The FS names Closure Deferred but not whether it is a status.</t>
  </si>
  <si>
    <t xml:space="preserve">Closure Deferred is a marker on the account, not a third status. An account due for closure with a balance above 0.00 stays Active with this marker, keeps its balance, records no successful CPF transfer and refuses new financial operations.</t>
  </si>
  <si>
    <t xml:space="preserve">FS 1.2.7 table row 2 [WA] and F02-EF04 [WA]. F02-AC10 has no tag now and says to follow the agreed Remaining Balance Rule without assuming a CPF transfer. Inference: FS 2.2 lists Active and Closed as the only statuses, so Closure Deferred cannot be a status.</t>
  </si>
  <si>
    <t xml:space="preserve">The FS tags the rule as [WA].</t>
  </si>
  <si>
    <t xml:space="preserve">If Closure Deferred is a status, the status checks of scenario 31 change.</t>
  </si>
  <si>
    <t xml:space="preserve">TC-R1-14-12, TC-R1-31-01, TC-R1-31-02, TC-R1-31-03, TC-R1-31-04, TC-R1-31-05</t>
  </si>
  <si>
    <t xml:space="preserve">BA: When an account reaches 16 with a balance above 0.00 and the CPF Transfer is not built, the FS says Closure Deferred. We assumed this is a marker on an Active account and not a third status, because FS 2.2 lists only Active and Closed. The account keeps its balance and refuses new Top-Ups and Payments. Is Closure Deferred a marker or a status, and which status does the parent see?</t>
  </si>
  <si>
    <t xml:space="preserve">ASM-R1-42</t>
  </si>
  <si>
    <t xml:space="preserve">R1 CPF Transfer</t>
  </si>
  <si>
    <t xml:space="preserve">FS R1 V1.0 removed F03 and the CPF Transfer Record. It keeps only the sentence that the remaining balance goes to CPF.</t>
  </si>
  <si>
    <t xml:space="preserve">The F03 rules of the first FS apply when the CPF Transfer is built. The Transfer Amount equals the Remaining Balance at closure. A balance of 0.00 makes no transfer and no Transfer Record. The balance becomes 0.00 only after the Mock CPF Service answers Success. A failure keeps the balance and leaves the account not Closed. An account never gets a second successful transfer. Each transfer is stored as a CPF Transfer Record (Transfer ID, Account ID, Transfer Amount, Transfer Status Success or Failed, Transfer Date, Failure Reason). Sprint 1 has no real CPF integration.</t>
  </si>
  <si>
    <t xml:space="preserve">First FS 1.3 F03-BR02 to BR07 [WA] (replaced), F03-AC01 to AC04, 2.4</t>
  </si>
  <si>
    <t xml:space="preserve">First FS ([Agile] FS.docx) section 1.3 F03-BR01 to BR07, AF01, AF02, EF01, EF02, F03-AC01 to AC04, and section 2.4 CPF Transfer Record. FS R1 V1.0 has no F03 (searched for F03-, Transfer Amount, Transfer Record, Transfer Status and Transfer Date: no match) and keeps only 1.2.7 [CR] and [Deferred].</t>
  </si>
  <si>
    <t xml:space="preserve">The QA lead decided on 14 Oct 2026 to keep using F03 of the first FS.</t>
  </si>
  <si>
    <t xml:space="preserve">If BA drops or changes F03, the cases of scenario 14 and S16-02 change and the Transfer Record checks go.</t>
  </si>
  <si>
    <t xml:space="preserve">TC-R1-14-01, TC-R1-14-02, TC-R1-14-04, TC-R1-14-05, TC-R1-14-06, TC-R1-14-07, TC-R1-14-08, TC-R1-14-09, TC-R1-14-10, TC-R1-14-11, TC-R1-14-12, TC-R1-16-02</t>
  </si>
  <si>
    <t xml:space="preserve">BA: FS R1 V1.0 no longer has F03 (Simulated Remaining Balance Transfer to CPF) or the CPF Transfer Record. The QA lead keeps both from the first FS for testing. Do these rules still apply when the CPF Transfer is built? The amount equals the remaining balance. A balance of 0.00 makes no transfer. The balance becomes 0.00 only after the Mock CPF Service answers Success. A failure keeps the balance and the account is not closed. Each account gets only one successful transfer. Each transfer is stored as a CPF Transfer Record.</t>
  </si>
  <si>
    <t xml:space="preserve">ASM-R1-43</t>
  </si>
  <si>
    <t xml:space="preserve">R1 failed CPF transfer</t>
  </si>
  <si>
    <t xml:space="preserve">The first FS records a failed transfer and keeps the balance. Register TBD-05 adds a flag for MOE HQ. Neither says whether new financial operations are allowed on the account.</t>
  </si>
  <si>
    <t xml:space="preserve">After a failed transfer the account stays Active with its balance, a Failed Transfer Record with a Failure Reason is stored, the Transfer Date has no value and the account is flagged for manual MOE HQ handling.</t>
  </si>
  <si>
    <t xml:space="preserve">First FS F03-EF01, F03-BR05 [WA], F03-AC03, 2.4, register TBD-05</t>
  </si>
  <si>
    <t xml:space="preserve">First FS F03-EF01 (record Failed, keep the balance, return Failure), F03-AC03 (account not Closed), 2.4 (Transfer Date is the time of a successful transfer, Failure Reason is optional). Register TBD-05 working rule: failed transfers are flagged for manual MOE HQ handling. The first FS has no flag. Inference: the empty Transfer Date follows from the definition of Transfer Date in 2.4.</t>
  </si>
  <si>
    <t xml:space="preserve">Two sources, each partial. The assumption joins them.</t>
  </si>
  <si>
    <t xml:space="preserve">If there is no flag, S14-04 loses its second result. If new financial operations are blocked, a case is added.</t>
  </si>
  <si>
    <t xml:space="preserve">BA: After a failed CPF transfer, we assumed the account stays Active with its balance, a Failed Transfer Record with a Failure Reason is stored, and the account is flagged for manual MOE HQ handling as register item TBD-05 says. The first FS has no such flag. Is the flag required? Are new Top-Ups and Payments on that account allowed or blocked?</t>
  </si>
  <si>
    <t xml:space="preserve">ASM-R1-44</t>
  </si>
  <si>
    <t xml:space="preserve">R1 CPF transfer retry</t>
  </si>
  <si>
    <t xml:space="preserve">The first FS says a failed transfer is recorded for retry and that a retry is safe, but gives no trigger. Its retry ran at the next daily batch. FS R1 V1.0 has no batch.</t>
  </si>
  <si>
    <t xml:space="preserve">A failed transfer is retried at the next backend access to the account. One access makes one attempt. A retry may add a new Transfer Record, and only one record ends as Success.</t>
  </si>
  <si>
    <t xml:space="preserve">First FS F02 exception flows EF02 and EF03, F02 BR10 [WA], F03-BR07 [WA]</t>
  </si>
  <si>
    <t xml:space="preserve">First FS F02 exception flow EF02 (record the error for retry), EF03 (retry safely, no duplicate transfer), F02 business rule BR10 [WA] and F03-BR07 [WA]. Inference: the first FS retried at the next batch (F02 alternative flow AF04) and FS R1 V1.0 closes only at an access, so the retry is assumed at the next access.</t>
  </si>
  <si>
    <t xml:space="preserve">The trigger is not stated anywhere.</t>
  </si>
  <si>
    <t xml:space="preserve">If the retry is a scheduled job or a manual action, S14-09 changes its steps.</t>
  </si>
  <si>
    <t xml:space="preserve">BA: What triggers the retry of a failed CPF transfer: the next backend access, a scheduled job or a manual action? We assumed the next backend access, with one attempt per access. Does a retry add a new Transfer Record or update the failed one?</t>
  </si>
  <si>
    <t xml:space="preserve">ASM-R1-45</t>
  </si>
  <si>
    <t xml:space="preserve">R1 one successful CPF transfer</t>
  </si>
  <si>
    <t xml:space="preserve">The first FS says the System recognises a successful transfer, but not how, and not when the account update is finished after an interruption.</t>
  </si>
  <si>
    <t xml:space="preserve">A Success Transfer Record is the proof. Later accesses and retries send no second transfer. After an interruption between the transfer and the account update, the next access finishes the update (balance 0.00, status Closed) from that record.</t>
  </si>
  <si>
    <t xml:space="preserve">First FS F03-BR04 [WA], F03-BR07 [WA], F03-AF02, F03-EF02 [WA], F03-AC04, F02 BR10 [WA]</t>
  </si>
  <si>
    <t xml:space="preserve">First FS F03-BR04 (one successful transfer per account), F03-BR07 (retry recognises a successful transfer), F03-AF02 (use the recorded result to continue closure), F03-EF02 (after an interruption, no second transfer and finish the update from the recorded transfer), F03-AC04 and F02 business rule BR10.</t>
  </si>
  <si>
    <t xml:space="preserve">The behaviour is in the first FS as [WA]. The recognition method is not stated.</t>
  </si>
  <si>
    <t xml:space="preserve">If the account update is not finished at the next access, S14-10 changes.</t>
  </si>
  <si>
    <t xml:space="preserve">BA: How does the system know that an account already had a successful CPF transfer? We assumed a Success Transfer Record is the proof and no second transfer is sent. If processing stops after the transfer but before the account is updated, we assumed the next access finishes the update (balance 0.00, status Closed). Is this correct?</t>
  </si>
  <si>
    <t xml:space="preserve">ASM-R1-46</t>
  </si>
  <si>
    <t xml:space="preserve">R1 end of Closure Deferred</t>
  </si>
  <si>
    <t xml:space="preserve">FS 1.2.7 table row 3 says closure completes 'theo confirmed financial requirement' once the CPF Transfer is built, with no steps.</t>
  </si>
  <si>
    <t xml:space="preserve">When the CPF Transfer is delivered, an account marked Closure Deferred is closed with the F03 transfer at its next backend access and the marker is removed.</t>
  </si>
  <si>
    <t xml:space="preserve">FS 1.2.7 table row 4, first FS F03</t>
  </si>
  <si>
    <t xml:space="preserve">FS 1.2.7 table row 4: 'CPF Transfer được triển khai và thành công: Hoàn tất closure theo quy trình tài chính được xác nhận' (no tag). Inference: the next backend access is the moment of closure (FS 1.2.1) and F03 is the transfer rule (QA lead decision).</t>
  </si>
  <si>
    <t xml:space="preserve">The FS gives the outcome but no steps.</t>
  </si>
  <si>
    <t xml:space="preserve">If the account stays Deferred until a manual step, S14-12 changes.</t>
  </si>
  <si>
    <t xml:space="preserve">BA: When the CPF Transfer is delivered, we assumed an account marked Closure Deferred is closed together with the transfer at its next backend access, and the marker is removed. Is this correct?</t>
  </si>
  <si>
    <t xml:space="preserve">ASM-R1-47</t>
  </si>
  <si>
    <t xml:space="preserve">R1 Mock CPF Service</t>
  </si>
  <si>
    <t xml:space="preserve">FS R1 V1.0 lists only the Mock Government Citizen API as a Sprint 1 integration. The first FS names a Mock CPF Service as the actor of F03.</t>
  </si>
  <si>
    <t xml:space="preserve">SIT has a Mock CPF Service that QA can set to return Success or Failure and to stop after the transfer. QA can read the transfers it received and the CPF Transfer Records.</t>
  </si>
  <si>
    <t xml:space="preserve">First FS 1.3.2 (Actor: System / Mock CPF Service), FS R1 V1.0 section 1 table</t>
  </si>
  <si>
    <t xml:space="preserve">First FS 1.3.2 Actor System / Mock CPF Service. FS R1 V1.0 section 1 table lists Sprint 1 Integration: Mock Government Citizen API only (searched for Mock CPF: no match).</t>
  </si>
  <si>
    <t xml:space="preserve">The cases of scenario 14 cannot run without it.</t>
  </si>
  <si>
    <t xml:space="preserve">If QA cannot control the service, the failure and interruption cases of scenario 14 cannot be run.</t>
  </si>
  <si>
    <t xml:space="preserve">Dev: Will SIT have a Mock CPF Service that QA can set to return Success or Failure and can stop after the transfer? Can QA read the transfers it received and the CPF Transfer Records? Without this the CPF Transfer cases cannot be run.</t>
  </si>
  <si>
    <t xml:space="preserve">ASM-R1-48</t>
  </si>
  <si>
    <t xml:space="preserve">R1 regained citizenship after closure</t>
  </si>
  <si>
    <t xml:space="preserve">The FS says a Closed account is not closed again and a citizen with a Closed account gets no new account. It has no rule for a Closed account whose holder regains the citizenship.</t>
  </si>
  <si>
    <t xml:space="preserve">A Closed account stays Closed when the holder regains the Singapore Citizenship. It is not reopened and no second account is created.</t>
  </si>
  <si>
    <t xml:space="preserve">FS F02-AF02, F02-AC06 (no reopening rule)</t>
  </si>
  <si>
    <t xml:space="preserve">FS F02-AF02, F02-AC06, F01-AC07 and F02-BR12 [TD]. Searched FS R1 V1.0 for reopen, reactivate, mở lại and kích hoạt lại: no match.</t>
  </si>
  <si>
    <t xml:space="preserve">No rule reopens an account, and the closure is not repeated.</t>
  </si>
  <si>
    <t xml:space="preserve">If the account is reopened, S19-05 expects an Active account with the balance kept.</t>
  </si>
  <si>
    <t xml:space="preserve">BA: A Closed account whose holder regains the Singapore Citizenship: the FS has no rule to reopen it. We assumed the account stays Closed and no second account is created. Is this correct, or can an account be reopened? If it can be reopened, who does it and what is the balance?</t>
  </si>
  <si>
    <t xml:space="preserve">R1 Batch Top-Up</t>
  </si>
  <si>
    <t xml:space="preserve">FS 1.2.2 lists the Batch Top-Up among the backend actions that need the closure check only if that function accesses the Account.</t>
  </si>
  <si>
    <t xml:space="preserve">The Batch Top-Up reads or posts to each Education Account, so each account of the batch gets the closure check first. An account of a holder aged 16 is closed and not topped up, and the rest of the batch goes on.</t>
  </si>
  <si>
    <t xml:space="preserve">FS 1.2.2</t>
  </si>
  <si>
    <t xml:space="preserve">FS 1.2.2 Backend Actions ('Top-Up request, bao gồm Batch Top-Up nếu function đó truy cập Account') and F02-AC14.</t>
  </si>
  <si>
    <t xml:space="preserve">The FS depends on how the Batch Top-Up is built, which F02 does not define.</t>
  </si>
  <si>
    <t xml:space="preserve">If the Batch Top-Up writes to the account without the backend path that runs the closure check, S28-08 becomes a defect report.</t>
  </si>
  <si>
    <t xml:space="preserve">Dev: Does the Batch Top-Up access each Education Account through the same backend path that runs the closure check? When one account of the batch is closed, does the batch go on with the other accounts?</t>
  </si>
  <si>
    <t xml:space="preserve">ASM-R1-50</t>
  </si>
  <si>
    <t xml:space="preserve">R1 Government API returns no valid record</t>
  </si>
  <si>
    <t xml:space="preserve">FS F02-EF02 and F02-BR14 say the account is not closed and a suitable error result is returned. They do not define the error result.</t>
  </si>
  <si>
    <t xml:space="preserve">When the Mock Government Citizen API returns no valid citizen record for the NRIC, the account stays Active and the backend action receives an error result.</t>
  </si>
  <si>
    <t xml:space="preserve">FS F02-EF02 [WA], F02-BR14 [WA]</t>
  </si>
  <si>
    <t xml:space="preserve">FS F02-EF02 [WA]: 'Không tự động đánh dấu Account Closed; trả kết quả lỗi phù hợp để backend action xử lý' and F02-BR14 [WA].</t>
  </si>
  <si>
    <t xml:space="preserve">The FS tags both as working assumptions and does not name the error result.</t>
  </si>
  <si>
    <t xml:space="preserve">If the action goes on with the stored data, S30-07 changes.</t>
  </si>
  <si>
    <t xml:space="preserve">BA: FS F02-EF02 and F02-BR14 say that when the Government API returns no valid citizen record, the account is not closed and a suitable error result is returned. We assumed the account stays Active and the backend action receives an error result and stops. What error result is returned, and does a Top-Up or Payment stop?</t>
  </si>
  <si>
    <t xml:space="preserve">Question</t>
  </si>
  <si>
    <t xml:space="preserve">Answer</t>
  </si>
  <si>
    <t xml:space="preserve">BA, CPF delivery: FS 1.2.7 says the CPF Transfer is Deferred. The same section says the remaining balance must go to CPF, marked as client confirmed, and register item TBD-05 says a mock API is enough. In which sprint is the CPF Transfer built? Is Sprint 1 accepted with every account that has a balance staying in Closure Deferred? The CPF test cases wait for this answer.</t>
  </si>
  <si>
    <t xml:space="preserve">BA, late records: FS 1.1.1 B and section 4 say that the Daily Job does not process a record added after the citizen's 7th birthday, and that Manual Account Creation and Bulk Re-synchronization handle it in the next sprint. The tender and register item NEW-02 say an account is created once the citizen is in the feed. Is this limitation accepted for Sprint 1, or must a late record still get an account? Test cases TC-R1-06-01 to 06-03 follow the FS and expect no account.</t>
  </si>
  <si>
    <t xml:space="preserve">BA, citizenship gained after 7: FS section 4 says a record whose citizenship changes after the Initial Synchronization is not processed by the Daily Job. Register item TBD-03 says an account is created once the citizen is in the feed. Which rule stands? Test case TC-R1-18-04 follows the FS. Test case TC-R1-18-01 waits for the next sprint feature.</t>
  </si>
  <si>
    <t xml:space="preserve">BA, weekly frequency: FS 1.1.2 says the job runs once a day. Register item NEW-02 says the feed frequency can be weekly or daily. Is the weekly option dropped? Test case TC-R1-09-05 waits for this answer.</t>
  </si>
  <si>
    <t xml:space="preserve">BA, citizen leaves the country: The Func1 diagram says the account is deactivated when the citizen leaves the country, and register item NEW-04 says a citizen studying overseas keeps the account. The FS has no rule or input for leaving the country. Is this in scope, and from which data does the system learn that a citizen has left? Test case TC-R1-20-01 waits for this answer.</t>
  </si>
  <si>
    <t xml:space="preserve">BA, unpaid fees: Register item NEW-01 says unpaid fees do not block closure. When an account closes with an unpaid fee, does the remaining balance first settle the fee, or does the whole balance go to CPF? Should the closure check look for debts? We assumed the whole balance goes to CPF.</t>
  </si>
  <si>
    <t xml:space="preserve">BA, pending transactions: FS 1.2.2 and F02-BR09 [TD] assume there is no pending transaction at closure, and F02 builds no reconciliation. Will the Top-Up and Payment functions define a pending state, and who handles a pending item when the account closes? Test cases TC-R1-15-01 and 15-02 have no expected result until this is answered.</t>
  </si>
  <si>
    <t xml:space="preserve">BA, exception after 16: The test plan lists an account with an approved exception after 16, but F02-BR01 says every account closes at 16. Does such an exception exist? If yes, who approves it, how long does it last and what happens to the balance? Test case TC-R1-22-01 has no expected result until this is answered.</t>
  </si>
  <si>
    <t xml:space="preserve">BA, closure only on access: FS 1.2.4 and section 4 close an account only when a backend action reads it, while the tender says the account closes when the child reaches 16. Do reports, exports or counts read the stored status without running the closure check? Is it accepted that a report can show Active for an account that is past 16?</t>
  </si>
  <si>
    <t xml:space="preserve">BA, 16th birthday rule: F02-BR01 and the FS example (born 10/10/2018, closes 10/10/2034) close the account on the 16th birthday. An earlier rule from the team lead said one day before. Is that earlier rule withdrawn? We use the 16th birthday.</t>
  </si>
  <si>
    <t xml:space="preserve">BA, leap rule in F02: FS 1.2.5 applies the 28 February rule to F02 too. A citizen born on 29 February always turns 16 in a leap year, because the birth year plus 16 is a multiple of 4 before the year 2100. So the rule never applies at 16. Should this sentence be removed?</t>
  </si>
  <si>
    <t xml:space="preserve">BA, baseline version: The file name of the FS says V1.0 but the text inside says Version 1.2. Which version is the baseline for testing? We use FS R1 V1.0.</t>
  </si>
  <si>
    <t xml:space="preserve">BA, untagged statements: The FS has four tags: CR, TD, WA and Deferred. QA reads an acceptance criterion or a flow step without a tag as a stated rule, even when a related business rule has WA, for example F02-AC07 against F02-BR10, or the initial balance in 2.2. Is this reading correct? If not, those test cases become Draft.</t>
  </si>
  <si>
    <t xml:space="preserve">BA, exception record: FS 1.1.3 and F01-EF02 say the System records an exception for a record with missing or invalid required data. F01-AC08 no longer says an error is recorded, and the note [TD] in 1.1.4 requires no processing history or result per record. Is an exception recorded in Sprint 1? If yes, where and with which fields? Test case TC-R1-07-14 waits for this answer.</t>
  </si>
  <si>
    <t xml:space="preserve">BA, job recovery: FS 1.1.9 (timeout, retry, missed processing date, creation failure, rerun) is labelled next sprint and its rules are working assumptions. F01-AC11 and F01-EF04 were removed. In which sprint is 1.1.9 built and tested? Test cases TC-R1-09-04, 25-03, 25-04 and 26-02 to 26-06 wait for this answer.</t>
  </si>
  <si>
    <t xml:space="preserve">BA, Manual Account Creation and Bulk Re-synchronization: FS 1.1.1 B names these two functions for the next sprint to handle late records, skipped records and citizenship gained after 7. The FS gives no screen, input, role or result rule. In which sprint are they built, and who is the Authorized Admin? Test cases TC-R1-06-05, 06-06 and 18-01 wait for this answer.</t>
  </si>
  <si>
    <t xml:space="preserve">BA, synchronization record: FS R1 V1.0 removed section 2.4 (Data Synchronization and Audit Information) and requires no processing history or result per record. Is there any record of a synchronization run in Sprint 1 (run time, counts, failure reason)? The Dev database design has no table for it. Test cases TC-R1-27-01 to 27-05 and 29-03 are Reject until this is answered.</t>
  </si>
  <si>
    <t xml:space="preserve">BA, citizenship based closure balance: FS 1.2.7 and section 4 say the handling of the remaining balance for an account closed because of lost citizenship is not confirmed, and that the CPF Transfer rule of age based closure must not be used by default. What happens to a balance above 0.00 in this case? Test case TC-R1-19-03 has no steps until the business decides.</t>
  </si>
  <si>
    <t xml:space="preserve">FS item</t>
  </si>
  <si>
    <t xml:space="preserve">Tag in its FS</t>
  </si>
  <si>
    <t xml:space="preserve">Statement</t>
  </si>
  <si>
    <t xml:space="preserve">Test cases that cite it</t>
  </si>
  <si>
    <t xml:space="preserve">Covered</t>
  </si>
  <si>
    <t xml:space="preserve">Source FS</t>
  </si>
  <si>
    <t xml:space="preserve">F01-BR01</t>
  </si>
  <si>
    <t xml:space="preserve">CR</t>
  </si>
  <si>
    <t xml:space="preserve">Only Singapore Citizens get an Education Account</t>
  </si>
  <si>
    <t xml:space="preserve">TC-R1-03-01, TC-R1-03-05, TC-R1-05-04</t>
  </si>
  <si>
    <t xml:space="preserve">FS R1 V1.0</t>
  </si>
  <si>
    <t xml:space="preserve">F01-BR02</t>
  </si>
  <si>
    <t xml:space="preserve">Eligible age from 7 to before 16</t>
  </si>
  <si>
    <t xml:space="preserve">F01-BR03</t>
  </si>
  <si>
    <t xml:space="preserve">Age comes from DOB, not school level or schooling status</t>
  </si>
  <si>
    <t xml:space="preserve">TC-R1-11-03, TC-R1-11-04</t>
  </si>
  <si>
    <t xml:space="preserve">F01-BR04</t>
  </si>
  <si>
    <t xml:space="preserve">Account creation does not depend on school enrolment</t>
  </si>
  <si>
    <t xml:space="preserve">TC-R1-11-01, TC-R1-11-02, TC-R1-11-05</t>
  </si>
  <si>
    <t xml:space="preserve">F01-BR05</t>
  </si>
  <si>
    <t xml:space="preserve">A citizen aged 16 or more with no account gets none</t>
  </si>
  <si>
    <t xml:space="preserve">TC-R1-02-02, TC-R1-02-03, TC-R1-24-02</t>
  </si>
  <si>
    <t xml:space="preserve">F01-AF01</t>
  </si>
  <si>
    <t xml:space="preserve">Not a Singapore Citizen: no account</t>
  </si>
  <si>
    <t xml:space="preserve">TC-R1-03-03, TC-R1-03-04</t>
  </si>
  <si>
    <t xml:space="preserve">F01-AF02</t>
  </si>
  <si>
    <t xml:space="preserve">Under 7 or 16 and over: no account</t>
  </si>
  <si>
    <t xml:space="preserve">TC-R1-02-01, TC-R1-02-02</t>
  </si>
  <si>
    <t xml:space="preserve">F01-AF03</t>
  </si>
  <si>
    <t xml:space="preserve">Already has an account, also Closed: skip creation</t>
  </si>
  <si>
    <t xml:space="preserve">TC-R1-05-06, TC-R1-19-02, TC-R1-24-03</t>
  </si>
  <si>
    <t xml:space="preserve">F01-AF04</t>
  </si>
  <si>
    <t xml:space="preserve">No Father or Mother NRIC: account still created</t>
  </si>
  <si>
    <t xml:space="preserve">F01-EF01</t>
  </si>
  <si>
    <t xml:space="preserve">Government API authentication failure: Job Failure recorded</t>
  </si>
  <si>
    <t xml:space="preserve">F01-EF02</t>
  </si>
  <si>
    <t xml:space="preserve">Missing or invalid required data: no account, exception recorded</t>
  </si>
  <si>
    <t xml:space="preserve">TC-R1-07-01, TC-R1-07-02, TC-R1-07-03, TC-R1-07-14, TC-R1-09-03</t>
  </si>
  <si>
    <t xml:space="preserve">F01-EF03</t>
  </si>
  <si>
    <t xml:space="preserve">WA</t>
  </si>
  <si>
    <t xml:space="preserve">Duplicate citizen records with conflicting data: no duplicate, Data Conflict recorded</t>
  </si>
  <si>
    <t xml:space="preserve">F01-AC01</t>
  </si>
  <si>
    <t xml:space="preserve">Initial Sync, Singapore Citizen aged 10: Active account, balance 0.00</t>
  </si>
  <si>
    <t xml:space="preserve">TC-R1-04-01, TC-R1-24-01</t>
  </si>
  <si>
    <t xml:space="preserve">F01-AC02</t>
  </si>
  <si>
    <t xml:space="preserve">Daily Sync, citizen who just turned 7: account created</t>
  </si>
  <si>
    <t xml:space="preserve">TC-R1-01-01, TC-R1-03-01, TC-R1-18-02</t>
  </si>
  <si>
    <t xml:space="preserve">F01-AC03</t>
  </si>
  <si>
    <t xml:space="preserve">Non Singapore Citizen or Permanent Resident: no account</t>
  </si>
  <si>
    <t xml:space="preserve">TC-R1-03-03, TC-R1-03-04, TC-R1-04-05, TC-R1-09-01, TC-R1-24-02, TC-R1-24-04</t>
  </si>
  <si>
    <t xml:space="preserve">F01-AC04</t>
  </si>
  <si>
    <t xml:space="preserve">Citizen under 7: no account</t>
  </si>
  <si>
    <t xml:space="preserve">TC-R1-01-02, TC-R1-02-01, TC-R1-08-03, TC-R1-09-01, TC-R1-24-02</t>
  </si>
  <si>
    <t xml:space="preserve">F01-AC05</t>
  </si>
  <si>
    <t xml:space="preserve">Citizen aged 16 or more: no new account</t>
  </si>
  <si>
    <t xml:space="preserve">F01-AC06</t>
  </si>
  <si>
    <t xml:space="preserve">Citizen with an Active account: no duplicate</t>
  </si>
  <si>
    <t xml:space="preserve">TC-R1-05-03, TC-R1-05-08</t>
  </si>
  <si>
    <t xml:space="preserve">F01-AC07</t>
  </si>
  <si>
    <t xml:space="preserve">Citizen with a Closed account: no new account</t>
  </si>
  <si>
    <t xml:space="preserve">TC-R1-05-06, TC-R1-19-02</t>
  </si>
  <si>
    <t xml:space="preserve">F01-AC08</t>
  </si>
  <si>
    <t xml:space="preserve">Missing required information: no account</t>
  </si>
  <si>
    <t xml:space="preserve">TC-R1-07-01, TC-R1-07-04, TC-R1-07-05, TC-R1-07-07, TC-R1-07-14</t>
  </si>
  <si>
    <t xml:space="preserve">F01-AC09</t>
  </si>
  <si>
    <t xml:space="preserve">Missing Father or Mother NRIC: account still created</t>
  </si>
  <si>
    <t xml:space="preserve">F01-AC10</t>
  </si>
  <si>
    <t xml:space="preserve">Student held back or late: eligibility by DOB</t>
  </si>
  <si>
    <t xml:space="preserve">F01-AC12</t>
  </si>
  <si>
    <t xml:space="preserve">Job rerun on processed records: no extra account</t>
  </si>
  <si>
    <t xml:space="preserve">TC-R1-05-01, TC-R1-05-03, TC-R1-05-08</t>
  </si>
  <si>
    <t xml:space="preserve">F01-AC13</t>
  </si>
  <si>
    <t xml:space="preserve">Job on weekend or public holiday: runs on schedule</t>
  </si>
  <si>
    <t xml:space="preserve">F01-AC14</t>
  </si>
  <si>
    <t xml:space="preserve">Citizen born 29 Feb: leap year rule</t>
  </si>
  <si>
    <t xml:space="preserve">TC-R1-08-01, TC-R1-08-02, TC-R1-08-03</t>
  </si>
  <si>
    <t xml:space="preserve">F01-AC15</t>
  </si>
  <si>
    <t xml:space="preserve">Eligible citizen with an empty Father and Mother NRIC: Student Profile and one Active account linked to it</t>
  </si>
  <si>
    <t xml:space="preserve">TC-R1-04-06, TC-R1-07-13</t>
  </si>
  <si>
    <t xml:space="preserve">F01-AC16</t>
  </si>
  <si>
    <t xml:space="preserve">Government updates the address of a student with an account: the Daily Sync does not read the student again and does not update the address</t>
  </si>
  <si>
    <t xml:space="preserve">TC-R1-32-01, TC-R1-32-04</t>
  </si>
  <si>
    <t xml:space="preserve">F02-BR01</t>
  </si>
  <si>
    <t xml:space="preserve">Account closes when the holder reaches 16</t>
  </si>
  <si>
    <t xml:space="preserve">TC-R1-02-03, TC-R1-08-04, TC-R1-13-01, TC-R1-14-03, TC-R1-22-01, TC-R1-30-06</t>
  </si>
  <si>
    <t xml:space="preserve">F02-BR02</t>
  </si>
  <si>
    <t xml:space="preserve">TD</t>
  </si>
  <si>
    <t xml:space="preserve">Every backend action that reads or processes an account triggers the closure check</t>
  </si>
  <si>
    <t xml:space="preserve">TC-R1-13-01, TC-R1-28-03</t>
  </si>
  <si>
    <t xml:space="preserve">F02-BR03</t>
  </si>
  <si>
    <t xml:space="preserve">Closure check uses the current DOB and citizenship from the Government API</t>
  </si>
  <si>
    <t xml:space="preserve">TC-R1-30-01, TC-R1-30-02, TC-R1-30-06</t>
  </si>
  <si>
    <t xml:space="preserve">F02-BR04</t>
  </si>
  <si>
    <t xml:space="preserve">Holder aged 16 or more: closure processing (CR on the age condition)</t>
  </si>
  <si>
    <t xml:space="preserve">F02-BR05</t>
  </si>
  <si>
    <t xml:space="preserve">Holder no longer a Singapore Citizen: closure processing (needs business confirmation)</t>
  </si>
  <si>
    <t xml:space="preserve">TC-R1-18-03, TC-R1-19-01, TC-R1-19-04</t>
  </si>
  <si>
    <t xml:space="preserve">F02-BR06</t>
  </si>
  <si>
    <t xml:space="preserve">Holder under 16 and still a Singapore Citizen: account stays Active</t>
  </si>
  <si>
    <t xml:space="preserve">TC-R1-13-02, TC-R1-28-05</t>
  </si>
  <si>
    <t xml:space="preserve">F02-BR07</t>
  </si>
  <si>
    <t xml:space="preserve">Age comes from DOB, not school level, cohort, class or schooling status</t>
  </si>
  <si>
    <t xml:space="preserve">TC-R1-11-01, TC-R1-11-03, TC-R1-30-05</t>
  </si>
  <si>
    <t xml:space="preserve">F02-BR08</t>
  </si>
  <si>
    <t xml:space="preserve">No Scheduled Closure Date is stored</t>
  </si>
  <si>
    <t xml:space="preserve">F02-BR09</t>
  </si>
  <si>
    <t xml:space="preserve">No pending transaction at closure</t>
  </si>
  <si>
    <t xml:space="preserve">F02-BR10</t>
  </si>
  <si>
    <t xml:space="preserve">A Closed account takes no new financial transactions</t>
  </si>
  <si>
    <t xml:space="preserve">TC-R1-17-01, TC-R1-17-02</t>
  </si>
  <si>
    <t xml:space="preserve">F02-BR11</t>
  </si>
  <si>
    <t xml:space="preserve">Closed account and its history are kept for viewing and audit</t>
  </si>
  <si>
    <t xml:space="preserve">TC-R1-14-03, TC-R1-17-03, TC-R1-17-04, TC-R1-28-04</t>
  </si>
  <si>
    <t xml:space="preserve">F02-BR12</t>
  </si>
  <si>
    <t xml:space="preserve">Repeated access does not repeat closure</t>
  </si>
  <si>
    <t xml:space="preserve">TC-R1-14-05, TC-R1-19-05, TC-R1-29-01, TC-R1-31-05</t>
  </si>
  <si>
    <t xml:space="preserve">F02-BR13</t>
  </si>
  <si>
    <t xml:space="preserve">Closure check does not update the Student Profile</t>
  </si>
  <si>
    <t xml:space="preserve">F02-BR14</t>
  </si>
  <si>
    <t xml:space="preserve">No valid Government record: the System does not conclude the account is due for closure</t>
  </si>
  <si>
    <t xml:space="preserve">F02-AF01</t>
  </si>
  <si>
    <t xml:space="preserve">Holder under 16 and a Singapore Citizen: account stays Active</t>
  </si>
  <si>
    <t xml:space="preserve">TC-R1-08-05, TC-R1-13-02, TC-R1-28-05, TC-R1-28-06, TC-R1-28-07, TC-R1-28-08</t>
  </si>
  <si>
    <t xml:space="preserve">F02-AF02</t>
  </si>
  <si>
    <t xml:space="preserve">Account already Closed: no second closure, viewing allowed, financial actions refused</t>
  </si>
  <si>
    <t xml:space="preserve">TC-R1-19-05, TC-R1-29-01</t>
  </si>
  <si>
    <t xml:space="preserve">F02-AF03</t>
  </si>
  <si>
    <t xml:space="preserve">Holder aged 16 when a parent or MOE HQ opens the account: closure first</t>
  </si>
  <si>
    <t xml:space="preserve">TC-R1-13-01, TC-R1-13-03</t>
  </si>
  <si>
    <t xml:space="preserve">F02-AF04</t>
  </si>
  <si>
    <t xml:space="preserve">Government data shows the holder is no longer a Singapore Citizen: citizenship based closure</t>
  </si>
  <si>
    <t xml:space="preserve">F02-AF05</t>
  </si>
  <si>
    <t xml:space="preserve">Payment or Top-Up on an account due for closure: closure check, no new financial transaction</t>
  </si>
  <si>
    <t xml:space="preserve">TC-R1-19-04, TC-R1-28-01, TC-R1-28-02, TC-R1-28-08</t>
  </si>
  <si>
    <t xml:space="preserve">F02-EF01</t>
  </si>
  <si>
    <t xml:space="preserve">Government API does not respond: no closure, error recorded, financial action blocked</t>
  </si>
  <si>
    <t xml:space="preserve">F02-EF02</t>
  </si>
  <si>
    <t xml:space="preserve">Government API returns no valid record: account not closed, error result returned</t>
  </si>
  <si>
    <t xml:space="preserve">F02-EF03</t>
  </si>
  <si>
    <t xml:space="preserve">Closure processing fails: no success recorded, no inconsistent account</t>
  </si>
  <si>
    <t xml:space="preserve">F02-EF04</t>
  </si>
  <si>
    <t xml:space="preserve">Balance above 0.00 and no CPF Transfer: Closure Deferred</t>
  </si>
  <si>
    <t xml:space="preserve">TC-R1-14-12, TC-R1-31-01, TC-R1-31-03</t>
  </si>
  <si>
    <t xml:space="preserve">F02-EF05</t>
  </si>
  <si>
    <t xml:space="preserve">Government updates of other Student details: F02 does not copy them into the Student Profile</t>
  </si>
  <si>
    <t xml:space="preserve">F02-AC01</t>
  </si>
  <si>
    <t xml:space="preserve">Parent views the account of a 15 year old: stays Active</t>
  </si>
  <si>
    <t xml:space="preserve">F02-AC02</t>
  </si>
  <si>
    <t xml:space="preserve">Parent views the account of a student who just turned 16, balance 0: Closed</t>
  </si>
  <si>
    <t xml:space="preserve">TC-R1-13-01, TC-R1-14-03, TC-R1-16-01</t>
  </si>
  <si>
    <t xml:space="preserve">F02-AC03</t>
  </si>
  <si>
    <t xml:space="preserve">MOE HQ retrieves an account past 16 and not yet Closed, balance 0: closure first</t>
  </si>
  <si>
    <t xml:space="preserve">F02-AC04</t>
  </si>
  <si>
    <t xml:space="preserve">Top-Up request on an account of a holder aged 16: not executed</t>
  </si>
  <si>
    <t xml:space="preserve">TC-R1-28-01, TC-R1-28-08, TC-R1-31-02</t>
  </si>
  <si>
    <t xml:space="preserve">F02-AC05</t>
  </si>
  <si>
    <t xml:space="preserve">Payment request on an account of a holder aged 16: not executed</t>
  </si>
  <si>
    <t xml:space="preserve">TC-R1-28-02, TC-R1-31-02</t>
  </si>
  <si>
    <t xml:space="preserve">F02-AC06</t>
  </si>
  <si>
    <t xml:space="preserve">Closed account accessed again: no duplicate closure, closure date unchanged</t>
  </si>
  <si>
    <t xml:space="preserve">TC-R1-19-05, TC-R1-29-01, TC-R1-29-02</t>
  </si>
  <si>
    <t xml:space="preserve">F02-AC07</t>
  </si>
  <si>
    <t xml:space="preserve">Authorised parent views a Closed account: history visible, no transaction</t>
  </si>
  <si>
    <t xml:space="preserve">TC-R1-17-01, TC-R1-17-02, TC-R1-17-03, TC-R1-28-04</t>
  </si>
  <si>
    <t xml:space="preserve">F02-AC08</t>
  </si>
  <si>
    <t xml:space="preserve">Student held back or late: closure by DOB</t>
  </si>
  <si>
    <t xml:space="preserve">F02-AC09</t>
  </si>
  <si>
    <t xml:space="preserve">Government API fails at the closure check: account not Closed, financial operations follow the failure rule</t>
  </si>
  <si>
    <t xml:space="preserve">F02-AC10</t>
  </si>
  <si>
    <t xml:space="preserve">Holder aged 16 with balance above 0, CPF not built: agreed Remaining Balance Rule, no CPF success assumed</t>
  </si>
  <si>
    <t xml:space="preserve">TC-R1-14-01, TC-R1-31-01, TC-R1-31-03</t>
  </si>
  <si>
    <t xml:space="preserve">F02-AC11</t>
  </si>
  <si>
    <t xml:space="preserve">Government data changes citizenship to non Singapore Citizen under 16: citizenship based closure</t>
  </si>
  <si>
    <t xml:space="preserve">F02-AC12</t>
  </si>
  <si>
    <t xml:space="preserve">Government data updates the DOB so the student is 16: the current Government DOB decides</t>
  </si>
  <si>
    <t xml:space="preserve">TC-R1-30-01, TC-R1-30-02</t>
  </si>
  <si>
    <t xml:space="preserve">F02-AC13</t>
  </si>
  <si>
    <t xml:space="preserve">Government updates the address or gender after creation: not copied into the Student Profile</t>
  </si>
  <si>
    <t xml:space="preserve">F02-AC14</t>
  </si>
  <si>
    <t xml:space="preserve">Financial action on an account due for closure whose stored status is still Active: the closure check comes first</t>
  </si>
  <si>
    <t xml:space="preserve">TC-R1-28-01, TC-R1-28-02, TC-R1-28-08</t>
  </si>
  <si>
    <t xml:space="preserve">F02-AC15</t>
  </si>
  <si>
    <t xml:space="preserve">Student born 29 Feb reaches 16 under the agreed leap year rule: the closure check uses that mark</t>
  </si>
  <si>
    <t xml:space="preserve">F03-BR01</t>
  </si>
  <si>
    <t xml:space="preserve">Remaining Balance must be transferred to CPF when the account closes</t>
  </si>
  <si>
    <t xml:space="preserve">First FS (replaced)</t>
  </si>
  <si>
    <t xml:space="preserve">F03-BR02</t>
  </si>
  <si>
    <t xml:space="preserve">Transfer Amount equals the Remaining Balance at the time of closure</t>
  </si>
  <si>
    <t xml:space="preserve">TC-R1-14-01, TC-R1-14-02, TC-R1-14-07, TC-R1-14-11, TC-R1-14-12, TC-R1-16-02</t>
  </si>
  <si>
    <t xml:space="preserve">F03-BR03</t>
  </si>
  <si>
    <t xml:space="preserve">Balance becomes 0 only after the simulated transfer succeeds</t>
  </si>
  <si>
    <t xml:space="preserve">F03-BR04</t>
  </si>
  <si>
    <t xml:space="preserve">Each account has one successful CPF closure transfer</t>
  </si>
  <si>
    <t xml:space="preserve">TC-R1-14-05, TC-R1-14-09, TC-R1-14-10</t>
  </si>
  <si>
    <t xml:space="preserve">F03-BR05</t>
  </si>
  <si>
    <t xml:space="preserve">A transfer failure never loses or reduces the balance</t>
  </si>
  <si>
    <t xml:space="preserve">F03-BR06</t>
  </si>
  <si>
    <t xml:space="preserve">Balance 0 creates no monetary transfer</t>
  </si>
  <si>
    <t xml:space="preserve">F03-BR07</t>
  </si>
  <si>
    <t xml:space="preserve">A retry recognises a successful transfer and does not transfer twice</t>
  </si>
  <si>
    <t xml:space="preserve">TC-R1-14-09, TC-R1-14-10</t>
  </si>
  <si>
    <t xml:space="preserve">F03-AF01</t>
  </si>
  <si>
    <t xml:space="preserve">Remaining Balance 0: skip the monetary transfer, return success to F02</t>
  </si>
  <si>
    <t xml:space="preserve">F03-AF02</t>
  </si>
  <si>
    <t xml:space="preserve">Successful transfer already exists: no second transfer, continue closure from the recorded result</t>
  </si>
  <si>
    <t xml:space="preserve">TC-R1-14-05, TC-R1-14-10</t>
  </si>
  <si>
    <t xml:space="preserve">F03-EF01</t>
  </si>
  <si>
    <t xml:space="preserve">Simulated CPF transfer fails: record Failed, keep the balance, return Failure to F02</t>
  </si>
  <si>
    <t xml:space="preserve">TC-R1-14-04, TC-R1-14-08, TC-R1-14-09</t>
  </si>
  <si>
    <t xml:space="preserve">F03-EF02</t>
  </si>
  <si>
    <t xml:space="preserve">Processing interrupted after a successful transfer: the retry sends no transfer and finishes the account update</t>
  </si>
  <si>
    <t xml:space="preserve">F03-AC01</t>
  </si>
  <si>
    <t xml:space="preserve">Balance 150 and a successful transfer: Transfer Amount 150, Status Success, Balance 0 after closure</t>
  </si>
  <si>
    <t xml:space="preserve">TC-R1-14-01, TC-R1-14-07, TC-R1-14-11</t>
  </si>
  <si>
    <t xml:space="preserve">F03-AC02</t>
  </si>
  <si>
    <t xml:space="preserve">Balance 0: no monetary transfer, closure allowed</t>
  </si>
  <si>
    <t xml:space="preserve">F03-AC03</t>
  </si>
  <si>
    <t xml:space="preserve">Mock transfer fails: Status Failed, balance not reduced, account not Closed</t>
  </si>
  <si>
    <t xml:space="preserve">TC-R1-14-04, TC-R1-14-08</t>
  </si>
  <si>
    <t xml:space="preserve">F03-AC04</t>
  </si>
  <si>
    <t xml:space="preserve">Retry after a successful transfer: no further transfer for the same closure</t>
  </si>
  <si>
    <t xml:space="preserve">2.4 (first FS)</t>
  </si>
  <si>
    <t xml:space="preserve">CPF Transfer Record: Transfer ID, Account ID, Transfer Amount, Transfer Status Success or Failed, Transfer Date, Failure Reason</t>
  </si>
  <si>
    <t xml:space="preserve">TC-R1-14-07, TC-R1-14-08</t>
  </si>
  <si>
    <t xml:space="preserve">F02 EF02 (first FS)</t>
  </si>
  <si>
    <t xml:space="preserve">CPF transfer fails: account not Closed, balance kept, error recorded for retry</t>
  </si>
  <si>
    <t xml:space="preserve">F02 EF03 (first FS)</t>
  </si>
  <si>
    <t xml:space="preserve">Closure fails or is interrupted: error recorded, safe retry, no duplicate transfer</t>
  </si>
  <si>
    <t xml:space="preserve">F02 BR10 (first FS)</t>
  </si>
  <si>
    <t xml:space="preserve">A retry or a repeated run never causes a duplicate closure or a duplicate CPF transfer</t>
  </si>
  <si>
    <t xml:space="preserve">Sheet</t>
  </si>
  <si>
    <t xml:space="preserve">ID</t>
  </si>
  <si>
    <t xml:space="preserve">Change</t>
  </si>
  <si>
    <t xml:space="preserve">Status v2.1</t>
  </si>
  <si>
    <t xml:space="preserve">Status v2.2</t>
  </si>
  <si>
    <t xml:space="preserve">What changed</t>
  </si>
  <si>
    <t xml:space="preserve">Why</t>
  </si>
  <si>
    <t xml:space="preserve">Changed</t>
  </si>
  <si>
    <t xml:space="preserve">Trace</t>
  </si>
  <si>
    <t xml:space="preserve">Step number updated: the Daily flow now creates the account in step 9.</t>
  </si>
  <si>
    <t xml:space="preserve">Step number updated: the Initial query now selects the age range in step 2.</t>
  </si>
  <si>
    <t xml:space="preserve">Trace, Reason</t>
  </si>
  <si>
    <t xml:space="preserve">The Currency row of the 1.1.8 table was removed. Currency SGD is now cited from the flow steps.</t>
  </si>
  <si>
    <t xml:space="preserve">Step number updated.</t>
  </si>
  <si>
    <t xml:space="preserve">Title, Steps, Expected, Trace, Reason</t>
  </si>
  <si>
    <t xml:space="preserve">The 1.1.8 table lost the Creation Date and Closure Date rows. The empty closure date check is dropped from this case and moved to S29-02.</t>
  </si>
  <si>
    <t xml:space="preserve">Title, Expected, Trace, Assumption Ref, Reason</t>
  </si>
  <si>
    <t xml:space="preserve">v2.1 expected a profile for the Permanent Resident. The current FS stores profiles only for successfully processed records, so the expectation is reversed and stays Draft.</t>
  </si>
  <si>
    <t xml:space="preserve">Trace, Assumption Ref, Dependency Ref, Status, Reason</t>
  </si>
  <si>
    <t xml:space="preserve">The FS now states who creates the Student Profile (steps 6 and 8). The assumption is closed for this case.</t>
  </si>
  <si>
    <t xml:space="preserve">Expected, Trace, Reason</t>
  </si>
  <si>
    <t xml:space="preserve">Renumbered to F02-BR08. The Account Closure Date check is dropped because the FS no longer lists that field in 2.2.</t>
  </si>
  <si>
    <t xml:space="preserve">Citation moved from the 1.1.9 table to 1.1.5 step 7.</t>
  </si>
  <si>
    <t xml:space="preserve">Steps, Expected, Reason</t>
  </si>
  <si>
    <t xml:space="preserve">The Processing Log no longer exists in the FS. The case reads the job log that Dev provides.</t>
  </si>
  <si>
    <t xml:space="preserve">Section 2.4 (Trigger Type) was removed. The citation now uses F01-AC06, F01-AC12 and the Initial Sync note.</t>
  </si>
  <si>
    <t xml:space="preserve">Title, Expected, Trace, Status, Reason</t>
  </si>
  <si>
    <t xml:space="preserve">v2.1 expected an account from the Daily Job and was Block. The FS now defers late records to the next sprint, so the expectation follows the FS. The tender difference stays in Questions.</t>
  </si>
  <si>
    <t xml:space="preserve">Steps, Expected, Trace, Reason</t>
  </si>
  <si>
    <t xml:space="preserve">The Processing Log check was dropped (the log is not in the FS). Citation updated.</t>
  </si>
  <si>
    <t xml:space="preserve">New</t>
  </si>
  <si>
    <t xml:space="preserve">New. The FS now names the deferred path for late records.</t>
  </si>
  <si>
    <t xml:space="preserve">The Processing Log is not in the FS. The check of the log entry was removed and moved to S07-14 (Block). 1.1.4 step 5 is cited.</t>
  </si>
  <si>
    <t xml:space="preserve">F01-AC15 is new in the FS. The case now checks the Student Profile and its link.</t>
  </si>
  <si>
    <t xml:space="preserve">New. The v2.1 cases checked a Processing Log entry. The FS now conflicts with itself on recording the exception, so that check is separated here.</t>
  </si>
  <si>
    <t xml:space="preserve">F02-AC15 is new in the FS and is cited here.</t>
  </si>
  <si>
    <t xml:space="preserve">Step numbers updated: the age and citizenship selection is now in the query (steps 2 and 3).</t>
  </si>
  <si>
    <t xml:space="preserve">The [TD] sentence about the DOB query was replaced in the FS. The query value is now an inference.</t>
  </si>
  <si>
    <t xml:space="preserve">The Processing Log check was dropped. Step numbers updated.</t>
  </si>
  <si>
    <t xml:space="preserve">Sprint, Steps, Expected, Trace, Assumption Ref, Dependency Ref, Status, Reason</t>
  </si>
  <si>
    <t xml:space="preserve">F01-AC11 was removed and 1.1.9 is labelled next sprint. Draft became Block, Sprint TBD.</t>
  </si>
  <si>
    <t xml:space="preserve">Section 2.4 (Job Name) was removed. The sequence is read from the request log.</t>
  </si>
  <si>
    <t xml:space="preserve">The Processing Log was replaced by the request log.</t>
  </si>
  <si>
    <t xml:space="preserve">Renumbered F02-BR04 to F02-BR07. The [CR] tag is no longer on this rule.</t>
  </si>
  <si>
    <t xml:space="preserve">Trace, Assumption Ref, Reason</t>
  </si>
  <si>
    <t xml:space="preserve">Renumbered F02-BR04 to F02-BR07.</t>
  </si>
  <si>
    <t xml:space="preserve">The [WA] note in 1.1.3 was removed. The citation moves to 2.1 and F01-BR04.</t>
  </si>
  <si>
    <t xml:space="preserve">The sentence 'frontend receives the status after the check' in 1.2.4 was removed. The citation uses F02-AF03 and step 13.; F02-BR04 is cited.</t>
  </si>
  <si>
    <t xml:space="preserve">F02-BR06 is cited.</t>
  </si>
  <si>
    <t xml:space="preserve">FS item numbers updated: F02 business rules and alternative flows were renumbered, and tags changed in the FS.</t>
  </si>
  <si>
    <t xml:space="preserve">Renumbered F02-BR08 to F02-BR11. The tag of the 1.2.7 table row 1 is no longer [WA].</t>
  </si>
  <si>
    <t xml:space="preserve">The tag of the 1.2.7 table row 1 is no longer [WA].</t>
  </si>
  <si>
    <t xml:space="preserve">Sprint, Title, Precondition, Postcondition, Test Data, Steps, Expected, Trace, Dependency Ref, Reason</t>
  </si>
  <si>
    <t xml:space="preserve">The Daily Job expectation of v2.1 is covered by S18-04. This case now waits for the Manual or Bulk path (next sprint).</t>
  </si>
  <si>
    <t xml:space="preserve">Step numbers updated: the citizenship check is now part of the query (step 2).</t>
  </si>
  <si>
    <t xml:space="preserve">Citation moved from 1.2.6 to F02-BR05 and 1.2.2.</t>
  </si>
  <si>
    <t xml:space="preserve">Citation moved from 1.2.6 to section 4 and the 1.1.5 notes.</t>
  </si>
  <si>
    <t xml:space="preserve">Title, Precondition, Test Data, Expected, Trace, Assumption Ref, Reason</t>
  </si>
  <si>
    <t xml:space="preserve">v2.1 expected Eligibility Review Required and an Active account. The current FS closes the account when citizenship is lost (team decision, not yet confirmed).</t>
  </si>
  <si>
    <t xml:space="preserve">Title, Severity, Precondition, Test Data, Steps, Expected, Trace, Assumption Ref, Dependency Ref, Status, Reason</t>
  </si>
  <si>
    <t xml:space="preserve">Rewritten on F01-AC07 and F01-AF03 with a seeded Closed account. The v2.1 version rested on the removed Eligibility Review rule.</t>
  </si>
  <si>
    <t xml:space="preserve">Title, Severity, Precondition, Postcondition, Test Data, Steps, Expected, Trace, Dependency Ref, Status, Reason</t>
  </si>
  <si>
    <t xml:space="preserve">v2.1 checked that a citizenship change is not treated as reaching 16. The FS now closes the account on loss of citizenship, so this case covers the open balance decision and is Block.</t>
  </si>
  <si>
    <t xml:space="preserve">Title, Precondition, Test Data, Steps, Expected, Trace, Assumption Ref, Dependency Ref, Reason</t>
  </si>
  <si>
    <t xml:space="preserve">Rewritten: the block no longer waits for an eligibility review. The account is closed and the financial request is refused.</t>
  </si>
  <si>
    <t xml:space="preserve">New. Covers the regained citizenship after a citizenship based closure.</t>
  </si>
  <si>
    <t xml:space="preserve">Trace, Dependency Ref, Reason</t>
  </si>
  <si>
    <t xml:space="preserve">The [WA] tag on F01-BR02 was removed. Step numbers updated.</t>
  </si>
  <si>
    <t xml:space="preserve">Step numbers updated.</t>
  </si>
  <si>
    <t xml:space="preserve">The step 8 check of the old flow is gone. The citation moves to 1.1.1 A.</t>
  </si>
  <si>
    <t xml:space="preserve">The Processing Log record and its status were removed from the FS. The case checks that no Job Failure is written.</t>
  </si>
  <si>
    <t xml:space="preserve">Precondition, Test Data, Steps, Trace, Assumption Ref, Dependency Ref, Status, Reason</t>
  </si>
  <si>
    <t xml:space="preserve">The [WA] tag was removed from 1.1.2 (weekends and holidays) and from F01-AC13. Draft became Approve.</t>
  </si>
  <si>
    <t xml:space="preserve">Precondition, Test Data, Steps, Trace, Assumption Ref, Dependency Ref, Status</t>
  </si>
  <si>
    <t xml:space="preserve">Sprint, Trace, Assumption Ref, Dependency Ref, Status, Reason</t>
  </si>
  <si>
    <t xml:space="preserve">F01-AC11 and F01-EF04 were removed and 1.1.9 is labelled next sprint. Draft became Block, Sprint TBD.</t>
  </si>
  <si>
    <t xml:space="preserve">Section 2.4 and the 1.1.9 table are no longer cited. The Processing Log became the job log. Failure reason text is not checked because the FS does not state it.</t>
  </si>
  <si>
    <t xml:space="preserve">Sprint, Steps, Expected, Assumption Ref, Dependency Ref, Status, Reason</t>
  </si>
  <si>
    <t xml:space="preserve">1.1.9 is labelled next sprint. Draft became Block, Sprint TBD.</t>
  </si>
  <si>
    <t xml:space="preserve">Sprint, Assumption Ref, Dependency Ref, Status, Reason</t>
  </si>
  <si>
    <t xml:space="preserve">F01-EF04 was removed and 1.1.9 is labelled next sprint. Draft became Block, Sprint TBD.</t>
  </si>
  <si>
    <t xml:space="preserve">Sprint, Precondition, Postcondition, Test Data, Steps, Expected, Trace, Dependency Ref, Status, Reason</t>
  </si>
  <si>
    <t xml:space="preserve">Section 2.4 and the processing record step were removed from the FS. No testable expectation remains. Approve or Draft became Reject.</t>
  </si>
  <si>
    <t xml:space="preserve">Sprint, Precondition, Postcondition, Test Data, Steps, Expected, Trace, Assumption Ref, Dependency Ref, Status, Reason</t>
  </si>
  <si>
    <t xml:space="preserve">F02-AF04 became F02-AF05. F02-AC14 added.</t>
  </si>
  <si>
    <t xml:space="preserve">New. 1.2.2 now names the Batch Top-Up.</t>
  </si>
  <si>
    <t xml:space="preserve">The Closure Processing Result check was dropped. F02-BR09 [WA] became F02-BR12 [TD].</t>
  </si>
  <si>
    <t xml:space="preserve">Steps, Expected, Trace, Assumption Ref, Reason</t>
  </si>
  <si>
    <t xml:space="preserve">The 2.2 row [WA] was removed. The date is now cited from step 12 and the empty value before closure is checked here.</t>
  </si>
  <si>
    <t xml:space="preserve">The Closure Processing Result was removed from the FS. Approve became Reject.</t>
  </si>
  <si>
    <t xml:space="preserve">Citation updated to the new wording of 1.2.4 and section 4.</t>
  </si>
  <si>
    <t xml:space="preserve">The Closure Processing Result check was dropped. The balance check was added from F02-EF03.</t>
  </si>
  <si>
    <t xml:space="preserve">F02-AC12 is new in the FS and is cited here.</t>
  </si>
  <si>
    <t xml:space="preserve">F02-AC09 now carries [WA] and the error record is only in F02-EF01 [WA]. Approve became Draft on ASM-R1-40.</t>
  </si>
  <si>
    <t xml:space="preserve">F02-AC09 now carries [WA] and is cited with F02-EF01.</t>
  </si>
  <si>
    <t xml:space="preserve">F02-BR04 [CR] became F02-BR07.</t>
  </si>
  <si>
    <t xml:space="preserve">The old F02-BR04 sentence on the creation date was dropped from the FS. The expected result now rests on F02-BR03 and F02-BR01.</t>
  </si>
  <si>
    <t xml:space="preserve">New. F02-EF02 and F02-BR14 are new in the FS.</t>
  </si>
  <si>
    <t xml:space="preserve">Trace, Assumption Ref</t>
  </si>
  <si>
    <t xml:space="preserve">Steps, Trace, Assumption Ref, Reason</t>
  </si>
  <si>
    <t xml:space="preserve">New. F01-AC16 is new in the FS.</t>
  </si>
  <si>
    <t xml:space="preserve">New. F02-AC13 and F02-BR13 are new in the FS.</t>
  </si>
  <si>
    <t xml:space="preserve">New. F02-EF05 is new in the FS.</t>
  </si>
  <si>
    <t xml:space="preserve">New. The R8 dependency note is new in the FS.</t>
  </si>
  <si>
    <t xml:space="preserve">Wording and FS items updated to the current FS.</t>
  </si>
  <si>
    <t xml:space="preserve">Condition, Evidence</t>
  </si>
  <si>
    <t xml:space="preserve">Title, Condition, Evidence</t>
  </si>
  <si>
    <t xml:space="preserve">Cases 32-01 to 32-04 cover F01-AC16, F02-AC13, F02-BR13, F02-EF05 and the R8 dependency note of 1.1.1.</t>
  </si>
  <si>
    <t xml:space="preserve">Point to test, FS R1 V1.0 items, Short reason</t>
  </si>
  <si>
    <t xml:space="preserve">FS items and reason updated to the current FS.</t>
  </si>
  <si>
    <t xml:space="preserve">Source, FS R1 V1.0 items, Short reason</t>
  </si>
  <si>
    <t xml:space="preserve">Source, FS R1 V1.0 items</t>
  </si>
  <si>
    <t xml:space="preserve">FS R1 V1.0 items, Short reason</t>
  </si>
  <si>
    <t xml:space="preserve">R1.25 Student data is stored at account creation. The Daily Job and the closure </t>
  </si>
  <si>
    <t xml:space="preserve">New FS only checkpoint for the student data boundary.</t>
  </si>
  <si>
    <t xml:space="preserve">Assumptions</t>
  </si>
  <si>
    <t xml:space="preserve">Assumption, Reason, Question to confirm</t>
  </si>
  <si>
    <t xml:space="preserve">The Processing Log and the Closure Processing Result no longer exist in the FS. QA reads the job log and the request log instead.</t>
  </si>
  <si>
    <t xml:space="preserve">Original gap, Assumption, Source (as in Assumption Ref), Source detail, Reason, If the answer differs, Question to confirm</t>
  </si>
  <si>
    <t xml:space="preserve">F02 now closes the account on loss of citizenship (F02-BR05, F02-AC11). The Eligibility Review rule is gone.</t>
  </si>
  <si>
    <t xml:space="preserve">Assumption, Source (as in Assumption Ref), Source detail, Resolution</t>
  </si>
  <si>
    <t xml:space="preserve">The sentence moved from 1.2.6 to section 4.</t>
  </si>
  <si>
    <t xml:space="preserve">Section 4 now holds the Deferred CPF Transfer.</t>
  </si>
  <si>
    <t xml:space="preserve">Source (as in Assumption Ref), Source detail, Resolution</t>
  </si>
  <si>
    <t xml:space="preserve">F02-BR06 became F02-BR09.</t>
  </si>
  <si>
    <t xml:space="preserve">Assumption, Source (as in Assumption Ref), Source detail, Reason, Resolution</t>
  </si>
  <si>
    <t xml:space="preserve">Narrowed to the result for the account. The place of the exception is a separate question.</t>
  </si>
  <si>
    <t xml:space="preserve">The late record limit moved to 1.1.1 B and section 4.</t>
  </si>
  <si>
    <t xml:space="preserve">Assumption, Source detail, Resolution</t>
  </si>
  <si>
    <t xml:space="preserve">Step 13 became step 10.</t>
  </si>
  <si>
    <t xml:space="preserve">Source (as in Assumption Ref), Source detail, Question to confirm</t>
  </si>
  <si>
    <t xml:space="preserve">F02-BR04 became F02-BR07.</t>
  </si>
  <si>
    <t xml:space="preserve">F02-BR07 and BR08 became F02-BR10 and F02-BR11.</t>
  </si>
  <si>
    <t xml:space="preserve">Original gap, Source (as in Assumption Ref), Source detail, Reason, Resolution, Question to confirm</t>
  </si>
  <si>
    <t xml:space="preserve">1.1.9 is labelled next sprint and F01-AC11 was removed.</t>
  </si>
  <si>
    <t xml:space="preserve">Scenarios 19 and 32 added to the relabel list.</t>
  </si>
  <si>
    <t xml:space="preserve">Source (as in Assumption Ref), Source detail, Reason, If the answer differs, State, Resolution, Question to confirm</t>
  </si>
  <si>
    <t xml:space="preserve">The [WA] tag was removed from 1.1.2 (weekends and holidays) and from F01-AC13. State Resolved.</t>
  </si>
  <si>
    <t xml:space="preserve">Original gap, Source (as in Assumption Ref), Source detail, Resolution, Question to confirm</t>
  </si>
  <si>
    <t xml:space="preserve">1.1.9 is labelled next sprint.</t>
  </si>
  <si>
    <t xml:space="preserve">Source (as in Assumption Ref), Resolution, Question to confirm</t>
  </si>
  <si>
    <t xml:space="preserve">Assumption, Question to confirm</t>
  </si>
  <si>
    <t xml:space="preserve">The Processing Log is not in the FS. The job log is used.</t>
  </si>
  <si>
    <t xml:space="preserve">The FS now says a profile is stored only for a record that creates an account.</t>
  </si>
  <si>
    <t xml:space="preserve">Source (as in Assumption Ref), Source detail, Reason</t>
  </si>
  <si>
    <t xml:space="preserve">The [WA] note of 1.1.3 was removed.</t>
  </si>
  <si>
    <t xml:space="preserve">Original gap, Assumption, Source (as in Assumption Ref), Source detail, Reason, If the answer differs, State, Resolution, Question to confirm</t>
  </si>
  <si>
    <t xml:space="preserve">Section 2.4 was removed from the FS. State Superseded.</t>
  </si>
  <si>
    <t xml:space="preserve">Original gap, Assumption, Source (as in Assumption Ref), Source detail, Reason, Question to confirm</t>
  </si>
  <si>
    <t xml:space="preserve">The row of 2.2 was removed. Step 12 of 1.2.3 is the source now.</t>
  </si>
  <si>
    <t xml:space="preserve">F02-AC09 now carries [WA].</t>
  </si>
  <si>
    <t xml:space="preserve">F02-AC10 has no tag now and the table row moved.</t>
  </si>
  <si>
    <t xml:space="preserve">Source (as in Assumption Ref), Source detail</t>
  </si>
  <si>
    <t xml:space="preserve">The 1.2.7 table has a new row 3, so the CPF delivery row is row 4.</t>
  </si>
  <si>
    <t xml:space="preserve">A Closed account stays Closed when the holder regains the Singapore Citizenship. It is not reopened and no second accoun</t>
  </si>
  <si>
    <t xml:space="preserve">New open point found when the cases were rebuilt.</t>
  </si>
  <si>
    <t xml:space="preserve">The Batch Top-Up reads or posts to each Education Account, so each account of the batch gets the closure check first. An</t>
  </si>
  <si>
    <t xml:space="preserve">When the Mock Government Citizen API returns no valid citizen record for the NRIC, the account stays Active and the back</t>
  </si>
  <si>
    <t xml:space="preserve">New or changed</t>
  </si>
  <si>
    <t xml:space="preserve">Dev: To run the R1 test cases in SIT, QA needs to do seven things. Run the Initial Synchronization and the Daily Job for a date and time we </t>
  </si>
  <si>
    <t xml:space="preserve">Text rewritten or added for the current FS.</t>
  </si>
  <si>
    <t xml:space="preserve">BA: FS F02-BR05 and F02-AC11 close the account when the account holder is no longer a Singapore Citizen, and F02-BR05 says the business must</t>
  </si>
  <si>
    <t xml:space="preserve">BA: A student leaves school before turning 16. We assumed the account stays Active, because F02-BR07 says school status does not affect clos</t>
  </si>
  <si>
    <t xml:space="preserve">Dev: After a day when the Daily Job did not run or failed, how does the next run find the days that were not processed, and which dates of b</t>
  </si>
  <si>
    <t xml:space="preserve">BA: FS 1.1.9 (labelled next sprint) proposes that when the Government API times out, the job records the error and retries once after 15 min</t>
  </si>
  <si>
    <t xml:space="preserve">BA: FS 1.1.9 (labelled next sprint) says that if creating the account fails for one citizen record, the failure is recorded and no incomplet</t>
  </si>
  <si>
    <t xml:space="preserve">BA: Two citizen records have the same NRIC but different data. We assumed no account is created from either record, no duplicate is created </t>
  </si>
  <si>
    <t xml:space="preserve">BA: FS 1.1.4 [TD] stores a Student Profile only for a record that is processed successfully, and the queries return Singapore Citizens only.</t>
  </si>
  <si>
    <t xml:space="preserve">BA: FS 1.2.3 step 12 says the System records the Actual Closure Date. We assumed it is the date and time the closure finishes and that it ha</t>
  </si>
  <si>
    <t xml:space="preserve">BA: When the Government API does not answer during the closure check, we assumed the account is not closed, a technical error is recorded an</t>
  </si>
  <si>
    <t xml:space="preserve">BA: A Closed account whose holder regains the Singapore Citizenship: the FS has no rule to reopen it. We assumed the account stays Closed an</t>
  </si>
  <si>
    <t xml:space="preserve">Dev: Does the Batch Top-Up access each Education Account through the same backend path that runs the closure check? When one account of the </t>
  </si>
  <si>
    <t xml:space="preserve">BA: FS F02-EF02 and F02-BR14 say that when the Government API returns no valid citizen record, the account is not closed and a suitable erro</t>
  </si>
  <si>
    <t xml:space="preserve">BA, late records: FS 1.1.1 B and section 4 say that the Daily Job does not process a record added after the citizen's 7th birthday, and that</t>
  </si>
  <si>
    <t xml:space="preserve">BA, citizenship gained after 7: FS section 4 says a record whose citizenship changes after the Initial Synchronization is not processed by t</t>
  </si>
  <si>
    <t xml:space="preserve">BA, pending transactions: FS 1.2.2 and F02-BR09 [TD] assume there is no pending transaction at closure, and F02 builds no reconciliation. Wi</t>
  </si>
  <si>
    <t xml:space="preserve">BA, closure only on access: FS 1.2.4 and section 4 close an account only when a backend action reads it, while the tender says the account c</t>
  </si>
  <si>
    <t xml:space="preserve">BA, untagged statements: The FS has four tags: CR, TD, WA and Deferred. QA reads an acceptance criterion or a flow step without a tag as a s</t>
  </si>
  <si>
    <t xml:space="preserve">BA, exception record: FS 1.1.3 and F01-EF02 say the System records an exception for a record with missing or invalid required data. F01-AC08</t>
  </si>
  <si>
    <t xml:space="preserve">BA, job recovery: FS 1.1.9 (timeout, retry, missed processing date, creation failure, rerun) is labelled next sprint and its rules are worki</t>
  </si>
  <si>
    <t xml:space="preserve">BA, Manual Account Creation and Bulk Re-synchronization: FS 1.1.1 B names these two functions for the next sprint to handle late records, sk</t>
  </si>
  <si>
    <t xml:space="preserve">BA, synchronization record: FS R1 V1.0 removed section 2.4 (Data Synchronization and Audit Information) and requires no processing history o</t>
  </si>
  <si>
    <t xml:space="preserve">BA, citizenship based closure balance: FS 1.2.7 and section 4 say the handling of the remaining balance for an account closed because of los</t>
  </si>
  <si>
    <t xml:space="preserve">Removed or replaced</t>
  </si>
  <si>
    <t xml:space="preserve">The assumption is resolved or superseded, the topic is gone, or the text was rewritten (see New or changed).</t>
  </si>
  <si>
    <t xml:space="preserve">BA: FS 1.2.6 and F02-EF02 say that when an account holder is no longer a Singapore Citizen before turning 16, the system records Eligibility</t>
  </si>
  <si>
    <t xml:space="preserve">BA: A student leaves school before turning 16. We assumed the account stays Active, because F02-BR04 says school status does not affect clos</t>
  </si>
  <si>
    <t xml:space="preserve">BA: FS 1.1.2 says the Daily Job also runs on weekends and public holidays, marked as a working assumption. Is this confirmed? We assumed a c</t>
  </si>
  <si>
    <t xml:space="preserve">BA: FS 1.1.9 proposes that when the Government API times out, the job records the error and retries once after 15 minutes. If the retry also</t>
  </si>
  <si>
    <t xml:space="preserve">BA: If creating the account fails for one citizen record, we assumed nothing incomplete is stored, the failure is recorded, and the job goes</t>
  </si>
  <si>
    <t xml:space="preserve">BA: Two citizen records have the same NRIC but different data. We assumed no account is created from either record, no duplicate is created,</t>
  </si>
  <si>
    <t xml:space="preserve">BA: Who creates the Student Profile? We assumed the synchronization creates or updates a profile for every valid citizen record, including P</t>
  </si>
  <si>
    <t xml:space="preserve">BA: FS 2.4 lists the Successful, Failed and Skipped record counts and the Last Successful Processing Coverage in the processing record. Are </t>
  </si>
  <si>
    <t xml:space="preserve">BA: We assumed the Actual Account Closure Date is set to the date and time the closure finishes. Is this correct?</t>
  </si>
  <si>
    <t xml:space="preserve">BA: When the Government API does not answer during the closure check, we assumed the account is not closed and a Top-Up or Payment request i</t>
  </si>
  <si>
    <t xml:space="preserve">BA, late records: FS 1.1.9 says the Daily Incremental Synchronization does not catch records added after the citizen's 7th birthday. The ten</t>
  </si>
  <si>
    <t xml:space="preserve">BA, citizenship gained after 7: FS 1.2.6 says a child who becomes a citizen after turning 7 is not added by the Daily Incremental Synchroniz</t>
  </si>
  <si>
    <t xml:space="preserve">BA, pending transactions: FS 1.2.2 assumes there is no pending transaction at closure, and F02 builds no reconciliation. Will the Top-Up and</t>
  </si>
  <si>
    <t xml:space="preserve">BA, closure only on access: The FS closes an account only when a backend action reads it, while the tender says the account closes when the </t>
  </si>
  <si>
    <t xml:space="preserve">BA, Initial Synchronization scope: F01-BR02 marks the handling of citizens already past 7 in the Initial Synchronization as a working assump</t>
  </si>
  <si>
    <t xml:space="preserve">FS Trace</t>
  </si>
  <si>
    <t xml:space="preserve">FS item added to the list</t>
  </si>
  <si>
    <t xml:space="preserve">The item is new in the current FS.</t>
  </si>
  <si>
    <t xml:space="preserve">F01-AC11</t>
  </si>
  <si>
    <t xml:space="preserve">Removed</t>
  </si>
  <si>
    <t xml:space="preserve">FS item no longer in the FS</t>
  </si>
  <si>
    <t xml:space="preserve">The item was removed from the FS.</t>
  </si>
  <si>
    <t xml:space="preserve">F01-EF04</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</si>
</sst>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6"/>
    <col collapsed="false" customWidth="true" hidden="false" outlineLevel="0" max="6" min="2" style="0" width="14"/>
    <col collapsed="false" customWidth="true" hidden="false" outlineLevel="0" max="7" min="7" style="0" width="46"/>
  </cols>
  <sheetData>
    <row r="1" customFormat="false" ht="18" hidden="false" customHeight="true" outlineLevel="0" collapsed="false">
      <c r="A1" s="1" t="s">
        <v>0</v>
      </c>
    </row>
    <row r="2" customFormat="false" ht="27.75" hidden="false" customHeight="true" outlineLevel="0" collapsed="false">
      <c r="A2" s="2" t="s">
        <v>1</v>
      </c>
      <c r="B2" s="2"/>
      <c r="C2" s="2"/>
      <c r="D2" s="2"/>
      <c r="E2" s="2"/>
      <c r="F2" s="2"/>
      <c r="G2" s="2"/>
    </row>
    <row r="4" customFormat="false" ht="15" hidden="false" customHeight="false" outlineLevel="0" collapsed="false">
      <c r="A4" s="3" t="s">
        <v>2</v>
      </c>
    </row>
    <row r="5" customFormat="false" ht="15" hidden="false" customHeight="true" outlineLevel="0" collapsed="false">
      <c r="A5" s="4" t="s">
        <v>3</v>
      </c>
      <c r="B5" s="5" t="s">
        <v>4</v>
      </c>
      <c r="C5" s="5" t="s">
        <v>5</v>
      </c>
      <c r="D5" s="6" t="s">
        <v>6</v>
      </c>
      <c r="E5" s="6"/>
      <c r="F5" s="6"/>
      <c r="G5" s="6"/>
    </row>
    <row r="6" customFormat="false" ht="42" hidden="false" customHeight="true" outlineLevel="0" collapsed="false">
      <c r="A6" s="7" t="s">
        <v>7</v>
      </c>
      <c r="B6" s="8" t="n">
        <f aca="false">COUNTIF(TestCases!$V$2:$V$158,A6)</f>
        <v>93</v>
      </c>
      <c r="C6" s="9" t="n">
        <f aca="false">B6/B10</f>
        <v>0.592356687898089</v>
      </c>
      <c r="D6" s="10" t="s">
        <v>8</v>
      </c>
      <c r="E6" s="10"/>
      <c r="F6" s="10"/>
      <c r="G6" s="10"/>
    </row>
    <row r="7" customFormat="false" ht="42" hidden="false" customHeight="true" outlineLevel="0" collapsed="false">
      <c r="A7" s="7" t="s">
        <v>9</v>
      </c>
      <c r="B7" s="8" t="n">
        <f aca="false">COUNTIF(TestCases!$V$2:$V$158,A7)</f>
        <v>40</v>
      </c>
      <c r="C7" s="9" t="n">
        <f aca="false">B7/B10</f>
        <v>0.254777070063694</v>
      </c>
      <c r="D7" s="10" t="s">
        <v>10</v>
      </c>
      <c r="E7" s="10"/>
      <c r="F7" s="10"/>
      <c r="G7" s="10"/>
    </row>
    <row r="8" customFormat="false" ht="42" hidden="false" customHeight="true" outlineLevel="0" collapsed="false">
      <c r="A8" s="7" t="s">
        <v>11</v>
      </c>
      <c r="B8" s="8" t="n">
        <f aca="false">COUNTIF(TestCases!$V$2:$V$158,A8)</f>
        <v>15</v>
      </c>
      <c r="C8" s="9" t="n">
        <f aca="false">B8/B10</f>
        <v>0.0955414012738854</v>
      </c>
      <c r="D8" s="10" t="s">
        <v>12</v>
      </c>
      <c r="E8" s="10"/>
      <c r="F8" s="10"/>
      <c r="G8" s="10"/>
    </row>
    <row r="9" customFormat="false" ht="42" hidden="false" customHeight="true" outlineLevel="0" collapsed="false">
      <c r="A9" s="7" t="s">
        <v>13</v>
      </c>
      <c r="B9" s="8" t="n">
        <f aca="false">COUNTIF(TestCases!$V$2:$V$158,A9)</f>
        <v>9</v>
      </c>
      <c r="C9" s="9" t="n">
        <f aca="false">B9/B10</f>
        <v>0.0573248407643312</v>
      </c>
      <c r="D9" s="10" t="s">
        <v>14</v>
      </c>
      <c r="E9" s="10"/>
      <c r="F9" s="10"/>
      <c r="G9" s="10"/>
    </row>
    <row r="10" customFormat="false" ht="15" hidden="false" customHeight="false" outlineLevel="0" collapsed="false">
      <c r="A10" s="11" t="s">
        <v>15</v>
      </c>
      <c r="B10" s="12" t="n">
        <f aca="false">SUM(B6:B9)</f>
        <v>157</v>
      </c>
      <c r="C10" s="13" t="n">
        <f aca="false">SUM(C6:C9)</f>
        <v>1</v>
      </c>
    </row>
    <row r="12" customFormat="false" ht="15" hidden="false" customHeight="false" outlineLevel="0" collapsed="false">
      <c r="A12" s="3" t="s">
        <v>16</v>
      </c>
    </row>
    <row r="13" customFormat="false" ht="15" hidden="false" customHeight="false" outlineLevel="0" collapsed="false">
      <c r="A13" s="4" t="s">
        <v>17</v>
      </c>
      <c r="B13" s="5" t="s">
        <v>7</v>
      </c>
      <c r="C13" s="5" t="s">
        <v>9</v>
      </c>
      <c r="D13" s="5" t="s">
        <v>11</v>
      </c>
      <c r="E13" s="5" t="s">
        <v>13</v>
      </c>
      <c r="F13" s="5" t="s">
        <v>15</v>
      </c>
    </row>
    <row r="14" customFormat="false" ht="15" hidden="false" customHeight="false" outlineLevel="0" collapsed="false">
      <c r="A14" s="7" t="s">
        <v>18</v>
      </c>
      <c r="B14" s="8" t="n">
        <f aca="false">COUNTIFS(TestCases!$H$2:$H$158,$A14,TestCases!$V$2:$V$158,"Approve")</f>
        <v>18</v>
      </c>
      <c r="C14" s="8" t="n">
        <f aca="false">COUNTIFS(TestCases!$H$2:$H$158,$A14,TestCases!$V$2:$V$158,"Draft")</f>
        <v>12</v>
      </c>
      <c r="D14" s="8" t="n">
        <f aca="false">COUNTIFS(TestCases!$H$2:$H$158,$A14,TestCases!$V$2:$V$158,"Block")</f>
        <v>1</v>
      </c>
      <c r="E14" s="8" t="n">
        <f aca="false">COUNTIFS(TestCases!$H$2:$H$158,$A14,TestCases!$V$2:$V$158,"Reject")</f>
        <v>2</v>
      </c>
      <c r="F14" s="8" t="n">
        <f aca="false">SUM(B14:E14)</f>
        <v>33</v>
      </c>
    </row>
    <row r="15" customFormat="false" ht="15" hidden="false" customHeight="false" outlineLevel="0" collapsed="false">
      <c r="A15" s="7" t="s">
        <v>19</v>
      </c>
      <c r="B15" s="8" t="n">
        <f aca="false">COUNTIFS(TestCases!$H$2:$H$158,$A15,TestCases!$V$2:$V$158,"Approve")</f>
        <v>50</v>
      </c>
      <c r="C15" s="8" t="n">
        <f aca="false">COUNTIFS(TestCases!$H$2:$H$158,$A15,TestCases!$V$2:$V$158,"Draft")</f>
        <v>18</v>
      </c>
      <c r="D15" s="8" t="n">
        <f aca="false">COUNTIFS(TestCases!$H$2:$H$158,$A15,TestCases!$V$2:$V$158,"Block")</f>
        <v>11</v>
      </c>
      <c r="E15" s="8" t="n">
        <f aca="false">COUNTIFS(TestCases!$H$2:$H$158,$A15,TestCases!$V$2:$V$158,"Reject")</f>
        <v>1</v>
      </c>
      <c r="F15" s="8" t="n">
        <f aca="false">SUM(B15:E15)</f>
        <v>80</v>
      </c>
    </row>
    <row r="16" customFormat="false" ht="15" hidden="false" customHeight="false" outlineLevel="0" collapsed="false">
      <c r="A16" s="7" t="s">
        <v>20</v>
      </c>
      <c r="B16" s="8" t="n">
        <f aca="false">COUNTIFS(TestCases!$H$2:$H$158,$A16,TestCases!$V$2:$V$158,"Approve")</f>
        <v>22</v>
      </c>
      <c r="C16" s="8" t="n">
        <f aca="false">COUNTIFS(TestCases!$H$2:$H$158,$A16,TestCases!$V$2:$V$158,"Draft")</f>
        <v>10</v>
      </c>
      <c r="D16" s="8" t="n">
        <f aca="false">COUNTIFS(TestCases!$H$2:$H$158,$A16,TestCases!$V$2:$V$158,"Block")</f>
        <v>3</v>
      </c>
      <c r="E16" s="8" t="n">
        <f aca="false">COUNTIFS(TestCases!$H$2:$H$158,$A16,TestCases!$V$2:$V$158,"Reject")</f>
        <v>5</v>
      </c>
      <c r="F16" s="8" t="n">
        <f aca="false">SUM(B16:E16)</f>
        <v>40</v>
      </c>
    </row>
    <row r="17" customFormat="false" ht="15" hidden="false" customHeight="false" outlineLevel="0" collapsed="false">
      <c r="A17" s="7" t="s">
        <v>21</v>
      </c>
      <c r="B17" s="8" t="n">
        <f aca="false">COUNTIFS(TestCases!$H$2:$H$158,$A17,TestCases!$V$2:$V$158,"Approve")</f>
        <v>3</v>
      </c>
      <c r="C17" s="8" t="n">
        <f aca="false">COUNTIFS(TestCases!$H$2:$H$158,$A17,TestCases!$V$2:$V$158,"Draft")</f>
        <v>0</v>
      </c>
      <c r="D17" s="8" t="n">
        <f aca="false">COUNTIFS(TestCases!$H$2:$H$158,$A17,TestCases!$V$2:$V$158,"Block")</f>
        <v>0</v>
      </c>
      <c r="E17" s="8" t="n">
        <f aca="false">COUNTIFS(TestCases!$H$2:$H$158,$A17,TestCases!$V$2:$V$158,"Reject")</f>
        <v>1</v>
      </c>
      <c r="F17" s="8" t="n">
        <f aca="false">SUM(B17:E17)</f>
        <v>4</v>
      </c>
    </row>
    <row r="18" customFormat="false" ht="15" hidden="false" customHeight="false" outlineLevel="0" collapsed="false">
      <c r="A18" s="11" t="s">
        <v>15</v>
      </c>
      <c r="B18" s="12" t="n">
        <f aca="false">SUM(B14:B17)</f>
        <v>93</v>
      </c>
      <c r="C18" s="12" t="n">
        <f aca="false">SUM(C14:C17)</f>
        <v>40</v>
      </c>
      <c r="D18" s="12" t="n">
        <f aca="false">SUM(D14:D17)</f>
        <v>15</v>
      </c>
      <c r="E18" s="12" t="n">
        <f aca="false">SUM(E14:E17)</f>
        <v>9</v>
      </c>
      <c r="F18" s="12" t="n">
        <f aca="false">SUM(F14:F17)</f>
        <v>157</v>
      </c>
    </row>
    <row r="20" customFormat="false" ht="15" hidden="false" customHeight="false" outlineLevel="0" collapsed="false">
      <c r="A20" s="3" t="s">
        <v>22</v>
      </c>
    </row>
    <row r="21" customFormat="false" ht="15" hidden="false" customHeight="false" outlineLevel="0" collapsed="false">
      <c r="A21" s="4" t="s">
        <v>23</v>
      </c>
      <c r="B21" s="5" t="s">
        <v>7</v>
      </c>
      <c r="C21" s="5" t="s">
        <v>9</v>
      </c>
      <c r="D21" s="5" t="s">
        <v>11</v>
      </c>
      <c r="E21" s="5" t="s">
        <v>13</v>
      </c>
      <c r="F21" s="5" t="s">
        <v>15</v>
      </c>
    </row>
    <row r="22" customFormat="false" ht="15" hidden="false" customHeight="false" outlineLevel="0" collapsed="false">
      <c r="A22" s="7" t="n">
        <v>1</v>
      </c>
      <c r="B22" s="8" t="n">
        <f aca="false">COUNTIFS(TestCases!$I$2:$I$158,$A22,TestCases!$V$2:$V$158,"Approve")</f>
        <v>18</v>
      </c>
      <c r="C22" s="8" t="n">
        <f aca="false">COUNTIFS(TestCases!$I$2:$I$158,$A22,TestCases!$V$2:$V$158,"Draft")</f>
        <v>12</v>
      </c>
      <c r="D22" s="8" t="n">
        <f aca="false">COUNTIFS(TestCases!$I$2:$I$158,$A22,TestCases!$V$2:$V$158,"Block")</f>
        <v>2</v>
      </c>
      <c r="E22" s="8" t="n">
        <f aca="false">COUNTIFS(TestCases!$I$2:$I$158,$A22,TestCases!$V$2:$V$158,"Reject")</f>
        <v>2</v>
      </c>
      <c r="F22" s="8" t="n">
        <f aca="false">SUM(B22:E22)</f>
        <v>34</v>
      </c>
    </row>
    <row r="23" customFormat="false" ht="15" hidden="false" customHeight="false" outlineLevel="0" collapsed="false">
      <c r="A23" s="7" t="n">
        <v>2</v>
      </c>
      <c r="B23" s="8" t="n">
        <f aca="false">COUNTIFS(TestCases!$I$2:$I$158,$A23,TestCases!$V$2:$V$158,"Approve")</f>
        <v>50</v>
      </c>
      <c r="C23" s="8" t="n">
        <f aca="false">COUNTIFS(TestCases!$I$2:$I$158,$A23,TestCases!$V$2:$V$158,"Draft")</f>
        <v>19</v>
      </c>
      <c r="D23" s="8" t="n">
        <f aca="false">COUNTIFS(TestCases!$I$2:$I$158,$A23,TestCases!$V$2:$V$158,"Block")</f>
        <v>10</v>
      </c>
      <c r="E23" s="8" t="n">
        <f aca="false">COUNTIFS(TestCases!$I$2:$I$158,$A23,TestCases!$V$2:$V$158,"Reject")</f>
        <v>1</v>
      </c>
      <c r="F23" s="8" t="n">
        <f aca="false">SUM(B23:E23)</f>
        <v>80</v>
      </c>
    </row>
    <row r="24" customFormat="false" ht="15" hidden="false" customHeight="false" outlineLevel="0" collapsed="false">
      <c r="A24" s="7" t="n">
        <v>3</v>
      </c>
      <c r="B24" s="8" t="n">
        <f aca="false">COUNTIFS(TestCases!$I$2:$I$158,$A24,TestCases!$V$2:$V$158,"Approve")</f>
        <v>23</v>
      </c>
      <c r="C24" s="8" t="n">
        <f aca="false">COUNTIFS(TestCases!$I$2:$I$158,$A24,TestCases!$V$2:$V$158,"Draft")</f>
        <v>9</v>
      </c>
      <c r="D24" s="8" t="n">
        <f aca="false">COUNTIFS(TestCases!$I$2:$I$158,$A24,TestCases!$V$2:$V$158,"Block")</f>
        <v>3</v>
      </c>
      <c r="E24" s="8" t="n">
        <f aca="false">COUNTIFS(TestCases!$I$2:$I$158,$A24,TestCases!$V$2:$V$158,"Reject")</f>
        <v>6</v>
      </c>
      <c r="F24" s="8" t="n">
        <f aca="false">SUM(B24:E24)</f>
        <v>41</v>
      </c>
    </row>
    <row r="25" customFormat="false" ht="15" hidden="false" customHeight="false" outlineLevel="0" collapsed="false">
      <c r="A25" s="7" t="n">
        <v>4</v>
      </c>
      <c r="B25" s="8" t="n">
        <f aca="false">COUNTIFS(TestCases!$I$2:$I$158,$A25,TestCases!$V$2:$V$158,"Approve")</f>
        <v>2</v>
      </c>
      <c r="C25" s="8" t="n">
        <f aca="false">COUNTIFS(TestCases!$I$2:$I$158,$A25,TestCases!$V$2:$V$158,"Draft")</f>
        <v>0</v>
      </c>
      <c r="D25" s="8" t="n">
        <f aca="false">COUNTIFS(TestCases!$I$2:$I$158,$A25,TestCases!$V$2:$V$158,"Block")</f>
        <v>0</v>
      </c>
      <c r="E25" s="8" t="n">
        <f aca="false">COUNTIFS(TestCases!$I$2:$I$158,$A25,TestCases!$V$2:$V$158,"Reject")</f>
        <v>0</v>
      </c>
      <c r="F25" s="8" t="n">
        <f aca="false">SUM(B25:E25)</f>
        <v>2</v>
      </c>
    </row>
    <row r="26" customFormat="false" ht="15" hidden="false" customHeight="false" outlineLevel="0" collapsed="false">
      <c r="A26" s="11" t="s">
        <v>15</v>
      </c>
      <c r="B26" s="12" t="n">
        <f aca="false">SUM(B22:B25)</f>
        <v>93</v>
      </c>
      <c r="C26" s="12" t="n">
        <f aca="false">SUM(C22:C25)</f>
        <v>40</v>
      </c>
      <c r="D26" s="12" t="n">
        <f aca="false">SUM(D22:D25)</f>
        <v>15</v>
      </c>
      <c r="E26" s="12" t="n">
        <f aca="false">SUM(E22:E25)</f>
        <v>9</v>
      </c>
      <c r="F26" s="12" t="n">
        <f aca="false">SUM(F22:F25)</f>
        <v>157</v>
      </c>
    </row>
    <row r="28" customFormat="false" ht="15" hidden="false" customHeight="false" outlineLevel="0" collapsed="false">
      <c r="A28" s="3" t="s">
        <v>24</v>
      </c>
    </row>
    <row r="29" customFormat="false" ht="15" hidden="false" customHeight="false" outlineLevel="0" collapsed="false">
      <c r="A29" s="4" t="s">
        <v>17</v>
      </c>
      <c r="B29" s="5" t="s">
        <v>25</v>
      </c>
      <c r="C29" s="5" t="s">
        <v>26</v>
      </c>
      <c r="D29" s="5" t="s">
        <v>27</v>
      </c>
      <c r="E29" s="5" t="s">
        <v>28</v>
      </c>
      <c r="F29" s="5" t="s">
        <v>15</v>
      </c>
    </row>
    <row r="30" customFormat="false" ht="15" hidden="false" customHeight="false" outlineLevel="0" collapsed="false">
      <c r="A30" s="7" t="s">
        <v>18</v>
      </c>
      <c r="B30" s="8" t="n">
        <f aca="false">COUNTIFS(TestCases!$H$2:$H$158,$A30,TestCases!$I$2:$I$158,1)</f>
        <v>33</v>
      </c>
      <c r="C30" s="8" t="n">
        <f aca="false">COUNTIFS(TestCases!$H$2:$H$158,$A30,TestCases!$I$2:$I$158,2)</f>
        <v>0</v>
      </c>
      <c r="D30" s="8" t="n">
        <f aca="false">COUNTIFS(TestCases!$H$2:$H$158,$A30,TestCases!$I$2:$I$158,3)</f>
        <v>0</v>
      </c>
      <c r="E30" s="8" t="n">
        <f aca="false">COUNTIFS(TestCases!$H$2:$H$158,$A30,TestCases!$I$2:$I$158,4)</f>
        <v>0</v>
      </c>
      <c r="F30" s="8" t="n">
        <f aca="false">SUM(B30:E30)</f>
        <v>33</v>
      </c>
    </row>
    <row r="31" customFormat="false" ht="15" hidden="false" customHeight="false" outlineLevel="0" collapsed="false">
      <c r="A31" s="7" t="s">
        <v>19</v>
      </c>
      <c r="B31" s="8" t="n">
        <f aca="false">COUNTIFS(TestCases!$H$2:$H$158,$A31,TestCases!$I$2:$I$158,1)</f>
        <v>1</v>
      </c>
      <c r="C31" s="8" t="n">
        <f aca="false">COUNTIFS(TestCases!$H$2:$H$158,$A31,TestCases!$I$2:$I$158,2)</f>
        <v>79</v>
      </c>
      <c r="D31" s="8" t="n">
        <f aca="false">COUNTIFS(TestCases!$H$2:$H$158,$A31,TestCases!$I$2:$I$158,3)</f>
        <v>0</v>
      </c>
      <c r="E31" s="8" t="n">
        <f aca="false">COUNTIFS(TestCases!$H$2:$H$158,$A31,TestCases!$I$2:$I$158,4)</f>
        <v>0</v>
      </c>
      <c r="F31" s="8" t="n">
        <f aca="false">SUM(B31:E31)</f>
        <v>80</v>
      </c>
    </row>
    <row r="32" customFormat="false" ht="15" hidden="false" customHeight="false" outlineLevel="0" collapsed="false">
      <c r="A32" s="7" t="s">
        <v>20</v>
      </c>
      <c r="B32" s="8" t="n">
        <f aca="false">COUNTIFS(TestCases!$H$2:$H$158,$A32,TestCases!$I$2:$I$158,1)</f>
        <v>0</v>
      </c>
      <c r="C32" s="8" t="n">
        <f aca="false">COUNTIFS(TestCases!$H$2:$H$158,$A32,TestCases!$I$2:$I$158,2)</f>
        <v>1</v>
      </c>
      <c r="D32" s="8" t="n">
        <f aca="false">COUNTIFS(TestCases!$H$2:$H$158,$A32,TestCases!$I$2:$I$158,3)</f>
        <v>39</v>
      </c>
      <c r="E32" s="8" t="n">
        <f aca="false">COUNTIFS(TestCases!$H$2:$H$158,$A32,TestCases!$I$2:$I$158,4)</f>
        <v>0</v>
      </c>
      <c r="F32" s="8" t="n">
        <f aca="false">SUM(B32:E32)</f>
        <v>40</v>
      </c>
    </row>
    <row r="33" customFormat="false" ht="15" hidden="false" customHeight="false" outlineLevel="0" collapsed="false">
      <c r="A33" s="7" t="s">
        <v>21</v>
      </c>
      <c r="B33" s="8" t="n">
        <f aca="false">COUNTIFS(TestCases!$H$2:$H$158,$A33,TestCases!$I$2:$I$158,1)</f>
        <v>0</v>
      </c>
      <c r="C33" s="8" t="n">
        <f aca="false">COUNTIFS(TestCases!$H$2:$H$158,$A33,TestCases!$I$2:$I$158,2)</f>
        <v>0</v>
      </c>
      <c r="D33" s="8" t="n">
        <f aca="false">COUNTIFS(TestCases!$H$2:$H$158,$A33,TestCases!$I$2:$I$158,3)</f>
        <v>2</v>
      </c>
      <c r="E33" s="8" t="n">
        <f aca="false">COUNTIFS(TestCases!$H$2:$H$158,$A33,TestCases!$I$2:$I$158,4)</f>
        <v>2</v>
      </c>
      <c r="F33" s="8" t="n">
        <f aca="false">SUM(B33:E33)</f>
        <v>4</v>
      </c>
    </row>
    <row r="34" customFormat="false" ht="15" hidden="false" customHeight="false" outlineLevel="0" collapsed="false">
      <c r="A34" s="11" t="s">
        <v>15</v>
      </c>
      <c r="B34" s="12" t="n">
        <f aca="false">SUM(B30:B33)</f>
        <v>34</v>
      </c>
      <c r="C34" s="12" t="n">
        <f aca="false">SUM(C30:C33)</f>
        <v>80</v>
      </c>
      <c r="D34" s="12" t="n">
        <f aca="false">SUM(D30:D33)</f>
        <v>41</v>
      </c>
      <c r="E34" s="12" t="n">
        <f aca="false">SUM(E30:E33)</f>
        <v>2</v>
      </c>
      <c r="F34" s="12" t="n">
        <f aca="false">SUM(F30:F33)</f>
        <v>157</v>
      </c>
    </row>
    <row r="36" customFormat="false" ht="15" hidden="false" customHeight="false" outlineLevel="0" collapsed="false">
      <c r="A36" s="3" t="s">
        <v>29</v>
      </c>
    </row>
    <row r="37" customFormat="false" ht="15" hidden="false" customHeight="true" outlineLevel="0" collapsed="false">
      <c r="A37" s="4" t="s">
        <v>23</v>
      </c>
      <c r="B37" s="6" t="s">
        <v>6</v>
      </c>
      <c r="C37" s="6"/>
      <c r="D37" s="6"/>
      <c r="E37" s="6"/>
      <c r="F37" s="6"/>
      <c r="G37" s="6"/>
    </row>
    <row r="38" customFormat="false" ht="15" hidden="false" customHeight="true" outlineLevel="0" collapsed="false">
      <c r="A38" s="7" t="n">
        <v>1</v>
      </c>
      <c r="B38" s="10" t="s">
        <v>30</v>
      </c>
      <c r="C38" s="10"/>
      <c r="D38" s="10"/>
      <c r="E38" s="10"/>
      <c r="F38" s="10"/>
      <c r="G38" s="10"/>
    </row>
    <row r="39" customFormat="false" ht="15" hidden="false" customHeight="true" outlineLevel="0" collapsed="false">
      <c r="A39" s="7" t="n">
        <v>2</v>
      </c>
      <c r="B39" s="10" t="s">
        <v>31</v>
      </c>
      <c r="C39" s="10"/>
      <c r="D39" s="10"/>
      <c r="E39" s="10"/>
      <c r="F39" s="10"/>
      <c r="G39" s="10"/>
    </row>
    <row r="40" customFormat="false" ht="15" hidden="false" customHeight="true" outlineLevel="0" collapsed="false">
      <c r="A40" s="7" t="n">
        <v>3</v>
      </c>
      <c r="B40" s="10" t="s">
        <v>32</v>
      </c>
      <c r="C40" s="10"/>
      <c r="D40" s="10"/>
      <c r="E40" s="10"/>
      <c r="F40" s="10"/>
      <c r="G40" s="10"/>
    </row>
    <row r="41" customFormat="false" ht="15" hidden="false" customHeight="true" outlineLevel="0" collapsed="false">
      <c r="A41" s="7" t="n">
        <v>4</v>
      </c>
      <c r="B41" s="10" t="s">
        <v>33</v>
      </c>
      <c r="C41" s="10"/>
      <c r="D41" s="10"/>
      <c r="E41" s="10"/>
      <c r="F41" s="10"/>
      <c r="G41" s="10"/>
    </row>
    <row r="43" customFormat="false" ht="15" hidden="false" customHeight="false" outlineLevel="0" collapsed="false">
      <c r="A43" s="3" t="s">
        <v>34</v>
      </c>
    </row>
    <row r="44" customFormat="false" ht="15" hidden="false" customHeight="false" outlineLevel="0" collapsed="false">
      <c r="A44" s="4" t="s">
        <v>35</v>
      </c>
      <c r="B44" s="5" t="s">
        <v>7</v>
      </c>
      <c r="C44" s="5" t="s">
        <v>9</v>
      </c>
      <c r="D44" s="5" t="s">
        <v>11</v>
      </c>
      <c r="E44" s="5" t="s">
        <v>13</v>
      </c>
      <c r="F44" s="5" t="s">
        <v>15</v>
      </c>
    </row>
    <row r="45" customFormat="false" ht="15" hidden="false" customHeight="false" outlineLevel="0" collapsed="false">
      <c r="A45" s="7" t="s">
        <v>36</v>
      </c>
      <c r="B45" s="8" t="n">
        <f aca="false">COUNTIFS(TestCases!$D$2:$D$158,$A45,TestCases!$V$2:$V$158,"Approve")</f>
        <v>93</v>
      </c>
      <c r="C45" s="8" t="n">
        <f aca="false">COUNTIFS(TestCases!$D$2:$D$158,$A45,TestCases!$V$2:$V$158,"Draft")</f>
        <v>28</v>
      </c>
      <c r="D45" s="8" t="n">
        <f aca="false">COUNTIFS(TestCases!$D$2:$D$158,$A45,TestCases!$V$2:$V$158,"Block")</f>
        <v>2</v>
      </c>
      <c r="E45" s="8" t="n">
        <f aca="false">COUNTIFS(TestCases!$D$2:$D$158,$A45,TestCases!$V$2:$V$158,"Reject")</f>
        <v>0</v>
      </c>
      <c r="F45" s="8" t="n">
        <f aca="false">SUM(B45:E45)</f>
        <v>123</v>
      </c>
    </row>
    <row r="46" customFormat="false" ht="15" hidden="false" customHeight="false" outlineLevel="0" collapsed="false">
      <c r="A46" s="7" t="s">
        <v>37</v>
      </c>
      <c r="B46" s="8" t="n">
        <f aca="false">COUNTIFS(TestCases!$D$2:$D$158,$A46,TestCases!$V$2:$V$158,"Approve")</f>
        <v>0</v>
      </c>
      <c r="C46" s="8" t="n">
        <f aca="false">COUNTIFS(TestCases!$D$2:$D$158,$A46,TestCases!$V$2:$V$158,"Draft")</f>
        <v>12</v>
      </c>
      <c r="D46" s="8" t="n">
        <f aca="false">COUNTIFS(TestCases!$D$2:$D$158,$A46,TestCases!$V$2:$V$158,"Block")</f>
        <v>13</v>
      </c>
      <c r="E46" s="8" t="n">
        <f aca="false">COUNTIFS(TestCases!$D$2:$D$158,$A46,TestCases!$V$2:$V$158,"Reject")</f>
        <v>9</v>
      </c>
      <c r="F46" s="8" t="n">
        <f aca="false">SUM(B46:E46)</f>
        <v>34</v>
      </c>
    </row>
    <row r="47" customFormat="false" ht="15" hidden="false" customHeight="false" outlineLevel="0" collapsed="false">
      <c r="A47" s="11" t="s">
        <v>15</v>
      </c>
      <c r="B47" s="12" t="n">
        <f aca="false">SUM(B45:B46)</f>
        <v>93</v>
      </c>
      <c r="C47" s="12" t="n">
        <f aca="false">SUM(C45:C46)</f>
        <v>40</v>
      </c>
      <c r="D47" s="12" t="n">
        <f aca="false">SUM(D45:D46)</f>
        <v>15</v>
      </c>
      <c r="E47" s="12" t="n">
        <f aca="false">SUM(E45:E46)</f>
        <v>9</v>
      </c>
      <c r="F47" s="12" t="n">
        <f aca="false">SUM(F45:F46)</f>
        <v>157</v>
      </c>
    </row>
    <row r="49" customFormat="false" ht="15" hidden="false" customHeight="false" outlineLevel="0" collapsed="false">
      <c r="A49" s="3" t="s">
        <v>38</v>
      </c>
    </row>
    <row r="50" customFormat="false" ht="15" hidden="false" customHeight="false" outlineLevel="0" collapsed="false">
      <c r="A50" s="4" t="s">
        <v>39</v>
      </c>
      <c r="B50" s="5" t="s">
        <v>7</v>
      </c>
      <c r="C50" s="5" t="s">
        <v>9</v>
      </c>
      <c r="D50" s="5" t="s">
        <v>11</v>
      </c>
      <c r="E50" s="5" t="s">
        <v>13</v>
      </c>
      <c r="F50" s="5" t="s">
        <v>15</v>
      </c>
    </row>
    <row r="51" customFormat="false" ht="15" hidden="false" customHeight="false" outlineLevel="0" collapsed="false">
      <c r="A51" s="7" t="s">
        <v>40</v>
      </c>
      <c r="B51" s="8" t="n">
        <f aca="false">COUNTIFS(TestCases!$U$2:$U$158,$A51,TestCases!$V$2:$V$158,"Approve")</f>
        <v>64</v>
      </c>
      <c r="C51" s="8" t="n">
        <f aca="false">COUNTIFS(TestCases!$U$2:$U$158,$A51,TestCases!$V$2:$V$158,"Draft")</f>
        <v>23</v>
      </c>
      <c r="D51" s="8" t="n">
        <f aca="false">COUNTIFS(TestCases!$U$2:$U$158,$A51,TestCases!$V$2:$V$158,"Block")</f>
        <v>6</v>
      </c>
      <c r="E51" s="8" t="n">
        <f aca="false">COUNTIFS(TestCases!$U$2:$U$158,$A51,TestCases!$V$2:$V$158,"Reject")</f>
        <v>4</v>
      </c>
      <c r="F51" s="8" t="n">
        <f aca="false">SUM(B51:E51)</f>
        <v>97</v>
      </c>
    </row>
    <row r="52" customFormat="false" ht="15" hidden="false" customHeight="false" outlineLevel="0" collapsed="false">
      <c r="A52" s="7" t="s">
        <v>41</v>
      </c>
      <c r="B52" s="8" t="n">
        <f aca="false">COUNTIFS(TestCases!$U$2:$U$158,$A52,TestCases!$V$2:$V$158,"Approve")</f>
        <v>29</v>
      </c>
      <c r="C52" s="8" t="n">
        <f aca="false">COUNTIFS(TestCases!$U$2:$U$158,$A52,TestCases!$V$2:$V$158,"Draft")</f>
        <v>17</v>
      </c>
      <c r="D52" s="8" t="n">
        <f aca="false">COUNTIFS(TestCases!$U$2:$U$158,$A52,TestCases!$V$2:$V$158,"Block")</f>
        <v>9</v>
      </c>
      <c r="E52" s="8" t="n">
        <f aca="false">COUNTIFS(TestCases!$U$2:$U$158,$A52,TestCases!$V$2:$V$158,"Reject")</f>
        <v>5</v>
      </c>
      <c r="F52" s="8" t="n">
        <f aca="false">SUM(B52:E52)</f>
        <v>60</v>
      </c>
    </row>
    <row r="53" customFormat="false" ht="15" hidden="false" customHeight="false" outlineLevel="0" collapsed="false">
      <c r="A53" s="11" t="s">
        <v>15</v>
      </c>
      <c r="B53" s="12" t="n">
        <f aca="false">SUM(B51:B52)</f>
        <v>93</v>
      </c>
      <c r="C53" s="12" t="n">
        <f aca="false">SUM(C51:C52)</f>
        <v>40</v>
      </c>
      <c r="D53" s="12" t="n">
        <f aca="false">SUM(D51:D52)</f>
        <v>15</v>
      </c>
      <c r="E53" s="12" t="n">
        <f aca="false">SUM(E51:E52)</f>
        <v>9</v>
      </c>
      <c r="F53" s="12" t="n">
        <f aca="false">SUM(F51:F52)</f>
        <v>157</v>
      </c>
    </row>
    <row r="55" customFormat="false" ht="15" hidden="false" customHeight="false" outlineLevel="0" collapsed="false">
      <c r="A55" s="3" t="s">
        <v>42</v>
      </c>
    </row>
    <row r="56" customFormat="false" ht="15" hidden="false" customHeight="false" outlineLevel="0" collapsed="false">
      <c r="A56" s="4" t="s">
        <v>43</v>
      </c>
      <c r="B56" s="5" t="s">
        <v>7</v>
      </c>
      <c r="C56" s="5" t="s">
        <v>9</v>
      </c>
      <c r="D56" s="5" t="s">
        <v>11</v>
      </c>
      <c r="E56" s="5" t="s">
        <v>13</v>
      </c>
      <c r="F56" s="5" t="s">
        <v>15</v>
      </c>
    </row>
    <row r="57" customFormat="false" ht="15" hidden="false" customHeight="false" outlineLevel="0" collapsed="false">
      <c r="A57" s="7" t="s">
        <v>44</v>
      </c>
      <c r="B57" s="8" t="n">
        <f aca="false">SUMIF(Scenarios!$F$2:$F$33,$A57,Scenarios!$M$2:$M$33)</f>
        <v>13</v>
      </c>
      <c r="C57" s="8" t="n">
        <f aca="false">SUMIF(Scenarios!$F$2:$F$33,$A57,Scenarios!$N$2:$N$33)</f>
        <v>1</v>
      </c>
      <c r="D57" s="8" t="n">
        <f aca="false">SUMIF(Scenarios!$F$2:$F$33,$A57,Scenarios!$O$2:$O$33)</f>
        <v>2</v>
      </c>
      <c r="E57" s="8" t="n">
        <f aca="false">SUMIF(Scenarios!$F$2:$F$33,$A57,Scenarios!$P$2:$P$33)</f>
        <v>0</v>
      </c>
      <c r="F57" s="8" t="n">
        <f aca="false">SUM(B57:E57)</f>
        <v>16</v>
      </c>
    </row>
    <row r="58" customFormat="false" ht="15" hidden="false" customHeight="false" outlineLevel="0" collapsed="false">
      <c r="A58" s="7" t="s">
        <v>45</v>
      </c>
      <c r="B58" s="8" t="n">
        <f aca="false">SUMIF(Scenarios!$F$2:$F$33,$A58,Scenarios!$M$2:$M$33)</f>
        <v>8</v>
      </c>
      <c r="C58" s="8" t="n">
        <f aca="false">SUMIF(Scenarios!$F$2:$F$33,$A58,Scenarios!$N$2:$N$33)</f>
        <v>2</v>
      </c>
      <c r="D58" s="8" t="n">
        <f aca="false">SUMIF(Scenarios!$F$2:$F$33,$A58,Scenarios!$O$2:$O$33)</f>
        <v>0</v>
      </c>
      <c r="E58" s="8" t="n">
        <f aca="false">SUMIF(Scenarios!$F$2:$F$33,$A58,Scenarios!$P$2:$P$33)</f>
        <v>1</v>
      </c>
      <c r="F58" s="8" t="n">
        <f aca="false">SUM(B58:E58)</f>
        <v>11</v>
      </c>
    </row>
    <row r="59" customFormat="false" ht="15" hidden="false" customHeight="false" outlineLevel="0" collapsed="false">
      <c r="A59" s="7" t="s">
        <v>46</v>
      </c>
      <c r="B59" s="8" t="n">
        <f aca="false">SUMIF(Scenarios!$F$2:$F$33,$A59,Scenarios!$M$2:$M$33)</f>
        <v>7</v>
      </c>
      <c r="C59" s="8" t="n">
        <f aca="false">SUMIF(Scenarios!$F$2:$F$33,$A59,Scenarios!$N$2:$N$33)</f>
        <v>0</v>
      </c>
      <c r="D59" s="8" t="n">
        <f aca="false">SUMIF(Scenarios!$F$2:$F$33,$A59,Scenarios!$O$2:$O$33)</f>
        <v>0</v>
      </c>
      <c r="E59" s="8" t="n">
        <f aca="false">SUMIF(Scenarios!$F$2:$F$33,$A59,Scenarios!$P$2:$P$33)</f>
        <v>0</v>
      </c>
      <c r="F59" s="8" t="n">
        <f aca="false">SUM(B59:E59)</f>
        <v>7</v>
      </c>
    </row>
    <row r="60" customFormat="false" ht="15" hidden="false" customHeight="false" outlineLevel="0" collapsed="false">
      <c r="A60" s="7" t="s">
        <v>47</v>
      </c>
      <c r="B60" s="8" t="n">
        <f aca="false">SUMIF(Scenarios!$F$2:$F$33,$A60,Scenarios!$M$2:$M$33)</f>
        <v>25</v>
      </c>
      <c r="C60" s="8" t="n">
        <f aca="false">SUMIF(Scenarios!$F$2:$F$33,$A60,Scenarios!$N$2:$N$33)</f>
        <v>17</v>
      </c>
      <c r="D60" s="8" t="n">
        <f aca="false">SUMIF(Scenarios!$F$2:$F$33,$A60,Scenarios!$O$2:$O$33)</f>
        <v>0</v>
      </c>
      <c r="E60" s="8" t="n">
        <f aca="false">SUMIF(Scenarios!$F$2:$F$33,$A60,Scenarios!$P$2:$P$33)</f>
        <v>6</v>
      </c>
      <c r="F60" s="8" t="n">
        <f aca="false">SUM(B60:E60)</f>
        <v>48</v>
      </c>
    </row>
    <row r="61" customFormat="false" ht="15" hidden="false" customHeight="false" outlineLevel="0" collapsed="false">
      <c r="A61" s="7" t="s">
        <v>48</v>
      </c>
      <c r="B61" s="8" t="n">
        <f aca="false">SUMIF(Scenarios!$F$2:$F$33,$A61,Scenarios!$M$2:$M$33)</f>
        <v>5</v>
      </c>
      <c r="C61" s="8" t="n">
        <f aca="false">SUMIF(Scenarios!$F$2:$F$33,$A61,Scenarios!$N$2:$N$33)</f>
        <v>3</v>
      </c>
      <c r="D61" s="8" t="n">
        <f aca="false">SUMIF(Scenarios!$F$2:$F$33,$A61,Scenarios!$O$2:$O$33)</f>
        <v>5</v>
      </c>
      <c r="E61" s="8" t="n">
        <f aca="false">SUMIF(Scenarios!$F$2:$F$33,$A61,Scenarios!$P$2:$P$33)</f>
        <v>2</v>
      </c>
      <c r="F61" s="8" t="n">
        <f aca="false">SUM(B61:E61)</f>
        <v>15</v>
      </c>
    </row>
    <row r="62" customFormat="false" ht="15" hidden="false" customHeight="false" outlineLevel="0" collapsed="false">
      <c r="A62" s="7" t="s">
        <v>49</v>
      </c>
      <c r="B62" s="8" t="n">
        <f aca="false">SUMIF(Scenarios!$F$2:$F$33,$A62,Scenarios!$M$2:$M$33)</f>
        <v>0</v>
      </c>
      <c r="C62" s="8" t="n">
        <f aca="false">SUMIF(Scenarios!$F$2:$F$33,$A62,Scenarios!$N$2:$N$33)</f>
        <v>0</v>
      </c>
      <c r="D62" s="8" t="n">
        <f aca="false">SUMIF(Scenarios!$F$2:$F$33,$A62,Scenarios!$O$2:$O$33)</f>
        <v>0</v>
      </c>
      <c r="E62" s="8" t="n">
        <f aca="false">SUMIF(Scenarios!$F$2:$F$33,$A62,Scenarios!$P$2:$P$33)</f>
        <v>0</v>
      </c>
      <c r="F62" s="8" t="n">
        <f aca="false">SUM(B62:E62)</f>
        <v>0</v>
      </c>
    </row>
    <row r="63" customFormat="false" ht="15" hidden="false" customHeight="false" outlineLevel="0" collapsed="false">
      <c r="A63" s="7" t="s">
        <v>50</v>
      </c>
      <c r="B63" s="8" t="n">
        <f aca="false">SUMIF(Scenarios!$F$2:$F$33,$A63,Scenarios!$M$2:$M$33)</f>
        <v>11</v>
      </c>
      <c r="C63" s="8" t="n">
        <f aca="false">SUMIF(Scenarios!$F$2:$F$33,$A63,Scenarios!$N$2:$N$33)</f>
        <v>2</v>
      </c>
      <c r="D63" s="8" t="n">
        <f aca="false">SUMIF(Scenarios!$F$2:$F$33,$A63,Scenarios!$O$2:$O$33)</f>
        <v>1</v>
      </c>
      <c r="E63" s="8" t="n">
        <f aca="false">SUMIF(Scenarios!$F$2:$F$33,$A63,Scenarios!$P$2:$P$33)</f>
        <v>0</v>
      </c>
      <c r="F63" s="8" t="n">
        <f aca="false">SUM(B63:E63)</f>
        <v>14</v>
      </c>
    </row>
    <row r="64" customFormat="false" ht="15" hidden="false" customHeight="false" outlineLevel="0" collapsed="false">
      <c r="A64" s="7" t="s">
        <v>51</v>
      </c>
      <c r="B64" s="8" t="n">
        <f aca="false">SUMIF(Scenarios!$F$2:$F$33,$A64,Scenarios!$M$2:$M$33)</f>
        <v>3</v>
      </c>
      <c r="C64" s="8" t="n">
        <f aca="false">SUMIF(Scenarios!$F$2:$F$33,$A64,Scenarios!$N$2:$N$33)</f>
        <v>2</v>
      </c>
      <c r="D64" s="8" t="n">
        <f aca="false">SUMIF(Scenarios!$F$2:$F$33,$A64,Scenarios!$O$2:$O$33)</f>
        <v>2</v>
      </c>
      <c r="E64" s="8" t="n">
        <f aca="false">SUMIF(Scenarios!$F$2:$F$33,$A64,Scenarios!$P$2:$P$33)</f>
        <v>0</v>
      </c>
      <c r="F64" s="8" t="n">
        <f aca="false">SUM(B64:E64)</f>
        <v>7</v>
      </c>
    </row>
    <row r="65" customFormat="false" ht="15" hidden="false" customHeight="false" outlineLevel="0" collapsed="false">
      <c r="A65" s="7" t="s">
        <v>52</v>
      </c>
      <c r="B65" s="8" t="n">
        <f aca="false">SUMIF(Scenarios!$F$2:$F$33,$A65,Scenarios!$M$2:$M$33)</f>
        <v>9</v>
      </c>
      <c r="C65" s="8" t="n">
        <f aca="false">SUMIF(Scenarios!$F$2:$F$33,$A65,Scenarios!$N$2:$N$33)</f>
        <v>12</v>
      </c>
      <c r="D65" s="8" t="n">
        <f aca="false">SUMIF(Scenarios!$F$2:$F$33,$A65,Scenarios!$O$2:$O$33)</f>
        <v>3</v>
      </c>
      <c r="E65" s="8" t="n">
        <f aca="false">SUMIF(Scenarios!$F$2:$F$33,$A65,Scenarios!$P$2:$P$33)</f>
        <v>0</v>
      </c>
      <c r="F65" s="8" t="n">
        <f aca="false">SUM(B65:E65)</f>
        <v>24</v>
      </c>
    </row>
    <row r="66" customFormat="false" ht="15" hidden="false" customHeight="false" outlineLevel="0" collapsed="false">
      <c r="A66" s="7" t="s">
        <v>53</v>
      </c>
      <c r="B66" s="8" t="n">
        <f aca="false">SUMIF(Scenarios!$F$2:$F$33,$A66,Scenarios!$M$2:$M$33)</f>
        <v>12</v>
      </c>
      <c r="C66" s="8" t="n">
        <f aca="false">SUMIF(Scenarios!$F$2:$F$33,$A66,Scenarios!$N$2:$N$33)</f>
        <v>1</v>
      </c>
      <c r="D66" s="8" t="n">
        <f aca="false">SUMIF(Scenarios!$F$2:$F$33,$A66,Scenarios!$O$2:$O$33)</f>
        <v>2</v>
      </c>
      <c r="E66" s="8" t="n">
        <f aca="false">SUMIF(Scenarios!$F$2:$F$33,$A66,Scenarios!$P$2:$P$33)</f>
        <v>0</v>
      </c>
      <c r="F66" s="8" t="n">
        <f aca="false">SUM(B66:E66)</f>
        <v>15</v>
      </c>
    </row>
    <row r="67" customFormat="false" ht="15" hidden="false" customHeight="false" outlineLevel="0" collapsed="false">
      <c r="A67" s="11" t="s">
        <v>15</v>
      </c>
      <c r="B67" s="12" t="n">
        <f aca="false">SUM(B57:B66)</f>
        <v>93</v>
      </c>
      <c r="C67" s="12" t="n">
        <f aca="false">SUM(C57:C66)</f>
        <v>40</v>
      </c>
      <c r="D67" s="12" t="n">
        <f aca="false">SUM(D57:D66)</f>
        <v>15</v>
      </c>
      <c r="E67" s="12" t="n">
        <f aca="false">SUM(E57:E66)</f>
        <v>9</v>
      </c>
      <c r="F67" s="12" t="n">
        <f aca="false">SUM(F57:F66)</f>
        <v>157</v>
      </c>
    </row>
    <row r="69" customFormat="false" ht="15" hidden="false" customHeight="false" outlineLevel="0" collapsed="false">
      <c r="A69" s="3" t="s">
        <v>54</v>
      </c>
    </row>
    <row r="70" customFormat="false" ht="15" hidden="false" customHeight="false" outlineLevel="0" collapsed="false">
      <c r="A70" s="4" t="s">
        <v>55</v>
      </c>
      <c r="B70" s="5" t="s">
        <v>7</v>
      </c>
      <c r="C70" s="5" t="s">
        <v>9</v>
      </c>
      <c r="D70" s="5" t="s">
        <v>11</v>
      </c>
      <c r="E70" s="5" t="s">
        <v>13</v>
      </c>
      <c r="F70" s="5" t="s">
        <v>15</v>
      </c>
    </row>
    <row r="71" customFormat="false" ht="15" hidden="false" customHeight="false" outlineLevel="0" collapsed="false">
      <c r="A71" s="7" t="s">
        <v>56</v>
      </c>
      <c r="B71" s="8" t="n">
        <f aca="false">COUNTIFS(TestCases!$J$2:$J$158,$A71,TestCases!$V$2:$V$158,"Approve")</f>
        <v>33</v>
      </c>
      <c r="C71" s="8" t="n">
        <f aca="false">COUNTIFS(TestCases!$J$2:$J$158,$A71,TestCases!$V$2:$V$158,"Draft")</f>
        <v>14</v>
      </c>
      <c r="D71" s="8" t="n">
        <f aca="false">COUNTIFS(TestCases!$J$2:$J$158,$A71,TestCases!$V$2:$V$158,"Block")</f>
        <v>4</v>
      </c>
      <c r="E71" s="8" t="n">
        <f aca="false">COUNTIFS(TestCases!$J$2:$J$158,$A71,TestCases!$V$2:$V$158,"Reject")</f>
        <v>7</v>
      </c>
      <c r="F71" s="8" t="n">
        <f aca="false">SUM(B71:E71)</f>
        <v>58</v>
      </c>
    </row>
    <row r="72" customFormat="false" ht="15" hidden="false" customHeight="false" outlineLevel="0" collapsed="false">
      <c r="A72" s="7" t="s">
        <v>57</v>
      </c>
      <c r="B72" s="8" t="n">
        <f aca="false">COUNTIFS(TestCases!$J$2:$J$158,$A72,TestCases!$V$2:$V$158,"Approve")</f>
        <v>37</v>
      </c>
      <c r="C72" s="8" t="n">
        <f aca="false">COUNTIFS(TestCases!$J$2:$J$158,$A72,TestCases!$V$2:$V$158,"Draft")</f>
        <v>13</v>
      </c>
      <c r="D72" s="8" t="n">
        <f aca="false">COUNTIFS(TestCases!$J$2:$J$158,$A72,TestCases!$V$2:$V$158,"Block")</f>
        <v>3</v>
      </c>
      <c r="E72" s="8" t="n">
        <f aca="false">COUNTIFS(TestCases!$J$2:$J$158,$A72,TestCases!$V$2:$V$158,"Reject")</f>
        <v>1</v>
      </c>
      <c r="F72" s="8" t="n">
        <f aca="false">SUM(B72:E72)</f>
        <v>54</v>
      </c>
    </row>
    <row r="73" customFormat="false" ht="15" hidden="false" customHeight="false" outlineLevel="0" collapsed="false">
      <c r="A73" s="7" t="s">
        <v>58</v>
      </c>
      <c r="B73" s="8" t="n">
        <f aca="false">COUNTIFS(TestCases!$J$2:$J$158,$A73,TestCases!$V$2:$V$158,"Approve")</f>
        <v>20</v>
      </c>
      <c r="C73" s="8" t="n">
        <f aca="false">COUNTIFS(TestCases!$J$2:$J$158,$A73,TestCases!$V$2:$V$158,"Draft")</f>
        <v>6</v>
      </c>
      <c r="D73" s="8" t="n">
        <f aca="false">COUNTIFS(TestCases!$J$2:$J$158,$A73,TestCases!$V$2:$V$158,"Block")</f>
        <v>1</v>
      </c>
      <c r="E73" s="8" t="n">
        <f aca="false">COUNTIFS(TestCases!$J$2:$J$158,$A73,TestCases!$V$2:$V$158,"Reject")</f>
        <v>0</v>
      </c>
      <c r="F73" s="8" t="n">
        <f aca="false">SUM(B73:E73)</f>
        <v>27</v>
      </c>
    </row>
    <row r="74" customFormat="false" ht="15" hidden="false" customHeight="false" outlineLevel="0" collapsed="false">
      <c r="A74" s="7" t="s">
        <v>59</v>
      </c>
      <c r="B74" s="8" t="n">
        <f aca="false">COUNTIFS(TestCases!$J$2:$J$158,$A74,TestCases!$V$2:$V$158,"Approve")</f>
        <v>3</v>
      </c>
      <c r="C74" s="8" t="n">
        <f aca="false">COUNTIFS(TestCases!$J$2:$J$158,$A74,TestCases!$V$2:$V$158,"Draft")</f>
        <v>7</v>
      </c>
      <c r="D74" s="8" t="n">
        <f aca="false">COUNTIFS(TestCases!$J$2:$J$158,$A74,TestCases!$V$2:$V$158,"Block")</f>
        <v>7</v>
      </c>
      <c r="E74" s="8" t="n">
        <f aca="false">COUNTIFS(TestCases!$J$2:$J$158,$A74,TestCases!$V$2:$V$158,"Reject")</f>
        <v>1</v>
      </c>
      <c r="F74" s="8" t="n">
        <f aca="false">SUM(B74:E74)</f>
        <v>18</v>
      </c>
    </row>
    <row r="75" customFormat="false" ht="15" hidden="false" customHeight="false" outlineLevel="0" collapsed="false">
      <c r="A75" s="11" t="s">
        <v>15</v>
      </c>
      <c r="B75" s="12" t="n">
        <f aca="false">SUM(B71:B74)</f>
        <v>93</v>
      </c>
      <c r="C75" s="12" t="n">
        <f aca="false">SUM(C71:C74)</f>
        <v>40</v>
      </c>
      <c r="D75" s="12" t="n">
        <f aca="false">SUM(D71:D74)</f>
        <v>15</v>
      </c>
      <c r="E75" s="12" t="n">
        <f aca="false">SUM(E71:E74)</f>
        <v>9</v>
      </c>
      <c r="F75" s="12" t="n">
        <f aca="false">SUM(F71:F74)</f>
        <v>157</v>
      </c>
    </row>
    <row r="77" customFormat="false" ht="15" hidden="false" customHeight="false" outlineLevel="0" collapsed="false">
      <c r="A77" s="3" t="s">
        <v>60</v>
      </c>
    </row>
    <row r="78" customFormat="false" ht="15" hidden="false" customHeight="false" outlineLevel="0" collapsed="false">
      <c r="A78" s="4" t="s">
        <v>61</v>
      </c>
      <c r="B78" s="5" t="s">
        <v>7</v>
      </c>
      <c r="C78" s="5" t="s">
        <v>9</v>
      </c>
      <c r="D78" s="5" t="s">
        <v>11</v>
      </c>
      <c r="E78" s="5" t="s">
        <v>13</v>
      </c>
      <c r="F78" s="5" t="s">
        <v>15</v>
      </c>
    </row>
    <row r="79" customFormat="false" ht="15" hidden="false" customHeight="false" outlineLevel="0" collapsed="false">
      <c r="A79" s="7" t="s">
        <v>62</v>
      </c>
      <c r="B79" s="8" t="n">
        <f aca="false">SUMIF(Scenarios!$G$2:$G$33,$A79,Scenarios!$M$2:$M$33)</f>
        <v>19</v>
      </c>
      <c r="C79" s="8" t="n">
        <f aca="false">SUMIF(Scenarios!$G$2:$G$33,$A79,Scenarios!$N$2:$N$33)</f>
        <v>4</v>
      </c>
      <c r="D79" s="8" t="n">
        <f aca="false">SUMIF(Scenarios!$G$2:$G$33,$A79,Scenarios!$O$2:$O$33)</f>
        <v>3</v>
      </c>
      <c r="E79" s="8" t="n">
        <f aca="false">SUMIF(Scenarios!$G$2:$G$33,$A79,Scenarios!$P$2:$P$33)</f>
        <v>0</v>
      </c>
      <c r="F79" s="8" t="n">
        <f aca="false">SUM(B79:E79)</f>
        <v>26</v>
      </c>
    </row>
    <row r="80" customFormat="false" ht="15" hidden="false" customHeight="false" outlineLevel="0" collapsed="false">
      <c r="A80" s="7" t="s">
        <v>63</v>
      </c>
      <c r="B80" s="8" t="n">
        <f aca="false">SUMIF(Scenarios!$G$2:$G$33,$A80,Scenarios!$M$2:$M$33)</f>
        <v>5</v>
      </c>
      <c r="C80" s="8" t="n">
        <f aca="false">SUMIF(Scenarios!$G$2:$G$33,$A80,Scenarios!$N$2:$N$33)</f>
        <v>7</v>
      </c>
      <c r="D80" s="8" t="n">
        <f aca="false">SUMIF(Scenarios!$G$2:$G$33,$A80,Scenarios!$O$2:$O$33)</f>
        <v>0</v>
      </c>
      <c r="E80" s="8" t="n">
        <f aca="false">SUMIF(Scenarios!$G$2:$G$33,$A80,Scenarios!$P$2:$P$33)</f>
        <v>0</v>
      </c>
      <c r="F80" s="8" t="n">
        <f aca="false">SUM(B80:E80)</f>
        <v>12</v>
      </c>
    </row>
    <row r="81" customFormat="false" ht="15" hidden="false" customHeight="false" outlineLevel="0" collapsed="false">
      <c r="A81" s="7" t="s">
        <v>64</v>
      </c>
      <c r="B81" s="8" t="n">
        <f aca="false">SUMIF(Scenarios!$G$2:$G$33,$A81,Scenarios!$M$2:$M$33)</f>
        <v>57</v>
      </c>
      <c r="C81" s="8" t="n">
        <f aca="false">SUMIF(Scenarios!$G$2:$G$33,$A81,Scenarios!$N$2:$N$33)</f>
        <v>22</v>
      </c>
      <c r="D81" s="8" t="n">
        <f aca="false">SUMIF(Scenarios!$G$2:$G$33,$A81,Scenarios!$O$2:$O$33)</f>
        <v>3</v>
      </c>
      <c r="E81" s="8" t="n">
        <f aca="false">SUMIF(Scenarios!$G$2:$G$33,$A81,Scenarios!$P$2:$P$33)</f>
        <v>6</v>
      </c>
      <c r="F81" s="8" t="n">
        <f aca="false">SUM(B81:E81)</f>
        <v>88</v>
      </c>
    </row>
    <row r="82" customFormat="false" ht="15" hidden="false" customHeight="false" outlineLevel="0" collapsed="false">
      <c r="A82" s="7" t="s">
        <v>65</v>
      </c>
      <c r="B82" s="8" t="n">
        <f aca="false">SUMIF(Scenarios!$G$2:$G$33,$A82,Scenarios!$M$2:$M$33)</f>
        <v>0</v>
      </c>
      <c r="C82" s="8" t="n">
        <f aca="false">SUMIF(Scenarios!$G$2:$G$33,$A82,Scenarios!$N$2:$N$33)</f>
        <v>0</v>
      </c>
      <c r="D82" s="8" t="n">
        <f aca="false">SUMIF(Scenarios!$G$2:$G$33,$A82,Scenarios!$O$2:$O$33)</f>
        <v>0</v>
      </c>
      <c r="E82" s="8" t="n">
        <f aca="false">SUMIF(Scenarios!$G$2:$G$33,$A82,Scenarios!$P$2:$P$33)</f>
        <v>0</v>
      </c>
      <c r="F82" s="8" t="n">
        <f aca="false">SUM(B82:E82)</f>
        <v>0</v>
      </c>
    </row>
    <row r="83" customFormat="false" ht="15" hidden="false" customHeight="false" outlineLevel="0" collapsed="false">
      <c r="A83" s="7" t="s">
        <v>66</v>
      </c>
      <c r="B83" s="8" t="n">
        <f aca="false">SUMIF(Scenarios!$G$2:$G$33,$A83,Scenarios!$M$2:$M$33)</f>
        <v>12</v>
      </c>
      <c r="C83" s="8" t="n">
        <f aca="false">SUMIF(Scenarios!$G$2:$G$33,$A83,Scenarios!$N$2:$N$33)</f>
        <v>7</v>
      </c>
      <c r="D83" s="8" t="n">
        <f aca="false">SUMIF(Scenarios!$G$2:$G$33,$A83,Scenarios!$O$2:$O$33)</f>
        <v>9</v>
      </c>
      <c r="E83" s="8" t="n">
        <f aca="false">SUMIF(Scenarios!$G$2:$G$33,$A83,Scenarios!$P$2:$P$33)</f>
        <v>3</v>
      </c>
      <c r="F83" s="8" t="n">
        <f aca="false">SUM(B83:E83)</f>
        <v>31</v>
      </c>
    </row>
    <row r="84" customFormat="false" ht="15" hidden="false" customHeight="false" outlineLevel="0" collapsed="false">
      <c r="A84" s="11" t="s">
        <v>15</v>
      </c>
      <c r="B84" s="12" t="n">
        <f aca="false">SUM(B79:B83)</f>
        <v>93</v>
      </c>
      <c r="C84" s="12" t="n">
        <f aca="false">SUM(C79:C83)</f>
        <v>40</v>
      </c>
      <c r="D84" s="12" t="n">
        <f aca="false">SUM(D79:D83)</f>
        <v>15</v>
      </c>
      <c r="E84" s="12" t="n">
        <f aca="false">SUM(E79:E83)</f>
        <v>9</v>
      </c>
      <c r="F84" s="12" t="n">
        <f aca="false">SUM(F79:F83)</f>
        <v>157</v>
      </c>
    </row>
    <row r="86" customFormat="false" ht="15" hidden="false" customHeight="false" outlineLevel="0" collapsed="false">
      <c r="A86" s="3" t="s">
        <v>67</v>
      </c>
    </row>
    <row r="87" customFormat="false" ht="15" hidden="false" customHeight="false" outlineLevel="0" collapsed="false">
      <c r="A87" s="4" t="s">
        <v>68</v>
      </c>
      <c r="B87" s="5" t="s">
        <v>69</v>
      </c>
      <c r="C87" s="5" t="s">
        <v>70</v>
      </c>
      <c r="D87" s="5" t="s">
        <v>15</v>
      </c>
    </row>
    <row r="88" customFormat="false" ht="15" hidden="false" customHeight="false" outlineLevel="0" collapsed="false">
      <c r="A88" s="7" t="s">
        <v>71</v>
      </c>
      <c r="B88" s="8" t="n">
        <f aca="false">COUNTIFS(Checkpoint!$H$2:$H$26,$A88,Checkpoint!$G$2:$G$26,"1")</f>
        <v>6</v>
      </c>
      <c r="C88" s="8" t="n">
        <f aca="false">COUNTIFS(Checkpoint!$H$2:$H$26,$A88,Checkpoint!$G$2:$G$26,"TBD")</f>
        <v>0</v>
      </c>
      <c r="D88" s="8" t="n">
        <f aca="false">SUM(B88:C88)</f>
        <v>6</v>
      </c>
    </row>
    <row r="89" customFormat="false" ht="15" hidden="false" customHeight="false" outlineLevel="0" collapsed="false">
      <c r="A89" s="7" t="s">
        <v>72</v>
      </c>
      <c r="B89" s="8" t="n">
        <f aca="false">COUNTIFS(Checkpoint!$H$2:$H$26,$A89,Checkpoint!$G$2:$G$26,"1")</f>
        <v>10</v>
      </c>
      <c r="C89" s="8" t="n">
        <f aca="false">COUNTIFS(Checkpoint!$H$2:$H$26,$A89,Checkpoint!$G$2:$G$26,"TBD")</f>
        <v>0</v>
      </c>
      <c r="D89" s="8" t="n">
        <f aca="false">SUM(B89:C89)</f>
        <v>10</v>
      </c>
    </row>
    <row r="90" customFormat="false" ht="15" hidden="false" customHeight="false" outlineLevel="0" collapsed="false">
      <c r="A90" s="7" t="s">
        <v>73</v>
      </c>
      <c r="B90" s="8" t="n">
        <f aca="false">COUNTIFS(Checkpoint!$H$2:$H$26,$A90,Checkpoint!$G$2:$G$26,"1")</f>
        <v>5</v>
      </c>
      <c r="C90" s="8" t="n">
        <f aca="false">COUNTIFS(Checkpoint!$H$2:$H$26,$A90,Checkpoint!$G$2:$G$26,"TBD")</f>
        <v>4</v>
      </c>
      <c r="D90" s="8" t="n">
        <f aca="false">SUM(B90:C90)</f>
        <v>9</v>
      </c>
    </row>
    <row r="91" customFormat="false" ht="15" hidden="false" customHeight="false" outlineLevel="0" collapsed="false">
      <c r="A91" s="11" t="s">
        <v>15</v>
      </c>
      <c r="B91" s="12" t="n">
        <f aca="false">SUM(B88:B90)</f>
        <v>21</v>
      </c>
      <c r="C91" s="12" t="n">
        <f aca="false">SUM(C88:C90)</f>
        <v>4</v>
      </c>
      <c r="D91" s="12" t="n">
        <f aca="false">SUM(D88:D90)</f>
        <v>25</v>
      </c>
    </row>
    <row r="93" customFormat="false" ht="15" hidden="false" customHeight="false" outlineLevel="0" collapsed="false">
      <c r="A93" s="3" t="s">
        <v>74</v>
      </c>
    </row>
    <row r="94" customFormat="false" ht="15" hidden="false" customHeight="false" outlineLevel="0" collapsed="false">
      <c r="A94" s="4" t="s">
        <v>52</v>
      </c>
      <c r="B94" s="5" t="s">
        <v>4</v>
      </c>
    </row>
    <row r="95" customFormat="false" ht="15" hidden="false" customHeight="false" outlineLevel="0" collapsed="false">
      <c r="A95" s="7" t="s">
        <v>73</v>
      </c>
      <c r="B95" s="8" t="n">
        <f aca="false">COUNTIF(Assumptions!$J$2:$J$51,A95)</f>
        <v>31</v>
      </c>
    </row>
    <row r="96" customFormat="false" ht="15" hidden="false" customHeight="false" outlineLevel="0" collapsed="false">
      <c r="A96" s="7" t="s">
        <v>75</v>
      </c>
      <c r="B96" s="8" t="n">
        <f aca="false">COUNTIF(Assumptions!$J$2:$J$51,A96)</f>
        <v>9</v>
      </c>
    </row>
    <row r="97" customFormat="false" ht="15" hidden="false" customHeight="false" outlineLevel="0" collapsed="false">
      <c r="A97" s="7" t="s">
        <v>76</v>
      </c>
      <c r="B97" s="8" t="n">
        <f aca="false">COUNTIF(Assumptions!$J$2:$J$51,A97)</f>
        <v>7</v>
      </c>
    </row>
    <row r="98" customFormat="false" ht="15" hidden="false" customHeight="false" outlineLevel="0" collapsed="false">
      <c r="A98" s="7" t="s">
        <v>77</v>
      </c>
      <c r="B98" s="8" t="n">
        <f aca="false">COUNTIF(Assumptions!$J$2:$J$51,A98)</f>
        <v>0</v>
      </c>
    </row>
    <row r="99" customFormat="false" ht="15" hidden="false" customHeight="false" outlineLevel="0" collapsed="false">
      <c r="A99" s="7" t="s">
        <v>78</v>
      </c>
      <c r="B99" s="8" t="n">
        <f aca="false">COUNTIF(Assumptions!$J$2:$J$51,A99)</f>
        <v>2</v>
      </c>
    </row>
    <row r="100" customFormat="false" ht="15" hidden="false" customHeight="false" outlineLevel="0" collapsed="false">
      <c r="A100" s="7" t="s">
        <v>79</v>
      </c>
      <c r="B100" s="8" t="n">
        <f aca="false">COUNTIF(Assumptions!$J$2:$J$51,A100)</f>
        <v>1</v>
      </c>
    </row>
    <row r="101" customFormat="false" ht="15" hidden="false" customHeight="false" outlineLevel="0" collapsed="false">
      <c r="A101" s="11" t="s">
        <v>15</v>
      </c>
      <c r="B101" s="12" t="n">
        <f aca="false">SUM(B95:B100)</f>
        <v>50</v>
      </c>
    </row>
    <row r="103" customFormat="false" ht="15" hidden="false" customHeight="false" outlineLevel="0" collapsed="false">
      <c r="A103" s="3" t="s">
        <v>80</v>
      </c>
    </row>
    <row r="104" customFormat="false" ht="15" hidden="false" customHeight="false" outlineLevel="0" collapsed="false">
      <c r="A104" s="4" t="s">
        <v>81</v>
      </c>
      <c r="B104" s="5" t="s">
        <v>4</v>
      </c>
    </row>
    <row r="105" customFormat="false" ht="15" hidden="false" customHeight="false" outlineLevel="0" collapsed="false">
      <c r="A105" s="7" t="s">
        <v>80</v>
      </c>
      <c r="B105" s="8" t="n">
        <f aca="false">COUNTA(Questions!$B$2:$B$50)</f>
        <v>49</v>
      </c>
    </row>
    <row r="106" customFormat="false" ht="15" hidden="false" customHeight="false" outlineLevel="0" collapsed="false">
      <c r="A106" s="7" t="s">
        <v>82</v>
      </c>
      <c r="B106" s="8" t="n">
        <f aca="false">COUNTIF(Questions!$A$2:$A$50,"ASM-R1-*")</f>
        <v>31</v>
      </c>
    </row>
    <row r="107" customFormat="false" ht="25.5" hidden="false" customHeight="true" outlineLevel="0" collapsed="false">
      <c r="A107" s="7" t="s">
        <v>83</v>
      </c>
      <c r="B107" s="8" t="n">
        <f aca="false">COUNTIF(Questions!$A$2:$A$50,"N/A")</f>
        <v>18</v>
      </c>
    </row>
    <row r="108" customFormat="false" ht="15" hidden="false" customHeight="false" outlineLevel="0" collapsed="false">
      <c r="A108" s="7" t="s">
        <v>84</v>
      </c>
      <c r="B108" s="8" t="n">
        <f aca="false">COUNTA(Questions!$C$2:$C$50)</f>
        <v>0</v>
      </c>
    </row>
    <row r="109" customFormat="false" ht="15" hidden="false" customHeight="false" outlineLevel="0" collapsed="false">
      <c r="A109" s="7" t="s">
        <v>85</v>
      </c>
      <c r="B109" s="8" t="n">
        <f aca="false">B105-B108</f>
        <v>49</v>
      </c>
    </row>
    <row r="111" customFormat="false" ht="15" hidden="false" customHeight="false" outlineLevel="0" collapsed="false">
      <c r="A111" s="3" t="s">
        <v>86</v>
      </c>
    </row>
    <row r="112" customFormat="false" ht="15" hidden="false" customHeight="false" outlineLevel="0" collapsed="false">
      <c r="A112" s="4" t="s">
        <v>81</v>
      </c>
      <c r="B112" s="5" t="s">
        <v>4</v>
      </c>
    </row>
    <row r="113" customFormat="false" ht="15" hidden="false" customHeight="false" outlineLevel="0" collapsed="false">
      <c r="A113" s="7" t="s">
        <v>87</v>
      </c>
      <c r="B113" s="8" t="n">
        <f aca="false">COUNTA(Checkpoint!$A$2:$A$26)</f>
        <v>25</v>
      </c>
    </row>
    <row r="114" customFormat="false" ht="25.5" hidden="false" customHeight="true" outlineLevel="0" collapsed="false">
      <c r="A114" s="7" t="s">
        <v>88</v>
      </c>
      <c r="B114" s="8" t="n">
        <f aca="false">COUNTIF(Checkpoint!$I$2:$I$26,"Yes")</f>
        <v>22</v>
      </c>
    </row>
    <row r="115" customFormat="false" ht="15" hidden="false" customHeight="false" outlineLevel="0" collapsed="false">
      <c r="A115" s="7" t="s">
        <v>89</v>
      </c>
      <c r="B115" s="8" t="n">
        <f aca="false">COUNTA(Scenarios!$A$2:$A$33)</f>
        <v>32</v>
      </c>
    </row>
    <row r="116" customFormat="false" ht="15" hidden="false" customHeight="false" outlineLevel="0" collapsed="false">
      <c r="A116" s="7" t="s">
        <v>90</v>
      </c>
      <c r="B116" s="8" t="n">
        <f aca="false">COUNTA(TestCases!$A$2:$A$158)</f>
        <v>157</v>
      </c>
    </row>
    <row r="117" customFormat="false" ht="25.5" hidden="false" customHeight="true" outlineLevel="0" collapsed="false">
      <c r="A117" s="7" t="s">
        <v>91</v>
      </c>
      <c r="B117" s="8" t="n">
        <f aca="false">COUNTIF('FS Trace'!$G$2:$G$86,"FS R1 V1.0")</f>
        <v>66</v>
      </c>
    </row>
    <row r="118" customFormat="false" ht="15" hidden="false" customHeight="false" outlineLevel="0" collapsed="false">
      <c r="A118" s="7" t="s">
        <v>92</v>
      </c>
      <c r="B118" s="8" t="n">
        <f aca="false">COUNTIFS('FS Trace'!$G$2:$G$86,"FS R1 V1.0",'FS Trace'!$F$2:$F$86,"Yes")</f>
        <v>66</v>
      </c>
    </row>
    <row r="119" customFormat="false" ht="25.5" hidden="false" customHeight="true" outlineLevel="0" collapsed="false">
      <c r="A119" s="7" t="s">
        <v>93</v>
      </c>
      <c r="B119" s="8" t="n">
        <f aca="false">COUNTIF('FS Trace'!$G$2:$G$86,"First FS (replaced)")</f>
        <v>19</v>
      </c>
    </row>
    <row r="120" customFormat="false" ht="15" hidden="false" customHeight="false" outlineLevel="0" collapsed="false">
      <c r="A120" s="7" t="s">
        <v>94</v>
      </c>
      <c r="B120" s="8" t="n">
        <f aca="false">COUNTIFS('FS Trace'!$G$2:$G$86,"First FS (replaced)",'FS Trace'!$F$2:$F$86,"Yes")</f>
        <v>19</v>
      </c>
    </row>
    <row r="122" customFormat="false" ht="15" hidden="false" customHeight="false" outlineLevel="0" collapsed="false">
      <c r="A122" s="3" t="s">
        <v>95</v>
      </c>
    </row>
    <row r="123" customFormat="false" ht="15" hidden="false" customHeight="true" outlineLevel="0" collapsed="false">
      <c r="A123" s="4" t="s">
        <v>96</v>
      </c>
      <c r="B123" s="6" t="s">
        <v>97</v>
      </c>
      <c r="C123" s="6"/>
      <c r="D123" s="6"/>
      <c r="E123" s="6"/>
      <c r="F123" s="6"/>
      <c r="G123" s="6"/>
    </row>
    <row r="124" customFormat="false" ht="28.5" hidden="false" customHeight="true" outlineLevel="0" collapsed="false">
      <c r="A124" s="7" t="s">
        <v>98</v>
      </c>
      <c r="B124" s="10" t="s">
        <v>99</v>
      </c>
      <c r="C124" s="10"/>
      <c r="D124" s="10"/>
      <c r="E124" s="10"/>
      <c r="F124" s="10"/>
      <c r="G124" s="10"/>
    </row>
    <row r="125" customFormat="false" ht="41.25" hidden="false" customHeight="true" outlineLevel="0" collapsed="false">
      <c r="A125" s="7" t="s">
        <v>100</v>
      </c>
      <c r="B125" s="10" t="s">
        <v>101</v>
      </c>
      <c r="C125" s="10"/>
      <c r="D125" s="10"/>
      <c r="E125" s="10"/>
      <c r="F125" s="10"/>
      <c r="G125" s="10"/>
    </row>
    <row r="126" customFormat="false" ht="41.25" hidden="false" customHeight="true" outlineLevel="0" collapsed="false">
      <c r="A126" s="7" t="s">
        <v>102</v>
      </c>
      <c r="B126" s="10" t="s">
        <v>103</v>
      </c>
      <c r="C126" s="10"/>
      <c r="D126" s="10"/>
      <c r="E126" s="10"/>
      <c r="F126" s="10"/>
      <c r="G126" s="10"/>
    </row>
    <row r="127" customFormat="false" ht="28.5" hidden="false" customHeight="true" outlineLevel="0" collapsed="false">
      <c r="A127" s="7" t="s">
        <v>104</v>
      </c>
      <c r="B127" s="10" t="s">
        <v>105</v>
      </c>
      <c r="C127" s="10"/>
      <c r="D127" s="10"/>
      <c r="E127" s="10"/>
      <c r="F127" s="10"/>
      <c r="G127" s="10"/>
    </row>
    <row r="128" customFormat="false" ht="41.25" hidden="false" customHeight="true" outlineLevel="0" collapsed="false">
      <c r="A128" s="7" t="s">
        <v>106</v>
      </c>
      <c r="B128" s="10" t="s">
        <v>107</v>
      </c>
      <c r="C128" s="10"/>
      <c r="D128" s="10"/>
      <c r="E128" s="10"/>
      <c r="F128" s="10"/>
      <c r="G128" s="10"/>
    </row>
    <row r="129" customFormat="false" ht="28.5" hidden="false" customHeight="true" outlineLevel="0" collapsed="false">
      <c r="A129" s="7" t="s">
        <v>108</v>
      </c>
      <c r="B129" s="10" t="s">
        <v>109</v>
      </c>
      <c r="C129" s="10"/>
      <c r="D129" s="10"/>
      <c r="E129" s="10"/>
      <c r="F129" s="10"/>
      <c r="G129" s="10"/>
    </row>
    <row r="130" customFormat="false" ht="28.5" hidden="false" customHeight="true" outlineLevel="0" collapsed="false">
      <c r="A130" s="7" t="s">
        <v>110</v>
      </c>
      <c r="B130" s="10" t="s">
        <v>111</v>
      </c>
      <c r="C130" s="10"/>
      <c r="D130" s="10"/>
      <c r="E130" s="10"/>
      <c r="F130" s="10"/>
      <c r="G130" s="10"/>
    </row>
    <row r="131" customFormat="false" ht="41.25" hidden="false" customHeight="true" outlineLevel="0" collapsed="false">
      <c r="A131" s="7" t="s">
        <v>80</v>
      </c>
      <c r="B131" s="10" t="s">
        <v>112</v>
      </c>
      <c r="C131" s="10"/>
      <c r="D131" s="10"/>
      <c r="E131" s="10"/>
      <c r="F131" s="10"/>
      <c r="G131" s="10"/>
    </row>
    <row r="132" customFormat="false" ht="28.5" hidden="false" customHeight="true" outlineLevel="0" collapsed="false">
      <c r="A132" s="7" t="s">
        <v>113</v>
      </c>
      <c r="B132" s="10" t="s">
        <v>114</v>
      </c>
      <c r="C132" s="10"/>
      <c r="D132" s="10"/>
      <c r="E132" s="10"/>
      <c r="F132" s="10"/>
      <c r="G132" s="10"/>
    </row>
    <row r="133" customFormat="false" ht="28.5" hidden="false" customHeight="true" outlineLevel="0" collapsed="false">
      <c r="A133" s="7" t="s">
        <v>115</v>
      </c>
      <c r="B133" s="10" t="s">
        <v>116</v>
      </c>
      <c r="C133" s="10"/>
      <c r="D133" s="10"/>
      <c r="E133" s="10"/>
      <c r="F133" s="10"/>
      <c r="G133" s="10"/>
    </row>
    <row r="134" customFormat="false" ht="28.5" hidden="false" customHeight="true" outlineLevel="0" collapsed="false">
      <c r="A134" s="7" t="s">
        <v>117</v>
      </c>
      <c r="B134" s="10" t="s">
        <v>118</v>
      </c>
      <c r="C134" s="10"/>
      <c r="D134" s="10"/>
      <c r="E134" s="10"/>
      <c r="F134" s="10"/>
      <c r="G134" s="10"/>
    </row>
    <row r="135" customFormat="false" ht="28.5" hidden="false" customHeight="true" outlineLevel="0" collapsed="false">
      <c r="A135" s="7" t="s">
        <v>119</v>
      </c>
      <c r="B135" s="10" t="s">
        <v>120</v>
      </c>
      <c r="C135" s="10"/>
      <c r="D135" s="10"/>
      <c r="E135" s="10"/>
      <c r="F135" s="10"/>
      <c r="G135" s="10"/>
    </row>
    <row r="136" customFormat="false" ht="28.5" hidden="false" customHeight="true" outlineLevel="0" collapsed="false">
      <c r="A136" s="7" t="s">
        <v>121</v>
      </c>
      <c r="B136" s="10" t="s">
        <v>122</v>
      </c>
      <c r="C136" s="10"/>
      <c r="D136" s="10"/>
      <c r="E136" s="10"/>
      <c r="F136" s="10"/>
      <c r="G136" s="10"/>
    </row>
    <row r="137" customFormat="false" ht="15.75" hidden="false" customHeight="true" outlineLevel="0" collapsed="false">
      <c r="A137" s="7" t="s">
        <v>123</v>
      </c>
      <c r="B137" s="10" t="s">
        <v>124</v>
      </c>
      <c r="C137" s="10"/>
      <c r="D137" s="10"/>
      <c r="E137" s="10"/>
      <c r="F137" s="10"/>
      <c r="G137" s="10"/>
    </row>
    <row r="139" customFormat="false" ht="15" hidden="false" customHeight="false" outlineLevel="0" collapsed="false">
      <c r="A139" s="3" t="s">
        <v>125</v>
      </c>
    </row>
    <row r="140" customFormat="false" ht="23.25" hidden="false" customHeight="true" outlineLevel="0" collapsed="false">
      <c r="A140" s="4" t="s">
        <v>126</v>
      </c>
      <c r="B140" s="6" t="s">
        <v>127</v>
      </c>
      <c r="C140" s="6"/>
      <c r="D140" s="6"/>
      <c r="E140" s="6"/>
      <c r="F140" s="6" t="s">
        <v>128</v>
      </c>
      <c r="G140" s="6"/>
    </row>
    <row r="141" customFormat="false" ht="54" hidden="false" customHeight="true" outlineLevel="0" collapsed="false">
      <c r="A141" s="7" t="s">
        <v>129</v>
      </c>
      <c r="B141" s="10" t="s">
        <v>130</v>
      </c>
      <c r="C141" s="10"/>
      <c r="D141" s="10"/>
      <c r="E141" s="10"/>
      <c r="F141" s="10" t="s">
        <v>131</v>
      </c>
      <c r="G141" s="10"/>
    </row>
    <row r="142" customFormat="false" ht="41.25" hidden="false" customHeight="true" outlineLevel="0" collapsed="false">
      <c r="A142" s="7" t="s">
        <v>132</v>
      </c>
      <c r="B142" s="10" t="s">
        <v>133</v>
      </c>
      <c r="C142" s="10"/>
      <c r="D142" s="10"/>
      <c r="E142" s="10"/>
      <c r="F142" s="10" t="s">
        <v>134</v>
      </c>
      <c r="G142" s="10"/>
    </row>
    <row r="143" customFormat="false" ht="28.5" hidden="false" customHeight="true" outlineLevel="0" collapsed="false">
      <c r="A143" s="7" t="s">
        <v>135</v>
      </c>
      <c r="B143" s="10" t="s">
        <v>136</v>
      </c>
      <c r="C143" s="10"/>
      <c r="D143" s="10"/>
      <c r="E143" s="10"/>
      <c r="F143" s="10" t="s">
        <v>137</v>
      </c>
      <c r="G143" s="10"/>
    </row>
    <row r="144" customFormat="false" ht="54" hidden="false" customHeight="true" outlineLevel="0" collapsed="false">
      <c r="A144" s="7" t="s">
        <v>138</v>
      </c>
      <c r="B144" s="10" t="s">
        <v>139</v>
      </c>
      <c r="C144" s="10"/>
      <c r="D144" s="10"/>
      <c r="E144" s="10"/>
      <c r="F144" s="10" t="s">
        <v>140</v>
      </c>
      <c r="G144" s="10"/>
    </row>
    <row r="145" customFormat="false" ht="41.25" hidden="false" customHeight="true" outlineLevel="0" collapsed="false">
      <c r="A145" s="7" t="s">
        <v>141</v>
      </c>
      <c r="B145" s="10" t="s">
        <v>142</v>
      </c>
      <c r="C145" s="10"/>
      <c r="D145" s="10"/>
      <c r="E145" s="10"/>
      <c r="F145" s="10" t="s">
        <v>143</v>
      </c>
      <c r="G145" s="10"/>
    </row>
    <row r="146" customFormat="false" ht="28.5" hidden="false" customHeight="true" outlineLevel="0" collapsed="false">
      <c r="A146" s="7" t="s">
        <v>144</v>
      </c>
      <c r="B146" s="10" t="s">
        <v>142</v>
      </c>
      <c r="C146" s="10"/>
      <c r="D146" s="10"/>
      <c r="E146" s="10"/>
      <c r="F146" s="10" t="s">
        <v>145</v>
      </c>
      <c r="G146" s="10"/>
    </row>
    <row r="147" customFormat="false" ht="28.5" hidden="false" customHeight="true" outlineLevel="0" collapsed="false">
      <c r="A147" s="7" t="s">
        <v>146</v>
      </c>
      <c r="B147" s="10" t="s">
        <v>142</v>
      </c>
      <c r="C147" s="10"/>
      <c r="D147" s="10"/>
      <c r="E147" s="10"/>
      <c r="F147" s="10" t="s">
        <v>147</v>
      </c>
      <c r="G147" s="10"/>
    </row>
    <row r="148" customFormat="false" ht="15.75" hidden="false" customHeight="true" outlineLevel="0" collapsed="false">
      <c r="A148" s="7" t="s">
        <v>148</v>
      </c>
      <c r="B148" s="10" t="s">
        <v>149</v>
      </c>
      <c r="C148" s="10"/>
      <c r="D148" s="10"/>
      <c r="E148" s="10"/>
      <c r="F148" s="10" t="s">
        <v>150</v>
      </c>
      <c r="G148" s="10"/>
    </row>
    <row r="149" customFormat="false" ht="15.75" hidden="false" customHeight="true" outlineLevel="0" collapsed="false">
      <c r="A149" s="7" t="s">
        <v>151</v>
      </c>
      <c r="B149" s="10" t="s">
        <v>152</v>
      </c>
      <c r="C149" s="10"/>
      <c r="D149" s="10"/>
      <c r="E149" s="10"/>
      <c r="F149" s="10" t="s">
        <v>153</v>
      </c>
      <c r="G149" s="10"/>
    </row>
    <row r="150" customFormat="false" ht="28.5" hidden="false" customHeight="true" outlineLevel="0" collapsed="false">
      <c r="A150" s="7" t="s">
        <v>154</v>
      </c>
      <c r="B150" s="10" t="s">
        <v>133</v>
      </c>
      <c r="C150" s="10"/>
      <c r="D150" s="10"/>
      <c r="E150" s="10"/>
      <c r="F150" s="10" t="s">
        <v>155</v>
      </c>
      <c r="G150" s="10"/>
    </row>
    <row r="152" customFormat="false" ht="15" hidden="false" customHeight="false" outlineLevel="0" collapsed="false">
      <c r="A152" s="3" t="s">
        <v>156</v>
      </c>
    </row>
    <row r="153" customFormat="false" ht="15.75" hidden="false" customHeight="true" outlineLevel="0" collapsed="false">
      <c r="A153" s="2" t="s">
        <v>157</v>
      </c>
      <c r="B153" s="2"/>
      <c r="C153" s="2"/>
      <c r="D153" s="2"/>
      <c r="E153" s="2"/>
      <c r="F153" s="2"/>
      <c r="G153" s="2"/>
    </row>
    <row r="154" customFormat="false" ht="15.75" hidden="false" customHeight="true" outlineLevel="0" collapsed="false">
      <c r="A154" s="2" t="s">
        <v>158</v>
      </c>
      <c r="B154" s="2"/>
      <c r="C154" s="2"/>
      <c r="D154" s="2"/>
      <c r="E154" s="2"/>
      <c r="F154" s="2"/>
      <c r="G154" s="2"/>
    </row>
    <row r="155" customFormat="false" ht="15.75" hidden="false" customHeight="true" outlineLevel="0" collapsed="false">
      <c r="A155" s="2" t="s">
        <v>159</v>
      </c>
      <c r="B155" s="2"/>
      <c r="C155" s="2"/>
      <c r="D155" s="2"/>
      <c r="E155" s="2"/>
      <c r="F155" s="2"/>
      <c r="G155" s="2"/>
    </row>
    <row r="156" customFormat="false" ht="28.5" hidden="false" customHeight="true" outlineLevel="0" collapsed="false">
      <c r="A156" s="2" t="s">
        <v>160</v>
      </c>
      <c r="B156" s="2"/>
      <c r="C156" s="2"/>
      <c r="D156" s="2"/>
      <c r="E156" s="2"/>
      <c r="F156" s="2"/>
      <c r="G156" s="2"/>
    </row>
  </sheetData>
  <mergeCells count="52">
    <mergeCell ref="A2:G2"/>
    <mergeCell ref="D5:G5"/>
    <mergeCell ref="D6:G6"/>
    <mergeCell ref="D7:G7"/>
    <mergeCell ref="D8:G8"/>
    <mergeCell ref="D9:G9"/>
    <mergeCell ref="B37:G37"/>
    <mergeCell ref="B38:G38"/>
    <mergeCell ref="B39:G39"/>
    <mergeCell ref="B40:G40"/>
    <mergeCell ref="B41:G41"/>
    <mergeCell ref="B123:G123"/>
    <mergeCell ref="B124:G124"/>
    <mergeCell ref="B125:G125"/>
    <mergeCell ref="B126:G126"/>
    <mergeCell ref="B127:G127"/>
    <mergeCell ref="B128:G128"/>
    <mergeCell ref="B129:G129"/>
    <mergeCell ref="B130:G130"/>
    <mergeCell ref="B131:G131"/>
    <mergeCell ref="B132:G132"/>
    <mergeCell ref="B133:G133"/>
    <mergeCell ref="B134:G134"/>
    <mergeCell ref="B135:G135"/>
    <mergeCell ref="B136:G136"/>
    <mergeCell ref="B137:G137"/>
    <mergeCell ref="B140:E140"/>
    <mergeCell ref="F140:G140"/>
    <mergeCell ref="B141:E141"/>
    <mergeCell ref="F141:G141"/>
    <mergeCell ref="B142:E142"/>
    <mergeCell ref="F142:G142"/>
    <mergeCell ref="B143:E143"/>
    <mergeCell ref="F143:G143"/>
    <mergeCell ref="B144:E144"/>
    <mergeCell ref="F144:G144"/>
    <mergeCell ref="B145:E145"/>
    <mergeCell ref="F145:G145"/>
    <mergeCell ref="B146:E146"/>
    <mergeCell ref="F146:G146"/>
    <mergeCell ref="B147:E147"/>
    <mergeCell ref="F147:G147"/>
    <mergeCell ref="B148:E148"/>
    <mergeCell ref="F148:G148"/>
    <mergeCell ref="B149:E149"/>
    <mergeCell ref="F149:G149"/>
    <mergeCell ref="B150:E150"/>
    <mergeCell ref="F150:G150"/>
    <mergeCell ref="A153:G153"/>
    <mergeCell ref="A154:G154"/>
    <mergeCell ref="A155:G155"/>
    <mergeCell ref="A156:G1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W158"/>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3" activeCellId="0" sqref="G3"/>
    </sheetView>
  </sheetViews>
  <sheetFormatPr defaultColWidth="8.714843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6"/>
    <col collapsed="false" customWidth="true" hidden="false" outlineLevel="0" max="4" min="4" style="0" width="9"/>
    <col collapsed="false" customWidth="true" hidden="false" outlineLevel="0" max="5" min="5" style="0" width="12"/>
    <col collapsed="false" customWidth="true" hidden="false" outlineLevel="0" max="6" min="6" style="0" width="38"/>
    <col collapsed="false" customWidth="true" hidden="false" outlineLevel="0" max="7" min="7" style="0" width="48"/>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40"/>
    <col collapsed="false" customWidth="true" hidden="false" outlineLevel="0" max="12" min="12" style="0" width="26"/>
    <col collapsed="false" customWidth="true" hidden="false" outlineLevel="0" max="13" min="13" style="0" width="44"/>
    <col collapsed="false" customWidth="true" hidden="false" outlineLevel="0" max="14" min="14" style="0" width="54"/>
    <col collapsed="false" customWidth="true" hidden="false" outlineLevel="0" max="15" min="15" style="0" width="48"/>
    <col collapsed="false" customWidth="true" hidden="false" outlineLevel="0" max="16" min="16" style="0" width="13"/>
    <col collapsed="false" customWidth="true" hidden="false" outlineLevel="0" max="17" min="17" style="0" width="40"/>
    <col collapsed="false" customWidth="true" hidden="false" outlineLevel="0" max="18" min="18" style="0" width="12"/>
    <col collapsed="false" customWidth="true" hidden="false" outlineLevel="0" max="19" min="19" style="0" width="34"/>
    <col collapsed="false" customWidth="true" hidden="false" outlineLevel="0" max="20" min="20" style="0" width="30"/>
    <col collapsed="false" customWidth="true" hidden="false" outlineLevel="0" max="21" min="21" style="0" width="12"/>
    <col collapsed="false" customWidth="true" hidden="false" outlineLevel="0" max="22" min="22" style="0" width="10"/>
    <col collapsed="false" customWidth="true" hidden="false" outlineLevel="0" max="23" min="23" style="0" width="64"/>
  </cols>
  <sheetData>
    <row r="1" customFormat="false" ht="34.5" hidden="false" customHeight="true" outlineLevel="0" collapsed="false">
      <c r="A1" s="5" t="s">
        <v>161</v>
      </c>
      <c r="B1" s="5" t="s">
        <v>162</v>
      </c>
      <c r="C1" s="5" t="s">
        <v>163</v>
      </c>
      <c r="D1" s="5" t="s">
        <v>35</v>
      </c>
      <c r="E1" s="5" t="s">
        <v>164</v>
      </c>
      <c r="F1" s="5" t="s">
        <v>165</v>
      </c>
      <c r="G1" s="5" t="s">
        <v>166</v>
      </c>
      <c r="H1" s="5" t="s">
        <v>17</v>
      </c>
      <c r="I1" s="5" t="s">
        <v>23</v>
      </c>
      <c r="J1" s="5" t="s">
        <v>55</v>
      </c>
      <c r="K1" s="5" t="s">
        <v>167</v>
      </c>
      <c r="L1" s="5" t="s">
        <v>168</v>
      </c>
      <c r="M1" s="5" t="s">
        <v>169</v>
      </c>
      <c r="N1" s="5" t="s">
        <v>170</v>
      </c>
      <c r="O1" s="5" t="s">
        <v>171</v>
      </c>
      <c r="P1" s="5" t="s">
        <v>123</v>
      </c>
      <c r="Q1" s="5" t="s">
        <v>172</v>
      </c>
      <c r="R1" s="5" t="s">
        <v>173</v>
      </c>
      <c r="S1" s="5" t="s">
        <v>108</v>
      </c>
      <c r="T1" s="5" t="s">
        <v>110</v>
      </c>
      <c r="U1" s="5" t="s">
        <v>39</v>
      </c>
      <c r="V1" s="5" t="s">
        <v>3</v>
      </c>
      <c r="W1" s="5" t="s">
        <v>174</v>
      </c>
    </row>
    <row r="2" customFormat="false" ht="143.25" hidden="false" customHeight="true" outlineLevel="0" collapsed="false">
      <c r="A2" s="8" t="s">
        <v>175</v>
      </c>
      <c r="B2" s="8" t="s">
        <v>176</v>
      </c>
      <c r="C2" s="8" t="s">
        <v>177</v>
      </c>
      <c r="D2" s="8" t="s">
        <v>36</v>
      </c>
      <c r="E2" s="8" t="s">
        <v>178</v>
      </c>
      <c r="F2" s="8" t="s">
        <v>179</v>
      </c>
      <c r="G2" s="8" t="s">
        <v>180</v>
      </c>
      <c r="H2" s="8" t="s">
        <v>18</v>
      </c>
      <c r="I2" s="8" t="n">
        <v>1</v>
      </c>
      <c r="J2" s="8" t="s">
        <v>58</v>
      </c>
      <c r="K2" s="8" t="s">
        <v>181</v>
      </c>
      <c r="L2" s="8" t="s">
        <v>182</v>
      </c>
      <c r="M2" s="8" t="s">
        <v>183</v>
      </c>
      <c r="N2" s="8" t="s">
        <v>184</v>
      </c>
      <c r="O2" s="8" t="s">
        <v>185</v>
      </c>
      <c r="P2" s="8" t="s">
        <v>186</v>
      </c>
      <c r="Q2" s="8" t="s">
        <v>187</v>
      </c>
      <c r="R2" s="8" t="s">
        <v>188</v>
      </c>
      <c r="S2" s="8" t="s">
        <v>65</v>
      </c>
      <c r="T2" s="8" t="s">
        <v>189</v>
      </c>
      <c r="U2" s="8" t="s">
        <v>40</v>
      </c>
      <c r="V2" s="8" t="s">
        <v>7</v>
      </c>
      <c r="W2" s="8" t="s">
        <v>190</v>
      </c>
    </row>
    <row r="3" customFormat="false" ht="143.25" hidden="false" customHeight="true" outlineLevel="0" collapsed="false">
      <c r="A3" s="8" t="s">
        <v>191</v>
      </c>
      <c r="B3" s="8" t="s">
        <v>176</v>
      </c>
      <c r="C3" s="8" t="s">
        <v>177</v>
      </c>
      <c r="D3" s="8" t="s">
        <v>36</v>
      </c>
      <c r="E3" s="8" t="s">
        <v>178</v>
      </c>
      <c r="F3" s="8" t="s">
        <v>192</v>
      </c>
      <c r="G3" s="8" t="s">
        <v>193</v>
      </c>
      <c r="H3" s="8" t="s">
        <v>19</v>
      </c>
      <c r="I3" s="8" t="n">
        <v>2</v>
      </c>
      <c r="J3" s="8" t="s">
        <v>58</v>
      </c>
      <c r="K3" s="8" t="s">
        <v>194</v>
      </c>
      <c r="L3" s="8" t="s">
        <v>182</v>
      </c>
      <c r="M3" s="8" t="s">
        <v>195</v>
      </c>
      <c r="N3" s="8" t="s">
        <v>196</v>
      </c>
      <c r="O3" s="8" t="s">
        <v>197</v>
      </c>
      <c r="P3" s="8" t="s">
        <v>186</v>
      </c>
      <c r="Q3" s="8" t="s">
        <v>198</v>
      </c>
      <c r="R3" s="8" t="s">
        <v>188</v>
      </c>
      <c r="S3" s="8" t="s">
        <v>65</v>
      </c>
      <c r="T3" s="8" t="s">
        <v>189</v>
      </c>
      <c r="U3" s="8" t="s">
        <v>40</v>
      </c>
      <c r="V3" s="8" t="s">
        <v>7</v>
      </c>
      <c r="W3" s="8" t="s">
        <v>199</v>
      </c>
    </row>
    <row r="4" customFormat="false" ht="156" hidden="false" customHeight="true" outlineLevel="0" collapsed="false">
      <c r="A4" s="8" t="s">
        <v>200</v>
      </c>
      <c r="B4" s="8" t="s">
        <v>176</v>
      </c>
      <c r="C4" s="8" t="s">
        <v>177</v>
      </c>
      <c r="D4" s="8" t="s">
        <v>36</v>
      </c>
      <c r="E4" s="8" t="s">
        <v>201</v>
      </c>
      <c r="F4" s="8" t="s">
        <v>202</v>
      </c>
      <c r="G4" s="8" t="s">
        <v>203</v>
      </c>
      <c r="H4" s="8" t="s">
        <v>20</v>
      </c>
      <c r="I4" s="8" t="n">
        <v>3</v>
      </c>
      <c r="J4" s="8" t="s">
        <v>57</v>
      </c>
      <c r="K4" s="8" t="s">
        <v>204</v>
      </c>
      <c r="L4" s="8" t="s">
        <v>182</v>
      </c>
      <c r="M4" s="8" t="s">
        <v>205</v>
      </c>
      <c r="N4" s="8" t="s">
        <v>206</v>
      </c>
      <c r="O4" s="8" t="s">
        <v>207</v>
      </c>
      <c r="P4" s="8" t="s">
        <v>186</v>
      </c>
      <c r="Q4" s="8" t="s">
        <v>208</v>
      </c>
      <c r="R4" s="8" t="s">
        <v>188</v>
      </c>
      <c r="S4" s="8" t="s">
        <v>65</v>
      </c>
      <c r="T4" s="8" t="s">
        <v>189</v>
      </c>
      <c r="U4" s="8" t="s">
        <v>40</v>
      </c>
      <c r="V4" s="8" t="s">
        <v>7</v>
      </c>
      <c r="W4" s="8" t="s">
        <v>209</v>
      </c>
    </row>
    <row r="5" customFormat="false" ht="156" hidden="false" customHeight="true" outlineLevel="0" collapsed="false">
      <c r="A5" s="8" t="s">
        <v>210</v>
      </c>
      <c r="B5" s="8" t="s">
        <v>176</v>
      </c>
      <c r="C5" s="8" t="s">
        <v>177</v>
      </c>
      <c r="D5" s="8" t="s">
        <v>36</v>
      </c>
      <c r="E5" s="8" t="s">
        <v>201</v>
      </c>
      <c r="F5" s="8" t="s">
        <v>211</v>
      </c>
      <c r="G5" s="8" t="s">
        <v>212</v>
      </c>
      <c r="H5" s="8" t="s">
        <v>20</v>
      </c>
      <c r="I5" s="8" t="n">
        <v>3</v>
      </c>
      <c r="J5" s="8" t="s">
        <v>57</v>
      </c>
      <c r="K5" s="8" t="s">
        <v>204</v>
      </c>
      <c r="L5" s="8" t="s">
        <v>182</v>
      </c>
      <c r="M5" s="8" t="s">
        <v>213</v>
      </c>
      <c r="N5" s="8" t="s">
        <v>214</v>
      </c>
      <c r="O5" s="8" t="s">
        <v>207</v>
      </c>
      <c r="P5" s="8" t="s">
        <v>186</v>
      </c>
      <c r="Q5" s="8" t="s">
        <v>215</v>
      </c>
      <c r="R5" s="8" t="s">
        <v>188</v>
      </c>
      <c r="S5" s="8" t="s">
        <v>65</v>
      </c>
      <c r="T5" s="8" t="s">
        <v>189</v>
      </c>
      <c r="U5" s="8" t="s">
        <v>40</v>
      </c>
      <c r="V5" s="8" t="s">
        <v>7</v>
      </c>
      <c r="W5" s="8" t="s">
        <v>216</v>
      </c>
    </row>
    <row r="6" customFormat="false" ht="156" hidden="false" customHeight="true" outlineLevel="0" collapsed="false">
      <c r="A6" s="8" t="s">
        <v>217</v>
      </c>
      <c r="B6" s="8" t="s">
        <v>176</v>
      </c>
      <c r="C6" s="8" t="s">
        <v>177</v>
      </c>
      <c r="D6" s="8" t="s">
        <v>36</v>
      </c>
      <c r="E6" s="8" t="s">
        <v>201</v>
      </c>
      <c r="F6" s="8" t="s">
        <v>218</v>
      </c>
      <c r="G6" s="8" t="s">
        <v>219</v>
      </c>
      <c r="H6" s="8" t="s">
        <v>19</v>
      </c>
      <c r="I6" s="8" t="n">
        <v>2</v>
      </c>
      <c r="J6" s="8" t="s">
        <v>58</v>
      </c>
      <c r="K6" s="8" t="s">
        <v>204</v>
      </c>
      <c r="L6" s="8" t="s">
        <v>182</v>
      </c>
      <c r="M6" s="8" t="s">
        <v>220</v>
      </c>
      <c r="N6" s="8" t="s">
        <v>221</v>
      </c>
      <c r="O6" s="8" t="s">
        <v>207</v>
      </c>
      <c r="P6" s="8" t="s">
        <v>186</v>
      </c>
      <c r="Q6" s="8" t="s">
        <v>222</v>
      </c>
      <c r="R6" s="8" t="s">
        <v>188</v>
      </c>
      <c r="S6" s="8" t="s">
        <v>65</v>
      </c>
      <c r="T6" s="8" t="s">
        <v>223</v>
      </c>
      <c r="U6" s="8" t="s">
        <v>40</v>
      </c>
      <c r="V6" s="8" t="s">
        <v>7</v>
      </c>
      <c r="W6" s="8" t="s">
        <v>224</v>
      </c>
    </row>
    <row r="7" customFormat="false" ht="130.5" hidden="false" customHeight="true" outlineLevel="0" collapsed="false">
      <c r="A7" s="8" t="s">
        <v>225</v>
      </c>
      <c r="B7" s="8" t="s">
        <v>176</v>
      </c>
      <c r="C7" s="8" t="s">
        <v>177</v>
      </c>
      <c r="D7" s="8" t="s">
        <v>36</v>
      </c>
      <c r="E7" s="8" t="s">
        <v>226</v>
      </c>
      <c r="F7" s="8" t="s">
        <v>227</v>
      </c>
      <c r="G7" s="8" t="s">
        <v>228</v>
      </c>
      <c r="H7" s="8" t="s">
        <v>18</v>
      </c>
      <c r="I7" s="8" t="n">
        <v>1</v>
      </c>
      <c r="J7" s="8" t="s">
        <v>56</v>
      </c>
      <c r="K7" s="8" t="s">
        <v>229</v>
      </c>
      <c r="L7" s="8" t="s">
        <v>182</v>
      </c>
      <c r="M7" s="8" t="s">
        <v>230</v>
      </c>
      <c r="N7" s="8" t="s">
        <v>231</v>
      </c>
      <c r="O7" s="8" t="s">
        <v>185</v>
      </c>
      <c r="P7" s="8" t="s">
        <v>186</v>
      </c>
      <c r="Q7" s="8" t="s">
        <v>232</v>
      </c>
      <c r="R7" s="8" t="s">
        <v>233</v>
      </c>
      <c r="S7" s="8" t="s">
        <v>65</v>
      </c>
      <c r="T7" s="8" t="s">
        <v>234</v>
      </c>
      <c r="U7" s="8" t="s">
        <v>40</v>
      </c>
      <c r="V7" s="8" t="s">
        <v>7</v>
      </c>
      <c r="W7" s="8" t="s">
        <v>235</v>
      </c>
    </row>
    <row r="8" customFormat="false" ht="130.5" hidden="false" customHeight="true" outlineLevel="0" collapsed="false">
      <c r="A8" s="8" t="s">
        <v>236</v>
      </c>
      <c r="B8" s="8" t="s">
        <v>176</v>
      </c>
      <c r="C8" s="8" t="s">
        <v>177</v>
      </c>
      <c r="D8" s="8" t="s">
        <v>36</v>
      </c>
      <c r="E8" s="8" t="s">
        <v>226</v>
      </c>
      <c r="F8" s="8" t="s">
        <v>237</v>
      </c>
      <c r="G8" s="8" t="s">
        <v>238</v>
      </c>
      <c r="H8" s="8" t="s">
        <v>19</v>
      </c>
      <c r="I8" s="8" t="n">
        <v>2</v>
      </c>
      <c r="J8" s="8" t="s">
        <v>56</v>
      </c>
      <c r="K8" s="8" t="s">
        <v>229</v>
      </c>
      <c r="L8" s="8" t="s">
        <v>182</v>
      </c>
      <c r="M8" s="8" t="s">
        <v>239</v>
      </c>
      <c r="N8" s="8" t="s">
        <v>240</v>
      </c>
      <c r="O8" s="8" t="s">
        <v>185</v>
      </c>
      <c r="P8" s="8" t="s">
        <v>186</v>
      </c>
      <c r="Q8" s="8" t="s">
        <v>241</v>
      </c>
      <c r="R8" s="8" t="s">
        <v>233</v>
      </c>
      <c r="S8" s="8" t="s">
        <v>242</v>
      </c>
      <c r="T8" s="8" t="s">
        <v>243</v>
      </c>
      <c r="U8" s="8" t="s">
        <v>40</v>
      </c>
      <c r="V8" s="8" t="s">
        <v>9</v>
      </c>
      <c r="W8" s="8" t="s">
        <v>244</v>
      </c>
    </row>
    <row r="9" customFormat="false" ht="130.5" hidden="false" customHeight="true" outlineLevel="0" collapsed="false">
      <c r="A9" s="8" t="s">
        <v>245</v>
      </c>
      <c r="B9" s="8" t="s">
        <v>176</v>
      </c>
      <c r="C9" s="8" t="s">
        <v>177</v>
      </c>
      <c r="D9" s="8" t="s">
        <v>36</v>
      </c>
      <c r="E9" s="8" t="s">
        <v>226</v>
      </c>
      <c r="F9" s="8" t="s">
        <v>246</v>
      </c>
      <c r="G9" s="8" t="s">
        <v>247</v>
      </c>
      <c r="H9" s="8" t="s">
        <v>19</v>
      </c>
      <c r="I9" s="8" t="n">
        <v>2</v>
      </c>
      <c r="J9" s="8" t="s">
        <v>57</v>
      </c>
      <c r="K9" s="8" t="s">
        <v>229</v>
      </c>
      <c r="L9" s="8" t="s">
        <v>182</v>
      </c>
      <c r="M9" s="8" t="s">
        <v>248</v>
      </c>
      <c r="N9" s="8" t="s">
        <v>249</v>
      </c>
      <c r="O9" s="8" t="s">
        <v>207</v>
      </c>
      <c r="P9" s="8" t="s">
        <v>186</v>
      </c>
      <c r="Q9" s="8" t="s">
        <v>250</v>
      </c>
      <c r="R9" s="8" t="s">
        <v>233</v>
      </c>
      <c r="S9" s="8" t="s">
        <v>65</v>
      </c>
      <c r="T9" s="8" t="s">
        <v>234</v>
      </c>
      <c r="U9" s="8" t="s">
        <v>40</v>
      </c>
      <c r="V9" s="8" t="s">
        <v>7</v>
      </c>
      <c r="W9" s="8" t="s">
        <v>251</v>
      </c>
    </row>
    <row r="10" customFormat="false" ht="130.5" hidden="false" customHeight="true" outlineLevel="0" collapsed="false">
      <c r="A10" s="8" t="s">
        <v>252</v>
      </c>
      <c r="B10" s="8" t="s">
        <v>176</v>
      </c>
      <c r="C10" s="8" t="s">
        <v>177</v>
      </c>
      <c r="D10" s="8" t="s">
        <v>36</v>
      </c>
      <c r="E10" s="8" t="s">
        <v>226</v>
      </c>
      <c r="F10" s="8" t="s">
        <v>253</v>
      </c>
      <c r="G10" s="8" t="s">
        <v>254</v>
      </c>
      <c r="H10" s="8" t="s">
        <v>19</v>
      </c>
      <c r="I10" s="8" t="n">
        <v>2</v>
      </c>
      <c r="J10" s="8" t="s">
        <v>57</v>
      </c>
      <c r="K10" s="8" t="s">
        <v>229</v>
      </c>
      <c r="L10" s="8" t="s">
        <v>182</v>
      </c>
      <c r="M10" s="8" t="s">
        <v>255</v>
      </c>
      <c r="N10" s="8" t="s">
        <v>256</v>
      </c>
      <c r="O10" s="8" t="s">
        <v>207</v>
      </c>
      <c r="P10" s="8" t="s">
        <v>186</v>
      </c>
      <c r="Q10" s="8" t="s">
        <v>257</v>
      </c>
      <c r="R10" s="8" t="s">
        <v>233</v>
      </c>
      <c r="S10" s="8" t="s">
        <v>65</v>
      </c>
      <c r="T10" s="8" t="s">
        <v>234</v>
      </c>
      <c r="U10" s="8" t="s">
        <v>40</v>
      </c>
      <c r="V10" s="8" t="s">
        <v>7</v>
      </c>
      <c r="W10" s="8" t="s">
        <v>258</v>
      </c>
    </row>
    <row r="11" customFormat="false" ht="130.5" hidden="false" customHeight="true" outlineLevel="0" collapsed="false">
      <c r="A11" s="8" t="s">
        <v>259</v>
      </c>
      <c r="B11" s="8" t="s">
        <v>176</v>
      </c>
      <c r="C11" s="8" t="s">
        <v>177</v>
      </c>
      <c r="D11" s="8" t="s">
        <v>36</v>
      </c>
      <c r="E11" s="8" t="s">
        <v>226</v>
      </c>
      <c r="F11" s="8" t="s">
        <v>260</v>
      </c>
      <c r="G11" s="8" t="s">
        <v>261</v>
      </c>
      <c r="H11" s="8" t="s">
        <v>19</v>
      </c>
      <c r="I11" s="8" t="n">
        <v>2</v>
      </c>
      <c r="J11" s="8" t="s">
        <v>56</v>
      </c>
      <c r="K11" s="8" t="s">
        <v>229</v>
      </c>
      <c r="L11" s="8" t="s">
        <v>182</v>
      </c>
      <c r="M11" s="8" t="s">
        <v>262</v>
      </c>
      <c r="N11" s="8" t="s">
        <v>263</v>
      </c>
      <c r="O11" s="8" t="s">
        <v>185</v>
      </c>
      <c r="P11" s="8" t="s">
        <v>186</v>
      </c>
      <c r="Q11" s="8" t="s">
        <v>264</v>
      </c>
      <c r="R11" s="8" t="s">
        <v>233</v>
      </c>
      <c r="S11" s="8" t="s">
        <v>65</v>
      </c>
      <c r="T11" s="8" t="s">
        <v>234</v>
      </c>
      <c r="U11" s="8" t="s">
        <v>40</v>
      </c>
      <c r="V11" s="8" t="s">
        <v>7</v>
      </c>
      <c r="W11" s="8" t="s">
        <v>265</v>
      </c>
    </row>
    <row r="12" customFormat="false" ht="143.25" hidden="false" customHeight="true" outlineLevel="0" collapsed="false">
      <c r="A12" s="8" t="s">
        <v>266</v>
      </c>
      <c r="B12" s="8" t="s">
        <v>176</v>
      </c>
      <c r="C12" s="8" t="s">
        <v>177</v>
      </c>
      <c r="D12" s="8" t="s">
        <v>36</v>
      </c>
      <c r="E12" s="8" t="s">
        <v>267</v>
      </c>
      <c r="F12" s="8" t="s">
        <v>268</v>
      </c>
      <c r="G12" s="8" t="s">
        <v>269</v>
      </c>
      <c r="H12" s="8" t="s">
        <v>18</v>
      </c>
      <c r="I12" s="8" t="n">
        <v>1</v>
      </c>
      <c r="J12" s="8" t="s">
        <v>56</v>
      </c>
      <c r="K12" s="8" t="s">
        <v>181</v>
      </c>
      <c r="L12" s="8" t="s">
        <v>182</v>
      </c>
      <c r="M12" s="8" t="s">
        <v>270</v>
      </c>
      <c r="N12" s="8" t="s">
        <v>271</v>
      </c>
      <c r="O12" s="8" t="s">
        <v>272</v>
      </c>
      <c r="P12" s="8" t="s">
        <v>186</v>
      </c>
      <c r="Q12" s="8" t="s">
        <v>273</v>
      </c>
      <c r="R12" s="8" t="s">
        <v>274</v>
      </c>
      <c r="S12" s="8" t="s">
        <v>65</v>
      </c>
      <c r="T12" s="8" t="s">
        <v>275</v>
      </c>
      <c r="U12" s="8" t="s">
        <v>40</v>
      </c>
      <c r="V12" s="8" t="s">
        <v>7</v>
      </c>
      <c r="W12" s="8" t="s">
        <v>276</v>
      </c>
    </row>
    <row r="13" customFormat="false" ht="143.25" hidden="false" customHeight="true" outlineLevel="0" collapsed="false">
      <c r="A13" s="8" t="s">
        <v>277</v>
      </c>
      <c r="B13" s="8" t="s">
        <v>176</v>
      </c>
      <c r="C13" s="8" t="s">
        <v>177</v>
      </c>
      <c r="D13" s="8" t="s">
        <v>36</v>
      </c>
      <c r="E13" s="8" t="s">
        <v>267</v>
      </c>
      <c r="F13" s="8" t="s">
        <v>278</v>
      </c>
      <c r="G13" s="8" t="s">
        <v>279</v>
      </c>
      <c r="H13" s="8" t="s">
        <v>19</v>
      </c>
      <c r="I13" s="8" t="n">
        <v>2</v>
      </c>
      <c r="J13" s="8" t="s">
        <v>56</v>
      </c>
      <c r="K13" s="8" t="s">
        <v>280</v>
      </c>
      <c r="L13" s="8" t="s">
        <v>182</v>
      </c>
      <c r="M13" s="8" t="s">
        <v>281</v>
      </c>
      <c r="N13" s="8" t="s">
        <v>282</v>
      </c>
      <c r="O13" s="8" t="s">
        <v>283</v>
      </c>
      <c r="P13" s="8" t="s">
        <v>186</v>
      </c>
      <c r="Q13" s="8" t="s">
        <v>284</v>
      </c>
      <c r="R13" s="8" t="s">
        <v>274</v>
      </c>
      <c r="S13" s="8" t="s">
        <v>65</v>
      </c>
      <c r="T13" s="8" t="s">
        <v>234</v>
      </c>
      <c r="U13" s="8" t="s">
        <v>40</v>
      </c>
      <c r="V13" s="8" t="s">
        <v>7</v>
      </c>
      <c r="W13" s="8" t="s">
        <v>285</v>
      </c>
    </row>
    <row r="14" customFormat="false" ht="143.25" hidden="false" customHeight="true" outlineLevel="0" collapsed="false">
      <c r="A14" s="8" t="s">
        <v>286</v>
      </c>
      <c r="B14" s="8" t="s">
        <v>176</v>
      </c>
      <c r="C14" s="8" t="s">
        <v>177</v>
      </c>
      <c r="D14" s="8" t="s">
        <v>36</v>
      </c>
      <c r="E14" s="8" t="s">
        <v>267</v>
      </c>
      <c r="F14" s="8" t="s">
        <v>287</v>
      </c>
      <c r="G14" s="8" t="s">
        <v>288</v>
      </c>
      <c r="H14" s="8" t="s">
        <v>20</v>
      </c>
      <c r="I14" s="8" t="n">
        <v>3</v>
      </c>
      <c r="J14" s="8" t="s">
        <v>56</v>
      </c>
      <c r="K14" s="8" t="s">
        <v>181</v>
      </c>
      <c r="L14" s="8" t="s">
        <v>182</v>
      </c>
      <c r="M14" s="8" t="s">
        <v>289</v>
      </c>
      <c r="N14" s="8" t="s">
        <v>290</v>
      </c>
      <c r="O14" s="8" t="s">
        <v>291</v>
      </c>
      <c r="P14" s="8" t="s">
        <v>186</v>
      </c>
      <c r="Q14" s="8" t="s">
        <v>292</v>
      </c>
      <c r="R14" s="8" t="s">
        <v>274</v>
      </c>
      <c r="S14" s="8" t="s">
        <v>65</v>
      </c>
      <c r="T14" s="8" t="s">
        <v>293</v>
      </c>
      <c r="U14" s="8" t="s">
        <v>40</v>
      </c>
      <c r="V14" s="8" t="s">
        <v>7</v>
      </c>
      <c r="W14" s="8" t="s">
        <v>294</v>
      </c>
    </row>
    <row r="15" customFormat="false" ht="143.25" hidden="false" customHeight="true" outlineLevel="0" collapsed="false">
      <c r="A15" s="8" t="s">
        <v>295</v>
      </c>
      <c r="B15" s="8" t="s">
        <v>176</v>
      </c>
      <c r="C15" s="8" t="s">
        <v>177</v>
      </c>
      <c r="D15" s="8" t="s">
        <v>36</v>
      </c>
      <c r="E15" s="8" t="s">
        <v>267</v>
      </c>
      <c r="F15" s="8" t="s">
        <v>296</v>
      </c>
      <c r="G15" s="8" t="s">
        <v>297</v>
      </c>
      <c r="H15" s="8" t="s">
        <v>20</v>
      </c>
      <c r="I15" s="8" t="n">
        <v>3</v>
      </c>
      <c r="J15" s="8" t="s">
        <v>56</v>
      </c>
      <c r="K15" s="8" t="s">
        <v>181</v>
      </c>
      <c r="L15" s="8" t="s">
        <v>182</v>
      </c>
      <c r="M15" s="8" t="s">
        <v>298</v>
      </c>
      <c r="N15" s="8" t="s">
        <v>299</v>
      </c>
      <c r="O15" s="8" t="s">
        <v>300</v>
      </c>
      <c r="P15" s="8" t="s">
        <v>186</v>
      </c>
      <c r="Q15" s="8" t="s">
        <v>301</v>
      </c>
      <c r="R15" s="8" t="s">
        <v>274</v>
      </c>
      <c r="S15" s="8" t="s">
        <v>302</v>
      </c>
      <c r="T15" s="8" t="s">
        <v>303</v>
      </c>
      <c r="U15" s="8" t="s">
        <v>40</v>
      </c>
      <c r="V15" s="8" t="s">
        <v>9</v>
      </c>
      <c r="W15" s="8" t="s">
        <v>304</v>
      </c>
    </row>
    <row r="16" customFormat="false" ht="143.25" hidden="false" customHeight="true" outlineLevel="0" collapsed="false">
      <c r="A16" s="8" t="s">
        <v>305</v>
      </c>
      <c r="B16" s="8" t="s">
        <v>176</v>
      </c>
      <c r="C16" s="8" t="s">
        <v>177</v>
      </c>
      <c r="D16" s="8" t="s">
        <v>36</v>
      </c>
      <c r="E16" s="8" t="s">
        <v>267</v>
      </c>
      <c r="F16" s="8" t="s">
        <v>306</v>
      </c>
      <c r="G16" s="8" t="s">
        <v>307</v>
      </c>
      <c r="H16" s="8" t="s">
        <v>20</v>
      </c>
      <c r="I16" s="8" t="n">
        <v>3</v>
      </c>
      <c r="J16" s="8" t="s">
        <v>56</v>
      </c>
      <c r="K16" s="8" t="s">
        <v>308</v>
      </c>
      <c r="L16" s="8" t="s">
        <v>182</v>
      </c>
      <c r="M16" s="8" t="s">
        <v>309</v>
      </c>
      <c r="N16" s="8" t="s">
        <v>310</v>
      </c>
      <c r="O16" s="8" t="s">
        <v>311</v>
      </c>
      <c r="P16" s="8" t="s">
        <v>186</v>
      </c>
      <c r="Q16" s="8" t="s">
        <v>312</v>
      </c>
      <c r="R16" s="8" t="s">
        <v>274</v>
      </c>
      <c r="S16" s="8" t="s">
        <v>313</v>
      </c>
      <c r="T16" s="8" t="s">
        <v>314</v>
      </c>
      <c r="U16" s="8" t="s">
        <v>40</v>
      </c>
      <c r="V16" s="8" t="s">
        <v>9</v>
      </c>
      <c r="W16" s="8" t="s">
        <v>315</v>
      </c>
    </row>
    <row r="17" customFormat="false" ht="143.25" hidden="false" customHeight="true" outlineLevel="0" collapsed="false">
      <c r="A17" s="8" t="s">
        <v>316</v>
      </c>
      <c r="B17" s="8" t="s">
        <v>176</v>
      </c>
      <c r="C17" s="8" t="s">
        <v>177</v>
      </c>
      <c r="D17" s="8" t="s">
        <v>36</v>
      </c>
      <c r="E17" s="8" t="s">
        <v>267</v>
      </c>
      <c r="F17" s="8" t="s">
        <v>317</v>
      </c>
      <c r="G17" s="8" t="s">
        <v>318</v>
      </c>
      <c r="H17" s="8" t="s">
        <v>19</v>
      </c>
      <c r="I17" s="8" t="n">
        <v>2</v>
      </c>
      <c r="J17" s="8" t="s">
        <v>56</v>
      </c>
      <c r="K17" s="8" t="s">
        <v>319</v>
      </c>
      <c r="L17" s="8" t="s">
        <v>182</v>
      </c>
      <c r="M17" s="8" t="s">
        <v>320</v>
      </c>
      <c r="N17" s="8" t="s">
        <v>321</v>
      </c>
      <c r="O17" s="8" t="s">
        <v>322</v>
      </c>
      <c r="P17" s="8" t="s">
        <v>186</v>
      </c>
      <c r="Q17" s="8" t="s">
        <v>323</v>
      </c>
      <c r="R17" s="8" t="s">
        <v>274</v>
      </c>
      <c r="S17" s="8" t="s">
        <v>65</v>
      </c>
      <c r="T17" s="8" t="s">
        <v>293</v>
      </c>
      <c r="U17" s="8" t="s">
        <v>40</v>
      </c>
      <c r="V17" s="8" t="s">
        <v>7</v>
      </c>
      <c r="W17" s="8" t="s">
        <v>324</v>
      </c>
    </row>
    <row r="18" customFormat="false" ht="143.25" hidden="false" customHeight="true" outlineLevel="0" collapsed="false">
      <c r="A18" s="8" t="s">
        <v>325</v>
      </c>
      <c r="B18" s="8" t="s">
        <v>176</v>
      </c>
      <c r="C18" s="8" t="s">
        <v>177</v>
      </c>
      <c r="D18" s="8" t="s">
        <v>36</v>
      </c>
      <c r="E18" s="8" t="s">
        <v>267</v>
      </c>
      <c r="F18" s="8" t="s">
        <v>326</v>
      </c>
      <c r="G18" s="8" t="s">
        <v>327</v>
      </c>
      <c r="H18" s="8" t="s">
        <v>21</v>
      </c>
      <c r="I18" s="8" t="n">
        <v>4</v>
      </c>
      <c r="J18" s="8" t="s">
        <v>57</v>
      </c>
      <c r="K18" s="8" t="s">
        <v>181</v>
      </c>
      <c r="L18" s="8" t="s">
        <v>182</v>
      </c>
      <c r="M18" s="8" t="s">
        <v>328</v>
      </c>
      <c r="N18" s="8" t="s">
        <v>329</v>
      </c>
      <c r="O18" s="8" t="s">
        <v>330</v>
      </c>
      <c r="P18" s="8" t="s">
        <v>186</v>
      </c>
      <c r="Q18" s="8" t="s">
        <v>331</v>
      </c>
      <c r="R18" s="8" t="s">
        <v>274</v>
      </c>
      <c r="S18" s="8" t="s">
        <v>65</v>
      </c>
      <c r="T18" s="8" t="s">
        <v>234</v>
      </c>
      <c r="U18" s="8" t="s">
        <v>40</v>
      </c>
      <c r="V18" s="8" t="s">
        <v>7</v>
      </c>
      <c r="W18" s="8" t="s">
        <v>332</v>
      </c>
    </row>
    <row r="19" customFormat="false" ht="143.25" hidden="false" customHeight="true" outlineLevel="0" collapsed="false">
      <c r="A19" s="8" t="s">
        <v>333</v>
      </c>
      <c r="B19" s="8" t="s">
        <v>176</v>
      </c>
      <c r="C19" s="8" t="s">
        <v>177</v>
      </c>
      <c r="D19" s="8" t="s">
        <v>36</v>
      </c>
      <c r="E19" s="8" t="s">
        <v>334</v>
      </c>
      <c r="F19" s="8" t="s">
        <v>335</v>
      </c>
      <c r="G19" s="8" t="s">
        <v>336</v>
      </c>
      <c r="H19" s="8" t="s">
        <v>18</v>
      </c>
      <c r="I19" s="8" t="n">
        <v>1</v>
      </c>
      <c r="J19" s="8" t="s">
        <v>57</v>
      </c>
      <c r="K19" s="8" t="s">
        <v>181</v>
      </c>
      <c r="L19" s="8" t="s">
        <v>182</v>
      </c>
      <c r="M19" s="8" t="s">
        <v>337</v>
      </c>
      <c r="N19" s="8" t="s">
        <v>338</v>
      </c>
      <c r="O19" s="8" t="s">
        <v>339</v>
      </c>
      <c r="P19" s="8" t="s">
        <v>186</v>
      </c>
      <c r="Q19" s="8" t="s">
        <v>340</v>
      </c>
      <c r="R19" s="8" t="s">
        <v>341</v>
      </c>
      <c r="S19" s="8" t="s">
        <v>65</v>
      </c>
      <c r="T19" s="8" t="s">
        <v>234</v>
      </c>
      <c r="U19" s="8" t="s">
        <v>40</v>
      </c>
      <c r="V19" s="8" t="s">
        <v>7</v>
      </c>
      <c r="W19" s="8" t="s">
        <v>342</v>
      </c>
    </row>
    <row r="20" customFormat="false" ht="156" hidden="false" customHeight="true" outlineLevel="0" collapsed="false">
      <c r="A20" s="8" t="s">
        <v>343</v>
      </c>
      <c r="B20" s="8" t="s">
        <v>176</v>
      </c>
      <c r="C20" s="8" t="s">
        <v>177</v>
      </c>
      <c r="D20" s="8" t="s">
        <v>36</v>
      </c>
      <c r="E20" s="8" t="s">
        <v>334</v>
      </c>
      <c r="F20" s="8" t="s">
        <v>344</v>
      </c>
      <c r="G20" s="8" t="s">
        <v>345</v>
      </c>
      <c r="H20" s="8" t="s">
        <v>19</v>
      </c>
      <c r="I20" s="8" t="n">
        <v>2</v>
      </c>
      <c r="J20" s="8" t="s">
        <v>57</v>
      </c>
      <c r="K20" s="8" t="s">
        <v>346</v>
      </c>
      <c r="L20" s="8" t="s">
        <v>182</v>
      </c>
      <c r="M20" s="8" t="s">
        <v>347</v>
      </c>
      <c r="N20" s="8" t="s">
        <v>348</v>
      </c>
      <c r="O20" s="8" t="s">
        <v>349</v>
      </c>
      <c r="P20" s="8" t="s">
        <v>186</v>
      </c>
      <c r="Q20" s="8" t="s">
        <v>350</v>
      </c>
      <c r="R20" s="8" t="s">
        <v>341</v>
      </c>
      <c r="S20" s="8" t="s">
        <v>65</v>
      </c>
      <c r="T20" s="8" t="s">
        <v>234</v>
      </c>
      <c r="U20" s="8" t="s">
        <v>40</v>
      </c>
      <c r="V20" s="8" t="s">
        <v>7</v>
      </c>
      <c r="W20" s="8" t="s">
        <v>351</v>
      </c>
    </row>
    <row r="21" customFormat="false" ht="156" hidden="false" customHeight="true" outlineLevel="0" collapsed="false">
      <c r="A21" s="8" t="s">
        <v>352</v>
      </c>
      <c r="B21" s="8" t="s">
        <v>176</v>
      </c>
      <c r="C21" s="8" t="s">
        <v>177</v>
      </c>
      <c r="D21" s="8" t="s">
        <v>36</v>
      </c>
      <c r="E21" s="8" t="s">
        <v>334</v>
      </c>
      <c r="F21" s="8" t="s">
        <v>353</v>
      </c>
      <c r="G21" s="8" t="s">
        <v>354</v>
      </c>
      <c r="H21" s="8" t="s">
        <v>19</v>
      </c>
      <c r="I21" s="8" t="n">
        <v>2</v>
      </c>
      <c r="J21" s="8" t="s">
        <v>57</v>
      </c>
      <c r="K21" s="8" t="s">
        <v>204</v>
      </c>
      <c r="L21" s="8" t="s">
        <v>182</v>
      </c>
      <c r="M21" s="8" t="s">
        <v>355</v>
      </c>
      <c r="N21" s="8" t="s">
        <v>356</v>
      </c>
      <c r="O21" s="8" t="s">
        <v>339</v>
      </c>
      <c r="P21" s="8" t="s">
        <v>186</v>
      </c>
      <c r="Q21" s="8" t="s">
        <v>357</v>
      </c>
      <c r="R21" s="8" t="s">
        <v>341</v>
      </c>
      <c r="S21" s="8" t="s">
        <v>65</v>
      </c>
      <c r="T21" s="8" t="s">
        <v>234</v>
      </c>
      <c r="U21" s="8" t="s">
        <v>41</v>
      </c>
      <c r="V21" s="8" t="s">
        <v>7</v>
      </c>
      <c r="W21" s="8" t="s">
        <v>358</v>
      </c>
    </row>
    <row r="22" customFormat="false" ht="156" hidden="false" customHeight="true" outlineLevel="0" collapsed="false">
      <c r="A22" s="8" t="s">
        <v>359</v>
      </c>
      <c r="B22" s="8" t="s">
        <v>176</v>
      </c>
      <c r="C22" s="8" t="s">
        <v>177</v>
      </c>
      <c r="D22" s="8" t="s">
        <v>36</v>
      </c>
      <c r="E22" s="8" t="s">
        <v>334</v>
      </c>
      <c r="F22" s="8" t="s">
        <v>360</v>
      </c>
      <c r="G22" s="8" t="s">
        <v>361</v>
      </c>
      <c r="H22" s="8" t="s">
        <v>19</v>
      </c>
      <c r="I22" s="8" t="n">
        <v>2</v>
      </c>
      <c r="J22" s="8" t="s">
        <v>56</v>
      </c>
      <c r="K22" s="8" t="s">
        <v>362</v>
      </c>
      <c r="L22" s="8" t="s">
        <v>182</v>
      </c>
      <c r="M22" s="8" t="s">
        <v>363</v>
      </c>
      <c r="N22" s="8" t="s">
        <v>364</v>
      </c>
      <c r="O22" s="8" t="s">
        <v>365</v>
      </c>
      <c r="P22" s="8" t="s">
        <v>186</v>
      </c>
      <c r="Q22" s="8" t="s">
        <v>366</v>
      </c>
      <c r="R22" s="8" t="s">
        <v>341</v>
      </c>
      <c r="S22" s="8" t="s">
        <v>65</v>
      </c>
      <c r="T22" s="8" t="s">
        <v>234</v>
      </c>
      <c r="U22" s="8" t="s">
        <v>40</v>
      </c>
      <c r="V22" s="8" t="s">
        <v>7</v>
      </c>
      <c r="W22" s="8" t="s">
        <v>367</v>
      </c>
    </row>
    <row r="23" customFormat="false" ht="130.5" hidden="false" customHeight="true" outlineLevel="0" collapsed="false">
      <c r="A23" s="8" t="s">
        <v>368</v>
      </c>
      <c r="B23" s="8" t="s">
        <v>176</v>
      </c>
      <c r="C23" s="8" t="s">
        <v>177</v>
      </c>
      <c r="D23" s="8" t="s">
        <v>36</v>
      </c>
      <c r="E23" s="8" t="s">
        <v>334</v>
      </c>
      <c r="F23" s="8" t="s">
        <v>369</v>
      </c>
      <c r="G23" s="8" t="s">
        <v>370</v>
      </c>
      <c r="H23" s="8" t="s">
        <v>20</v>
      </c>
      <c r="I23" s="8" t="n">
        <v>2</v>
      </c>
      <c r="J23" s="8" t="s">
        <v>57</v>
      </c>
      <c r="K23" s="8" t="s">
        <v>371</v>
      </c>
      <c r="L23" s="8" t="s">
        <v>182</v>
      </c>
      <c r="M23" s="8" t="s">
        <v>372</v>
      </c>
      <c r="N23" s="8" t="s">
        <v>373</v>
      </c>
      <c r="O23" s="8" t="s">
        <v>374</v>
      </c>
      <c r="P23" s="8" t="s">
        <v>186</v>
      </c>
      <c r="Q23" s="8" t="s">
        <v>375</v>
      </c>
      <c r="R23" s="8" t="s">
        <v>341</v>
      </c>
      <c r="S23" s="8" t="s">
        <v>376</v>
      </c>
      <c r="T23" s="8" t="s">
        <v>377</v>
      </c>
      <c r="U23" s="8" t="s">
        <v>40</v>
      </c>
      <c r="V23" s="8" t="s">
        <v>9</v>
      </c>
      <c r="W23" s="8" t="s">
        <v>378</v>
      </c>
    </row>
    <row r="24" customFormat="false" ht="156" hidden="false" customHeight="true" outlineLevel="0" collapsed="false">
      <c r="A24" s="8" t="s">
        <v>379</v>
      </c>
      <c r="B24" s="8" t="s">
        <v>176</v>
      </c>
      <c r="C24" s="8" t="s">
        <v>177</v>
      </c>
      <c r="D24" s="8" t="s">
        <v>36</v>
      </c>
      <c r="E24" s="8" t="s">
        <v>334</v>
      </c>
      <c r="F24" s="8" t="s">
        <v>380</v>
      </c>
      <c r="G24" s="8" t="s">
        <v>381</v>
      </c>
      <c r="H24" s="8" t="s">
        <v>19</v>
      </c>
      <c r="I24" s="8" t="n">
        <v>2</v>
      </c>
      <c r="J24" s="8" t="s">
        <v>57</v>
      </c>
      <c r="K24" s="8" t="s">
        <v>382</v>
      </c>
      <c r="L24" s="8" t="s">
        <v>182</v>
      </c>
      <c r="M24" s="8" t="s">
        <v>383</v>
      </c>
      <c r="N24" s="8" t="s">
        <v>384</v>
      </c>
      <c r="O24" s="8" t="s">
        <v>385</v>
      </c>
      <c r="P24" s="8" t="s">
        <v>186</v>
      </c>
      <c r="Q24" s="8" t="s">
        <v>386</v>
      </c>
      <c r="R24" s="8" t="s">
        <v>341</v>
      </c>
      <c r="S24" s="8" t="s">
        <v>65</v>
      </c>
      <c r="T24" s="8" t="s">
        <v>234</v>
      </c>
      <c r="U24" s="8" t="s">
        <v>40</v>
      </c>
      <c r="V24" s="8" t="s">
        <v>7</v>
      </c>
      <c r="W24" s="8" t="s">
        <v>387</v>
      </c>
    </row>
    <row r="25" customFormat="false" ht="156" hidden="false" customHeight="true" outlineLevel="0" collapsed="false">
      <c r="A25" s="8" t="s">
        <v>388</v>
      </c>
      <c r="B25" s="8" t="s">
        <v>176</v>
      </c>
      <c r="C25" s="8" t="s">
        <v>177</v>
      </c>
      <c r="D25" s="8" t="s">
        <v>36</v>
      </c>
      <c r="E25" s="8" t="s">
        <v>334</v>
      </c>
      <c r="F25" s="8" t="s">
        <v>389</v>
      </c>
      <c r="G25" s="8" t="s">
        <v>390</v>
      </c>
      <c r="H25" s="8" t="s">
        <v>20</v>
      </c>
      <c r="I25" s="8" t="n">
        <v>3</v>
      </c>
      <c r="J25" s="8" t="s">
        <v>57</v>
      </c>
      <c r="K25" s="8" t="s">
        <v>391</v>
      </c>
      <c r="L25" s="8" t="s">
        <v>182</v>
      </c>
      <c r="M25" s="8" t="s">
        <v>392</v>
      </c>
      <c r="N25" s="8" t="s">
        <v>393</v>
      </c>
      <c r="O25" s="8" t="s">
        <v>394</v>
      </c>
      <c r="P25" s="8" t="s">
        <v>186</v>
      </c>
      <c r="Q25" s="8" t="s">
        <v>395</v>
      </c>
      <c r="R25" s="8" t="s">
        <v>341</v>
      </c>
      <c r="S25" s="8" t="s">
        <v>65</v>
      </c>
      <c r="T25" s="8" t="s">
        <v>234</v>
      </c>
      <c r="U25" s="8" t="s">
        <v>40</v>
      </c>
      <c r="V25" s="8" t="s">
        <v>7</v>
      </c>
      <c r="W25" s="8" t="s">
        <v>396</v>
      </c>
    </row>
    <row r="26" customFormat="false" ht="156" hidden="false" customHeight="true" outlineLevel="0" collapsed="false">
      <c r="A26" s="8" t="s">
        <v>397</v>
      </c>
      <c r="B26" s="8" t="s">
        <v>176</v>
      </c>
      <c r="C26" s="8" t="s">
        <v>177</v>
      </c>
      <c r="D26" s="8" t="s">
        <v>36</v>
      </c>
      <c r="E26" s="8" t="s">
        <v>334</v>
      </c>
      <c r="F26" s="8" t="s">
        <v>398</v>
      </c>
      <c r="G26" s="8" t="s">
        <v>399</v>
      </c>
      <c r="H26" s="8" t="s">
        <v>19</v>
      </c>
      <c r="I26" s="8" t="n">
        <v>2</v>
      </c>
      <c r="J26" s="8" t="s">
        <v>57</v>
      </c>
      <c r="K26" s="8" t="s">
        <v>204</v>
      </c>
      <c r="L26" s="8" t="s">
        <v>182</v>
      </c>
      <c r="M26" s="8" t="s">
        <v>400</v>
      </c>
      <c r="N26" s="8" t="s">
        <v>401</v>
      </c>
      <c r="O26" s="8" t="s">
        <v>339</v>
      </c>
      <c r="P26" s="8" t="s">
        <v>186</v>
      </c>
      <c r="Q26" s="8" t="s">
        <v>402</v>
      </c>
      <c r="R26" s="8" t="s">
        <v>341</v>
      </c>
      <c r="S26" s="8" t="s">
        <v>65</v>
      </c>
      <c r="T26" s="8" t="s">
        <v>234</v>
      </c>
      <c r="U26" s="8" t="s">
        <v>40</v>
      </c>
      <c r="V26" s="8" t="s">
        <v>7</v>
      </c>
      <c r="W26" s="8" t="s">
        <v>403</v>
      </c>
    </row>
    <row r="27" customFormat="false" ht="143.25" hidden="false" customHeight="true" outlineLevel="0" collapsed="false">
      <c r="A27" s="8" t="s">
        <v>404</v>
      </c>
      <c r="B27" s="8" t="s">
        <v>176</v>
      </c>
      <c r="C27" s="8" t="s">
        <v>177</v>
      </c>
      <c r="D27" s="8" t="s">
        <v>36</v>
      </c>
      <c r="E27" s="8" t="s">
        <v>405</v>
      </c>
      <c r="F27" s="8" t="s">
        <v>406</v>
      </c>
      <c r="G27" s="8" t="s">
        <v>407</v>
      </c>
      <c r="H27" s="8" t="s">
        <v>19</v>
      </c>
      <c r="I27" s="8" t="n">
        <v>2</v>
      </c>
      <c r="J27" s="8" t="s">
        <v>56</v>
      </c>
      <c r="K27" s="8" t="s">
        <v>408</v>
      </c>
      <c r="L27" s="8" t="s">
        <v>182</v>
      </c>
      <c r="M27" s="8" t="s">
        <v>409</v>
      </c>
      <c r="N27" s="8" t="s">
        <v>410</v>
      </c>
      <c r="O27" s="8" t="s">
        <v>411</v>
      </c>
      <c r="P27" s="8" t="s">
        <v>186</v>
      </c>
      <c r="Q27" s="8" t="s">
        <v>412</v>
      </c>
      <c r="R27" s="8" t="s">
        <v>413</v>
      </c>
      <c r="S27" s="8" t="s">
        <v>65</v>
      </c>
      <c r="T27" s="8" t="s">
        <v>414</v>
      </c>
      <c r="U27" s="8" t="s">
        <v>40</v>
      </c>
      <c r="V27" s="8" t="s">
        <v>7</v>
      </c>
      <c r="W27" s="8" t="s">
        <v>415</v>
      </c>
    </row>
    <row r="28" customFormat="false" ht="143.25" hidden="false" customHeight="true" outlineLevel="0" collapsed="false">
      <c r="A28" s="8" t="s">
        <v>416</v>
      </c>
      <c r="B28" s="8" t="s">
        <v>176</v>
      </c>
      <c r="C28" s="8" t="s">
        <v>177</v>
      </c>
      <c r="D28" s="8" t="s">
        <v>36</v>
      </c>
      <c r="E28" s="8" t="s">
        <v>405</v>
      </c>
      <c r="F28" s="8" t="s">
        <v>417</v>
      </c>
      <c r="G28" s="8" t="s">
        <v>418</v>
      </c>
      <c r="H28" s="8" t="s">
        <v>19</v>
      </c>
      <c r="I28" s="8" t="n">
        <v>2</v>
      </c>
      <c r="J28" s="8" t="s">
        <v>58</v>
      </c>
      <c r="K28" s="8" t="s">
        <v>408</v>
      </c>
      <c r="L28" s="8" t="s">
        <v>182</v>
      </c>
      <c r="M28" s="8" t="s">
        <v>419</v>
      </c>
      <c r="N28" s="8" t="s">
        <v>420</v>
      </c>
      <c r="O28" s="8" t="s">
        <v>411</v>
      </c>
      <c r="P28" s="8" t="s">
        <v>186</v>
      </c>
      <c r="Q28" s="8" t="s">
        <v>412</v>
      </c>
      <c r="R28" s="8" t="s">
        <v>413</v>
      </c>
      <c r="S28" s="8" t="s">
        <v>65</v>
      </c>
      <c r="T28" s="8" t="s">
        <v>414</v>
      </c>
      <c r="U28" s="8" t="s">
        <v>40</v>
      </c>
      <c r="V28" s="8" t="s">
        <v>7</v>
      </c>
      <c r="W28" s="8" t="s">
        <v>421</v>
      </c>
    </row>
    <row r="29" customFormat="false" ht="143.25" hidden="false" customHeight="true" outlineLevel="0" collapsed="false">
      <c r="A29" s="8" t="s">
        <v>422</v>
      </c>
      <c r="B29" s="8" t="s">
        <v>176</v>
      </c>
      <c r="C29" s="8" t="s">
        <v>177</v>
      </c>
      <c r="D29" s="8" t="s">
        <v>36</v>
      </c>
      <c r="E29" s="8" t="s">
        <v>405</v>
      </c>
      <c r="F29" s="8" t="s">
        <v>423</v>
      </c>
      <c r="G29" s="8" t="s">
        <v>424</v>
      </c>
      <c r="H29" s="8" t="s">
        <v>19</v>
      </c>
      <c r="I29" s="8" t="n">
        <v>2</v>
      </c>
      <c r="J29" s="8" t="s">
        <v>58</v>
      </c>
      <c r="K29" s="8" t="s">
        <v>408</v>
      </c>
      <c r="L29" s="8" t="s">
        <v>182</v>
      </c>
      <c r="M29" s="8" t="s">
        <v>425</v>
      </c>
      <c r="N29" s="8" t="s">
        <v>426</v>
      </c>
      <c r="O29" s="8" t="s">
        <v>411</v>
      </c>
      <c r="P29" s="8" t="s">
        <v>186</v>
      </c>
      <c r="Q29" s="8" t="s">
        <v>427</v>
      </c>
      <c r="R29" s="8" t="s">
        <v>413</v>
      </c>
      <c r="S29" s="8" t="s">
        <v>65</v>
      </c>
      <c r="T29" s="8" t="s">
        <v>414</v>
      </c>
      <c r="U29" s="8" t="s">
        <v>40</v>
      </c>
      <c r="V29" s="8" t="s">
        <v>7</v>
      </c>
      <c r="W29" s="8" t="s">
        <v>428</v>
      </c>
    </row>
    <row r="30" customFormat="false" ht="143.25" hidden="false" customHeight="true" outlineLevel="0" collapsed="false">
      <c r="A30" s="8" t="s">
        <v>429</v>
      </c>
      <c r="B30" s="8" t="s">
        <v>176</v>
      </c>
      <c r="C30" s="8" t="s">
        <v>177</v>
      </c>
      <c r="D30" s="8" t="s">
        <v>36</v>
      </c>
      <c r="E30" s="8" t="s">
        <v>405</v>
      </c>
      <c r="F30" s="8" t="s">
        <v>430</v>
      </c>
      <c r="G30" s="8" t="s">
        <v>431</v>
      </c>
      <c r="H30" s="8" t="s">
        <v>20</v>
      </c>
      <c r="I30" s="8" t="n">
        <v>3</v>
      </c>
      <c r="J30" s="8" t="s">
        <v>57</v>
      </c>
      <c r="K30" s="8" t="s">
        <v>408</v>
      </c>
      <c r="L30" s="8" t="s">
        <v>182</v>
      </c>
      <c r="M30" s="8" t="s">
        <v>432</v>
      </c>
      <c r="N30" s="8" t="s">
        <v>433</v>
      </c>
      <c r="O30" s="8" t="s">
        <v>411</v>
      </c>
      <c r="P30" s="8" t="s">
        <v>186</v>
      </c>
      <c r="Q30" s="8" t="s">
        <v>434</v>
      </c>
      <c r="R30" s="8" t="s">
        <v>413</v>
      </c>
      <c r="S30" s="8" t="s">
        <v>65</v>
      </c>
      <c r="T30" s="8" t="s">
        <v>234</v>
      </c>
      <c r="U30" s="8" t="s">
        <v>40</v>
      </c>
      <c r="V30" s="8" t="s">
        <v>7</v>
      </c>
      <c r="W30" s="8" t="s">
        <v>435</v>
      </c>
    </row>
    <row r="31" customFormat="false" ht="66.75" hidden="false" customHeight="true" outlineLevel="0" collapsed="false">
      <c r="A31" s="8" t="s">
        <v>436</v>
      </c>
      <c r="B31" s="8" t="s">
        <v>176</v>
      </c>
      <c r="C31" s="8" t="s">
        <v>177</v>
      </c>
      <c r="D31" s="8" t="s">
        <v>37</v>
      </c>
      <c r="E31" s="8" t="s">
        <v>405</v>
      </c>
      <c r="F31" s="8" t="s">
        <v>437</v>
      </c>
      <c r="G31" s="8" t="s">
        <v>438</v>
      </c>
      <c r="H31" s="8" t="s">
        <v>19</v>
      </c>
      <c r="I31" s="8" t="n">
        <v>2</v>
      </c>
      <c r="J31" s="8" t="s">
        <v>56</v>
      </c>
      <c r="K31" s="8" t="s">
        <v>65</v>
      </c>
      <c r="L31" s="8" t="s">
        <v>65</v>
      </c>
      <c r="M31" s="8" t="s">
        <v>65</v>
      </c>
      <c r="N31" s="8" t="s">
        <v>65</v>
      </c>
      <c r="O31" s="8" t="s">
        <v>65</v>
      </c>
      <c r="P31" s="8" t="s">
        <v>186</v>
      </c>
      <c r="Q31" s="8" t="s">
        <v>439</v>
      </c>
      <c r="R31" s="8" t="s">
        <v>413</v>
      </c>
      <c r="S31" s="8" t="s">
        <v>65</v>
      </c>
      <c r="T31" s="8" t="s">
        <v>440</v>
      </c>
      <c r="U31" s="8" t="s">
        <v>40</v>
      </c>
      <c r="V31" s="8" t="s">
        <v>11</v>
      </c>
      <c r="W31" s="8" t="s">
        <v>441</v>
      </c>
    </row>
    <row r="32" customFormat="false" ht="79.5" hidden="false" customHeight="true" outlineLevel="0" collapsed="false">
      <c r="A32" s="8" t="s">
        <v>442</v>
      </c>
      <c r="B32" s="8" t="s">
        <v>176</v>
      </c>
      <c r="C32" s="8" t="s">
        <v>177</v>
      </c>
      <c r="D32" s="8" t="s">
        <v>37</v>
      </c>
      <c r="E32" s="8" t="s">
        <v>405</v>
      </c>
      <c r="F32" s="8" t="s">
        <v>443</v>
      </c>
      <c r="G32" s="8" t="s">
        <v>444</v>
      </c>
      <c r="H32" s="8" t="s">
        <v>19</v>
      </c>
      <c r="I32" s="8" t="n">
        <v>2</v>
      </c>
      <c r="J32" s="8" t="s">
        <v>56</v>
      </c>
      <c r="K32" s="8" t="s">
        <v>65</v>
      </c>
      <c r="L32" s="8" t="s">
        <v>65</v>
      </c>
      <c r="M32" s="8" t="s">
        <v>65</v>
      </c>
      <c r="N32" s="8" t="s">
        <v>65</v>
      </c>
      <c r="O32" s="8" t="s">
        <v>65</v>
      </c>
      <c r="P32" s="8" t="s">
        <v>186</v>
      </c>
      <c r="Q32" s="8" t="s">
        <v>445</v>
      </c>
      <c r="R32" s="8" t="s">
        <v>413</v>
      </c>
      <c r="S32" s="8" t="s">
        <v>65</v>
      </c>
      <c r="T32" s="8" t="s">
        <v>440</v>
      </c>
      <c r="U32" s="8" t="s">
        <v>40</v>
      </c>
      <c r="V32" s="8" t="s">
        <v>11</v>
      </c>
      <c r="W32" s="8" t="s">
        <v>446</v>
      </c>
    </row>
    <row r="33" customFormat="false" ht="156" hidden="false" customHeight="true" outlineLevel="0" collapsed="false">
      <c r="A33" s="8" t="s">
        <v>447</v>
      </c>
      <c r="B33" s="8" t="s">
        <v>176</v>
      </c>
      <c r="C33" s="8" t="s">
        <v>177</v>
      </c>
      <c r="D33" s="8" t="s">
        <v>36</v>
      </c>
      <c r="E33" s="8" t="s">
        <v>448</v>
      </c>
      <c r="F33" s="8" t="s">
        <v>449</v>
      </c>
      <c r="G33" s="8" t="s">
        <v>450</v>
      </c>
      <c r="H33" s="8" t="s">
        <v>19</v>
      </c>
      <c r="I33" s="8" t="n">
        <v>2</v>
      </c>
      <c r="J33" s="8" t="s">
        <v>57</v>
      </c>
      <c r="K33" s="8" t="s">
        <v>451</v>
      </c>
      <c r="L33" s="8" t="s">
        <v>182</v>
      </c>
      <c r="M33" s="8" t="s">
        <v>452</v>
      </c>
      <c r="N33" s="8" t="s">
        <v>453</v>
      </c>
      <c r="O33" s="8" t="s">
        <v>207</v>
      </c>
      <c r="P33" s="8" t="s">
        <v>186</v>
      </c>
      <c r="Q33" s="8" t="s">
        <v>454</v>
      </c>
      <c r="R33" s="8" t="s">
        <v>455</v>
      </c>
      <c r="S33" s="8" t="s">
        <v>65</v>
      </c>
      <c r="T33" s="8" t="s">
        <v>234</v>
      </c>
      <c r="U33" s="8" t="s">
        <v>41</v>
      </c>
      <c r="V33" s="8" t="s">
        <v>7</v>
      </c>
      <c r="W33" s="8" t="s">
        <v>456</v>
      </c>
    </row>
    <row r="34" customFormat="false" ht="156" hidden="false" customHeight="true" outlineLevel="0" collapsed="false">
      <c r="A34" s="8" t="s">
        <v>457</v>
      </c>
      <c r="B34" s="8" t="s">
        <v>176</v>
      </c>
      <c r="C34" s="8" t="s">
        <v>177</v>
      </c>
      <c r="D34" s="8" t="s">
        <v>36</v>
      </c>
      <c r="E34" s="8" t="s">
        <v>448</v>
      </c>
      <c r="F34" s="8" t="s">
        <v>458</v>
      </c>
      <c r="G34" s="8" t="s">
        <v>459</v>
      </c>
      <c r="H34" s="8" t="s">
        <v>19</v>
      </c>
      <c r="I34" s="8" t="n">
        <v>2</v>
      </c>
      <c r="J34" s="8" t="s">
        <v>57</v>
      </c>
      <c r="K34" s="8" t="s">
        <v>451</v>
      </c>
      <c r="L34" s="8" t="s">
        <v>182</v>
      </c>
      <c r="M34" s="8" t="s">
        <v>460</v>
      </c>
      <c r="N34" s="8" t="s">
        <v>461</v>
      </c>
      <c r="O34" s="8" t="s">
        <v>207</v>
      </c>
      <c r="P34" s="8" t="s">
        <v>186</v>
      </c>
      <c r="Q34" s="8" t="s">
        <v>462</v>
      </c>
      <c r="R34" s="8" t="s">
        <v>455</v>
      </c>
      <c r="S34" s="8" t="s">
        <v>65</v>
      </c>
      <c r="T34" s="8" t="s">
        <v>234</v>
      </c>
      <c r="U34" s="8" t="s">
        <v>41</v>
      </c>
      <c r="V34" s="8" t="s">
        <v>7</v>
      </c>
      <c r="W34" s="8" t="s">
        <v>463</v>
      </c>
    </row>
    <row r="35" customFormat="false" ht="156" hidden="false" customHeight="true" outlineLevel="0" collapsed="false">
      <c r="A35" s="8" t="s">
        <v>464</v>
      </c>
      <c r="B35" s="8" t="s">
        <v>176</v>
      </c>
      <c r="C35" s="8" t="s">
        <v>177</v>
      </c>
      <c r="D35" s="8" t="s">
        <v>36</v>
      </c>
      <c r="E35" s="8" t="s">
        <v>448</v>
      </c>
      <c r="F35" s="8" t="s">
        <v>465</v>
      </c>
      <c r="G35" s="8" t="s">
        <v>466</v>
      </c>
      <c r="H35" s="8" t="s">
        <v>20</v>
      </c>
      <c r="I35" s="8" t="n">
        <v>3</v>
      </c>
      <c r="J35" s="8" t="s">
        <v>57</v>
      </c>
      <c r="K35" s="8" t="s">
        <v>451</v>
      </c>
      <c r="L35" s="8" t="s">
        <v>182</v>
      </c>
      <c r="M35" s="8" t="s">
        <v>467</v>
      </c>
      <c r="N35" s="8" t="s">
        <v>468</v>
      </c>
      <c r="O35" s="8" t="s">
        <v>207</v>
      </c>
      <c r="P35" s="8" t="s">
        <v>186</v>
      </c>
      <c r="Q35" s="8" t="s">
        <v>462</v>
      </c>
      <c r="R35" s="8" t="s">
        <v>455</v>
      </c>
      <c r="S35" s="8" t="s">
        <v>65</v>
      </c>
      <c r="T35" s="8" t="s">
        <v>234</v>
      </c>
      <c r="U35" s="8" t="s">
        <v>41</v>
      </c>
      <c r="V35" s="8" t="s">
        <v>7</v>
      </c>
      <c r="W35" s="8" t="s">
        <v>469</v>
      </c>
    </row>
    <row r="36" customFormat="false" ht="156" hidden="false" customHeight="true" outlineLevel="0" collapsed="false">
      <c r="A36" s="8" t="s">
        <v>470</v>
      </c>
      <c r="B36" s="8" t="s">
        <v>176</v>
      </c>
      <c r="C36" s="8" t="s">
        <v>177</v>
      </c>
      <c r="D36" s="8" t="s">
        <v>36</v>
      </c>
      <c r="E36" s="8" t="s">
        <v>448</v>
      </c>
      <c r="F36" s="8" t="s">
        <v>471</v>
      </c>
      <c r="G36" s="8" t="s">
        <v>472</v>
      </c>
      <c r="H36" s="8" t="s">
        <v>19</v>
      </c>
      <c r="I36" s="8" t="n">
        <v>2</v>
      </c>
      <c r="J36" s="8" t="s">
        <v>57</v>
      </c>
      <c r="K36" s="8" t="s">
        <v>451</v>
      </c>
      <c r="L36" s="8" t="s">
        <v>182</v>
      </c>
      <c r="M36" s="8" t="s">
        <v>473</v>
      </c>
      <c r="N36" s="8" t="s">
        <v>474</v>
      </c>
      <c r="O36" s="8" t="s">
        <v>207</v>
      </c>
      <c r="P36" s="8" t="s">
        <v>186</v>
      </c>
      <c r="Q36" s="8" t="s">
        <v>475</v>
      </c>
      <c r="R36" s="8" t="s">
        <v>455</v>
      </c>
      <c r="S36" s="8" t="s">
        <v>65</v>
      </c>
      <c r="T36" s="8" t="s">
        <v>234</v>
      </c>
      <c r="U36" s="8" t="s">
        <v>41</v>
      </c>
      <c r="V36" s="8" t="s">
        <v>7</v>
      </c>
      <c r="W36" s="8" t="s">
        <v>476</v>
      </c>
    </row>
    <row r="37" customFormat="false" ht="92.25" hidden="false" customHeight="true" outlineLevel="0" collapsed="false">
      <c r="A37" s="8" t="s">
        <v>477</v>
      </c>
      <c r="B37" s="8" t="s">
        <v>176</v>
      </c>
      <c r="C37" s="8" t="s">
        <v>177</v>
      </c>
      <c r="D37" s="8" t="s">
        <v>36</v>
      </c>
      <c r="E37" s="8" t="s">
        <v>448</v>
      </c>
      <c r="F37" s="8" t="s">
        <v>478</v>
      </c>
      <c r="G37" s="8" t="s">
        <v>479</v>
      </c>
      <c r="H37" s="8" t="s">
        <v>19</v>
      </c>
      <c r="I37" s="8" t="n">
        <v>2</v>
      </c>
      <c r="J37" s="8" t="s">
        <v>57</v>
      </c>
      <c r="K37" s="8" t="s">
        <v>480</v>
      </c>
      <c r="L37" s="8" t="s">
        <v>182</v>
      </c>
      <c r="M37" s="8" t="s">
        <v>481</v>
      </c>
      <c r="N37" s="8" t="s">
        <v>482</v>
      </c>
      <c r="O37" s="8" t="s">
        <v>483</v>
      </c>
      <c r="P37" s="8" t="s">
        <v>186</v>
      </c>
      <c r="Q37" s="8" t="s">
        <v>475</v>
      </c>
      <c r="R37" s="8" t="s">
        <v>455</v>
      </c>
      <c r="S37" s="8" t="s">
        <v>65</v>
      </c>
      <c r="T37" s="8" t="s">
        <v>484</v>
      </c>
      <c r="U37" s="8" t="s">
        <v>41</v>
      </c>
      <c r="V37" s="8" t="s">
        <v>7</v>
      </c>
      <c r="W37" s="8" t="s">
        <v>485</v>
      </c>
    </row>
    <row r="38" customFormat="false" ht="156" hidden="false" customHeight="true" outlineLevel="0" collapsed="false">
      <c r="A38" s="8" t="s">
        <v>486</v>
      </c>
      <c r="B38" s="8" t="s">
        <v>176</v>
      </c>
      <c r="C38" s="8" t="s">
        <v>177</v>
      </c>
      <c r="D38" s="8" t="s">
        <v>36</v>
      </c>
      <c r="E38" s="8" t="s">
        <v>448</v>
      </c>
      <c r="F38" s="8" t="s">
        <v>487</v>
      </c>
      <c r="G38" s="8" t="s">
        <v>488</v>
      </c>
      <c r="H38" s="8" t="s">
        <v>19</v>
      </c>
      <c r="I38" s="8" t="n">
        <v>2</v>
      </c>
      <c r="J38" s="8" t="s">
        <v>56</v>
      </c>
      <c r="K38" s="8" t="s">
        <v>204</v>
      </c>
      <c r="L38" s="8" t="s">
        <v>182</v>
      </c>
      <c r="M38" s="8" t="s">
        <v>489</v>
      </c>
      <c r="N38" s="8" t="s">
        <v>490</v>
      </c>
      <c r="O38" s="8" t="s">
        <v>185</v>
      </c>
      <c r="P38" s="8" t="s">
        <v>186</v>
      </c>
      <c r="Q38" s="8" t="s">
        <v>491</v>
      </c>
      <c r="R38" s="8" t="s">
        <v>455</v>
      </c>
      <c r="S38" s="8" t="s">
        <v>65</v>
      </c>
      <c r="T38" s="8" t="s">
        <v>234</v>
      </c>
      <c r="U38" s="8" t="s">
        <v>41</v>
      </c>
      <c r="V38" s="8" t="s">
        <v>7</v>
      </c>
      <c r="W38" s="8" t="s">
        <v>492</v>
      </c>
    </row>
    <row r="39" customFormat="false" ht="156" hidden="false" customHeight="true" outlineLevel="0" collapsed="false">
      <c r="A39" s="8" t="s">
        <v>493</v>
      </c>
      <c r="B39" s="8" t="s">
        <v>176</v>
      </c>
      <c r="C39" s="8" t="s">
        <v>177</v>
      </c>
      <c r="D39" s="8" t="s">
        <v>36</v>
      </c>
      <c r="E39" s="8" t="s">
        <v>448</v>
      </c>
      <c r="F39" s="8" t="s">
        <v>494</v>
      </c>
      <c r="G39" s="8" t="s">
        <v>495</v>
      </c>
      <c r="H39" s="8" t="s">
        <v>19</v>
      </c>
      <c r="I39" s="8" t="n">
        <v>2</v>
      </c>
      <c r="J39" s="8" t="s">
        <v>57</v>
      </c>
      <c r="K39" s="8" t="s">
        <v>451</v>
      </c>
      <c r="L39" s="8" t="s">
        <v>182</v>
      </c>
      <c r="M39" s="8" t="s">
        <v>496</v>
      </c>
      <c r="N39" s="8" t="s">
        <v>497</v>
      </c>
      <c r="O39" s="8" t="s">
        <v>207</v>
      </c>
      <c r="P39" s="8" t="s">
        <v>186</v>
      </c>
      <c r="Q39" s="8" t="s">
        <v>475</v>
      </c>
      <c r="R39" s="8" t="s">
        <v>455</v>
      </c>
      <c r="S39" s="8" t="s">
        <v>65</v>
      </c>
      <c r="T39" s="8" t="s">
        <v>234</v>
      </c>
      <c r="U39" s="8" t="s">
        <v>41</v>
      </c>
      <c r="V39" s="8" t="s">
        <v>7</v>
      </c>
      <c r="W39" s="8" t="s">
        <v>498</v>
      </c>
    </row>
    <row r="40" customFormat="false" ht="92.25" hidden="false" customHeight="true" outlineLevel="0" collapsed="false">
      <c r="A40" s="8" t="s">
        <v>499</v>
      </c>
      <c r="B40" s="8" t="s">
        <v>176</v>
      </c>
      <c r="C40" s="8" t="s">
        <v>177</v>
      </c>
      <c r="D40" s="8" t="s">
        <v>36</v>
      </c>
      <c r="E40" s="8" t="s">
        <v>448</v>
      </c>
      <c r="F40" s="8" t="s">
        <v>500</v>
      </c>
      <c r="G40" s="8" t="s">
        <v>501</v>
      </c>
      <c r="H40" s="8" t="s">
        <v>19</v>
      </c>
      <c r="I40" s="8" t="n">
        <v>2</v>
      </c>
      <c r="J40" s="8" t="s">
        <v>57</v>
      </c>
      <c r="K40" s="8" t="s">
        <v>480</v>
      </c>
      <c r="L40" s="8" t="s">
        <v>182</v>
      </c>
      <c r="M40" s="8" t="s">
        <v>502</v>
      </c>
      <c r="N40" s="8" t="s">
        <v>503</v>
      </c>
      <c r="O40" s="8" t="s">
        <v>504</v>
      </c>
      <c r="P40" s="8" t="s">
        <v>186</v>
      </c>
      <c r="Q40" s="8" t="s">
        <v>505</v>
      </c>
      <c r="R40" s="8" t="s">
        <v>455</v>
      </c>
      <c r="S40" s="8" t="s">
        <v>65</v>
      </c>
      <c r="T40" s="8" t="s">
        <v>293</v>
      </c>
      <c r="U40" s="8" t="s">
        <v>41</v>
      </c>
      <c r="V40" s="8" t="s">
        <v>7</v>
      </c>
      <c r="W40" s="8" t="s">
        <v>506</v>
      </c>
    </row>
    <row r="41" customFormat="false" ht="156" hidden="false" customHeight="true" outlineLevel="0" collapsed="false">
      <c r="A41" s="8" t="s">
        <v>507</v>
      </c>
      <c r="B41" s="8" t="s">
        <v>176</v>
      </c>
      <c r="C41" s="8" t="s">
        <v>177</v>
      </c>
      <c r="D41" s="8" t="s">
        <v>36</v>
      </c>
      <c r="E41" s="8" t="s">
        <v>448</v>
      </c>
      <c r="F41" s="8" t="s">
        <v>508</v>
      </c>
      <c r="G41" s="8" t="s">
        <v>509</v>
      </c>
      <c r="H41" s="8" t="s">
        <v>19</v>
      </c>
      <c r="I41" s="8" t="n">
        <v>2</v>
      </c>
      <c r="J41" s="8" t="s">
        <v>57</v>
      </c>
      <c r="K41" s="8" t="s">
        <v>451</v>
      </c>
      <c r="L41" s="8" t="s">
        <v>182</v>
      </c>
      <c r="M41" s="8" t="s">
        <v>510</v>
      </c>
      <c r="N41" s="8" t="s">
        <v>511</v>
      </c>
      <c r="O41" s="8" t="s">
        <v>207</v>
      </c>
      <c r="P41" s="8" t="s">
        <v>186</v>
      </c>
      <c r="Q41" s="8" t="s">
        <v>512</v>
      </c>
      <c r="R41" s="8" t="s">
        <v>455</v>
      </c>
      <c r="S41" s="8" t="s">
        <v>513</v>
      </c>
      <c r="T41" s="8" t="s">
        <v>514</v>
      </c>
      <c r="U41" s="8" t="s">
        <v>41</v>
      </c>
      <c r="V41" s="8" t="s">
        <v>9</v>
      </c>
      <c r="W41" s="8" t="s">
        <v>515</v>
      </c>
    </row>
    <row r="42" customFormat="false" ht="156" hidden="false" customHeight="true" outlineLevel="0" collapsed="false">
      <c r="A42" s="8" t="s">
        <v>516</v>
      </c>
      <c r="B42" s="8" t="s">
        <v>176</v>
      </c>
      <c r="C42" s="8" t="s">
        <v>177</v>
      </c>
      <c r="D42" s="8" t="s">
        <v>36</v>
      </c>
      <c r="E42" s="8" t="s">
        <v>448</v>
      </c>
      <c r="F42" s="8" t="s">
        <v>517</v>
      </c>
      <c r="G42" s="8" t="s">
        <v>518</v>
      </c>
      <c r="H42" s="8" t="s">
        <v>19</v>
      </c>
      <c r="I42" s="8" t="n">
        <v>2</v>
      </c>
      <c r="J42" s="8" t="s">
        <v>57</v>
      </c>
      <c r="K42" s="8" t="s">
        <v>451</v>
      </c>
      <c r="L42" s="8" t="s">
        <v>182</v>
      </c>
      <c r="M42" s="8" t="s">
        <v>519</v>
      </c>
      <c r="N42" s="8" t="s">
        <v>520</v>
      </c>
      <c r="O42" s="8" t="s">
        <v>207</v>
      </c>
      <c r="P42" s="8" t="s">
        <v>186</v>
      </c>
      <c r="Q42" s="8" t="s">
        <v>505</v>
      </c>
      <c r="R42" s="8" t="s">
        <v>455</v>
      </c>
      <c r="S42" s="8" t="s">
        <v>513</v>
      </c>
      <c r="T42" s="8" t="s">
        <v>514</v>
      </c>
      <c r="U42" s="8" t="s">
        <v>41</v>
      </c>
      <c r="V42" s="8" t="s">
        <v>9</v>
      </c>
      <c r="W42" s="8" t="s">
        <v>521</v>
      </c>
    </row>
    <row r="43" customFormat="false" ht="156" hidden="false" customHeight="true" outlineLevel="0" collapsed="false">
      <c r="A43" s="8" t="s">
        <v>522</v>
      </c>
      <c r="B43" s="8" t="s">
        <v>176</v>
      </c>
      <c r="C43" s="8" t="s">
        <v>177</v>
      </c>
      <c r="D43" s="8" t="s">
        <v>36</v>
      </c>
      <c r="E43" s="8" t="s">
        <v>448</v>
      </c>
      <c r="F43" s="8" t="s">
        <v>523</v>
      </c>
      <c r="G43" s="8" t="s">
        <v>524</v>
      </c>
      <c r="H43" s="8" t="s">
        <v>19</v>
      </c>
      <c r="I43" s="8" t="n">
        <v>2</v>
      </c>
      <c r="J43" s="8" t="s">
        <v>57</v>
      </c>
      <c r="K43" s="8" t="s">
        <v>451</v>
      </c>
      <c r="L43" s="8" t="s">
        <v>182</v>
      </c>
      <c r="M43" s="8" t="s">
        <v>525</v>
      </c>
      <c r="N43" s="8" t="s">
        <v>526</v>
      </c>
      <c r="O43" s="8" t="s">
        <v>207</v>
      </c>
      <c r="P43" s="8" t="s">
        <v>186</v>
      </c>
      <c r="Q43" s="8" t="s">
        <v>505</v>
      </c>
      <c r="R43" s="8" t="s">
        <v>455</v>
      </c>
      <c r="S43" s="8" t="s">
        <v>65</v>
      </c>
      <c r="T43" s="8" t="s">
        <v>527</v>
      </c>
      <c r="U43" s="8" t="s">
        <v>41</v>
      </c>
      <c r="V43" s="8" t="s">
        <v>7</v>
      </c>
      <c r="W43" s="8" t="s">
        <v>528</v>
      </c>
    </row>
    <row r="44" customFormat="false" ht="156" hidden="false" customHeight="true" outlineLevel="0" collapsed="false">
      <c r="A44" s="8" t="s">
        <v>529</v>
      </c>
      <c r="B44" s="8" t="s">
        <v>176</v>
      </c>
      <c r="C44" s="8" t="s">
        <v>177</v>
      </c>
      <c r="D44" s="8" t="s">
        <v>36</v>
      </c>
      <c r="E44" s="8" t="s">
        <v>448</v>
      </c>
      <c r="F44" s="8" t="s">
        <v>530</v>
      </c>
      <c r="G44" s="8" t="s">
        <v>531</v>
      </c>
      <c r="H44" s="8" t="s">
        <v>21</v>
      </c>
      <c r="I44" s="8" t="n">
        <v>4</v>
      </c>
      <c r="J44" s="8" t="s">
        <v>56</v>
      </c>
      <c r="K44" s="8" t="s">
        <v>204</v>
      </c>
      <c r="L44" s="8" t="s">
        <v>182</v>
      </c>
      <c r="M44" s="8" t="s">
        <v>532</v>
      </c>
      <c r="N44" s="8" t="s">
        <v>533</v>
      </c>
      <c r="O44" s="8" t="s">
        <v>534</v>
      </c>
      <c r="P44" s="8" t="s">
        <v>186</v>
      </c>
      <c r="Q44" s="8" t="s">
        <v>535</v>
      </c>
      <c r="R44" s="8" t="s">
        <v>455</v>
      </c>
      <c r="S44" s="8" t="s">
        <v>65</v>
      </c>
      <c r="T44" s="8" t="s">
        <v>234</v>
      </c>
      <c r="U44" s="8" t="s">
        <v>41</v>
      </c>
      <c r="V44" s="8" t="s">
        <v>7</v>
      </c>
      <c r="W44" s="8" t="s">
        <v>536</v>
      </c>
    </row>
    <row r="45" customFormat="false" ht="156" hidden="false" customHeight="true" outlineLevel="0" collapsed="false">
      <c r="A45" s="8" t="s">
        <v>537</v>
      </c>
      <c r="B45" s="8" t="s">
        <v>176</v>
      </c>
      <c r="C45" s="8" t="s">
        <v>177</v>
      </c>
      <c r="D45" s="8" t="s">
        <v>36</v>
      </c>
      <c r="E45" s="8" t="s">
        <v>448</v>
      </c>
      <c r="F45" s="8" t="s">
        <v>538</v>
      </c>
      <c r="G45" s="8" t="s">
        <v>539</v>
      </c>
      <c r="H45" s="8" t="s">
        <v>19</v>
      </c>
      <c r="I45" s="8" t="n">
        <v>2</v>
      </c>
      <c r="J45" s="8" t="s">
        <v>56</v>
      </c>
      <c r="K45" s="8" t="s">
        <v>204</v>
      </c>
      <c r="L45" s="8" t="s">
        <v>182</v>
      </c>
      <c r="M45" s="8" t="s">
        <v>540</v>
      </c>
      <c r="N45" s="8" t="s">
        <v>541</v>
      </c>
      <c r="O45" s="8" t="s">
        <v>542</v>
      </c>
      <c r="P45" s="8" t="s">
        <v>186</v>
      </c>
      <c r="Q45" s="8" t="s">
        <v>543</v>
      </c>
      <c r="R45" s="8" t="s">
        <v>455</v>
      </c>
      <c r="S45" s="8" t="s">
        <v>65</v>
      </c>
      <c r="T45" s="8" t="s">
        <v>234</v>
      </c>
      <c r="U45" s="8" t="s">
        <v>41</v>
      </c>
      <c r="V45" s="8" t="s">
        <v>7</v>
      </c>
      <c r="W45" s="8" t="s">
        <v>544</v>
      </c>
    </row>
    <row r="46" customFormat="false" ht="66.75" hidden="false" customHeight="true" outlineLevel="0" collapsed="false">
      <c r="A46" s="8" t="s">
        <v>545</v>
      </c>
      <c r="B46" s="8" t="s">
        <v>176</v>
      </c>
      <c r="C46" s="8" t="s">
        <v>177</v>
      </c>
      <c r="D46" s="8" t="s">
        <v>36</v>
      </c>
      <c r="E46" s="8" t="s">
        <v>448</v>
      </c>
      <c r="F46" s="8" t="s">
        <v>546</v>
      </c>
      <c r="G46" s="8" t="s">
        <v>547</v>
      </c>
      <c r="H46" s="8" t="s">
        <v>20</v>
      </c>
      <c r="I46" s="8" t="n">
        <v>3</v>
      </c>
      <c r="J46" s="8" t="s">
        <v>57</v>
      </c>
      <c r="K46" s="8" t="s">
        <v>65</v>
      </c>
      <c r="L46" s="8" t="s">
        <v>65</v>
      </c>
      <c r="M46" s="8" t="s">
        <v>65</v>
      </c>
      <c r="N46" s="8" t="s">
        <v>65</v>
      </c>
      <c r="O46" s="8" t="s">
        <v>65</v>
      </c>
      <c r="P46" s="8" t="s">
        <v>186</v>
      </c>
      <c r="Q46" s="8" t="s">
        <v>548</v>
      </c>
      <c r="R46" s="8" t="s">
        <v>455</v>
      </c>
      <c r="S46" s="8" t="s">
        <v>65</v>
      </c>
      <c r="T46" s="8" t="s">
        <v>549</v>
      </c>
      <c r="U46" s="8" t="s">
        <v>41</v>
      </c>
      <c r="V46" s="8" t="s">
        <v>11</v>
      </c>
      <c r="W46" s="8" t="s">
        <v>550</v>
      </c>
    </row>
    <row r="47" customFormat="false" ht="143.25" hidden="false" customHeight="true" outlineLevel="0" collapsed="false">
      <c r="A47" s="8" t="s">
        <v>551</v>
      </c>
      <c r="B47" s="8" t="s">
        <v>176</v>
      </c>
      <c r="C47" s="8" t="s">
        <v>177</v>
      </c>
      <c r="D47" s="8" t="s">
        <v>36</v>
      </c>
      <c r="E47" s="8" t="s">
        <v>552</v>
      </c>
      <c r="F47" s="8" t="s">
        <v>553</v>
      </c>
      <c r="G47" s="8" t="s">
        <v>554</v>
      </c>
      <c r="H47" s="8" t="s">
        <v>19</v>
      </c>
      <c r="I47" s="8" t="n">
        <v>2</v>
      </c>
      <c r="J47" s="8" t="s">
        <v>58</v>
      </c>
      <c r="K47" s="8" t="s">
        <v>181</v>
      </c>
      <c r="L47" s="8" t="s">
        <v>182</v>
      </c>
      <c r="M47" s="8" t="s">
        <v>555</v>
      </c>
      <c r="N47" s="8" t="s">
        <v>556</v>
      </c>
      <c r="O47" s="8" t="s">
        <v>185</v>
      </c>
      <c r="P47" s="8" t="s">
        <v>186</v>
      </c>
      <c r="Q47" s="8" t="s">
        <v>557</v>
      </c>
      <c r="R47" s="8" t="s">
        <v>413</v>
      </c>
      <c r="S47" s="8" t="s">
        <v>558</v>
      </c>
      <c r="T47" s="8" t="s">
        <v>559</v>
      </c>
      <c r="U47" s="8" t="s">
        <v>40</v>
      </c>
      <c r="V47" s="8" t="s">
        <v>9</v>
      </c>
      <c r="W47" s="8" t="s">
        <v>560</v>
      </c>
    </row>
    <row r="48" customFormat="false" ht="143.25" hidden="false" customHeight="true" outlineLevel="0" collapsed="false">
      <c r="A48" s="8" t="s">
        <v>561</v>
      </c>
      <c r="B48" s="8" t="s">
        <v>176</v>
      </c>
      <c r="C48" s="8" t="s">
        <v>177</v>
      </c>
      <c r="D48" s="8" t="s">
        <v>36</v>
      </c>
      <c r="E48" s="8" t="s">
        <v>552</v>
      </c>
      <c r="F48" s="8" t="s">
        <v>562</v>
      </c>
      <c r="G48" s="8" t="s">
        <v>563</v>
      </c>
      <c r="H48" s="8" t="s">
        <v>19</v>
      </c>
      <c r="I48" s="8" t="n">
        <v>2</v>
      </c>
      <c r="J48" s="8" t="s">
        <v>58</v>
      </c>
      <c r="K48" s="8" t="s">
        <v>181</v>
      </c>
      <c r="L48" s="8" t="s">
        <v>182</v>
      </c>
      <c r="M48" s="8" t="s">
        <v>564</v>
      </c>
      <c r="N48" s="8" t="s">
        <v>565</v>
      </c>
      <c r="O48" s="8" t="s">
        <v>566</v>
      </c>
      <c r="P48" s="8" t="s">
        <v>186</v>
      </c>
      <c r="Q48" s="8" t="s">
        <v>567</v>
      </c>
      <c r="R48" s="8" t="s">
        <v>413</v>
      </c>
      <c r="S48" s="8" t="s">
        <v>65</v>
      </c>
      <c r="T48" s="8" t="s">
        <v>234</v>
      </c>
      <c r="U48" s="8" t="s">
        <v>40</v>
      </c>
      <c r="V48" s="8" t="s">
        <v>7</v>
      </c>
      <c r="W48" s="8" t="s">
        <v>568</v>
      </c>
    </row>
    <row r="49" customFormat="false" ht="143.25" hidden="false" customHeight="true" outlineLevel="0" collapsed="false">
      <c r="A49" s="8" t="s">
        <v>569</v>
      </c>
      <c r="B49" s="8" t="s">
        <v>176</v>
      </c>
      <c r="C49" s="8" t="s">
        <v>177</v>
      </c>
      <c r="D49" s="8" t="s">
        <v>36</v>
      </c>
      <c r="E49" s="8" t="s">
        <v>552</v>
      </c>
      <c r="F49" s="8" t="s">
        <v>570</v>
      </c>
      <c r="G49" s="8" t="s">
        <v>571</v>
      </c>
      <c r="H49" s="8" t="s">
        <v>20</v>
      </c>
      <c r="I49" s="8" t="n">
        <v>3</v>
      </c>
      <c r="J49" s="8" t="s">
        <v>58</v>
      </c>
      <c r="K49" s="8" t="s">
        <v>181</v>
      </c>
      <c r="L49" s="8" t="s">
        <v>182</v>
      </c>
      <c r="M49" s="8" t="s">
        <v>572</v>
      </c>
      <c r="N49" s="8" t="s">
        <v>573</v>
      </c>
      <c r="O49" s="8" t="s">
        <v>207</v>
      </c>
      <c r="P49" s="8" t="s">
        <v>186</v>
      </c>
      <c r="Q49" s="8" t="s">
        <v>574</v>
      </c>
      <c r="R49" s="8" t="s">
        <v>413</v>
      </c>
      <c r="S49" s="8" t="s">
        <v>65</v>
      </c>
      <c r="T49" s="8" t="s">
        <v>234</v>
      </c>
      <c r="U49" s="8" t="s">
        <v>40</v>
      </c>
      <c r="V49" s="8" t="s">
        <v>7</v>
      </c>
      <c r="W49" s="8" t="s">
        <v>575</v>
      </c>
    </row>
    <row r="50" customFormat="false" ht="130.5" hidden="false" customHeight="true" outlineLevel="0" collapsed="false">
      <c r="A50" s="8" t="s">
        <v>576</v>
      </c>
      <c r="B50" s="8" t="s">
        <v>176</v>
      </c>
      <c r="C50" s="8" t="s">
        <v>177</v>
      </c>
      <c r="D50" s="8" t="s">
        <v>36</v>
      </c>
      <c r="E50" s="8" t="s">
        <v>552</v>
      </c>
      <c r="F50" s="8" t="s">
        <v>577</v>
      </c>
      <c r="G50" s="8" t="s">
        <v>578</v>
      </c>
      <c r="H50" s="8" t="s">
        <v>20</v>
      </c>
      <c r="I50" s="8" t="n">
        <v>3</v>
      </c>
      <c r="J50" s="8" t="s">
        <v>58</v>
      </c>
      <c r="K50" s="8" t="s">
        <v>579</v>
      </c>
      <c r="L50" s="8" t="s">
        <v>182</v>
      </c>
      <c r="M50" s="8" t="s">
        <v>580</v>
      </c>
      <c r="N50" s="8" t="s">
        <v>581</v>
      </c>
      <c r="O50" s="8" t="s">
        <v>582</v>
      </c>
      <c r="P50" s="8" t="s">
        <v>186</v>
      </c>
      <c r="Q50" s="8" t="s">
        <v>583</v>
      </c>
      <c r="R50" s="8" t="s">
        <v>413</v>
      </c>
      <c r="S50" s="8" t="s">
        <v>65</v>
      </c>
      <c r="T50" s="8" t="s">
        <v>584</v>
      </c>
      <c r="U50" s="8" t="s">
        <v>40</v>
      </c>
      <c r="V50" s="8" t="s">
        <v>7</v>
      </c>
      <c r="W50" s="8" t="s">
        <v>585</v>
      </c>
    </row>
    <row r="51" customFormat="false" ht="130.5" hidden="false" customHeight="true" outlineLevel="0" collapsed="false">
      <c r="A51" s="8" t="s">
        <v>586</v>
      </c>
      <c r="B51" s="8" t="s">
        <v>176</v>
      </c>
      <c r="C51" s="8" t="s">
        <v>177</v>
      </c>
      <c r="D51" s="8" t="s">
        <v>36</v>
      </c>
      <c r="E51" s="8" t="s">
        <v>552</v>
      </c>
      <c r="F51" s="8" t="s">
        <v>587</v>
      </c>
      <c r="G51" s="8" t="s">
        <v>588</v>
      </c>
      <c r="H51" s="8" t="s">
        <v>20</v>
      </c>
      <c r="I51" s="8" t="n">
        <v>3</v>
      </c>
      <c r="J51" s="8" t="s">
        <v>58</v>
      </c>
      <c r="K51" s="8" t="s">
        <v>579</v>
      </c>
      <c r="L51" s="8" t="s">
        <v>182</v>
      </c>
      <c r="M51" s="8" t="s">
        <v>589</v>
      </c>
      <c r="N51" s="8" t="s">
        <v>590</v>
      </c>
      <c r="O51" s="8" t="s">
        <v>591</v>
      </c>
      <c r="P51" s="8" t="s">
        <v>186</v>
      </c>
      <c r="Q51" s="8" t="s">
        <v>592</v>
      </c>
      <c r="R51" s="8" t="s">
        <v>413</v>
      </c>
      <c r="S51" s="8" t="s">
        <v>65</v>
      </c>
      <c r="T51" s="8" t="s">
        <v>584</v>
      </c>
      <c r="U51" s="8" t="s">
        <v>40</v>
      </c>
      <c r="V51" s="8" t="s">
        <v>7</v>
      </c>
      <c r="W51" s="8" t="s">
        <v>593</v>
      </c>
    </row>
    <row r="52" customFormat="false" ht="156" hidden="false" customHeight="true" outlineLevel="0" collapsed="false">
      <c r="A52" s="8" t="s">
        <v>594</v>
      </c>
      <c r="B52" s="8" t="s">
        <v>176</v>
      </c>
      <c r="C52" s="8" t="s">
        <v>177</v>
      </c>
      <c r="D52" s="8" t="s">
        <v>36</v>
      </c>
      <c r="E52" s="8" t="s">
        <v>595</v>
      </c>
      <c r="F52" s="8" t="s">
        <v>596</v>
      </c>
      <c r="G52" s="8" t="s">
        <v>597</v>
      </c>
      <c r="H52" s="8" t="s">
        <v>18</v>
      </c>
      <c r="I52" s="8" t="n">
        <v>1</v>
      </c>
      <c r="J52" s="8" t="s">
        <v>56</v>
      </c>
      <c r="K52" s="8" t="s">
        <v>598</v>
      </c>
      <c r="L52" s="8" t="s">
        <v>182</v>
      </c>
      <c r="M52" s="8" t="s">
        <v>599</v>
      </c>
      <c r="N52" s="8" t="s">
        <v>600</v>
      </c>
      <c r="O52" s="8" t="s">
        <v>601</v>
      </c>
      <c r="P52" s="8" t="s">
        <v>186</v>
      </c>
      <c r="Q52" s="8" t="s">
        <v>602</v>
      </c>
      <c r="R52" s="8" t="s">
        <v>603</v>
      </c>
      <c r="S52" s="8" t="s">
        <v>65</v>
      </c>
      <c r="T52" s="8" t="s">
        <v>234</v>
      </c>
      <c r="U52" s="8" t="s">
        <v>41</v>
      </c>
      <c r="V52" s="8" t="s">
        <v>7</v>
      </c>
      <c r="W52" s="8" t="s">
        <v>604</v>
      </c>
    </row>
    <row r="53" customFormat="false" ht="143.25" hidden="false" customHeight="true" outlineLevel="0" collapsed="false">
      <c r="A53" s="8" t="s">
        <v>605</v>
      </c>
      <c r="B53" s="8" t="s">
        <v>176</v>
      </c>
      <c r="C53" s="8" t="s">
        <v>177</v>
      </c>
      <c r="D53" s="8" t="s">
        <v>36</v>
      </c>
      <c r="E53" s="8" t="s">
        <v>595</v>
      </c>
      <c r="F53" s="8" t="s">
        <v>606</v>
      </c>
      <c r="G53" s="8" t="s">
        <v>607</v>
      </c>
      <c r="H53" s="8" t="s">
        <v>19</v>
      </c>
      <c r="I53" s="8" t="n">
        <v>2</v>
      </c>
      <c r="J53" s="8" t="s">
        <v>56</v>
      </c>
      <c r="K53" s="8" t="s">
        <v>608</v>
      </c>
      <c r="L53" s="8" t="s">
        <v>182</v>
      </c>
      <c r="M53" s="8" t="s">
        <v>609</v>
      </c>
      <c r="N53" s="8" t="s">
        <v>610</v>
      </c>
      <c r="O53" s="8" t="s">
        <v>611</v>
      </c>
      <c r="P53" s="8" t="s">
        <v>186</v>
      </c>
      <c r="Q53" s="8" t="s">
        <v>612</v>
      </c>
      <c r="R53" s="8" t="s">
        <v>603</v>
      </c>
      <c r="S53" s="8" t="s">
        <v>65</v>
      </c>
      <c r="T53" s="8" t="s">
        <v>234</v>
      </c>
      <c r="U53" s="8" t="s">
        <v>41</v>
      </c>
      <c r="V53" s="8" t="s">
        <v>7</v>
      </c>
      <c r="W53" s="8" t="s">
        <v>613</v>
      </c>
    </row>
    <row r="54" customFormat="false" ht="156" hidden="false" customHeight="true" outlineLevel="0" collapsed="false">
      <c r="A54" s="8" t="s">
        <v>614</v>
      </c>
      <c r="B54" s="8" t="s">
        <v>176</v>
      </c>
      <c r="C54" s="8" t="s">
        <v>177</v>
      </c>
      <c r="D54" s="8" t="s">
        <v>36</v>
      </c>
      <c r="E54" s="8" t="s">
        <v>595</v>
      </c>
      <c r="F54" s="8" t="s">
        <v>615</v>
      </c>
      <c r="G54" s="8" t="s">
        <v>616</v>
      </c>
      <c r="H54" s="8" t="s">
        <v>19</v>
      </c>
      <c r="I54" s="8" t="n">
        <v>2</v>
      </c>
      <c r="J54" s="8" t="s">
        <v>57</v>
      </c>
      <c r="K54" s="8" t="s">
        <v>617</v>
      </c>
      <c r="L54" s="8" t="s">
        <v>182</v>
      </c>
      <c r="M54" s="8" t="s">
        <v>618</v>
      </c>
      <c r="N54" s="8" t="s">
        <v>619</v>
      </c>
      <c r="O54" s="8" t="s">
        <v>620</v>
      </c>
      <c r="P54" s="8" t="s">
        <v>186</v>
      </c>
      <c r="Q54" s="8" t="s">
        <v>621</v>
      </c>
      <c r="R54" s="8" t="s">
        <v>603</v>
      </c>
      <c r="S54" s="8" t="s">
        <v>65</v>
      </c>
      <c r="T54" s="8" t="s">
        <v>234</v>
      </c>
      <c r="U54" s="8" t="s">
        <v>41</v>
      </c>
      <c r="V54" s="8" t="s">
        <v>7</v>
      </c>
      <c r="W54" s="8" t="s">
        <v>622</v>
      </c>
    </row>
    <row r="55" customFormat="false" ht="156" hidden="false" customHeight="true" outlineLevel="0" collapsed="false">
      <c r="A55" s="8" t="s">
        <v>623</v>
      </c>
      <c r="B55" s="8" t="s">
        <v>176</v>
      </c>
      <c r="C55" s="8" t="s">
        <v>177</v>
      </c>
      <c r="D55" s="8" t="s">
        <v>37</v>
      </c>
      <c r="E55" s="8" t="s">
        <v>595</v>
      </c>
      <c r="F55" s="8" t="s">
        <v>624</v>
      </c>
      <c r="G55" s="8" t="s">
        <v>625</v>
      </c>
      <c r="H55" s="8" t="s">
        <v>19</v>
      </c>
      <c r="I55" s="8" t="n">
        <v>2</v>
      </c>
      <c r="J55" s="8" t="s">
        <v>59</v>
      </c>
      <c r="K55" s="8" t="s">
        <v>626</v>
      </c>
      <c r="L55" s="8" t="s">
        <v>182</v>
      </c>
      <c r="M55" s="8" t="s">
        <v>627</v>
      </c>
      <c r="N55" s="8" t="s">
        <v>628</v>
      </c>
      <c r="O55" s="8" t="s">
        <v>629</v>
      </c>
      <c r="P55" s="8" t="s">
        <v>186</v>
      </c>
      <c r="Q55" s="8" t="s">
        <v>630</v>
      </c>
      <c r="R55" s="8" t="s">
        <v>603</v>
      </c>
      <c r="S55" s="8" t="s">
        <v>65</v>
      </c>
      <c r="T55" s="8" t="s">
        <v>631</v>
      </c>
      <c r="U55" s="8" t="s">
        <v>41</v>
      </c>
      <c r="V55" s="8" t="s">
        <v>11</v>
      </c>
      <c r="W55" s="8" t="s">
        <v>632</v>
      </c>
    </row>
    <row r="56" customFormat="false" ht="54" hidden="false" customHeight="true" outlineLevel="0" collapsed="false">
      <c r="A56" s="8" t="s">
        <v>633</v>
      </c>
      <c r="B56" s="8" t="s">
        <v>176</v>
      </c>
      <c r="C56" s="8" t="s">
        <v>177</v>
      </c>
      <c r="D56" s="8" t="s">
        <v>37</v>
      </c>
      <c r="E56" s="8" t="s">
        <v>595</v>
      </c>
      <c r="F56" s="8" t="s">
        <v>634</v>
      </c>
      <c r="G56" s="8" t="s">
        <v>635</v>
      </c>
      <c r="H56" s="8" t="s">
        <v>20</v>
      </c>
      <c r="I56" s="8" t="n">
        <v>3</v>
      </c>
      <c r="J56" s="8" t="s">
        <v>56</v>
      </c>
      <c r="K56" s="8" t="s">
        <v>65</v>
      </c>
      <c r="L56" s="8" t="s">
        <v>65</v>
      </c>
      <c r="M56" s="8" t="s">
        <v>65</v>
      </c>
      <c r="N56" s="8" t="s">
        <v>65</v>
      </c>
      <c r="O56" s="8" t="s">
        <v>65</v>
      </c>
      <c r="P56" s="8" t="s">
        <v>186</v>
      </c>
      <c r="Q56" s="8" t="s">
        <v>636</v>
      </c>
      <c r="R56" s="8" t="s">
        <v>603</v>
      </c>
      <c r="S56" s="8" t="s">
        <v>65</v>
      </c>
      <c r="T56" s="8" t="s">
        <v>637</v>
      </c>
      <c r="U56" s="8" t="s">
        <v>40</v>
      </c>
      <c r="V56" s="8" t="s">
        <v>11</v>
      </c>
      <c r="W56" s="8" t="s">
        <v>638</v>
      </c>
    </row>
    <row r="57" customFormat="false" ht="66.75" hidden="false" customHeight="true" outlineLevel="0" collapsed="false">
      <c r="A57" s="8" t="s">
        <v>639</v>
      </c>
      <c r="B57" s="8" t="s">
        <v>176</v>
      </c>
      <c r="C57" s="8" t="s">
        <v>177</v>
      </c>
      <c r="D57" s="8" t="s">
        <v>36</v>
      </c>
      <c r="E57" s="8" t="s">
        <v>595</v>
      </c>
      <c r="F57" s="8" t="s">
        <v>640</v>
      </c>
      <c r="G57" s="8" t="s">
        <v>641</v>
      </c>
      <c r="H57" s="8" t="s">
        <v>20</v>
      </c>
      <c r="I57" s="8" t="n">
        <v>3</v>
      </c>
      <c r="J57" s="8" t="s">
        <v>56</v>
      </c>
      <c r="K57" s="8" t="s">
        <v>642</v>
      </c>
      <c r="L57" s="8" t="s">
        <v>182</v>
      </c>
      <c r="M57" s="8" t="s">
        <v>643</v>
      </c>
      <c r="N57" s="8" t="s">
        <v>644</v>
      </c>
      <c r="O57" s="8" t="s">
        <v>645</v>
      </c>
      <c r="P57" s="8" t="s">
        <v>186</v>
      </c>
      <c r="Q57" s="8" t="s">
        <v>646</v>
      </c>
      <c r="R57" s="8" t="s">
        <v>603</v>
      </c>
      <c r="S57" s="8" t="s">
        <v>65</v>
      </c>
      <c r="T57" s="8" t="s">
        <v>293</v>
      </c>
      <c r="U57" s="8" t="s">
        <v>41</v>
      </c>
      <c r="V57" s="8" t="s">
        <v>7</v>
      </c>
      <c r="W57" s="8" t="s">
        <v>647</v>
      </c>
    </row>
    <row r="58" customFormat="false" ht="66.75" hidden="false" customHeight="true" outlineLevel="0" collapsed="false">
      <c r="A58" s="8" t="s">
        <v>648</v>
      </c>
      <c r="B58" s="8" t="s">
        <v>176</v>
      </c>
      <c r="C58" s="8" t="s">
        <v>177</v>
      </c>
      <c r="D58" s="8" t="s">
        <v>36</v>
      </c>
      <c r="E58" s="8" t="s">
        <v>595</v>
      </c>
      <c r="F58" s="8" t="s">
        <v>649</v>
      </c>
      <c r="G58" s="8" t="s">
        <v>650</v>
      </c>
      <c r="H58" s="8" t="s">
        <v>20</v>
      </c>
      <c r="I58" s="8" t="n">
        <v>3</v>
      </c>
      <c r="J58" s="8" t="s">
        <v>56</v>
      </c>
      <c r="K58" s="8" t="s">
        <v>651</v>
      </c>
      <c r="L58" s="8" t="s">
        <v>182</v>
      </c>
      <c r="M58" s="8" t="s">
        <v>652</v>
      </c>
      <c r="N58" s="8" t="s">
        <v>653</v>
      </c>
      <c r="O58" s="8" t="s">
        <v>654</v>
      </c>
      <c r="P58" s="8" t="s">
        <v>186</v>
      </c>
      <c r="Q58" s="8" t="s">
        <v>655</v>
      </c>
      <c r="R58" s="8" t="s">
        <v>603</v>
      </c>
      <c r="S58" s="8" t="s">
        <v>65</v>
      </c>
      <c r="T58" s="8" t="s">
        <v>484</v>
      </c>
      <c r="U58" s="8" t="s">
        <v>41</v>
      </c>
      <c r="V58" s="8" t="s">
        <v>7</v>
      </c>
      <c r="W58" s="8" t="s">
        <v>656</v>
      </c>
    </row>
    <row r="59" customFormat="false" ht="156" hidden="false" customHeight="true" outlineLevel="0" collapsed="false">
      <c r="A59" s="8" t="s">
        <v>657</v>
      </c>
      <c r="B59" s="8" t="s">
        <v>176</v>
      </c>
      <c r="C59" s="8" t="s">
        <v>177</v>
      </c>
      <c r="D59" s="8" t="s">
        <v>36</v>
      </c>
      <c r="E59" s="8" t="s">
        <v>658</v>
      </c>
      <c r="F59" s="8" t="s">
        <v>659</v>
      </c>
      <c r="G59" s="8" t="s">
        <v>660</v>
      </c>
      <c r="H59" s="8" t="s">
        <v>19</v>
      </c>
      <c r="I59" s="8" t="n">
        <v>2</v>
      </c>
      <c r="J59" s="8" t="s">
        <v>56</v>
      </c>
      <c r="K59" s="8" t="s">
        <v>661</v>
      </c>
      <c r="L59" s="8" t="s">
        <v>182</v>
      </c>
      <c r="M59" s="8" t="s">
        <v>662</v>
      </c>
      <c r="N59" s="8" t="s">
        <v>663</v>
      </c>
      <c r="O59" s="8" t="s">
        <v>664</v>
      </c>
      <c r="P59" s="8" t="s">
        <v>186</v>
      </c>
      <c r="Q59" s="8" t="s">
        <v>665</v>
      </c>
      <c r="R59" s="8" t="s">
        <v>413</v>
      </c>
      <c r="S59" s="8" t="s">
        <v>666</v>
      </c>
      <c r="T59" s="8" t="s">
        <v>667</v>
      </c>
      <c r="U59" s="8" t="s">
        <v>40</v>
      </c>
      <c r="V59" s="8" t="s">
        <v>9</v>
      </c>
      <c r="W59" s="8" t="s">
        <v>668</v>
      </c>
    </row>
    <row r="60" customFormat="false" ht="156" hidden="false" customHeight="true" outlineLevel="0" collapsed="false">
      <c r="A60" s="8" t="s">
        <v>669</v>
      </c>
      <c r="B60" s="8" t="s">
        <v>176</v>
      </c>
      <c r="C60" s="8" t="s">
        <v>177</v>
      </c>
      <c r="D60" s="8" t="s">
        <v>36</v>
      </c>
      <c r="E60" s="8" t="s">
        <v>658</v>
      </c>
      <c r="F60" s="8" t="s">
        <v>670</v>
      </c>
      <c r="G60" s="8" t="s">
        <v>671</v>
      </c>
      <c r="H60" s="8" t="s">
        <v>20</v>
      </c>
      <c r="I60" s="8" t="n">
        <v>3</v>
      </c>
      <c r="J60" s="8" t="s">
        <v>58</v>
      </c>
      <c r="K60" s="8" t="s">
        <v>672</v>
      </c>
      <c r="L60" s="8" t="s">
        <v>182</v>
      </c>
      <c r="M60" s="8" t="s">
        <v>673</v>
      </c>
      <c r="N60" s="8" t="s">
        <v>674</v>
      </c>
      <c r="O60" s="8" t="s">
        <v>675</v>
      </c>
      <c r="P60" s="8" t="s">
        <v>186</v>
      </c>
      <c r="Q60" s="8" t="s">
        <v>676</v>
      </c>
      <c r="R60" s="8" t="s">
        <v>413</v>
      </c>
      <c r="S60" s="8" t="s">
        <v>666</v>
      </c>
      <c r="T60" s="8" t="s">
        <v>667</v>
      </c>
      <c r="U60" s="8" t="s">
        <v>40</v>
      </c>
      <c r="V60" s="8" t="s">
        <v>9</v>
      </c>
      <c r="W60" s="8" t="s">
        <v>677</v>
      </c>
    </row>
    <row r="61" customFormat="false" ht="79.5" hidden="false" customHeight="true" outlineLevel="0" collapsed="false">
      <c r="A61" s="8" t="s">
        <v>678</v>
      </c>
      <c r="B61" s="8" t="s">
        <v>176</v>
      </c>
      <c r="C61" s="8" t="s">
        <v>177</v>
      </c>
      <c r="D61" s="8" t="s">
        <v>36</v>
      </c>
      <c r="E61" s="8" t="s">
        <v>658</v>
      </c>
      <c r="F61" s="8" t="s">
        <v>679</v>
      </c>
      <c r="G61" s="8" t="s">
        <v>680</v>
      </c>
      <c r="H61" s="8" t="s">
        <v>20</v>
      </c>
      <c r="I61" s="8" t="n">
        <v>3</v>
      </c>
      <c r="J61" s="8" t="s">
        <v>56</v>
      </c>
      <c r="K61" s="8" t="s">
        <v>681</v>
      </c>
      <c r="L61" s="8" t="s">
        <v>182</v>
      </c>
      <c r="M61" s="8" t="s">
        <v>682</v>
      </c>
      <c r="N61" s="8" t="s">
        <v>683</v>
      </c>
      <c r="O61" s="8" t="s">
        <v>684</v>
      </c>
      <c r="P61" s="8" t="s">
        <v>186</v>
      </c>
      <c r="Q61" s="8" t="s">
        <v>685</v>
      </c>
      <c r="R61" s="8" t="s">
        <v>413</v>
      </c>
      <c r="S61" s="8" t="s">
        <v>65</v>
      </c>
      <c r="T61" s="8" t="s">
        <v>484</v>
      </c>
      <c r="U61" s="8" t="s">
        <v>40</v>
      </c>
      <c r="V61" s="8" t="s">
        <v>7</v>
      </c>
      <c r="W61" s="8" t="s">
        <v>686</v>
      </c>
    </row>
    <row r="62" customFormat="false" ht="130.5" hidden="false" customHeight="true" outlineLevel="0" collapsed="false">
      <c r="A62" s="8" t="s">
        <v>687</v>
      </c>
      <c r="B62" s="8" t="s">
        <v>176</v>
      </c>
      <c r="C62" s="8" t="s">
        <v>177</v>
      </c>
      <c r="D62" s="8" t="s">
        <v>36</v>
      </c>
      <c r="E62" s="8" t="s">
        <v>688</v>
      </c>
      <c r="F62" s="8" t="s">
        <v>689</v>
      </c>
      <c r="G62" s="8" t="s">
        <v>690</v>
      </c>
      <c r="H62" s="8" t="s">
        <v>19</v>
      </c>
      <c r="I62" s="8" t="n">
        <v>2</v>
      </c>
      <c r="J62" s="8" t="s">
        <v>56</v>
      </c>
      <c r="K62" s="8" t="s">
        <v>691</v>
      </c>
      <c r="L62" s="8" t="s">
        <v>182</v>
      </c>
      <c r="M62" s="8" t="s">
        <v>692</v>
      </c>
      <c r="N62" s="8" t="s">
        <v>693</v>
      </c>
      <c r="O62" s="8" t="s">
        <v>694</v>
      </c>
      <c r="P62" s="8" t="s">
        <v>186</v>
      </c>
      <c r="Q62" s="8" t="s">
        <v>695</v>
      </c>
      <c r="R62" s="8" t="s">
        <v>696</v>
      </c>
      <c r="S62" s="8" t="s">
        <v>65</v>
      </c>
      <c r="T62" s="8" t="s">
        <v>234</v>
      </c>
      <c r="U62" s="8" t="s">
        <v>40</v>
      </c>
      <c r="V62" s="8" t="s">
        <v>7</v>
      </c>
      <c r="W62" s="8" t="s">
        <v>697</v>
      </c>
    </row>
    <row r="63" customFormat="false" ht="143.25" hidden="false" customHeight="true" outlineLevel="0" collapsed="false">
      <c r="A63" s="8" t="s">
        <v>698</v>
      </c>
      <c r="B63" s="8" t="s">
        <v>176</v>
      </c>
      <c r="C63" s="8" t="s">
        <v>177</v>
      </c>
      <c r="D63" s="8" t="s">
        <v>36</v>
      </c>
      <c r="E63" s="8" t="s">
        <v>688</v>
      </c>
      <c r="F63" s="8" t="s">
        <v>699</v>
      </c>
      <c r="G63" s="8" t="s">
        <v>700</v>
      </c>
      <c r="H63" s="8" t="s">
        <v>19</v>
      </c>
      <c r="I63" s="8" t="n">
        <v>2</v>
      </c>
      <c r="J63" s="8" t="s">
        <v>56</v>
      </c>
      <c r="K63" s="8" t="s">
        <v>701</v>
      </c>
      <c r="L63" s="8" t="s">
        <v>182</v>
      </c>
      <c r="M63" s="8" t="s">
        <v>702</v>
      </c>
      <c r="N63" s="8" t="s">
        <v>703</v>
      </c>
      <c r="O63" s="8" t="s">
        <v>185</v>
      </c>
      <c r="P63" s="8" t="s">
        <v>186</v>
      </c>
      <c r="Q63" s="8" t="s">
        <v>704</v>
      </c>
      <c r="R63" s="8" t="s">
        <v>696</v>
      </c>
      <c r="S63" s="8" t="s">
        <v>65</v>
      </c>
      <c r="T63" s="8" t="s">
        <v>234</v>
      </c>
      <c r="U63" s="8" t="s">
        <v>40</v>
      </c>
      <c r="V63" s="8" t="s">
        <v>7</v>
      </c>
      <c r="W63" s="8" t="s">
        <v>705</v>
      </c>
    </row>
    <row r="64" customFormat="false" ht="130.5" hidden="false" customHeight="true" outlineLevel="0" collapsed="false">
      <c r="A64" s="8" t="s">
        <v>706</v>
      </c>
      <c r="B64" s="8" t="s">
        <v>176</v>
      </c>
      <c r="C64" s="8" t="s">
        <v>177</v>
      </c>
      <c r="D64" s="8" t="s">
        <v>36</v>
      </c>
      <c r="E64" s="8" t="s">
        <v>688</v>
      </c>
      <c r="F64" s="8" t="s">
        <v>707</v>
      </c>
      <c r="G64" s="8" t="s">
        <v>708</v>
      </c>
      <c r="H64" s="8" t="s">
        <v>19</v>
      </c>
      <c r="I64" s="8" t="n">
        <v>2</v>
      </c>
      <c r="J64" s="8" t="s">
        <v>56</v>
      </c>
      <c r="K64" s="8" t="s">
        <v>709</v>
      </c>
      <c r="L64" s="8" t="s">
        <v>182</v>
      </c>
      <c r="M64" s="8" t="s">
        <v>710</v>
      </c>
      <c r="N64" s="8" t="s">
        <v>711</v>
      </c>
      <c r="O64" s="8" t="s">
        <v>712</v>
      </c>
      <c r="P64" s="8" t="s">
        <v>186</v>
      </c>
      <c r="Q64" s="8" t="s">
        <v>713</v>
      </c>
      <c r="R64" s="8" t="s">
        <v>696</v>
      </c>
      <c r="S64" s="8" t="s">
        <v>714</v>
      </c>
      <c r="T64" s="8" t="s">
        <v>715</v>
      </c>
      <c r="U64" s="8" t="s">
        <v>40</v>
      </c>
      <c r="V64" s="8" t="s">
        <v>9</v>
      </c>
      <c r="W64" s="8" t="s">
        <v>716</v>
      </c>
    </row>
    <row r="65" customFormat="false" ht="143.25" hidden="false" customHeight="true" outlineLevel="0" collapsed="false">
      <c r="A65" s="8" t="s">
        <v>717</v>
      </c>
      <c r="B65" s="8" t="s">
        <v>176</v>
      </c>
      <c r="C65" s="8" t="s">
        <v>177</v>
      </c>
      <c r="D65" s="8" t="s">
        <v>36</v>
      </c>
      <c r="E65" s="8" t="s">
        <v>688</v>
      </c>
      <c r="F65" s="8" t="s">
        <v>718</v>
      </c>
      <c r="G65" s="8" t="s">
        <v>719</v>
      </c>
      <c r="H65" s="8" t="s">
        <v>19</v>
      </c>
      <c r="I65" s="8" t="n">
        <v>2</v>
      </c>
      <c r="J65" s="8" t="s">
        <v>56</v>
      </c>
      <c r="K65" s="8" t="s">
        <v>720</v>
      </c>
      <c r="L65" s="8" t="s">
        <v>182</v>
      </c>
      <c r="M65" s="8" t="s">
        <v>721</v>
      </c>
      <c r="N65" s="8" t="s">
        <v>722</v>
      </c>
      <c r="O65" s="8" t="s">
        <v>723</v>
      </c>
      <c r="P65" s="8" t="s">
        <v>186</v>
      </c>
      <c r="Q65" s="8" t="s">
        <v>724</v>
      </c>
      <c r="R65" s="8" t="s">
        <v>696</v>
      </c>
      <c r="S65" s="8" t="s">
        <v>65</v>
      </c>
      <c r="T65" s="8" t="s">
        <v>234</v>
      </c>
      <c r="U65" s="8" t="s">
        <v>40</v>
      </c>
      <c r="V65" s="8" t="s">
        <v>7</v>
      </c>
      <c r="W65" s="8" t="s">
        <v>725</v>
      </c>
    </row>
    <row r="66" customFormat="false" ht="143.25" hidden="false" customHeight="true" outlineLevel="0" collapsed="false">
      <c r="A66" s="8" t="s">
        <v>726</v>
      </c>
      <c r="B66" s="8" t="s">
        <v>176</v>
      </c>
      <c r="C66" s="8" t="s">
        <v>177</v>
      </c>
      <c r="D66" s="8" t="s">
        <v>36</v>
      </c>
      <c r="E66" s="8" t="s">
        <v>688</v>
      </c>
      <c r="F66" s="8" t="s">
        <v>727</v>
      </c>
      <c r="G66" s="8" t="s">
        <v>728</v>
      </c>
      <c r="H66" s="8" t="s">
        <v>20</v>
      </c>
      <c r="I66" s="8" t="n">
        <v>3</v>
      </c>
      <c r="J66" s="8" t="s">
        <v>56</v>
      </c>
      <c r="K66" s="8" t="s">
        <v>729</v>
      </c>
      <c r="L66" s="8" t="s">
        <v>182</v>
      </c>
      <c r="M66" s="8" t="s">
        <v>730</v>
      </c>
      <c r="N66" s="8" t="s">
        <v>731</v>
      </c>
      <c r="O66" s="8" t="s">
        <v>534</v>
      </c>
      <c r="P66" s="8" t="s">
        <v>186</v>
      </c>
      <c r="Q66" s="8" t="s">
        <v>732</v>
      </c>
      <c r="R66" s="8" t="s">
        <v>696</v>
      </c>
      <c r="S66" s="8" t="s">
        <v>733</v>
      </c>
      <c r="T66" s="8" t="s">
        <v>734</v>
      </c>
      <c r="U66" s="8" t="s">
        <v>40</v>
      </c>
      <c r="V66" s="8" t="s">
        <v>9</v>
      </c>
      <c r="W66" s="8" t="s">
        <v>735</v>
      </c>
    </row>
    <row r="67" customFormat="false" ht="156" hidden="false" customHeight="true" outlineLevel="0" collapsed="false">
      <c r="A67" s="8" t="s">
        <v>736</v>
      </c>
      <c r="B67" s="8" t="s">
        <v>176</v>
      </c>
      <c r="C67" s="8" t="s">
        <v>177</v>
      </c>
      <c r="D67" s="8" t="s">
        <v>36</v>
      </c>
      <c r="E67" s="8" t="s">
        <v>737</v>
      </c>
      <c r="F67" s="8" t="s">
        <v>738</v>
      </c>
      <c r="G67" s="8" t="s">
        <v>739</v>
      </c>
      <c r="H67" s="8" t="s">
        <v>20</v>
      </c>
      <c r="I67" s="8" t="n">
        <v>3</v>
      </c>
      <c r="J67" s="8" t="s">
        <v>57</v>
      </c>
      <c r="K67" s="8" t="s">
        <v>740</v>
      </c>
      <c r="L67" s="8" t="s">
        <v>182</v>
      </c>
      <c r="M67" s="8" t="s">
        <v>741</v>
      </c>
      <c r="N67" s="8" t="s">
        <v>742</v>
      </c>
      <c r="O67" s="8" t="s">
        <v>743</v>
      </c>
      <c r="P67" s="8" t="s">
        <v>186</v>
      </c>
      <c r="Q67" s="8" t="s">
        <v>744</v>
      </c>
      <c r="R67" s="8" t="s">
        <v>745</v>
      </c>
      <c r="S67" s="8" t="s">
        <v>65</v>
      </c>
      <c r="T67" s="8" t="s">
        <v>746</v>
      </c>
      <c r="U67" s="8" t="s">
        <v>40</v>
      </c>
      <c r="V67" s="8" t="s">
        <v>7</v>
      </c>
      <c r="W67" s="8" t="s">
        <v>747</v>
      </c>
    </row>
    <row r="68" customFormat="false" ht="130.5" hidden="false" customHeight="true" outlineLevel="0" collapsed="false">
      <c r="A68" s="8" t="s">
        <v>748</v>
      </c>
      <c r="B68" s="8" t="s">
        <v>176</v>
      </c>
      <c r="C68" s="8" t="s">
        <v>177</v>
      </c>
      <c r="D68" s="8" t="s">
        <v>36</v>
      </c>
      <c r="E68" s="8" t="s">
        <v>749</v>
      </c>
      <c r="F68" s="8" t="s">
        <v>750</v>
      </c>
      <c r="G68" s="8" t="s">
        <v>751</v>
      </c>
      <c r="H68" s="8" t="s">
        <v>18</v>
      </c>
      <c r="I68" s="8" t="n">
        <v>1</v>
      </c>
      <c r="J68" s="8" t="s">
        <v>58</v>
      </c>
      <c r="K68" s="8" t="s">
        <v>752</v>
      </c>
      <c r="L68" s="8" t="s">
        <v>182</v>
      </c>
      <c r="M68" s="8" t="s">
        <v>753</v>
      </c>
      <c r="N68" s="8" t="s">
        <v>754</v>
      </c>
      <c r="O68" s="8" t="s">
        <v>755</v>
      </c>
      <c r="P68" s="8" t="s">
        <v>186</v>
      </c>
      <c r="Q68" s="8" t="s">
        <v>756</v>
      </c>
      <c r="R68" s="8" t="s">
        <v>757</v>
      </c>
      <c r="S68" s="8" t="s">
        <v>65</v>
      </c>
      <c r="T68" s="8" t="s">
        <v>758</v>
      </c>
      <c r="U68" s="8" t="s">
        <v>40</v>
      </c>
      <c r="V68" s="8" t="s">
        <v>7</v>
      </c>
      <c r="W68" s="8" t="s">
        <v>759</v>
      </c>
    </row>
    <row r="69" customFormat="false" ht="130.5" hidden="false" customHeight="true" outlineLevel="0" collapsed="false">
      <c r="A69" s="8" t="s">
        <v>760</v>
      </c>
      <c r="B69" s="8" t="s">
        <v>176</v>
      </c>
      <c r="C69" s="8" t="s">
        <v>177</v>
      </c>
      <c r="D69" s="8" t="s">
        <v>36</v>
      </c>
      <c r="E69" s="8" t="s">
        <v>749</v>
      </c>
      <c r="F69" s="8" t="s">
        <v>761</v>
      </c>
      <c r="G69" s="8" t="s">
        <v>762</v>
      </c>
      <c r="H69" s="8" t="s">
        <v>18</v>
      </c>
      <c r="I69" s="8" t="n">
        <v>1</v>
      </c>
      <c r="J69" s="8" t="s">
        <v>58</v>
      </c>
      <c r="K69" s="8" t="s">
        <v>752</v>
      </c>
      <c r="L69" s="8" t="s">
        <v>182</v>
      </c>
      <c r="M69" s="8" t="s">
        <v>763</v>
      </c>
      <c r="N69" s="8" t="s">
        <v>764</v>
      </c>
      <c r="O69" s="8" t="s">
        <v>765</v>
      </c>
      <c r="P69" s="8" t="s">
        <v>186</v>
      </c>
      <c r="Q69" s="8" t="s">
        <v>766</v>
      </c>
      <c r="R69" s="8" t="s">
        <v>757</v>
      </c>
      <c r="S69" s="8" t="s">
        <v>65</v>
      </c>
      <c r="T69" s="8" t="s">
        <v>758</v>
      </c>
      <c r="U69" s="8" t="s">
        <v>40</v>
      </c>
      <c r="V69" s="8" t="s">
        <v>7</v>
      </c>
      <c r="W69" s="8" t="s">
        <v>767</v>
      </c>
    </row>
    <row r="70" customFormat="false" ht="143.25" hidden="false" customHeight="true" outlineLevel="0" collapsed="false">
      <c r="A70" s="8" t="s">
        <v>768</v>
      </c>
      <c r="B70" s="8" t="s">
        <v>176</v>
      </c>
      <c r="C70" s="8" t="s">
        <v>177</v>
      </c>
      <c r="D70" s="8" t="s">
        <v>36</v>
      </c>
      <c r="E70" s="8" t="s">
        <v>749</v>
      </c>
      <c r="F70" s="8" t="s">
        <v>769</v>
      </c>
      <c r="G70" s="8" t="s">
        <v>770</v>
      </c>
      <c r="H70" s="8" t="s">
        <v>19</v>
      </c>
      <c r="I70" s="8" t="n">
        <v>2</v>
      </c>
      <c r="J70" s="8" t="s">
        <v>59</v>
      </c>
      <c r="K70" s="8" t="s">
        <v>771</v>
      </c>
      <c r="L70" s="8" t="s">
        <v>182</v>
      </c>
      <c r="M70" s="8" t="s">
        <v>772</v>
      </c>
      <c r="N70" s="8" t="s">
        <v>773</v>
      </c>
      <c r="O70" s="8" t="s">
        <v>774</v>
      </c>
      <c r="P70" s="8" t="s">
        <v>186</v>
      </c>
      <c r="Q70" s="8" t="s">
        <v>775</v>
      </c>
      <c r="R70" s="8" t="s">
        <v>757</v>
      </c>
      <c r="S70" s="8" t="s">
        <v>65</v>
      </c>
      <c r="T70" s="8" t="s">
        <v>776</v>
      </c>
      <c r="U70" s="8" t="s">
        <v>40</v>
      </c>
      <c r="V70" s="8" t="s">
        <v>7</v>
      </c>
      <c r="W70" s="8" t="s">
        <v>777</v>
      </c>
    </row>
    <row r="71" customFormat="false" ht="156" hidden="false" customHeight="true" outlineLevel="0" collapsed="false">
      <c r="A71" s="8" t="s">
        <v>778</v>
      </c>
      <c r="B71" s="8" t="s">
        <v>176</v>
      </c>
      <c r="C71" s="8" t="s">
        <v>177</v>
      </c>
      <c r="D71" s="8" t="s">
        <v>37</v>
      </c>
      <c r="E71" s="8" t="s">
        <v>779</v>
      </c>
      <c r="F71" s="8" t="s">
        <v>780</v>
      </c>
      <c r="G71" s="8" t="s">
        <v>781</v>
      </c>
      <c r="H71" s="8" t="s">
        <v>18</v>
      </c>
      <c r="I71" s="8" t="n">
        <v>1</v>
      </c>
      <c r="J71" s="8" t="s">
        <v>56</v>
      </c>
      <c r="K71" s="8" t="s">
        <v>782</v>
      </c>
      <c r="L71" s="8" t="s">
        <v>182</v>
      </c>
      <c r="M71" s="8" t="s">
        <v>783</v>
      </c>
      <c r="N71" s="8" t="s">
        <v>784</v>
      </c>
      <c r="O71" s="8" t="s">
        <v>785</v>
      </c>
      <c r="P71" s="8" t="s">
        <v>186</v>
      </c>
      <c r="Q71" s="8" t="s">
        <v>786</v>
      </c>
      <c r="R71" s="8" t="s">
        <v>787</v>
      </c>
      <c r="S71" s="8" t="s">
        <v>788</v>
      </c>
      <c r="T71" s="8" t="s">
        <v>789</v>
      </c>
      <c r="U71" s="8" t="s">
        <v>41</v>
      </c>
      <c r="V71" s="8" t="s">
        <v>9</v>
      </c>
      <c r="W71" s="8" t="s">
        <v>790</v>
      </c>
    </row>
    <row r="72" customFormat="false" ht="156" hidden="false" customHeight="true" outlineLevel="0" collapsed="false">
      <c r="A72" s="8" t="s">
        <v>791</v>
      </c>
      <c r="B72" s="8" t="s">
        <v>176</v>
      </c>
      <c r="C72" s="8" t="s">
        <v>177</v>
      </c>
      <c r="D72" s="8" t="s">
        <v>37</v>
      </c>
      <c r="E72" s="8" t="s">
        <v>779</v>
      </c>
      <c r="F72" s="8" t="s">
        <v>792</v>
      </c>
      <c r="G72" s="8" t="s">
        <v>793</v>
      </c>
      <c r="H72" s="8" t="s">
        <v>19</v>
      </c>
      <c r="I72" s="8" t="n">
        <v>2</v>
      </c>
      <c r="J72" s="8" t="s">
        <v>58</v>
      </c>
      <c r="K72" s="8" t="s">
        <v>794</v>
      </c>
      <c r="L72" s="8" t="s">
        <v>182</v>
      </c>
      <c r="M72" s="8" t="s">
        <v>795</v>
      </c>
      <c r="N72" s="8" t="s">
        <v>796</v>
      </c>
      <c r="O72" s="8" t="s">
        <v>797</v>
      </c>
      <c r="P72" s="8" t="s">
        <v>186</v>
      </c>
      <c r="Q72" s="8" t="s">
        <v>798</v>
      </c>
      <c r="R72" s="8" t="s">
        <v>787</v>
      </c>
      <c r="S72" s="8" t="s">
        <v>788</v>
      </c>
      <c r="T72" s="8" t="s">
        <v>789</v>
      </c>
      <c r="U72" s="8" t="s">
        <v>41</v>
      </c>
      <c r="V72" s="8" t="s">
        <v>9</v>
      </c>
      <c r="W72" s="8" t="s">
        <v>799</v>
      </c>
    </row>
    <row r="73" customFormat="false" ht="130.5" hidden="false" customHeight="true" outlineLevel="0" collapsed="false">
      <c r="A73" s="8" t="s">
        <v>800</v>
      </c>
      <c r="B73" s="8" t="s">
        <v>176</v>
      </c>
      <c r="C73" s="8" t="s">
        <v>177</v>
      </c>
      <c r="D73" s="8" t="s">
        <v>36</v>
      </c>
      <c r="E73" s="8" t="s">
        <v>779</v>
      </c>
      <c r="F73" s="8" t="s">
        <v>801</v>
      </c>
      <c r="G73" s="8" t="s">
        <v>802</v>
      </c>
      <c r="H73" s="8" t="s">
        <v>20</v>
      </c>
      <c r="I73" s="8" t="n">
        <v>3</v>
      </c>
      <c r="J73" s="8" t="s">
        <v>58</v>
      </c>
      <c r="K73" s="8" t="s">
        <v>803</v>
      </c>
      <c r="L73" s="8" t="s">
        <v>182</v>
      </c>
      <c r="M73" s="8" t="s">
        <v>804</v>
      </c>
      <c r="N73" s="8" t="s">
        <v>805</v>
      </c>
      <c r="O73" s="8" t="s">
        <v>806</v>
      </c>
      <c r="P73" s="8" t="s">
        <v>186</v>
      </c>
      <c r="Q73" s="8" t="s">
        <v>807</v>
      </c>
      <c r="R73" s="8" t="s">
        <v>787</v>
      </c>
      <c r="S73" s="8" t="s">
        <v>65</v>
      </c>
      <c r="T73" s="8" t="s">
        <v>808</v>
      </c>
      <c r="U73" s="8" t="s">
        <v>40</v>
      </c>
      <c r="V73" s="8" t="s">
        <v>7</v>
      </c>
      <c r="W73" s="8" t="s">
        <v>809</v>
      </c>
    </row>
    <row r="74" customFormat="false" ht="156" hidden="false" customHeight="true" outlineLevel="0" collapsed="false">
      <c r="A74" s="8" t="s">
        <v>810</v>
      </c>
      <c r="B74" s="8" t="s">
        <v>176</v>
      </c>
      <c r="C74" s="8" t="s">
        <v>177</v>
      </c>
      <c r="D74" s="8" t="s">
        <v>37</v>
      </c>
      <c r="E74" s="8" t="s">
        <v>779</v>
      </c>
      <c r="F74" s="8" t="s">
        <v>811</v>
      </c>
      <c r="G74" s="8" t="s">
        <v>812</v>
      </c>
      <c r="H74" s="8" t="s">
        <v>18</v>
      </c>
      <c r="I74" s="8" t="n">
        <v>1</v>
      </c>
      <c r="J74" s="8" t="s">
        <v>59</v>
      </c>
      <c r="K74" s="8" t="s">
        <v>813</v>
      </c>
      <c r="L74" s="8" t="s">
        <v>182</v>
      </c>
      <c r="M74" s="8" t="s">
        <v>814</v>
      </c>
      <c r="N74" s="8" t="s">
        <v>815</v>
      </c>
      <c r="O74" s="8" t="s">
        <v>816</v>
      </c>
      <c r="P74" s="8" t="s">
        <v>186</v>
      </c>
      <c r="Q74" s="8" t="s">
        <v>817</v>
      </c>
      <c r="R74" s="8" t="s">
        <v>787</v>
      </c>
      <c r="S74" s="8" t="s">
        <v>818</v>
      </c>
      <c r="T74" s="8" t="s">
        <v>819</v>
      </c>
      <c r="U74" s="8" t="s">
        <v>41</v>
      </c>
      <c r="V74" s="8" t="s">
        <v>9</v>
      </c>
      <c r="W74" s="8" t="s">
        <v>820</v>
      </c>
    </row>
    <row r="75" customFormat="false" ht="156" hidden="false" customHeight="true" outlineLevel="0" collapsed="false">
      <c r="A75" s="8" t="s">
        <v>821</v>
      </c>
      <c r="B75" s="8" t="s">
        <v>176</v>
      </c>
      <c r="C75" s="8" t="s">
        <v>177</v>
      </c>
      <c r="D75" s="8" t="s">
        <v>37</v>
      </c>
      <c r="E75" s="8" t="s">
        <v>779</v>
      </c>
      <c r="F75" s="8" t="s">
        <v>822</v>
      </c>
      <c r="G75" s="8" t="s">
        <v>823</v>
      </c>
      <c r="H75" s="8" t="s">
        <v>18</v>
      </c>
      <c r="I75" s="8" t="n">
        <v>1</v>
      </c>
      <c r="J75" s="8" t="s">
        <v>57</v>
      </c>
      <c r="K75" s="8" t="s">
        <v>782</v>
      </c>
      <c r="L75" s="8" t="s">
        <v>182</v>
      </c>
      <c r="M75" s="8" t="s">
        <v>824</v>
      </c>
      <c r="N75" s="8" t="s">
        <v>825</v>
      </c>
      <c r="O75" s="8" t="s">
        <v>826</v>
      </c>
      <c r="P75" s="8" t="s">
        <v>186</v>
      </c>
      <c r="Q75" s="8" t="s">
        <v>827</v>
      </c>
      <c r="R75" s="8" t="s">
        <v>787</v>
      </c>
      <c r="S75" s="8" t="s">
        <v>788</v>
      </c>
      <c r="T75" s="8" t="s">
        <v>789</v>
      </c>
      <c r="U75" s="8" t="s">
        <v>41</v>
      </c>
      <c r="V75" s="8" t="s">
        <v>9</v>
      </c>
      <c r="W75" s="8" t="s">
        <v>828</v>
      </c>
    </row>
    <row r="76" customFormat="false" ht="143.25" hidden="false" customHeight="true" outlineLevel="0" collapsed="false">
      <c r="A76" s="8" t="s">
        <v>829</v>
      </c>
      <c r="B76" s="8" t="s">
        <v>176</v>
      </c>
      <c r="C76" s="8" t="s">
        <v>177</v>
      </c>
      <c r="D76" s="8" t="s">
        <v>37</v>
      </c>
      <c r="E76" s="8" t="s">
        <v>779</v>
      </c>
      <c r="F76" s="8" t="s">
        <v>830</v>
      </c>
      <c r="G76" s="8" t="s">
        <v>831</v>
      </c>
      <c r="H76" s="8" t="s">
        <v>19</v>
      </c>
      <c r="I76" s="8" t="n">
        <v>2</v>
      </c>
      <c r="J76" s="8" t="s">
        <v>57</v>
      </c>
      <c r="K76" s="8" t="s">
        <v>832</v>
      </c>
      <c r="L76" s="8" t="s">
        <v>182</v>
      </c>
      <c r="M76" s="8" t="s">
        <v>833</v>
      </c>
      <c r="N76" s="8" t="s">
        <v>834</v>
      </c>
      <c r="O76" s="8" t="s">
        <v>835</v>
      </c>
      <c r="P76" s="8" t="s">
        <v>186</v>
      </c>
      <c r="Q76" s="8" t="s">
        <v>836</v>
      </c>
      <c r="R76" s="8" t="s">
        <v>787</v>
      </c>
      <c r="S76" s="8" t="s">
        <v>788</v>
      </c>
      <c r="T76" s="8" t="s">
        <v>789</v>
      </c>
      <c r="U76" s="8" t="s">
        <v>41</v>
      </c>
      <c r="V76" s="8" t="s">
        <v>9</v>
      </c>
      <c r="W76" s="8" t="s">
        <v>837</v>
      </c>
    </row>
    <row r="77" customFormat="false" ht="156" hidden="false" customHeight="true" outlineLevel="0" collapsed="false">
      <c r="A77" s="8" t="s">
        <v>838</v>
      </c>
      <c r="B77" s="8" t="s">
        <v>176</v>
      </c>
      <c r="C77" s="8" t="s">
        <v>177</v>
      </c>
      <c r="D77" s="8" t="s">
        <v>37</v>
      </c>
      <c r="E77" s="8" t="s">
        <v>779</v>
      </c>
      <c r="F77" s="8" t="s">
        <v>839</v>
      </c>
      <c r="G77" s="8" t="s">
        <v>840</v>
      </c>
      <c r="H77" s="8" t="s">
        <v>18</v>
      </c>
      <c r="I77" s="8" t="n">
        <v>1</v>
      </c>
      <c r="J77" s="8" t="s">
        <v>56</v>
      </c>
      <c r="K77" s="8" t="s">
        <v>841</v>
      </c>
      <c r="L77" s="8" t="s">
        <v>182</v>
      </c>
      <c r="M77" s="8" t="s">
        <v>842</v>
      </c>
      <c r="N77" s="8" t="s">
        <v>843</v>
      </c>
      <c r="O77" s="8" t="s">
        <v>844</v>
      </c>
      <c r="P77" s="8" t="s">
        <v>186</v>
      </c>
      <c r="Q77" s="8" t="s">
        <v>845</v>
      </c>
      <c r="R77" s="8" t="s">
        <v>787</v>
      </c>
      <c r="S77" s="8" t="s">
        <v>788</v>
      </c>
      <c r="T77" s="8" t="s">
        <v>789</v>
      </c>
      <c r="U77" s="8" t="s">
        <v>41</v>
      </c>
      <c r="V77" s="8" t="s">
        <v>9</v>
      </c>
      <c r="W77" s="8" t="s">
        <v>846</v>
      </c>
    </row>
    <row r="78" customFormat="false" ht="156" hidden="false" customHeight="true" outlineLevel="0" collapsed="false">
      <c r="A78" s="8" t="s">
        <v>847</v>
      </c>
      <c r="B78" s="8" t="s">
        <v>176</v>
      </c>
      <c r="C78" s="8" t="s">
        <v>177</v>
      </c>
      <c r="D78" s="8" t="s">
        <v>37</v>
      </c>
      <c r="E78" s="8" t="s">
        <v>779</v>
      </c>
      <c r="F78" s="8" t="s">
        <v>848</v>
      </c>
      <c r="G78" s="8" t="s">
        <v>849</v>
      </c>
      <c r="H78" s="8" t="s">
        <v>19</v>
      </c>
      <c r="I78" s="8" t="n">
        <v>2</v>
      </c>
      <c r="J78" s="8" t="s">
        <v>59</v>
      </c>
      <c r="K78" s="8" t="s">
        <v>813</v>
      </c>
      <c r="L78" s="8" t="s">
        <v>182</v>
      </c>
      <c r="M78" s="8" t="s">
        <v>850</v>
      </c>
      <c r="N78" s="8" t="s">
        <v>851</v>
      </c>
      <c r="O78" s="8" t="s">
        <v>852</v>
      </c>
      <c r="P78" s="8" t="s">
        <v>186</v>
      </c>
      <c r="Q78" s="8" t="s">
        <v>853</v>
      </c>
      <c r="R78" s="8" t="s">
        <v>787</v>
      </c>
      <c r="S78" s="8" t="s">
        <v>788</v>
      </c>
      <c r="T78" s="8" t="s">
        <v>789</v>
      </c>
      <c r="U78" s="8" t="s">
        <v>41</v>
      </c>
      <c r="V78" s="8" t="s">
        <v>9</v>
      </c>
      <c r="W78" s="8" t="s">
        <v>854</v>
      </c>
    </row>
    <row r="79" customFormat="false" ht="168.75" hidden="false" customHeight="true" outlineLevel="0" collapsed="false">
      <c r="A79" s="8" t="s">
        <v>855</v>
      </c>
      <c r="B79" s="8" t="s">
        <v>176</v>
      </c>
      <c r="C79" s="8" t="s">
        <v>177</v>
      </c>
      <c r="D79" s="8" t="s">
        <v>37</v>
      </c>
      <c r="E79" s="8" t="s">
        <v>779</v>
      </c>
      <c r="F79" s="8" t="s">
        <v>856</v>
      </c>
      <c r="G79" s="8" t="s">
        <v>857</v>
      </c>
      <c r="H79" s="8" t="s">
        <v>19</v>
      </c>
      <c r="I79" s="8" t="n">
        <v>2</v>
      </c>
      <c r="J79" s="8" t="s">
        <v>59</v>
      </c>
      <c r="K79" s="8" t="s">
        <v>858</v>
      </c>
      <c r="L79" s="8" t="s">
        <v>182</v>
      </c>
      <c r="M79" s="8" t="s">
        <v>859</v>
      </c>
      <c r="N79" s="8" t="s">
        <v>860</v>
      </c>
      <c r="O79" s="8" t="s">
        <v>861</v>
      </c>
      <c r="P79" s="8" t="s">
        <v>186</v>
      </c>
      <c r="Q79" s="8" t="s">
        <v>862</v>
      </c>
      <c r="R79" s="8" t="s">
        <v>787</v>
      </c>
      <c r="S79" s="8" t="s">
        <v>863</v>
      </c>
      <c r="T79" s="8" t="s">
        <v>864</v>
      </c>
      <c r="U79" s="8" t="s">
        <v>41</v>
      </c>
      <c r="V79" s="8" t="s">
        <v>9</v>
      </c>
      <c r="W79" s="8" t="s">
        <v>865</v>
      </c>
    </row>
    <row r="80" customFormat="false" ht="194.25" hidden="false" customHeight="true" outlineLevel="0" collapsed="false">
      <c r="A80" s="8" t="s">
        <v>866</v>
      </c>
      <c r="B80" s="8" t="s">
        <v>176</v>
      </c>
      <c r="C80" s="8" t="s">
        <v>177</v>
      </c>
      <c r="D80" s="8" t="s">
        <v>37</v>
      </c>
      <c r="E80" s="8" t="s">
        <v>779</v>
      </c>
      <c r="F80" s="8" t="s">
        <v>867</v>
      </c>
      <c r="G80" s="8" t="s">
        <v>868</v>
      </c>
      <c r="H80" s="8" t="s">
        <v>18</v>
      </c>
      <c r="I80" s="8" t="n">
        <v>1</v>
      </c>
      <c r="J80" s="8" t="s">
        <v>59</v>
      </c>
      <c r="K80" s="8" t="s">
        <v>869</v>
      </c>
      <c r="L80" s="8" t="s">
        <v>182</v>
      </c>
      <c r="M80" s="8" t="s">
        <v>870</v>
      </c>
      <c r="N80" s="8" t="s">
        <v>871</v>
      </c>
      <c r="O80" s="8" t="s">
        <v>872</v>
      </c>
      <c r="P80" s="8" t="s">
        <v>186</v>
      </c>
      <c r="Q80" s="8" t="s">
        <v>873</v>
      </c>
      <c r="R80" s="8" t="s">
        <v>787</v>
      </c>
      <c r="S80" s="8" t="s">
        <v>874</v>
      </c>
      <c r="T80" s="8" t="s">
        <v>875</v>
      </c>
      <c r="U80" s="8" t="s">
        <v>41</v>
      </c>
      <c r="V80" s="8" t="s">
        <v>9</v>
      </c>
      <c r="W80" s="8" t="s">
        <v>876</v>
      </c>
    </row>
    <row r="81" customFormat="false" ht="168.75" hidden="false" customHeight="true" outlineLevel="0" collapsed="false">
      <c r="A81" s="8" t="s">
        <v>877</v>
      </c>
      <c r="B81" s="8" t="s">
        <v>176</v>
      </c>
      <c r="C81" s="8" t="s">
        <v>177</v>
      </c>
      <c r="D81" s="8" t="s">
        <v>37</v>
      </c>
      <c r="E81" s="8" t="s">
        <v>779</v>
      </c>
      <c r="F81" s="8" t="s">
        <v>878</v>
      </c>
      <c r="G81" s="8" t="s">
        <v>879</v>
      </c>
      <c r="H81" s="8" t="s">
        <v>19</v>
      </c>
      <c r="I81" s="8" t="n">
        <v>2</v>
      </c>
      <c r="J81" s="8" t="s">
        <v>58</v>
      </c>
      <c r="K81" s="8" t="s">
        <v>880</v>
      </c>
      <c r="L81" s="8" t="s">
        <v>182</v>
      </c>
      <c r="M81" s="8" t="s">
        <v>881</v>
      </c>
      <c r="N81" s="8" t="s">
        <v>882</v>
      </c>
      <c r="O81" s="8" t="s">
        <v>785</v>
      </c>
      <c r="P81" s="8" t="s">
        <v>186</v>
      </c>
      <c r="Q81" s="8" t="s">
        <v>883</v>
      </c>
      <c r="R81" s="8" t="s">
        <v>787</v>
      </c>
      <c r="S81" s="8" t="s">
        <v>788</v>
      </c>
      <c r="T81" s="8" t="s">
        <v>789</v>
      </c>
      <c r="U81" s="8" t="s">
        <v>41</v>
      </c>
      <c r="V81" s="8" t="s">
        <v>9</v>
      </c>
      <c r="W81" s="8" t="s">
        <v>884</v>
      </c>
    </row>
    <row r="82" customFormat="false" ht="181.5" hidden="false" customHeight="true" outlineLevel="0" collapsed="false">
      <c r="A82" s="8" t="s">
        <v>885</v>
      </c>
      <c r="B82" s="8" t="s">
        <v>176</v>
      </c>
      <c r="C82" s="8" t="s">
        <v>177</v>
      </c>
      <c r="D82" s="8" t="s">
        <v>37</v>
      </c>
      <c r="E82" s="8" t="s">
        <v>779</v>
      </c>
      <c r="F82" s="8" t="s">
        <v>886</v>
      </c>
      <c r="G82" s="8" t="s">
        <v>887</v>
      </c>
      <c r="H82" s="8" t="s">
        <v>19</v>
      </c>
      <c r="I82" s="8" t="n">
        <v>2</v>
      </c>
      <c r="J82" s="8" t="s">
        <v>56</v>
      </c>
      <c r="K82" s="8" t="s">
        <v>888</v>
      </c>
      <c r="L82" s="8" t="s">
        <v>182</v>
      </c>
      <c r="M82" s="8" t="s">
        <v>889</v>
      </c>
      <c r="N82" s="8" t="s">
        <v>890</v>
      </c>
      <c r="O82" s="8" t="s">
        <v>891</v>
      </c>
      <c r="P82" s="8" t="s">
        <v>186</v>
      </c>
      <c r="Q82" s="8" t="s">
        <v>892</v>
      </c>
      <c r="R82" s="8" t="s">
        <v>787</v>
      </c>
      <c r="S82" s="8" t="s">
        <v>893</v>
      </c>
      <c r="T82" s="8" t="s">
        <v>894</v>
      </c>
      <c r="U82" s="8" t="s">
        <v>41</v>
      </c>
      <c r="V82" s="8" t="s">
        <v>9</v>
      </c>
      <c r="W82" s="8" t="s">
        <v>895</v>
      </c>
    </row>
    <row r="83" customFormat="false" ht="28.5" hidden="false" customHeight="true" outlineLevel="0" collapsed="false">
      <c r="A83" s="8" t="s">
        <v>896</v>
      </c>
      <c r="B83" s="8" t="s">
        <v>176</v>
      </c>
      <c r="C83" s="8" t="s">
        <v>177</v>
      </c>
      <c r="D83" s="8" t="s">
        <v>37</v>
      </c>
      <c r="E83" s="8" t="s">
        <v>897</v>
      </c>
      <c r="F83" s="8" t="s">
        <v>898</v>
      </c>
      <c r="G83" s="8" t="s">
        <v>899</v>
      </c>
      <c r="H83" s="8" t="s">
        <v>18</v>
      </c>
      <c r="I83" s="8" t="n">
        <v>1</v>
      </c>
      <c r="J83" s="8" t="s">
        <v>57</v>
      </c>
      <c r="K83" s="8" t="s">
        <v>65</v>
      </c>
      <c r="L83" s="8" t="s">
        <v>65</v>
      </c>
      <c r="M83" s="8" t="s">
        <v>65</v>
      </c>
      <c r="N83" s="8" t="s">
        <v>65</v>
      </c>
      <c r="O83" s="8" t="s">
        <v>65</v>
      </c>
      <c r="P83" s="8" t="s">
        <v>186</v>
      </c>
      <c r="Q83" s="8" t="s">
        <v>900</v>
      </c>
      <c r="R83" s="8" t="s">
        <v>901</v>
      </c>
      <c r="S83" s="8" t="s">
        <v>65</v>
      </c>
      <c r="T83" s="8" t="s">
        <v>902</v>
      </c>
      <c r="U83" s="8" t="s">
        <v>40</v>
      </c>
      <c r="V83" s="8" t="s">
        <v>13</v>
      </c>
      <c r="W83" s="8" t="s">
        <v>903</v>
      </c>
    </row>
    <row r="84" customFormat="false" ht="41.25" hidden="false" customHeight="true" outlineLevel="0" collapsed="false">
      <c r="A84" s="8" t="s">
        <v>904</v>
      </c>
      <c r="B84" s="8" t="s">
        <v>176</v>
      </c>
      <c r="C84" s="8" t="s">
        <v>177</v>
      </c>
      <c r="D84" s="8" t="s">
        <v>37</v>
      </c>
      <c r="E84" s="8" t="s">
        <v>897</v>
      </c>
      <c r="F84" s="8" t="s">
        <v>905</v>
      </c>
      <c r="G84" s="8" t="s">
        <v>906</v>
      </c>
      <c r="H84" s="8" t="s">
        <v>18</v>
      </c>
      <c r="I84" s="8" t="n">
        <v>1</v>
      </c>
      <c r="J84" s="8" t="s">
        <v>56</v>
      </c>
      <c r="K84" s="8" t="s">
        <v>65</v>
      </c>
      <c r="L84" s="8" t="s">
        <v>65</v>
      </c>
      <c r="M84" s="8" t="s">
        <v>65</v>
      </c>
      <c r="N84" s="8" t="s">
        <v>65</v>
      </c>
      <c r="O84" s="8" t="s">
        <v>65</v>
      </c>
      <c r="P84" s="8" t="s">
        <v>186</v>
      </c>
      <c r="Q84" s="8" t="s">
        <v>900</v>
      </c>
      <c r="R84" s="8" t="s">
        <v>901</v>
      </c>
      <c r="S84" s="8" t="s">
        <v>65</v>
      </c>
      <c r="T84" s="8" t="s">
        <v>902</v>
      </c>
      <c r="U84" s="8" t="s">
        <v>40</v>
      </c>
      <c r="V84" s="8" t="s">
        <v>13</v>
      </c>
      <c r="W84" s="8" t="s">
        <v>907</v>
      </c>
    </row>
    <row r="85" customFormat="false" ht="143.25" hidden="false" customHeight="true" outlineLevel="0" collapsed="false">
      <c r="A85" s="8" t="s">
        <v>908</v>
      </c>
      <c r="B85" s="8" t="s">
        <v>176</v>
      </c>
      <c r="C85" s="8" t="s">
        <v>177</v>
      </c>
      <c r="D85" s="8" t="s">
        <v>36</v>
      </c>
      <c r="E85" s="8" t="s">
        <v>909</v>
      </c>
      <c r="F85" s="8" t="s">
        <v>910</v>
      </c>
      <c r="G85" s="8" t="s">
        <v>911</v>
      </c>
      <c r="H85" s="8" t="s">
        <v>18</v>
      </c>
      <c r="I85" s="8" t="n">
        <v>1</v>
      </c>
      <c r="J85" s="8" t="s">
        <v>56</v>
      </c>
      <c r="K85" s="8" t="s">
        <v>912</v>
      </c>
      <c r="L85" s="8" t="s">
        <v>182</v>
      </c>
      <c r="M85" s="8" t="s">
        <v>913</v>
      </c>
      <c r="N85" s="8" t="s">
        <v>914</v>
      </c>
      <c r="O85" s="8" t="s">
        <v>915</v>
      </c>
      <c r="P85" s="8" t="s">
        <v>186</v>
      </c>
      <c r="Q85" s="8" t="s">
        <v>916</v>
      </c>
      <c r="R85" s="8" t="s">
        <v>917</v>
      </c>
      <c r="S85" s="8" t="s">
        <v>65</v>
      </c>
      <c r="T85" s="8" t="s">
        <v>918</v>
      </c>
      <c r="U85" s="8" t="s">
        <v>41</v>
      </c>
      <c r="V85" s="8" t="s">
        <v>7</v>
      </c>
      <c r="W85" s="8" t="s">
        <v>919</v>
      </c>
    </row>
    <row r="86" customFormat="false" ht="156" hidden="false" customHeight="true" outlineLevel="0" collapsed="false">
      <c r="A86" s="8" t="s">
        <v>920</v>
      </c>
      <c r="B86" s="8" t="s">
        <v>176</v>
      </c>
      <c r="C86" s="8" t="s">
        <v>177</v>
      </c>
      <c r="D86" s="8" t="s">
        <v>37</v>
      </c>
      <c r="E86" s="8" t="s">
        <v>909</v>
      </c>
      <c r="F86" s="8" t="s">
        <v>921</v>
      </c>
      <c r="G86" s="8" t="s">
        <v>922</v>
      </c>
      <c r="H86" s="8" t="s">
        <v>18</v>
      </c>
      <c r="I86" s="8" t="n">
        <v>1</v>
      </c>
      <c r="J86" s="8" t="s">
        <v>56</v>
      </c>
      <c r="K86" s="8" t="s">
        <v>923</v>
      </c>
      <c r="L86" s="8" t="s">
        <v>182</v>
      </c>
      <c r="M86" s="8" t="s">
        <v>924</v>
      </c>
      <c r="N86" s="8" t="s">
        <v>925</v>
      </c>
      <c r="O86" s="8" t="s">
        <v>926</v>
      </c>
      <c r="P86" s="8" t="s">
        <v>186</v>
      </c>
      <c r="Q86" s="8" t="s">
        <v>927</v>
      </c>
      <c r="R86" s="8" t="s">
        <v>917</v>
      </c>
      <c r="S86" s="8" t="s">
        <v>788</v>
      </c>
      <c r="T86" s="8" t="s">
        <v>928</v>
      </c>
      <c r="U86" s="8" t="s">
        <v>41</v>
      </c>
      <c r="V86" s="8" t="s">
        <v>9</v>
      </c>
      <c r="W86" s="8" t="s">
        <v>929</v>
      </c>
    </row>
    <row r="87" customFormat="false" ht="130.5" hidden="false" customHeight="true" outlineLevel="0" collapsed="false">
      <c r="A87" s="8" t="s">
        <v>930</v>
      </c>
      <c r="B87" s="8" t="s">
        <v>176</v>
      </c>
      <c r="C87" s="8" t="s">
        <v>177</v>
      </c>
      <c r="D87" s="8" t="s">
        <v>36</v>
      </c>
      <c r="E87" s="8" t="s">
        <v>931</v>
      </c>
      <c r="F87" s="8" t="s">
        <v>932</v>
      </c>
      <c r="G87" s="8" t="s">
        <v>933</v>
      </c>
      <c r="H87" s="8" t="s">
        <v>18</v>
      </c>
      <c r="I87" s="8" t="n">
        <v>1</v>
      </c>
      <c r="J87" s="8" t="s">
        <v>57</v>
      </c>
      <c r="K87" s="8" t="s">
        <v>934</v>
      </c>
      <c r="L87" s="8" t="s">
        <v>182</v>
      </c>
      <c r="M87" s="8" t="s">
        <v>935</v>
      </c>
      <c r="N87" s="8" t="s">
        <v>936</v>
      </c>
      <c r="O87" s="8" t="s">
        <v>937</v>
      </c>
      <c r="P87" s="8" t="s">
        <v>186</v>
      </c>
      <c r="Q87" s="8" t="s">
        <v>938</v>
      </c>
      <c r="R87" s="8" t="s">
        <v>939</v>
      </c>
      <c r="S87" s="8" t="s">
        <v>65</v>
      </c>
      <c r="T87" s="8" t="s">
        <v>940</v>
      </c>
      <c r="U87" s="8" t="s">
        <v>40</v>
      </c>
      <c r="V87" s="8" t="s">
        <v>7</v>
      </c>
      <c r="W87" s="8" t="s">
        <v>941</v>
      </c>
    </row>
    <row r="88" customFormat="false" ht="130.5" hidden="false" customHeight="true" outlineLevel="0" collapsed="false">
      <c r="A88" s="8" t="s">
        <v>942</v>
      </c>
      <c r="B88" s="8" t="s">
        <v>176</v>
      </c>
      <c r="C88" s="8" t="s">
        <v>177</v>
      </c>
      <c r="D88" s="8" t="s">
        <v>36</v>
      </c>
      <c r="E88" s="8" t="s">
        <v>931</v>
      </c>
      <c r="F88" s="8" t="s">
        <v>943</v>
      </c>
      <c r="G88" s="8" t="s">
        <v>944</v>
      </c>
      <c r="H88" s="8" t="s">
        <v>19</v>
      </c>
      <c r="I88" s="8" t="n">
        <v>2</v>
      </c>
      <c r="J88" s="8" t="s">
        <v>57</v>
      </c>
      <c r="K88" s="8" t="s">
        <v>934</v>
      </c>
      <c r="L88" s="8" t="s">
        <v>182</v>
      </c>
      <c r="M88" s="8" t="s">
        <v>945</v>
      </c>
      <c r="N88" s="8" t="s">
        <v>946</v>
      </c>
      <c r="O88" s="8" t="s">
        <v>947</v>
      </c>
      <c r="P88" s="8" t="s">
        <v>186</v>
      </c>
      <c r="Q88" s="8" t="s">
        <v>938</v>
      </c>
      <c r="R88" s="8" t="s">
        <v>939</v>
      </c>
      <c r="S88" s="8" t="s">
        <v>65</v>
      </c>
      <c r="T88" s="8" t="s">
        <v>940</v>
      </c>
      <c r="U88" s="8" t="s">
        <v>40</v>
      </c>
      <c r="V88" s="8" t="s">
        <v>7</v>
      </c>
      <c r="W88" s="8" t="s">
        <v>948</v>
      </c>
    </row>
    <row r="89" customFormat="false" ht="143.25" hidden="false" customHeight="true" outlineLevel="0" collapsed="false">
      <c r="A89" s="8" t="s">
        <v>949</v>
      </c>
      <c r="B89" s="8" t="s">
        <v>176</v>
      </c>
      <c r="C89" s="8" t="s">
        <v>177</v>
      </c>
      <c r="D89" s="8" t="s">
        <v>36</v>
      </c>
      <c r="E89" s="8" t="s">
        <v>931</v>
      </c>
      <c r="F89" s="8" t="s">
        <v>950</v>
      </c>
      <c r="G89" s="8" t="s">
        <v>951</v>
      </c>
      <c r="H89" s="8" t="s">
        <v>20</v>
      </c>
      <c r="I89" s="8" t="n">
        <v>3</v>
      </c>
      <c r="J89" s="8" t="s">
        <v>56</v>
      </c>
      <c r="K89" s="8" t="s">
        <v>952</v>
      </c>
      <c r="L89" s="8" t="s">
        <v>182</v>
      </c>
      <c r="M89" s="8" t="s">
        <v>953</v>
      </c>
      <c r="N89" s="8" t="s">
        <v>954</v>
      </c>
      <c r="O89" s="8" t="s">
        <v>955</v>
      </c>
      <c r="P89" s="8" t="s">
        <v>186</v>
      </c>
      <c r="Q89" s="8" t="s">
        <v>956</v>
      </c>
      <c r="R89" s="8" t="s">
        <v>939</v>
      </c>
      <c r="S89" s="8" t="s">
        <v>65</v>
      </c>
      <c r="T89" s="8" t="s">
        <v>940</v>
      </c>
      <c r="U89" s="8" t="s">
        <v>40</v>
      </c>
      <c r="V89" s="8" t="s">
        <v>7</v>
      </c>
      <c r="W89" s="8" t="s">
        <v>957</v>
      </c>
    </row>
    <row r="90" customFormat="false" ht="130.5" hidden="false" customHeight="true" outlineLevel="0" collapsed="false">
      <c r="A90" s="8" t="s">
        <v>958</v>
      </c>
      <c r="B90" s="8" t="s">
        <v>176</v>
      </c>
      <c r="C90" s="8" t="s">
        <v>177</v>
      </c>
      <c r="D90" s="8" t="s">
        <v>36</v>
      </c>
      <c r="E90" s="8" t="s">
        <v>931</v>
      </c>
      <c r="F90" s="8" t="s">
        <v>959</v>
      </c>
      <c r="G90" s="8" t="s">
        <v>960</v>
      </c>
      <c r="H90" s="8" t="s">
        <v>20</v>
      </c>
      <c r="I90" s="8" t="n">
        <v>3</v>
      </c>
      <c r="J90" s="8" t="s">
        <v>56</v>
      </c>
      <c r="K90" s="8" t="s">
        <v>934</v>
      </c>
      <c r="L90" s="8" t="s">
        <v>182</v>
      </c>
      <c r="M90" s="8" t="s">
        <v>961</v>
      </c>
      <c r="N90" s="8" t="s">
        <v>962</v>
      </c>
      <c r="O90" s="8" t="s">
        <v>963</v>
      </c>
      <c r="P90" s="8" t="s">
        <v>186</v>
      </c>
      <c r="Q90" s="8" t="s">
        <v>964</v>
      </c>
      <c r="R90" s="8" t="s">
        <v>939</v>
      </c>
      <c r="S90" s="8" t="s">
        <v>965</v>
      </c>
      <c r="T90" s="8" t="s">
        <v>966</v>
      </c>
      <c r="U90" s="8" t="s">
        <v>40</v>
      </c>
      <c r="V90" s="8" t="s">
        <v>9</v>
      </c>
      <c r="W90" s="8" t="s">
        <v>967</v>
      </c>
    </row>
    <row r="91" customFormat="false" ht="79.5" hidden="false" customHeight="true" outlineLevel="0" collapsed="false">
      <c r="A91" s="8" t="s">
        <v>968</v>
      </c>
      <c r="B91" s="8" t="s">
        <v>176</v>
      </c>
      <c r="C91" s="8" t="s">
        <v>177</v>
      </c>
      <c r="D91" s="8" t="s">
        <v>37</v>
      </c>
      <c r="E91" s="8" t="s">
        <v>969</v>
      </c>
      <c r="F91" s="8" t="s">
        <v>970</v>
      </c>
      <c r="G91" s="8" t="s">
        <v>971</v>
      </c>
      <c r="H91" s="8" t="s">
        <v>19</v>
      </c>
      <c r="I91" s="8" t="n">
        <v>2</v>
      </c>
      <c r="J91" s="8" t="s">
        <v>56</v>
      </c>
      <c r="K91" s="8" t="s">
        <v>65</v>
      </c>
      <c r="L91" s="8" t="s">
        <v>65</v>
      </c>
      <c r="M91" s="8" t="s">
        <v>65</v>
      </c>
      <c r="N91" s="8" t="s">
        <v>65</v>
      </c>
      <c r="O91" s="8" t="s">
        <v>65</v>
      </c>
      <c r="P91" s="8" t="s">
        <v>186</v>
      </c>
      <c r="Q91" s="8" t="s">
        <v>972</v>
      </c>
      <c r="R91" s="8" t="s">
        <v>973</v>
      </c>
      <c r="S91" s="8" t="s">
        <v>65</v>
      </c>
      <c r="T91" s="8" t="s">
        <v>974</v>
      </c>
      <c r="U91" s="8" t="s">
        <v>40</v>
      </c>
      <c r="V91" s="8" t="s">
        <v>11</v>
      </c>
      <c r="W91" s="8" t="s">
        <v>975</v>
      </c>
    </row>
    <row r="92" customFormat="false" ht="130.5" hidden="false" customHeight="true" outlineLevel="0" collapsed="false">
      <c r="A92" s="8" t="s">
        <v>976</v>
      </c>
      <c r="B92" s="8" t="s">
        <v>176</v>
      </c>
      <c r="C92" s="8" t="s">
        <v>177</v>
      </c>
      <c r="D92" s="8" t="s">
        <v>36</v>
      </c>
      <c r="E92" s="8" t="s">
        <v>969</v>
      </c>
      <c r="F92" s="8" t="s">
        <v>977</v>
      </c>
      <c r="G92" s="8" t="s">
        <v>978</v>
      </c>
      <c r="H92" s="8" t="s">
        <v>19</v>
      </c>
      <c r="I92" s="8" t="n">
        <v>2</v>
      </c>
      <c r="J92" s="8" t="s">
        <v>56</v>
      </c>
      <c r="K92" s="8" t="s">
        <v>979</v>
      </c>
      <c r="L92" s="8" t="s">
        <v>182</v>
      </c>
      <c r="M92" s="8" t="s">
        <v>980</v>
      </c>
      <c r="N92" s="8" t="s">
        <v>981</v>
      </c>
      <c r="O92" s="8" t="s">
        <v>982</v>
      </c>
      <c r="P92" s="8" t="s">
        <v>186</v>
      </c>
      <c r="Q92" s="8" t="s">
        <v>983</v>
      </c>
      <c r="R92" s="8" t="s">
        <v>973</v>
      </c>
      <c r="S92" s="8" t="s">
        <v>65</v>
      </c>
      <c r="T92" s="8" t="s">
        <v>234</v>
      </c>
      <c r="U92" s="8" t="s">
        <v>41</v>
      </c>
      <c r="V92" s="8" t="s">
        <v>7</v>
      </c>
      <c r="W92" s="8" t="s">
        <v>984</v>
      </c>
    </row>
    <row r="93" customFormat="false" ht="168.75" hidden="false" customHeight="true" outlineLevel="0" collapsed="false">
      <c r="A93" s="8" t="s">
        <v>985</v>
      </c>
      <c r="B93" s="8" t="s">
        <v>176</v>
      </c>
      <c r="C93" s="8" t="s">
        <v>177</v>
      </c>
      <c r="D93" s="8" t="s">
        <v>36</v>
      </c>
      <c r="E93" s="8" t="s">
        <v>969</v>
      </c>
      <c r="F93" s="8" t="s">
        <v>986</v>
      </c>
      <c r="G93" s="8" t="s">
        <v>987</v>
      </c>
      <c r="H93" s="8" t="s">
        <v>20</v>
      </c>
      <c r="I93" s="8" t="n">
        <v>3</v>
      </c>
      <c r="J93" s="8" t="s">
        <v>56</v>
      </c>
      <c r="K93" s="8" t="s">
        <v>988</v>
      </c>
      <c r="L93" s="8" t="s">
        <v>182</v>
      </c>
      <c r="M93" s="8" t="s">
        <v>989</v>
      </c>
      <c r="N93" s="8" t="s">
        <v>990</v>
      </c>
      <c r="O93" s="8" t="s">
        <v>991</v>
      </c>
      <c r="P93" s="8" t="s">
        <v>186</v>
      </c>
      <c r="Q93" s="8" t="s">
        <v>992</v>
      </c>
      <c r="R93" s="8" t="s">
        <v>973</v>
      </c>
      <c r="S93" s="8" t="s">
        <v>242</v>
      </c>
      <c r="T93" s="8" t="s">
        <v>243</v>
      </c>
      <c r="U93" s="8" t="s">
        <v>41</v>
      </c>
      <c r="V93" s="8" t="s">
        <v>9</v>
      </c>
      <c r="W93" s="8" t="s">
        <v>993</v>
      </c>
    </row>
    <row r="94" customFormat="false" ht="130.5" hidden="false" customHeight="true" outlineLevel="0" collapsed="false">
      <c r="A94" s="8" t="s">
        <v>994</v>
      </c>
      <c r="B94" s="8" t="s">
        <v>176</v>
      </c>
      <c r="C94" s="8" t="s">
        <v>177</v>
      </c>
      <c r="D94" s="8" t="s">
        <v>36</v>
      </c>
      <c r="E94" s="8" t="s">
        <v>969</v>
      </c>
      <c r="F94" s="8" t="s">
        <v>995</v>
      </c>
      <c r="G94" s="8" t="s">
        <v>996</v>
      </c>
      <c r="H94" s="8" t="s">
        <v>19</v>
      </c>
      <c r="I94" s="8" t="n">
        <v>2</v>
      </c>
      <c r="J94" s="8" t="s">
        <v>57</v>
      </c>
      <c r="K94" s="8" t="s">
        <v>997</v>
      </c>
      <c r="L94" s="8" t="s">
        <v>182</v>
      </c>
      <c r="M94" s="8" t="s">
        <v>998</v>
      </c>
      <c r="N94" s="8" t="s">
        <v>999</v>
      </c>
      <c r="O94" s="8" t="s">
        <v>1000</v>
      </c>
      <c r="P94" s="8" t="s">
        <v>186</v>
      </c>
      <c r="Q94" s="8" t="s">
        <v>1001</v>
      </c>
      <c r="R94" s="8" t="s">
        <v>973</v>
      </c>
      <c r="S94" s="8" t="s">
        <v>65</v>
      </c>
      <c r="T94" s="8" t="s">
        <v>234</v>
      </c>
      <c r="U94" s="8" t="s">
        <v>41</v>
      </c>
      <c r="V94" s="8" t="s">
        <v>7</v>
      </c>
      <c r="W94" s="8" t="s">
        <v>1002</v>
      </c>
    </row>
    <row r="95" customFormat="false" ht="156" hidden="false" customHeight="true" outlineLevel="0" collapsed="false">
      <c r="A95" s="8" t="s">
        <v>1003</v>
      </c>
      <c r="B95" s="8" t="s">
        <v>176</v>
      </c>
      <c r="C95" s="8" t="s">
        <v>177</v>
      </c>
      <c r="D95" s="8" t="s">
        <v>36</v>
      </c>
      <c r="E95" s="8" t="s">
        <v>1004</v>
      </c>
      <c r="F95" s="8" t="s">
        <v>1005</v>
      </c>
      <c r="G95" s="8" t="s">
        <v>1006</v>
      </c>
      <c r="H95" s="8" t="s">
        <v>18</v>
      </c>
      <c r="I95" s="8" t="n">
        <v>1</v>
      </c>
      <c r="J95" s="8" t="s">
        <v>57</v>
      </c>
      <c r="K95" s="8" t="s">
        <v>1007</v>
      </c>
      <c r="L95" s="8" t="s">
        <v>182</v>
      </c>
      <c r="M95" s="8" t="s">
        <v>1008</v>
      </c>
      <c r="N95" s="8" t="s">
        <v>1009</v>
      </c>
      <c r="O95" s="8" t="s">
        <v>1010</v>
      </c>
      <c r="P95" s="8" t="s">
        <v>186</v>
      </c>
      <c r="Q95" s="8" t="s">
        <v>1011</v>
      </c>
      <c r="R95" s="8" t="s">
        <v>973</v>
      </c>
      <c r="S95" s="8" t="s">
        <v>1012</v>
      </c>
      <c r="T95" s="8" t="s">
        <v>1013</v>
      </c>
      <c r="U95" s="8" t="s">
        <v>40</v>
      </c>
      <c r="V95" s="8" t="s">
        <v>9</v>
      </c>
      <c r="W95" s="8" t="s">
        <v>1014</v>
      </c>
    </row>
    <row r="96" customFormat="false" ht="168.75" hidden="false" customHeight="true" outlineLevel="0" collapsed="false">
      <c r="A96" s="8" t="s">
        <v>1015</v>
      </c>
      <c r="B96" s="8" t="s">
        <v>176</v>
      </c>
      <c r="C96" s="8" t="s">
        <v>177</v>
      </c>
      <c r="D96" s="8" t="s">
        <v>36</v>
      </c>
      <c r="E96" s="8" t="s">
        <v>1004</v>
      </c>
      <c r="F96" s="8" t="s">
        <v>1016</v>
      </c>
      <c r="G96" s="8" t="s">
        <v>1017</v>
      </c>
      <c r="H96" s="8" t="s">
        <v>20</v>
      </c>
      <c r="I96" s="8" t="n">
        <v>3</v>
      </c>
      <c r="J96" s="8" t="s">
        <v>57</v>
      </c>
      <c r="K96" s="8" t="s">
        <v>1018</v>
      </c>
      <c r="L96" s="8" t="s">
        <v>182</v>
      </c>
      <c r="M96" s="8" t="s">
        <v>1019</v>
      </c>
      <c r="N96" s="8" t="s">
        <v>1020</v>
      </c>
      <c r="O96" s="8" t="s">
        <v>1021</v>
      </c>
      <c r="P96" s="8" t="s">
        <v>186</v>
      </c>
      <c r="Q96" s="8" t="s">
        <v>386</v>
      </c>
      <c r="R96" s="8" t="s">
        <v>973</v>
      </c>
      <c r="S96" s="8" t="s">
        <v>65</v>
      </c>
      <c r="T96" s="8" t="s">
        <v>234</v>
      </c>
      <c r="U96" s="8" t="s">
        <v>40</v>
      </c>
      <c r="V96" s="8" t="s">
        <v>7</v>
      </c>
      <c r="W96" s="8" t="s">
        <v>1022</v>
      </c>
    </row>
    <row r="97" customFormat="false" ht="66.75" hidden="false" customHeight="true" outlineLevel="0" collapsed="false">
      <c r="A97" s="8" t="s">
        <v>1023</v>
      </c>
      <c r="B97" s="8" t="s">
        <v>176</v>
      </c>
      <c r="C97" s="8" t="s">
        <v>177</v>
      </c>
      <c r="D97" s="8" t="s">
        <v>36</v>
      </c>
      <c r="E97" s="8" t="s">
        <v>1004</v>
      </c>
      <c r="F97" s="8" t="s">
        <v>1024</v>
      </c>
      <c r="G97" s="8" t="s">
        <v>1025</v>
      </c>
      <c r="H97" s="8" t="s">
        <v>19</v>
      </c>
      <c r="I97" s="8" t="n">
        <v>1</v>
      </c>
      <c r="J97" s="8" t="s">
        <v>57</v>
      </c>
      <c r="K97" s="8" t="s">
        <v>65</v>
      </c>
      <c r="L97" s="8" t="s">
        <v>65</v>
      </c>
      <c r="M97" s="8" t="s">
        <v>65</v>
      </c>
      <c r="N97" s="8" t="s">
        <v>65</v>
      </c>
      <c r="O97" s="8" t="s">
        <v>65</v>
      </c>
      <c r="P97" s="8" t="s">
        <v>186</v>
      </c>
      <c r="Q97" s="8" t="s">
        <v>1026</v>
      </c>
      <c r="R97" s="8" t="s">
        <v>973</v>
      </c>
      <c r="S97" s="8" t="s">
        <v>65</v>
      </c>
      <c r="T97" s="8" t="s">
        <v>1027</v>
      </c>
      <c r="U97" s="8" t="s">
        <v>40</v>
      </c>
      <c r="V97" s="8" t="s">
        <v>11</v>
      </c>
      <c r="W97" s="8" t="s">
        <v>1028</v>
      </c>
    </row>
    <row r="98" customFormat="false" ht="143.25" hidden="false" customHeight="true" outlineLevel="0" collapsed="false">
      <c r="A98" s="8" t="s">
        <v>1029</v>
      </c>
      <c r="B98" s="8" t="s">
        <v>176</v>
      </c>
      <c r="C98" s="8" t="s">
        <v>177</v>
      </c>
      <c r="D98" s="8" t="s">
        <v>36</v>
      </c>
      <c r="E98" s="8" t="s">
        <v>1004</v>
      </c>
      <c r="F98" s="8" t="s">
        <v>1030</v>
      </c>
      <c r="G98" s="8" t="s">
        <v>1031</v>
      </c>
      <c r="H98" s="8" t="s">
        <v>19</v>
      </c>
      <c r="I98" s="8" t="n">
        <v>2</v>
      </c>
      <c r="J98" s="8" t="s">
        <v>57</v>
      </c>
      <c r="K98" s="8" t="s">
        <v>1032</v>
      </c>
      <c r="L98" s="8" t="s">
        <v>182</v>
      </c>
      <c r="M98" s="8" t="s">
        <v>1033</v>
      </c>
      <c r="N98" s="8" t="s">
        <v>1034</v>
      </c>
      <c r="O98" s="8" t="s">
        <v>1035</v>
      </c>
      <c r="P98" s="8" t="s">
        <v>186</v>
      </c>
      <c r="Q98" s="8" t="s">
        <v>1036</v>
      </c>
      <c r="R98" s="8" t="s">
        <v>973</v>
      </c>
      <c r="S98" s="8" t="s">
        <v>1012</v>
      </c>
      <c r="T98" s="8" t="s">
        <v>1013</v>
      </c>
      <c r="U98" s="8" t="s">
        <v>40</v>
      </c>
      <c r="V98" s="8" t="s">
        <v>9</v>
      </c>
      <c r="W98" s="8" t="s">
        <v>1037</v>
      </c>
    </row>
    <row r="99" customFormat="false" ht="143.25" hidden="false" customHeight="true" outlineLevel="0" collapsed="false">
      <c r="A99" s="8" t="s">
        <v>1038</v>
      </c>
      <c r="B99" s="8" t="s">
        <v>176</v>
      </c>
      <c r="C99" s="8" t="s">
        <v>177</v>
      </c>
      <c r="D99" s="8" t="s">
        <v>36</v>
      </c>
      <c r="E99" s="8" t="s">
        <v>1004</v>
      </c>
      <c r="F99" s="8" t="s">
        <v>1039</v>
      </c>
      <c r="G99" s="8" t="s">
        <v>1040</v>
      </c>
      <c r="H99" s="8" t="s">
        <v>20</v>
      </c>
      <c r="I99" s="8" t="n">
        <v>3</v>
      </c>
      <c r="J99" s="8" t="s">
        <v>57</v>
      </c>
      <c r="K99" s="8" t="s">
        <v>1041</v>
      </c>
      <c r="L99" s="8" t="s">
        <v>182</v>
      </c>
      <c r="M99" s="8" t="s">
        <v>1042</v>
      </c>
      <c r="N99" s="8" t="s">
        <v>1043</v>
      </c>
      <c r="O99" s="8" t="s">
        <v>1044</v>
      </c>
      <c r="P99" s="8" t="s">
        <v>186</v>
      </c>
      <c r="Q99" s="8" t="s">
        <v>1045</v>
      </c>
      <c r="R99" s="8" t="s">
        <v>973</v>
      </c>
      <c r="S99" s="8" t="s">
        <v>1046</v>
      </c>
      <c r="T99" s="8" t="s">
        <v>1047</v>
      </c>
      <c r="U99" s="8" t="s">
        <v>40</v>
      </c>
      <c r="V99" s="8" t="s">
        <v>9</v>
      </c>
      <c r="W99" s="8" t="s">
        <v>1048</v>
      </c>
    </row>
    <row r="100" customFormat="false" ht="54" hidden="false" customHeight="true" outlineLevel="0" collapsed="false">
      <c r="A100" s="8" t="s">
        <v>1049</v>
      </c>
      <c r="B100" s="8" t="s">
        <v>176</v>
      </c>
      <c r="C100" s="8" t="s">
        <v>177</v>
      </c>
      <c r="D100" s="8" t="s">
        <v>37</v>
      </c>
      <c r="E100" s="8" t="s">
        <v>1050</v>
      </c>
      <c r="F100" s="8" t="s">
        <v>1051</v>
      </c>
      <c r="G100" s="8" t="s">
        <v>1052</v>
      </c>
      <c r="H100" s="8" t="s">
        <v>19</v>
      </c>
      <c r="I100" s="8" t="n">
        <v>2</v>
      </c>
      <c r="J100" s="8" t="s">
        <v>57</v>
      </c>
      <c r="K100" s="8" t="s">
        <v>65</v>
      </c>
      <c r="L100" s="8" t="s">
        <v>65</v>
      </c>
      <c r="M100" s="8" t="s">
        <v>65</v>
      </c>
      <c r="N100" s="8" t="s">
        <v>65</v>
      </c>
      <c r="O100" s="8" t="s">
        <v>65</v>
      </c>
      <c r="P100" s="8" t="s">
        <v>186</v>
      </c>
      <c r="Q100" s="8" t="s">
        <v>1053</v>
      </c>
      <c r="R100" s="8" t="s">
        <v>1054</v>
      </c>
      <c r="S100" s="8" t="s">
        <v>65</v>
      </c>
      <c r="T100" s="8" t="s">
        <v>1055</v>
      </c>
      <c r="U100" s="8" t="s">
        <v>40</v>
      </c>
      <c r="V100" s="8" t="s">
        <v>11</v>
      </c>
      <c r="W100" s="8" t="s">
        <v>1056</v>
      </c>
    </row>
    <row r="101" customFormat="false" ht="117.75" hidden="false" customHeight="true" outlineLevel="0" collapsed="false">
      <c r="A101" s="8" t="s">
        <v>1057</v>
      </c>
      <c r="B101" s="8" t="s">
        <v>176</v>
      </c>
      <c r="C101" s="8" t="s">
        <v>177</v>
      </c>
      <c r="D101" s="8" t="s">
        <v>36</v>
      </c>
      <c r="E101" s="8" t="s">
        <v>1058</v>
      </c>
      <c r="F101" s="8" t="s">
        <v>1059</v>
      </c>
      <c r="G101" s="8" t="s">
        <v>1060</v>
      </c>
      <c r="H101" s="8" t="s">
        <v>18</v>
      </c>
      <c r="I101" s="8" t="n">
        <v>1</v>
      </c>
      <c r="J101" s="8" t="s">
        <v>56</v>
      </c>
      <c r="K101" s="8" t="s">
        <v>1061</v>
      </c>
      <c r="L101" s="8" t="s">
        <v>182</v>
      </c>
      <c r="M101" s="8" t="s">
        <v>1062</v>
      </c>
      <c r="N101" s="8" t="s">
        <v>1063</v>
      </c>
      <c r="O101" s="8" t="s">
        <v>1064</v>
      </c>
      <c r="P101" s="8" t="s">
        <v>186</v>
      </c>
      <c r="Q101" s="8" t="s">
        <v>1065</v>
      </c>
      <c r="R101" s="8" t="s">
        <v>1066</v>
      </c>
      <c r="S101" s="8" t="s">
        <v>65</v>
      </c>
      <c r="T101" s="8" t="s">
        <v>275</v>
      </c>
      <c r="U101" s="8" t="s">
        <v>40</v>
      </c>
      <c r="V101" s="8" t="s">
        <v>7</v>
      </c>
      <c r="W101" s="8" t="s">
        <v>1067</v>
      </c>
    </row>
    <row r="102" customFormat="false" ht="117.75" hidden="false" customHeight="true" outlineLevel="0" collapsed="false">
      <c r="A102" s="8" t="s">
        <v>1068</v>
      </c>
      <c r="B102" s="8" t="s">
        <v>176</v>
      </c>
      <c r="C102" s="8" t="s">
        <v>177</v>
      </c>
      <c r="D102" s="8" t="s">
        <v>36</v>
      </c>
      <c r="E102" s="8" t="s">
        <v>1058</v>
      </c>
      <c r="F102" s="8" t="s">
        <v>1069</v>
      </c>
      <c r="G102" s="8" t="s">
        <v>1070</v>
      </c>
      <c r="H102" s="8" t="s">
        <v>18</v>
      </c>
      <c r="I102" s="8" t="n">
        <v>1</v>
      </c>
      <c r="J102" s="8" t="s">
        <v>58</v>
      </c>
      <c r="K102" s="8" t="s">
        <v>1071</v>
      </c>
      <c r="L102" s="8" t="s">
        <v>182</v>
      </c>
      <c r="M102" s="8" t="s">
        <v>1072</v>
      </c>
      <c r="N102" s="8" t="s">
        <v>1073</v>
      </c>
      <c r="O102" s="8" t="s">
        <v>1074</v>
      </c>
      <c r="P102" s="8" t="s">
        <v>186</v>
      </c>
      <c r="Q102" s="8" t="s">
        <v>1075</v>
      </c>
      <c r="R102" s="8" t="s">
        <v>1066</v>
      </c>
      <c r="S102" s="8" t="s">
        <v>65</v>
      </c>
      <c r="T102" s="8" t="s">
        <v>275</v>
      </c>
      <c r="U102" s="8" t="s">
        <v>40</v>
      </c>
      <c r="V102" s="8" t="s">
        <v>7</v>
      </c>
      <c r="W102" s="8" t="s">
        <v>1076</v>
      </c>
    </row>
    <row r="103" customFormat="false" ht="117.75" hidden="false" customHeight="true" outlineLevel="0" collapsed="false">
      <c r="A103" s="8" t="s">
        <v>1077</v>
      </c>
      <c r="B103" s="8" t="s">
        <v>176</v>
      </c>
      <c r="C103" s="8" t="s">
        <v>177</v>
      </c>
      <c r="D103" s="8" t="s">
        <v>36</v>
      </c>
      <c r="E103" s="8" t="s">
        <v>1058</v>
      </c>
      <c r="F103" s="8" t="s">
        <v>1078</v>
      </c>
      <c r="G103" s="8" t="s">
        <v>1079</v>
      </c>
      <c r="H103" s="8" t="s">
        <v>18</v>
      </c>
      <c r="I103" s="8" t="n">
        <v>1</v>
      </c>
      <c r="J103" s="8" t="s">
        <v>58</v>
      </c>
      <c r="K103" s="8" t="s">
        <v>1071</v>
      </c>
      <c r="L103" s="8" t="s">
        <v>182</v>
      </c>
      <c r="M103" s="8" t="s">
        <v>1080</v>
      </c>
      <c r="N103" s="8" t="s">
        <v>1081</v>
      </c>
      <c r="O103" s="8" t="s">
        <v>1082</v>
      </c>
      <c r="P103" s="8" t="s">
        <v>186</v>
      </c>
      <c r="Q103" s="8" t="s">
        <v>1083</v>
      </c>
      <c r="R103" s="8" t="s">
        <v>1066</v>
      </c>
      <c r="S103" s="8" t="s">
        <v>1084</v>
      </c>
      <c r="T103" s="8" t="s">
        <v>1085</v>
      </c>
      <c r="U103" s="8" t="s">
        <v>40</v>
      </c>
      <c r="V103" s="8" t="s">
        <v>9</v>
      </c>
      <c r="W103" s="8" t="s">
        <v>1086</v>
      </c>
    </row>
    <row r="104" customFormat="false" ht="156" hidden="false" customHeight="true" outlineLevel="0" collapsed="false">
      <c r="A104" s="8" t="s">
        <v>1087</v>
      </c>
      <c r="B104" s="8" t="s">
        <v>176</v>
      </c>
      <c r="C104" s="8" t="s">
        <v>177</v>
      </c>
      <c r="D104" s="8" t="s">
        <v>36</v>
      </c>
      <c r="E104" s="8" t="s">
        <v>1058</v>
      </c>
      <c r="F104" s="8" t="s">
        <v>1088</v>
      </c>
      <c r="G104" s="8" t="s">
        <v>1089</v>
      </c>
      <c r="H104" s="8" t="s">
        <v>18</v>
      </c>
      <c r="I104" s="8" t="n">
        <v>1</v>
      </c>
      <c r="J104" s="8" t="s">
        <v>59</v>
      </c>
      <c r="K104" s="8" t="s">
        <v>1090</v>
      </c>
      <c r="L104" s="8" t="s">
        <v>182</v>
      </c>
      <c r="M104" s="8" t="s">
        <v>1091</v>
      </c>
      <c r="N104" s="8" t="s">
        <v>1092</v>
      </c>
      <c r="O104" s="8" t="s">
        <v>1093</v>
      </c>
      <c r="P104" s="8" t="s">
        <v>186</v>
      </c>
      <c r="Q104" s="8" t="s">
        <v>1094</v>
      </c>
      <c r="R104" s="8" t="s">
        <v>1066</v>
      </c>
      <c r="S104" s="8" t="s">
        <v>1084</v>
      </c>
      <c r="T104" s="8" t="s">
        <v>1085</v>
      </c>
      <c r="U104" s="8" t="s">
        <v>40</v>
      </c>
      <c r="V104" s="8" t="s">
        <v>9</v>
      </c>
      <c r="W104" s="8" t="s">
        <v>1095</v>
      </c>
    </row>
    <row r="105" customFormat="false" ht="117.75" hidden="false" customHeight="true" outlineLevel="0" collapsed="false">
      <c r="A105" s="8" t="s">
        <v>1096</v>
      </c>
      <c r="B105" s="8" t="s">
        <v>176</v>
      </c>
      <c r="C105" s="8" t="s">
        <v>177</v>
      </c>
      <c r="D105" s="8" t="s">
        <v>36</v>
      </c>
      <c r="E105" s="8" t="s">
        <v>1058</v>
      </c>
      <c r="F105" s="8" t="s">
        <v>1097</v>
      </c>
      <c r="G105" s="8" t="s">
        <v>1098</v>
      </c>
      <c r="H105" s="8" t="s">
        <v>19</v>
      </c>
      <c r="I105" s="8" t="n">
        <v>2</v>
      </c>
      <c r="J105" s="8" t="s">
        <v>58</v>
      </c>
      <c r="K105" s="8" t="s">
        <v>1099</v>
      </c>
      <c r="L105" s="8" t="s">
        <v>182</v>
      </c>
      <c r="M105" s="8" t="s">
        <v>1100</v>
      </c>
      <c r="N105" s="8" t="s">
        <v>1101</v>
      </c>
      <c r="O105" s="8" t="s">
        <v>1102</v>
      </c>
      <c r="P105" s="8" t="s">
        <v>186</v>
      </c>
      <c r="Q105" s="8" t="s">
        <v>1103</v>
      </c>
      <c r="R105" s="8" t="s">
        <v>1066</v>
      </c>
      <c r="S105" s="8" t="s">
        <v>65</v>
      </c>
      <c r="T105" s="8" t="s">
        <v>275</v>
      </c>
      <c r="U105" s="8" t="s">
        <v>40</v>
      </c>
      <c r="V105" s="8" t="s">
        <v>7</v>
      </c>
      <c r="W105" s="8" t="s">
        <v>1104</v>
      </c>
    </row>
    <row r="106" customFormat="false" ht="117.75" hidden="false" customHeight="true" outlineLevel="0" collapsed="false">
      <c r="A106" s="8" t="s">
        <v>1105</v>
      </c>
      <c r="B106" s="8" t="s">
        <v>176</v>
      </c>
      <c r="C106" s="8" t="s">
        <v>177</v>
      </c>
      <c r="D106" s="8" t="s">
        <v>36</v>
      </c>
      <c r="E106" s="8" t="s">
        <v>1058</v>
      </c>
      <c r="F106" s="8" t="s">
        <v>1106</v>
      </c>
      <c r="G106" s="8" t="s">
        <v>1107</v>
      </c>
      <c r="H106" s="8" t="s">
        <v>20</v>
      </c>
      <c r="I106" s="8" t="n">
        <v>3</v>
      </c>
      <c r="J106" s="8" t="s">
        <v>56</v>
      </c>
      <c r="K106" s="8" t="s">
        <v>1061</v>
      </c>
      <c r="L106" s="8" t="s">
        <v>182</v>
      </c>
      <c r="M106" s="8" t="s">
        <v>1108</v>
      </c>
      <c r="N106" s="8" t="s">
        <v>1109</v>
      </c>
      <c r="O106" s="8" t="s">
        <v>1110</v>
      </c>
      <c r="P106" s="8" t="s">
        <v>186</v>
      </c>
      <c r="Q106" s="8" t="s">
        <v>1111</v>
      </c>
      <c r="R106" s="8" t="s">
        <v>1066</v>
      </c>
      <c r="S106" s="8" t="s">
        <v>65</v>
      </c>
      <c r="T106" s="8" t="s">
        <v>275</v>
      </c>
      <c r="U106" s="8" t="s">
        <v>40</v>
      </c>
      <c r="V106" s="8" t="s">
        <v>7</v>
      </c>
      <c r="W106" s="8" t="s">
        <v>1112</v>
      </c>
    </row>
    <row r="107" customFormat="false" ht="41.25" hidden="false" customHeight="true" outlineLevel="0" collapsed="false">
      <c r="A107" s="8" t="s">
        <v>1113</v>
      </c>
      <c r="B107" s="8" t="s">
        <v>176</v>
      </c>
      <c r="C107" s="8" t="s">
        <v>177</v>
      </c>
      <c r="D107" s="8" t="s">
        <v>37</v>
      </c>
      <c r="E107" s="8" t="s">
        <v>1114</v>
      </c>
      <c r="F107" s="8" t="s">
        <v>1115</v>
      </c>
      <c r="G107" s="8" t="s">
        <v>1116</v>
      </c>
      <c r="H107" s="8" t="s">
        <v>21</v>
      </c>
      <c r="I107" s="8" t="n">
        <v>3</v>
      </c>
      <c r="J107" s="8" t="s">
        <v>59</v>
      </c>
      <c r="K107" s="8" t="s">
        <v>65</v>
      </c>
      <c r="L107" s="8" t="s">
        <v>65</v>
      </c>
      <c r="M107" s="8" t="s">
        <v>65</v>
      </c>
      <c r="N107" s="8" t="s">
        <v>65</v>
      </c>
      <c r="O107" s="8" t="s">
        <v>65</v>
      </c>
      <c r="P107" s="8" t="s">
        <v>186</v>
      </c>
      <c r="Q107" s="8" t="s">
        <v>1117</v>
      </c>
      <c r="R107" s="8" t="s">
        <v>1118</v>
      </c>
      <c r="S107" s="8" t="s">
        <v>65</v>
      </c>
      <c r="T107" s="8" t="s">
        <v>1119</v>
      </c>
      <c r="U107" s="8" t="s">
        <v>40</v>
      </c>
      <c r="V107" s="8" t="s">
        <v>13</v>
      </c>
      <c r="W107" s="8" t="s">
        <v>1120</v>
      </c>
    </row>
    <row r="108" customFormat="false" ht="143.25" hidden="false" customHeight="true" outlineLevel="0" collapsed="false">
      <c r="A108" s="8" t="s">
        <v>1121</v>
      </c>
      <c r="B108" s="8" t="s">
        <v>176</v>
      </c>
      <c r="C108" s="8" t="s">
        <v>177</v>
      </c>
      <c r="D108" s="8" t="s">
        <v>36</v>
      </c>
      <c r="E108" s="8" t="s">
        <v>1122</v>
      </c>
      <c r="F108" s="8" t="s">
        <v>1123</v>
      </c>
      <c r="G108" s="8" t="s">
        <v>1124</v>
      </c>
      <c r="H108" s="8" t="s">
        <v>19</v>
      </c>
      <c r="I108" s="8" t="n">
        <v>2</v>
      </c>
      <c r="J108" s="8" t="s">
        <v>56</v>
      </c>
      <c r="K108" s="8" t="s">
        <v>1125</v>
      </c>
      <c r="L108" s="8" t="s">
        <v>182</v>
      </c>
      <c r="M108" s="8" t="s">
        <v>1126</v>
      </c>
      <c r="N108" s="8" t="s">
        <v>1127</v>
      </c>
      <c r="O108" s="8" t="s">
        <v>185</v>
      </c>
      <c r="P108" s="8" t="s">
        <v>186</v>
      </c>
      <c r="Q108" s="8" t="s">
        <v>1128</v>
      </c>
      <c r="R108" s="8" t="s">
        <v>1129</v>
      </c>
      <c r="S108" s="8" t="s">
        <v>65</v>
      </c>
      <c r="T108" s="8" t="s">
        <v>234</v>
      </c>
      <c r="U108" s="8" t="s">
        <v>40</v>
      </c>
      <c r="V108" s="8" t="s">
        <v>7</v>
      </c>
      <c r="W108" s="8" t="s">
        <v>1130</v>
      </c>
    </row>
    <row r="109" customFormat="false" ht="143.25" hidden="false" customHeight="true" outlineLevel="0" collapsed="false">
      <c r="A109" s="8" t="s">
        <v>1131</v>
      </c>
      <c r="B109" s="8" t="s">
        <v>176</v>
      </c>
      <c r="C109" s="8" t="s">
        <v>177</v>
      </c>
      <c r="D109" s="8" t="s">
        <v>36</v>
      </c>
      <c r="E109" s="8" t="s">
        <v>1122</v>
      </c>
      <c r="F109" s="8" t="s">
        <v>1132</v>
      </c>
      <c r="G109" s="8" t="s">
        <v>1133</v>
      </c>
      <c r="H109" s="8" t="s">
        <v>20</v>
      </c>
      <c r="I109" s="8" t="n">
        <v>3</v>
      </c>
      <c r="J109" s="8" t="s">
        <v>56</v>
      </c>
      <c r="K109" s="8" t="s">
        <v>1134</v>
      </c>
      <c r="L109" s="8" t="s">
        <v>182</v>
      </c>
      <c r="M109" s="8" t="s">
        <v>1135</v>
      </c>
      <c r="N109" s="8" t="s">
        <v>1136</v>
      </c>
      <c r="O109" s="8" t="s">
        <v>185</v>
      </c>
      <c r="P109" s="8" t="s">
        <v>186</v>
      </c>
      <c r="Q109" s="8" t="s">
        <v>1128</v>
      </c>
      <c r="R109" s="8" t="s">
        <v>1129</v>
      </c>
      <c r="S109" s="8" t="s">
        <v>65</v>
      </c>
      <c r="T109" s="8" t="s">
        <v>234</v>
      </c>
      <c r="U109" s="8" t="s">
        <v>40</v>
      </c>
      <c r="V109" s="8" t="s">
        <v>7</v>
      </c>
      <c r="W109" s="8" t="s">
        <v>1137</v>
      </c>
    </row>
    <row r="110" customFormat="false" ht="156" hidden="false" customHeight="true" outlineLevel="0" collapsed="false">
      <c r="A110" s="8" t="s">
        <v>1138</v>
      </c>
      <c r="B110" s="8" t="s">
        <v>176</v>
      </c>
      <c r="C110" s="8" t="s">
        <v>177</v>
      </c>
      <c r="D110" s="8" t="s">
        <v>36</v>
      </c>
      <c r="E110" s="8" t="s">
        <v>1139</v>
      </c>
      <c r="F110" s="8" t="s">
        <v>1140</v>
      </c>
      <c r="G110" s="8" t="s">
        <v>1141</v>
      </c>
      <c r="H110" s="8" t="s">
        <v>18</v>
      </c>
      <c r="I110" s="8" t="n">
        <v>1</v>
      </c>
      <c r="J110" s="8" t="s">
        <v>56</v>
      </c>
      <c r="K110" s="8" t="s">
        <v>1142</v>
      </c>
      <c r="L110" s="8" t="s">
        <v>182</v>
      </c>
      <c r="M110" s="8" t="s">
        <v>1143</v>
      </c>
      <c r="N110" s="8" t="s">
        <v>1144</v>
      </c>
      <c r="O110" s="8" t="s">
        <v>1145</v>
      </c>
      <c r="P110" s="8" t="s">
        <v>186</v>
      </c>
      <c r="Q110" s="8" t="s">
        <v>1146</v>
      </c>
      <c r="R110" s="8" t="s">
        <v>1147</v>
      </c>
      <c r="S110" s="8" t="s">
        <v>65</v>
      </c>
      <c r="T110" s="8" t="s">
        <v>234</v>
      </c>
      <c r="U110" s="8" t="s">
        <v>41</v>
      </c>
      <c r="V110" s="8" t="s">
        <v>7</v>
      </c>
      <c r="W110" s="8" t="s">
        <v>1148</v>
      </c>
    </row>
    <row r="111" customFormat="false" ht="143.25" hidden="false" customHeight="true" outlineLevel="0" collapsed="false">
      <c r="A111" s="8" t="s">
        <v>1149</v>
      </c>
      <c r="B111" s="8" t="s">
        <v>176</v>
      </c>
      <c r="C111" s="8" t="s">
        <v>177</v>
      </c>
      <c r="D111" s="8" t="s">
        <v>36</v>
      </c>
      <c r="E111" s="8" t="s">
        <v>1139</v>
      </c>
      <c r="F111" s="8" t="s">
        <v>1150</v>
      </c>
      <c r="G111" s="8" t="s">
        <v>1151</v>
      </c>
      <c r="H111" s="8" t="s">
        <v>18</v>
      </c>
      <c r="I111" s="8" t="n">
        <v>1</v>
      </c>
      <c r="J111" s="8" t="s">
        <v>57</v>
      </c>
      <c r="K111" s="8" t="s">
        <v>1152</v>
      </c>
      <c r="L111" s="8" t="s">
        <v>182</v>
      </c>
      <c r="M111" s="8" t="s">
        <v>1153</v>
      </c>
      <c r="N111" s="8" t="s">
        <v>1154</v>
      </c>
      <c r="O111" s="8" t="s">
        <v>1155</v>
      </c>
      <c r="P111" s="8" t="s">
        <v>186</v>
      </c>
      <c r="Q111" s="8" t="s">
        <v>1156</v>
      </c>
      <c r="R111" s="8" t="s">
        <v>1147</v>
      </c>
      <c r="S111" s="8" t="s">
        <v>65</v>
      </c>
      <c r="T111" s="8" t="s">
        <v>234</v>
      </c>
      <c r="U111" s="8" t="s">
        <v>41</v>
      </c>
      <c r="V111" s="8" t="s">
        <v>7</v>
      </c>
      <c r="W111" s="8" t="s">
        <v>1157</v>
      </c>
    </row>
    <row r="112" customFormat="false" ht="168.75" hidden="false" customHeight="true" outlineLevel="0" collapsed="false">
      <c r="A112" s="8" t="s">
        <v>1158</v>
      </c>
      <c r="B112" s="8" t="s">
        <v>176</v>
      </c>
      <c r="C112" s="8" t="s">
        <v>177</v>
      </c>
      <c r="D112" s="8" t="s">
        <v>36</v>
      </c>
      <c r="E112" s="8" t="s">
        <v>1139</v>
      </c>
      <c r="F112" s="8" t="s">
        <v>1159</v>
      </c>
      <c r="G112" s="8" t="s">
        <v>1160</v>
      </c>
      <c r="H112" s="8" t="s">
        <v>19</v>
      </c>
      <c r="I112" s="8" t="n">
        <v>2</v>
      </c>
      <c r="J112" s="8" t="s">
        <v>57</v>
      </c>
      <c r="K112" s="8" t="s">
        <v>1161</v>
      </c>
      <c r="L112" s="8" t="s">
        <v>182</v>
      </c>
      <c r="M112" s="8" t="s">
        <v>1162</v>
      </c>
      <c r="N112" s="8" t="s">
        <v>1163</v>
      </c>
      <c r="O112" s="8" t="s">
        <v>349</v>
      </c>
      <c r="P112" s="8" t="s">
        <v>186</v>
      </c>
      <c r="Q112" s="8" t="s">
        <v>1164</v>
      </c>
      <c r="R112" s="8" t="s">
        <v>1147</v>
      </c>
      <c r="S112" s="8" t="s">
        <v>65</v>
      </c>
      <c r="T112" s="8" t="s">
        <v>234</v>
      </c>
      <c r="U112" s="8" t="s">
        <v>41</v>
      </c>
      <c r="V112" s="8" t="s">
        <v>7</v>
      </c>
      <c r="W112" s="8" t="s">
        <v>1165</v>
      </c>
    </row>
    <row r="113" customFormat="false" ht="143.25" hidden="false" customHeight="true" outlineLevel="0" collapsed="false">
      <c r="A113" s="8" t="s">
        <v>1166</v>
      </c>
      <c r="B113" s="8" t="s">
        <v>176</v>
      </c>
      <c r="C113" s="8" t="s">
        <v>177</v>
      </c>
      <c r="D113" s="8" t="s">
        <v>36</v>
      </c>
      <c r="E113" s="8" t="s">
        <v>1139</v>
      </c>
      <c r="F113" s="8" t="s">
        <v>1167</v>
      </c>
      <c r="G113" s="8" t="s">
        <v>1168</v>
      </c>
      <c r="H113" s="8" t="s">
        <v>21</v>
      </c>
      <c r="I113" s="8" t="n">
        <v>3</v>
      </c>
      <c r="J113" s="8" t="s">
        <v>57</v>
      </c>
      <c r="K113" s="8" t="s">
        <v>1169</v>
      </c>
      <c r="L113" s="8" t="s">
        <v>182</v>
      </c>
      <c r="M113" s="8" t="s">
        <v>1170</v>
      </c>
      <c r="N113" s="8" t="s">
        <v>1171</v>
      </c>
      <c r="O113" s="8" t="s">
        <v>1172</v>
      </c>
      <c r="P113" s="8" t="s">
        <v>186</v>
      </c>
      <c r="Q113" s="8" t="s">
        <v>1173</v>
      </c>
      <c r="R113" s="8" t="s">
        <v>1147</v>
      </c>
      <c r="S113" s="8" t="s">
        <v>65</v>
      </c>
      <c r="T113" s="8" t="s">
        <v>234</v>
      </c>
      <c r="U113" s="8" t="s">
        <v>41</v>
      </c>
      <c r="V113" s="8" t="s">
        <v>7</v>
      </c>
      <c r="W113" s="8" t="s">
        <v>1174</v>
      </c>
    </row>
    <row r="114" customFormat="false" ht="156" hidden="false" customHeight="true" outlineLevel="0" collapsed="false">
      <c r="A114" s="8" t="s">
        <v>1175</v>
      </c>
      <c r="B114" s="8" t="s">
        <v>176</v>
      </c>
      <c r="C114" s="8" t="s">
        <v>177</v>
      </c>
      <c r="D114" s="8" t="s">
        <v>36</v>
      </c>
      <c r="E114" s="8" t="s">
        <v>1176</v>
      </c>
      <c r="F114" s="8" t="s">
        <v>1177</v>
      </c>
      <c r="G114" s="8" t="s">
        <v>1178</v>
      </c>
      <c r="H114" s="8" t="s">
        <v>19</v>
      </c>
      <c r="I114" s="8" t="n">
        <v>2</v>
      </c>
      <c r="J114" s="8" t="s">
        <v>56</v>
      </c>
      <c r="K114" s="8" t="s">
        <v>1179</v>
      </c>
      <c r="L114" s="8" t="s">
        <v>182</v>
      </c>
      <c r="M114" s="8" t="s">
        <v>1180</v>
      </c>
      <c r="N114" s="8" t="s">
        <v>1181</v>
      </c>
      <c r="O114" s="8" t="s">
        <v>1182</v>
      </c>
      <c r="P114" s="8" t="s">
        <v>186</v>
      </c>
      <c r="Q114" s="8" t="s">
        <v>1183</v>
      </c>
      <c r="R114" s="8" t="s">
        <v>413</v>
      </c>
      <c r="S114" s="8" t="s">
        <v>65</v>
      </c>
      <c r="T114" s="8" t="s">
        <v>1184</v>
      </c>
      <c r="U114" s="8" t="s">
        <v>40</v>
      </c>
      <c r="V114" s="8" t="s">
        <v>7</v>
      </c>
      <c r="W114" s="8" t="s">
        <v>1185</v>
      </c>
    </row>
    <row r="115" customFormat="false" ht="156" hidden="false" customHeight="true" outlineLevel="0" collapsed="false">
      <c r="A115" s="8" t="s">
        <v>1186</v>
      </c>
      <c r="B115" s="8" t="s">
        <v>176</v>
      </c>
      <c r="C115" s="8" t="s">
        <v>177</v>
      </c>
      <c r="D115" s="8" t="s">
        <v>36</v>
      </c>
      <c r="E115" s="8" t="s">
        <v>1176</v>
      </c>
      <c r="F115" s="8" t="s">
        <v>1187</v>
      </c>
      <c r="G115" s="8" t="s">
        <v>1188</v>
      </c>
      <c r="H115" s="8" t="s">
        <v>20</v>
      </c>
      <c r="I115" s="8" t="n">
        <v>3</v>
      </c>
      <c r="J115" s="8" t="s">
        <v>56</v>
      </c>
      <c r="K115" s="8" t="s">
        <v>1189</v>
      </c>
      <c r="L115" s="8" t="s">
        <v>182</v>
      </c>
      <c r="M115" s="8" t="s">
        <v>1190</v>
      </c>
      <c r="N115" s="8" t="s">
        <v>1191</v>
      </c>
      <c r="O115" s="8" t="s">
        <v>1192</v>
      </c>
      <c r="P115" s="8" t="s">
        <v>186</v>
      </c>
      <c r="Q115" s="8" t="s">
        <v>1183</v>
      </c>
      <c r="R115" s="8" t="s">
        <v>413</v>
      </c>
      <c r="S115" s="8" t="s">
        <v>65</v>
      </c>
      <c r="T115" s="8" t="s">
        <v>1184</v>
      </c>
      <c r="U115" s="8" t="s">
        <v>40</v>
      </c>
      <c r="V115" s="8" t="s">
        <v>7</v>
      </c>
      <c r="W115" s="8" t="s">
        <v>1193</v>
      </c>
    </row>
    <row r="116" customFormat="false" ht="143.25" hidden="false" customHeight="true" outlineLevel="0" collapsed="false">
      <c r="A116" s="8" t="s">
        <v>1194</v>
      </c>
      <c r="B116" s="8" t="s">
        <v>176</v>
      </c>
      <c r="C116" s="8" t="s">
        <v>177</v>
      </c>
      <c r="D116" s="8" t="s">
        <v>37</v>
      </c>
      <c r="E116" s="8" t="s">
        <v>1176</v>
      </c>
      <c r="F116" s="8" t="s">
        <v>1195</v>
      </c>
      <c r="G116" s="8" t="s">
        <v>1196</v>
      </c>
      <c r="H116" s="8" t="s">
        <v>19</v>
      </c>
      <c r="I116" s="8" t="n">
        <v>2</v>
      </c>
      <c r="J116" s="8" t="s">
        <v>59</v>
      </c>
      <c r="K116" s="8" t="s">
        <v>1197</v>
      </c>
      <c r="L116" s="8" t="s">
        <v>182</v>
      </c>
      <c r="M116" s="8" t="s">
        <v>1198</v>
      </c>
      <c r="N116" s="8" t="s">
        <v>1199</v>
      </c>
      <c r="O116" s="8" t="s">
        <v>1200</v>
      </c>
      <c r="P116" s="8" t="s">
        <v>186</v>
      </c>
      <c r="Q116" s="8" t="s">
        <v>1201</v>
      </c>
      <c r="R116" s="8" t="s">
        <v>413</v>
      </c>
      <c r="S116" s="8" t="s">
        <v>65</v>
      </c>
      <c r="T116" s="8" t="s">
        <v>1202</v>
      </c>
      <c r="U116" s="8" t="s">
        <v>41</v>
      </c>
      <c r="V116" s="8" t="s">
        <v>11</v>
      </c>
      <c r="W116" s="8" t="s">
        <v>1203</v>
      </c>
    </row>
    <row r="117" customFormat="false" ht="156" hidden="false" customHeight="true" outlineLevel="0" collapsed="false">
      <c r="A117" s="8" t="s">
        <v>1204</v>
      </c>
      <c r="B117" s="8" t="s">
        <v>176</v>
      </c>
      <c r="C117" s="8" t="s">
        <v>177</v>
      </c>
      <c r="D117" s="8" t="s">
        <v>37</v>
      </c>
      <c r="E117" s="8" t="s">
        <v>1176</v>
      </c>
      <c r="F117" s="8" t="s">
        <v>1205</v>
      </c>
      <c r="G117" s="8" t="s">
        <v>1206</v>
      </c>
      <c r="H117" s="8" t="s">
        <v>19</v>
      </c>
      <c r="I117" s="8" t="n">
        <v>2</v>
      </c>
      <c r="J117" s="8" t="s">
        <v>59</v>
      </c>
      <c r="K117" s="8" t="s">
        <v>1207</v>
      </c>
      <c r="L117" s="8" t="s">
        <v>182</v>
      </c>
      <c r="M117" s="8" t="s">
        <v>1208</v>
      </c>
      <c r="N117" s="8" t="s">
        <v>1209</v>
      </c>
      <c r="O117" s="8" t="s">
        <v>1210</v>
      </c>
      <c r="P117" s="8" t="s">
        <v>186</v>
      </c>
      <c r="Q117" s="8" t="s">
        <v>1211</v>
      </c>
      <c r="R117" s="8" t="s">
        <v>413</v>
      </c>
      <c r="S117" s="8" t="s">
        <v>65</v>
      </c>
      <c r="T117" s="8" t="s">
        <v>1202</v>
      </c>
      <c r="U117" s="8" t="s">
        <v>41</v>
      </c>
      <c r="V117" s="8" t="s">
        <v>11</v>
      </c>
      <c r="W117" s="8" t="s">
        <v>1212</v>
      </c>
    </row>
    <row r="118" customFormat="false" ht="168.75" hidden="false" customHeight="true" outlineLevel="0" collapsed="false">
      <c r="A118" s="8" t="s">
        <v>1213</v>
      </c>
      <c r="B118" s="8" t="s">
        <v>176</v>
      </c>
      <c r="C118" s="8" t="s">
        <v>177</v>
      </c>
      <c r="D118" s="8" t="s">
        <v>36</v>
      </c>
      <c r="E118" s="8" t="s">
        <v>1214</v>
      </c>
      <c r="F118" s="8" t="s">
        <v>1215</v>
      </c>
      <c r="G118" s="8" t="s">
        <v>1216</v>
      </c>
      <c r="H118" s="8" t="s">
        <v>18</v>
      </c>
      <c r="I118" s="8" t="n">
        <v>1</v>
      </c>
      <c r="J118" s="8" t="s">
        <v>59</v>
      </c>
      <c r="K118" s="8" t="s">
        <v>1217</v>
      </c>
      <c r="L118" s="8" t="s">
        <v>182</v>
      </c>
      <c r="M118" s="8" t="s">
        <v>1218</v>
      </c>
      <c r="N118" s="8" t="s">
        <v>1219</v>
      </c>
      <c r="O118" s="8" t="s">
        <v>1220</v>
      </c>
      <c r="P118" s="8" t="s">
        <v>186</v>
      </c>
      <c r="Q118" s="8" t="s">
        <v>1221</v>
      </c>
      <c r="R118" s="8" t="s">
        <v>1222</v>
      </c>
      <c r="S118" s="8" t="s">
        <v>65</v>
      </c>
      <c r="T118" s="8" t="s">
        <v>293</v>
      </c>
      <c r="U118" s="8" t="s">
        <v>41</v>
      </c>
      <c r="V118" s="8" t="s">
        <v>7</v>
      </c>
      <c r="W118" s="8" t="s">
        <v>1223</v>
      </c>
    </row>
    <row r="119" customFormat="false" ht="168.75" hidden="false" customHeight="true" outlineLevel="0" collapsed="false">
      <c r="A119" s="8" t="s">
        <v>1224</v>
      </c>
      <c r="B119" s="8" t="s">
        <v>176</v>
      </c>
      <c r="C119" s="8" t="s">
        <v>177</v>
      </c>
      <c r="D119" s="8" t="s">
        <v>37</v>
      </c>
      <c r="E119" s="8" t="s">
        <v>1214</v>
      </c>
      <c r="F119" s="8" t="s">
        <v>1225</v>
      </c>
      <c r="G119" s="8" t="s">
        <v>1226</v>
      </c>
      <c r="H119" s="8" t="s">
        <v>19</v>
      </c>
      <c r="I119" s="8" t="n">
        <v>2</v>
      </c>
      <c r="J119" s="8" t="s">
        <v>59</v>
      </c>
      <c r="K119" s="8" t="s">
        <v>1227</v>
      </c>
      <c r="L119" s="8" t="s">
        <v>182</v>
      </c>
      <c r="M119" s="8" t="s">
        <v>1228</v>
      </c>
      <c r="N119" s="8" t="s">
        <v>1229</v>
      </c>
      <c r="O119" s="8" t="s">
        <v>1230</v>
      </c>
      <c r="P119" s="8" t="s">
        <v>186</v>
      </c>
      <c r="Q119" s="8" t="s">
        <v>1231</v>
      </c>
      <c r="R119" s="8" t="s">
        <v>1222</v>
      </c>
      <c r="S119" s="8" t="s">
        <v>65</v>
      </c>
      <c r="T119" s="8" t="s">
        <v>1232</v>
      </c>
      <c r="U119" s="8" t="s">
        <v>41</v>
      </c>
      <c r="V119" s="8" t="s">
        <v>11</v>
      </c>
      <c r="W119" s="8" t="s">
        <v>1233</v>
      </c>
    </row>
    <row r="120" customFormat="false" ht="168.75" hidden="false" customHeight="true" outlineLevel="0" collapsed="false">
      <c r="A120" s="8" t="s">
        <v>1234</v>
      </c>
      <c r="B120" s="8" t="s">
        <v>176</v>
      </c>
      <c r="C120" s="8" t="s">
        <v>177</v>
      </c>
      <c r="D120" s="8" t="s">
        <v>37</v>
      </c>
      <c r="E120" s="8" t="s">
        <v>1214</v>
      </c>
      <c r="F120" s="8" t="s">
        <v>1235</v>
      </c>
      <c r="G120" s="8" t="s">
        <v>1236</v>
      </c>
      <c r="H120" s="8" t="s">
        <v>19</v>
      </c>
      <c r="I120" s="8" t="n">
        <v>2</v>
      </c>
      <c r="J120" s="8" t="s">
        <v>59</v>
      </c>
      <c r="K120" s="8" t="s">
        <v>1237</v>
      </c>
      <c r="L120" s="8" t="s">
        <v>182</v>
      </c>
      <c r="M120" s="8" t="s">
        <v>1238</v>
      </c>
      <c r="N120" s="8" t="s">
        <v>1239</v>
      </c>
      <c r="O120" s="8" t="s">
        <v>1240</v>
      </c>
      <c r="P120" s="8" t="s">
        <v>186</v>
      </c>
      <c r="Q120" s="8" t="s">
        <v>1241</v>
      </c>
      <c r="R120" s="8" t="s">
        <v>1222</v>
      </c>
      <c r="S120" s="8" t="s">
        <v>65</v>
      </c>
      <c r="T120" s="8" t="s">
        <v>1232</v>
      </c>
      <c r="U120" s="8" t="s">
        <v>41</v>
      </c>
      <c r="V120" s="8" t="s">
        <v>11</v>
      </c>
      <c r="W120" s="8" t="s">
        <v>1242</v>
      </c>
    </row>
    <row r="121" customFormat="false" ht="168.75" hidden="false" customHeight="true" outlineLevel="0" collapsed="false">
      <c r="A121" s="8" t="s">
        <v>1243</v>
      </c>
      <c r="B121" s="8" t="s">
        <v>176</v>
      </c>
      <c r="C121" s="8" t="s">
        <v>177</v>
      </c>
      <c r="D121" s="8" t="s">
        <v>37</v>
      </c>
      <c r="E121" s="8" t="s">
        <v>1214</v>
      </c>
      <c r="F121" s="8" t="s">
        <v>1244</v>
      </c>
      <c r="G121" s="8" t="s">
        <v>1245</v>
      </c>
      <c r="H121" s="8" t="s">
        <v>20</v>
      </c>
      <c r="I121" s="8" t="n">
        <v>3</v>
      </c>
      <c r="J121" s="8" t="s">
        <v>58</v>
      </c>
      <c r="K121" s="8" t="s">
        <v>1237</v>
      </c>
      <c r="L121" s="8" t="s">
        <v>182</v>
      </c>
      <c r="M121" s="8" t="s">
        <v>1246</v>
      </c>
      <c r="N121" s="8" t="s">
        <v>1247</v>
      </c>
      <c r="O121" s="8" t="s">
        <v>1248</v>
      </c>
      <c r="P121" s="8" t="s">
        <v>186</v>
      </c>
      <c r="Q121" s="8" t="s">
        <v>1249</v>
      </c>
      <c r="R121" s="8" t="s">
        <v>1222</v>
      </c>
      <c r="S121" s="8" t="s">
        <v>65</v>
      </c>
      <c r="T121" s="8" t="s">
        <v>1232</v>
      </c>
      <c r="U121" s="8" t="s">
        <v>41</v>
      </c>
      <c r="V121" s="8" t="s">
        <v>11</v>
      </c>
      <c r="W121" s="8" t="s">
        <v>1250</v>
      </c>
    </row>
    <row r="122" customFormat="false" ht="207" hidden="false" customHeight="true" outlineLevel="0" collapsed="false">
      <c r="A122" s="8" t="s">
        <v>1251</v>
      </c>
      <c r="B122" s="8" t="s">
        <v>176</v>
      </c>
      <c r="C122" s="8" t="s">
        <v>177</v>
      </c>
      <c r="D122" s="8" t="s">
        <v>37</v>
      </c>
      <c r="E122" s="8" t="s">
        <v>1214</v>
      </c>
      <c r="F122" s="8" t="s">
        <v>1252</v>
      </c>
      <c r="G122" s="8" t="s">
        <v>1253</v>
      </c>
      <c r="H122" s="8" t="s">
        <v>18</v>
      </c>
      <c r="I122" s="8" t="n">
        <v>1</v>
      </c>
      <c r="J122" s="8" t="s">
        <v>59</v>
      </c>
      <c r="K122" s="8" t="s">
        <v>1254</v>
      </c>
      <c r="L122" s="8" t="s">
        <v>182</v>
      </c>
      <c r="M122" s="8" t="s">
        <v>1255</v>
      </c>
      <c r="N122" s="8" t="s">
        <v>1256</v>
      </c>
      <c r="O122" s="8" t="s">
        <v>1257</v>
      </c>
      <c r="P122" s="8" t="s">
        <v>186</v>
      </c>
      <c r="Q122" s="8" t="s">
        <v>1258</v>
      </c>
      <c r="R122" s="8" t="s">
        <v>1222</v>
      </c>
      <c r="S122" s="8" t="s">
        <v>65</v>
      </c>
      <c r="T122" s="8" t="s">
        <v>1259</v>
      </c>
      <c r="U122" s="8" t="s">
        <v>41</v>
      </c>
      <c r="V122" s="8" t="s">
        <v>11</v>
      </c>
      <c r="W122" s="8" t="s">
        <v>1260</v>
      </c>
    </row>
    <row r="123" customFormat="false" ht="168.75" hidden="false" customHeight="true" outlineLevel="0" collapsed="false">
      <c r="A123" s="8" t="s">
        <v>1261</v>
      </c>
      <c r="B123" s="8" t="s">
        <v>176</v>
      </c>
      <c r="C123" s="8" t="s">
        <v>177</v>
      </c>
      <c r="D123" s="8" t="s">
        <v>37</v>
      </c>
      <c r="E123" s="8" t="s">
        <v>1214</v>
      </c>
      <c r="F123" s="8" t="s">
        <v>1262</v>
      </c>
      <c r="G123" s="8" t="s">
        <v>1263</v>
      </c>
      <c r="H123" s="8" t="s">
        <v>19</v>
      </c>
      <c r="I123" s="8" t="n">
        <v>2</v>
      </c>
      <c r="J123" s="8" t="s">
        <v>59</v>
      </c>
      <c r="K123" s="8" t="s">
        <v>1264</v>
      </c>
      <c r="L123" s="8" t="s">
        <v>182</v>
      </c>
      <c r="M123" s="8" t="s">
        <v>1265</v>
      </c>
      <c r="N123" s="8" t="s">
        <v>1266</v>
      </c>
      <c r="O123" s="8" t="s">
        <v>1267</v>
      </c>
      <c r="P123" s="8" t="s">
        <v>186</v>
      </c>
      <c r="Q123" s="8" t="s">
        <v>1268</v>
      </c>
      <c r="R123" s="8" t="s">
        <v>1222</v>
      </c>
      <c r="S123" s="8" t="s">
        <v>65</v>
      </c>
      <c r="T123" s="8" t="s">
        <v>1269</v>
      </c>
      <c r="U123" s="8" t="s">
        <v>41</v>
      </c>
      <c r="V123" s="8" t="s">
        <v>11</v>
      </c>
      <c r="W123" s="8" t="s">
        <v>1270</v>
      </c>
    </row>
    <row r="124" customFormat="false" ht="66.75" hidden="false" customHeight="true" outlineLevel="0" collapsed="false">
      <c r="A124" s="8" t="s">
        <v>1271</v>
      </c>
      <c r="B124" s="8" t="s">
        <v>176</v>
      </c>
      <c r="C124" s="8" t="s">
        <v>177</v>
      </c>
      <c r="D124" s="8" t="s">
        <v>37</v>
      </c>
      <c r="E124" s="8" t="s">
        <v>1272</v>
      </c>
      <c r="F124" s="8" t="s">
        <v>1273</v>
      </c>
      <c r="G124" s="8" t="s">
        <v>1274</v>
      </c>
      <c r="H124" s="8" t="s">
        <v>19</v>
      </c>
      <c r="I124" s="8" t="n">
        <v>2</v>
      </c>
      <c r="J124" s="8" t="s">
        <v>56</v>
      </c>
      <c r="K124" s="8" t="s">
        <v>65</v>
      </c>
      <c r="L124" s="8" t="s">
        <v>65</v>
      </c>
      <c r="M124" s="8" t="s">
        <v>65</v>
      </c>
      <c r="N124" s="8" t="s">
        <v>65</v>
      </c>
      <c r="O124" s="8" t="s">
        <v>65</v>
      </c>
      <c r="P124" s="8" t="s">
        <v>186</v>
      </c>
      <c r="Q124" s="8" t="s">
        <v>1275</v>
      </c>
      <c r="R124" s="8" t="s">
        <v>1276</v>
      </c>
      <c r="S124" s="8" t="s">
        <v>65</v>
      </c>
      <c r="T124" s="8" t="s">
        <v>1277</v>
      </c>
      <c r="U124" s="8" t="s">
        <v>41</v>
      </c>
      <c r="V124" s="8" t="s">
        <v>13</v>
      </c>
      <c r="W124" s="8" t="s">
        <v>1278</v>
      </c>
    </row>
    <row r="125" customFormat="false" ht="66.75" hidden="false" customHeight="true" outlineLevel="0" collapsed="false">
      <c r="A125" s="8" t="s">
        <v>1279</v>
      </c>
      <c r="B125" s="8" t="s">
        <v>176</v>
      </c>
      <c r="C125" s="8" t="s">
        <v>177</v>
      </c>
      <c r="D125" s="8" t="s">
        <v>37</v>
      </c>
      <c r="E125" s="8" t="s">
        <v>1272</v>
      </c>
      <c r="F125" s="8" t="s">
        <v>1280</v>
      </c>
      <c r="G125" s="8" t="s">
        <v>1281</v>
      </c>
      <c r="H125" s="8" t="s">
        <v>20</v>
      </c>
      <c r="I125" s="8" t="n">
        <v>3</v>
      </c>
      <c r="J125" s="8" t="s">
        <v>56</v>
      </c>
      <c r="K125" s="8" t="s">
        <v>65</v>
      </c>
      <c r="L125" s="8" t="s">
        <v>65</v>
      </c>
      <c r="M125" s="8" t="s">
        <v>65</v>
      </c>
      <c r="N125" s="8" t="s">
        <v>65</v>
      </c>
      <c r="O125" s="8" t="s">
        <v>65</v>
      </c>
      <c r="P125" s="8" t="s">
        <v>186</v>
      </c>
      <c r="Q125" s="8" t="s">
        <v>1275</v>
      </c>
      <c r="R125" s="8" t="s">
        <v>1276</v>
      </c>
      <c r="S125" s="8" t="s">
        <v>65</v>
      </c>
      <c r="T125" s="8" t="s">
        <v>1277</v>
      </c>
      <c r="U125" s="8" t="s">
        <v>41</v>
      </c>
      <c r="V125" s="8" t="s">
        <v>13</v>
      </c>
      <c r="W125" s="8" t="s">
        <v>1278</v>
      </c>
    </row>
    <row r="126" customFormat="false" ht="66.75" hidden="false" customHeight="true" outlineLevel="0" collapsed="false">
      <c r="A126" s="8" t="s">
        <v>1282</v>
      </c>
      <c r="B126" s="8" t="s">
        <v>176</v>
      </c>
      <c r="C126" s="8" t="s">
        <v>177</v>
      </c>
      <c r="D126" s="8" t="s">
        <v>37</v>
      </c>
      <c r="E126" s="8" t="s">
        <v>1272</v>
      </c>
      <c r="F126" s="8" t="s">
        <v>1283</v>
      </c>
      <c r="G126" s="8" t="s">
        <v>1284</v>
      </c>
      <c r="H126" s="8" t="s">
        <v>20</v>
      </c>
      <c r="I126" s="8" t="n">
        <v>3</v>
      </c>
      <c r="J126" s="8" t="s">
        <v>56</v>
      </c>
      <c r="K126" s="8" t="s">
        <v>65</v>
      </c>
      <c r="L126" s="8" t="s">
        <v>65</v>
      </c>
      <c r="M126" s="8" t="s">
        <v>65</v>
      </c>
      <c r="N126" s="8" t="s">
        <v>65</v>
      </c>
      <c r="O126" s="8" t="s">
        <v>65</v>
      </c>
      <c r="P126" s="8" t="s">
        <v>186</v>
      </c>
      <c r="Q126" s="8" t="s">
        <v>1275</v>
      </c>
      <c r="R126" s="8" t="s">
        <v>1276</v>
      </c>
      <c r="S126" s="8" t="s">
        <v>65</v>
      </c>
      <c r="T126" s="8" t="s">
        <v>1277</v>
      </c>
      <c r="U126" s="8" t="s">
        <v>41</v>
      </c>
      <c r="V126" s="8" t="s">
        <v>13</v>
      </c>
      <c r="W126" s="8" t="s">
        <v>1278</v>
      </c>
    </row>
    <row r="127" customFormat="false" ht="66.75" hidden="false" customHeight="true" outlineLevel="0" collapsed="false">
      <c r="A127" s="8" t="s">
        <v>1285</v>
      </c>
      <c r="B127" s="8" t="s">
        <v>176</v>
      </c>
      <c r="C127" s="8" t="s">
        <v>177</v>
      </c>
      <c r="D127" s="8" t="s">
        <v>37</v>
      </c>
      <c r="E127" s="8" t="s">
        <v>1272</v>
      </c>
      <c r="F127" s="8" t="s">
        <v>1286</v>
      </c>
      <c r="G127" s="8" t="s">
        <v>1287</v>
      </c>
      <c r="H127" s="8" t="s">
        <v>20</v>
      </c>
      <c r="I127" s="8" t="n">
        <v>3</v>
      </c>
      <c r="J127" s="8" t="s">
        <v>56</v>
      </c>
      <c r="K127" s="8" t="s">
        <v>65</v>
      </c>
      <c r="L127" s="8" t="s">
        <v>65</v>
      </c>
      <c r="M127" s="8" t="s">
        <v>65</v>
      </c>
      <c r="N127" s="8" t="s">
        <v>65</v>
      </c>
      <c r="O127" s="8" t="s">
        <v>65</v>
      </c>
      <c r="P127" s="8" t="s">
        <v>186</v>
      </c>
      <c r="Q127" s="8" t="s">
        <v>1275</v>
      </c>
      <c r="R127" s="8" t="s">
        <v>1276</v>
      </c>
      <c r="S127" s="8" t="s">
        <v>65</v>
      </c>
      <c r="T127" s="8" t="s">
        <v>1277</v>
      </c>
      <c r="U127" s="8" t="s">
        <v>41</v>
      </c>
      <c r="V127" s="8" t="s">
        <v>13</v>
      </c>
      <c r="W127" s="8" t="s">
        <v>1278</v>
      </c>
    </row>
    <row r="128" customFormat="false" ht="66.75" hidden="false" customHeight="true" outlineLevel="0" collapsed="false">
      <c r="A128" s="8" t="s">
        <v>1288</v>
      </c>
      <c r="B128" s="8" t="s">
        <v>176</v>
      </c>
      <c r="C128" s="8" t="s">
        <v>177</v>
      </c>
      <c r="D128" s="8" t="s">
        <v>37</v>
      </c>
      <c r="E128" s="8" t="s">
        <v>1272</v>
      </c>
      <c r="F128" s="8" t="s">
        <v>1289</v>
      </c>
      <c r="G128" s="8" t="s">
        <v>1290</v>
      </c>
      <c r="H128" s="8" t="s">
        <v>20</v>
      </c>
      <c r="I128" s="8" t="n">
        <v>3</v>
      </c>
      <c r="J128" s="8" t="s">
        <v>56</v>
      </c>
      <c r="K128" s="8" t="s">
        <v>65</v>
      </c>
      <c r="L128" s="8" t="s">
        <v>65</v>
      </c>
      <c r="M128" s="8" t="s">
        <v>65</v>
      </c>
      <c r="N128" s="8" t="s">
        <v>65</v>
      </c>
      <c r="O128" s="8" t="s">
        <v>65</v>
      </c>
      <c r="P128" s="8" t="s">
        <v>186</v>
      </c>
      <c r="Q128" s="8" t="s">
        <v>1275</v>
      </c>
      <c r="R128" s="8" t="s">
        <v>1276</v>
      </c>
      <c r="S128" s="8" t="s">
        <v>65</v>
      </c>
      <c r="T128" s="8" t="s">
        <v>1277</v>
      </c>
      <c r="U128" s="8" t="s">
        <v>41</v>
      </c>
      <c r="V128" s="8" t="s">
        <v>13</v>
      </c>
      <c r="W128" s="8" t="s">
        <v>1278</v>
      </c>
    </row>
    <row r="129" customFormat="false" ht="130.5" hidden="false" customHeight="true" outlineLevel="0" collapsed="false">
      <c r="A129" s="8" t="s">
        <v>1291</v>
      </c>
      <c r="B129" s="8" t="s">
        <v>176</v>
      </c>
      <c r="C129" s="8" t="s">
        <v>177</v>
      </c>
      <c r="D129" s="8" t="s">
        <v>36</v>
      </c>
      <c r="E129" s="8" t="s">
        <v>1292</v>
      </c>
      <c r="F129" s="8" t="s">
        <v>1293</v>
      </c>
      <c r="G129" s="8" t="s">
        <v>1294</v>
      </c>
      <c r="H129" s="8" t="s">
        <v>18</v>
      </c>
      <c r="I129" s="8" t="n">
        <v>1</v>
      </c>
      <c r="J129" s="8" t="s">
        <v>57</v>
      </c>
      <c r="K129" s="8" t="s">
        <v>1295</v>
      </c>
      <c r="L129" s="8" t="s">
        <v>182</v>
      </c>
      <c r="M129" s="8" t="s">
        <v>1296</v>
      </c>
      <c r="N129" s="8" t="s">
        <v>1297</v>
      </c>
      <c r="O129" s="8" t="s">
        <v>1298</v>
      </c>
      <c r="P129" s="8" t="s">
        <v>186</v>
      </c>
      <c r="Q129" s="8" t="s">
        <v>1299</v>
      </c>
      <c r="R129" s="8" t="s">
        <v>1300</v>
      </c>
      <c r="S129" s="8" t="s">
        <v>65</v>
      </c>
      <c r="T129" s="8" t="s">
        <v>1301</v>
      </c>
      <c r="U129" s="8" t="s">
        <v>40</v>
      </c>
      <c r="V129" s="8" t="s">
        <v>7</v>
      </c>
      <c r="W129" s="8" t="s">
        <v>1302</v>
      </c>
    </row>
    <row r="130" customFormat="false" ht="143.25" hidden="false" customHeight="true" outlineLevel="0" collapsed="false">
      <c r="A130" s="8" t="s">
        <v>1303</v>
      </c>
      <c r="B130" s="8" t="s">
        <v>176</v>
      </c>
      <c r="C130" s="8" t="s">
        <v>177</v>
      </c>
      <c r="D130" s="8" t="s">
        <v>36</v>
      </c>
      <c r="E130" s="8" t="s">
        <v>1292</v>
      </c>
      <c r="F130" s="8" t="s">
        <v>1304</v>
      </c>
      <c r="G130" s="8" t="s">
        <v>1305</v>
      </c>
      <c r="H130" s="8" t="s">
        <v>18</v>
      </c>
      <c r="I130" s="8" t="n">
        <v>1</v>
      </c>
      <c r="J130" s="8" t="s">
        <v>57</v>
      </c>
      <c r="K130" s="8" t="s">
        <v>1306</v>
      </c>
      <c r="L130" s="8" t="s">
        <v>182</v>
      </c>
      <c r="M130" s="8" t="s">
        <v>1307</v>
      </c>
      <c r="N130" s="8" t="s">
        <v>1308</v>
      </c>
      <c r="O130" s="8" t="s">
        <v>1309</v>
      </c>
      <c r="P130" s="8" t="s">
        <v>186</v>
      </c>
      <c r="Q130" s="8" t="s">
        <v>1310</v>
      </c>
      <c r="R130" s="8" t="s">
        <v>1300</v>
      </c>
      <c r="S130" s="8" t="s">
        <v>65</v>
      </c>
      <c r="T130" s="8" t="s">
        <v>1311</v>
      </c>
      <c r="U130" s="8" t="s">
        <v>40</v>
      </c>
      <c r="V130" s="8" t="s">
        <v>7</v>
      </c>
      <c r="W130" s="8" t="s">
        <v>1312</v>
      </c>
    </row>
    <row r="131" customFormat="false" ht="130.5" hidden="false" customHeight="true" outlineLevel="0" collapsed="false">
      <c r="A131" s="8" t="s">
        <v>1313</v>
      </c>
      <c r="B131" s="8" t="s">
        <v>176</v>
      </c>
      <c r="C131" s="8" t="s">
        <v>177</v>
      </c>
      <c r="D131" s="8" t="s">
        <v>36</v>
      </c>
      <c r="E131" s="8" t="s">
        <v>1292</v>
      </c>
      <c r="F131" s="8" t="s">
        <v>1314</v>
      </c>
      <c r="G131" s="8" t="s">
        <v>1315</v>
      </c>
      <c r="H131" s="8" t="s">
        <v>19</v>
      </c>
      <c r="I131" s="8" t="n">
        <v>2</v>
      </c>
      <c r="J131" s="8" t="s">
        <v>56</v>
      </c>
      <c r="K131" s="8" t="s">
        <v>1295</v>
      </c>
      <c r="L131" s="8" t="s">
        <v>182</v>
      </c>
      <c r="M131" s="8" t="s">
        <v>1316</v>
      </c>
      <c r="N131" s="8" t="s">
        <v>1317</v>
      </c>
      <c r="O131" s="8" t="s">
        <v>1318</v>
      </c>
      <c r="P131" s="8" t="s">
        <v>186</v>
      </c>
      <c r="Q131" s="8" t="s">
        <v>1319</v>
      </c>
      <c r="R131" s="8" t="s">
        <v>1300</v>
      </c>
      <c r="S131" s="8" t="s">
        <v>65</v>
      </c>
      <c r="T131" s="8" t="s">
        <v>1301</v>
      </c>
      <c r="U131" s="8" t="s">
        <v>40</v>
      </c>
      <c r="V131" s="8" t="s">
        <v>7</v>
      </c>
      <c r="W131" s="8" t="s">
        <v>1320</v>
      </c>
    </row>
    <row r="132" customFormat="false" ht="143.25" hidden="false" customHeight="true" outlineLevel="0" collapsed="false">
      <c r="A132" s="8" t="s">
        <v>1321</v>
      </c>
      <c r="B132" s="8" t="s">
        <v>176</v>
      </c>
      <c r="C132" s="8" t="s">
        <v>177</v>
      </c>
      <c r="D132" s="8" t="s">
        <v>36</v>
      </c>
      <c r="E132" s="8" t="s">
        <v>1292</v>
      </c>
      <c r="F132" s="8" t="s">
        <v>1322</v>
      </c>
      <c r="G132" s="8" t="s">
        <v>1323</v>
      </c>
      <c r="H132" s="8" t="s">
        <v>19</v>
      </c>
      <c r="I132" s="8" t="n">
        <v>2</v>
      </c>
      <c r="J132" s="8" t="s">
        <v>56</v>
      </c>
      <c r="K132" s="8" t="s">
        <v>1324</v>
      </c>
      <c r="L132" s="8" t="s">
        <v>182</v>
      </c>
      <c r="M132" s="8" t="s">
        <v>1325</v>
      </c>
      <c r="N132" s="8" t="s">
        <v>1326</v>
      </c>
      <c r="O132" s="8" t="s">
        <v>1327</v>
      </c>
      <c r="P132" s="8" t="s">
        <v>186</v>
      </c>
      <c r="Q132" s="8" t="s">
        <v>1328</v>
      </c>
      <c r="R132" s="8" t="s">
        <v>1300</v>
      </c>
      <c r="S132" s="8" t="s">
        <v>65</v>
      </c>
      <c r="T132" s="8" t="s">
        <v>1301</v>
      </c>
      <c r="U132" s="8" t="s">
        <v>40</v>
      </c>
      <c r="V132" s="8" t="s">
        <v>7</v>
      </c>
      <c r="W132" s="8" t="s">
        <v>1329</v>
      </c>
    </row>
    <row r="133" customFormat="false" ht="117.75" hidden="false" customHeight="true" outlineLevel="0" collapsed="false">
      <c r="A133" s="8" t="s">
        <v>1330</v>
      </c>
      <c r="B133" s="8" t="s">
        <v>176</v>
      </c>
      <c r="C133" s="8" t="s">
        <v>177</v>
      </c>
      <c r="D133" s="8" t="s">
        <v>36</v>
      </c>
      <c r="E133" s="8" t="s">
        <v>1292</v>
      </c>
      <c r="F133" s="8" t="s">
        <v>1331</v>
      </c>
      <c r="G133" s="8" t="s">
        <v>1332</v>
      </c>
      <c r="H133" s="8" t="s">
        <v>19</v>
      </c>
      <c r="I133" s="8" t="n">
        <v>2</v>
      </c>
      <c r="J133" s="8" t="s">
        <v>58</v>
      </c>
      <c r="K133" s="8" t="s">
        <v>1099</v>
      </c>
      <c r="L133" s="8" t="s">
        <v>182</v>
      </c>
      <c r="M133" s="8" t="s">
        <v>1333</v>
      </c>
      <c r="N133" s="8" t="s">
        <v>1334</v>
      </c>
      <c r="O133" s="8" t="s">
        <v>1335</v>
      </c>
      <c r="P133" s="8" t="s">
        <v>186</v>
      </c>
      <c r="Q133" s="8" t="s">
        <v>1336</v>
      </c>
      <c r="R133" s="8" t="s">
        <v>1300</v>
      </c>
      <c r="S133" s="8" t="s">
        <v>65</v>
      </c>
      <c r="T133" s="8" t="s">
        <v>1301</v>
      </c>
      <c r="U133" s="8" t="s">
        <v>40</v>
      </c>
      <c r="V133" s="8" t="s">
        <v>7</v>
      </c>
      <c r="W133" s="8" t="s">
        <v>1337</v>
      </c>
    </row>
    <row r="134" customFormat="false" ht="117.75" hidden="false" customHeight="true" outlineLevel="0" collapsed="false">
      <c r="A134" s="8" t="s">
        <v>1338</v>
      </c>
      <c r="B134" s="8" t="s">
        <v>176</v>
      </c>
      <c r="C134" s="8" t="s">
        <v>177</v>
      </c>
      <c r="D134" s="8" t="s">
        <v>36</v>
      </c>
      <c r="E134" s="8" t="s">
        <v>1292</v>
      </c>
      <c r="F134" s="8" t="s">
        <v>1339</v>
      </c>
      <c r="G134" s="8" t="s">
        <v>1340</v>
      </c>
      <c r="H134" s="8" t="s">
        <v>19</v>
      </c>
      <c r="I134" s="8" t="n">
        <v>2</v>
      </c>
      <c r="J134" s="8" t="s">
        <v>58</v>
      </c>
      <c r="K134" s="8" t="s">
        <v>1099</v>
      </c>
      <c r="L134" s="8" t="s">
        <v>182</v>
      </c>
      <c r="M134" s="8" t="s">
        <v>1341</v>
      </c>
      <c r="N134" s="8" t="s">
        <v>1342</v>
      </c>
      <c r="O134" s="8" t="s">
        <v>1343</v>
      </c>
      <c r="P134" s="8" t="s">
        <v>186</v>
      </c>
      <c r="Q134" s="8" t="s">
        <v>1344</v>
      </c>
      <c r="R134" s="8" t="s">
        <v>1300</v>
      </c>
      <c r="S134" s="8" t="s">
        <v>65</v>
      </c>
      <c r="T134" s="8" t="s">
        <v>1311</v>
      </c>
      <c r="U134" s="8" t="s">
        <v>40</v>
      </c>
      <c r="V134" s="8" t="s">
        <v>7</v>
      </c>
      <c r="W134" s="8" t="s">
        <v>1345</v>
      </c>
    </row>
    <row r="135" customFormat="false" ht="117.75" hidden="false" customHeight="true" outlineLevel="0" collapsed="false">
      <c r="A135" s="8" t="s">
        <v>1346</v>
      </c>
      <c r="B135" s="8" t="s">
        <v>176</v>
      </c>
      <c r="C135" s="8" t="s">
        <v>177</v>
      </c>
      <c r="D135" s="8" t="s">
        <v>36</v>
      </c>
      <c r="E135" s="8" t="s">
        <v>1292</v>
      </c>
      <c r="F135" s="8" t="s">
        <v>1347</v>
      </c>
      <c r="G135" s="8" t="s">
        <v>1348</v>
      </c>
      <c r="H135" s="8" t="s">
        <v>19</v>
      </c>
      <c r="I135" s="8" t="n">
        <v>2</v>
      </c>
      <c r="J135" s="8" t="s">
        <v>58</v>
      </c>
      <c r="K135" s="8" t="s">
        <v>1071</v>
      </c>
      <c r="L135" s="8" t="s">
        <v>182</v>
      </c>
      <c r="M135" s="8" t="s">
        <v>1349</v>
      </c>
      <c r="N135" s="8" t="s">
        <v>1350</v>
      </c>
      <c r="O135" s="8" t="s">
        <v>1351</v>
      </c>
      <c r="P135" s="8" t="s">
        <v>186</v>
      </c>
      <c r="Q135" s="8" t="s">
        <v>1344</v>
      </c>
      <c r="R135" s="8" t="s">
        <v>1300</v>
      </c>
      <c r="S135" s="8" t="s">
        <v>65</v>
      </c>
      <c r="T135" s="8" t="s">
        <v>1311</v>
      </c>
      <c r="U135" s="8" t="s">
        <v>40</v>
      </c>
      <c r="V135" s="8" t="s">
        <v>7</v>
      </c>
      <c r="W135" s="8" t="s">
        <v>1352</v>
      </c>
    </row>
    <row r="136" customFormat="false" ht="143.25" hidden="false" customHeight="true" outlineLevel="0" collapsed="false">
      <c r="A136" s="8" t="s">
        <v>1353</v>
      </c>
      <c r="B136" s="8" t="s">
        <v>176</v>
      </c>
      <c r="C136" s="8" t="s">
        <v>177</v>
      </c>
      <c r="D136" s="8" t="s">
        <v>36</v>
      </c>
      <c r="E136" s="8" t="s">
        <v>1292</v>
      </c>
      <c r="F136" s="8" t="s">
        <v>1354</v>
      </c>
      <c r="G136" s="8" t="s">
        <v>1355</v>
      </c>
      <c r="H136" s="8" t="s">
        <v>19</v>
      </c>
      <c r="I136" s="8" t="n">
        <v>2</v>
      </c>
      <c r="J136" s="8" t="s">
        <v>57</v>
      </c>
      <c r="K136" s="8" t="s">
        <v>1356</v>
      </c>
      <c r="L136" s="8" t="s">
        <v>182</v>
      </c>
      <c r="M136" s="8" t="s">
        <v>1357</v>
      </c>
      <c r="N136" s="8" t="s">
        <v>1358</v>
      </c>
      <c r="O136" s="8" t="s">
        <v>1359</v>
      </c>
      <c r="P136" s="8" t="s">
        <v>186</v>
      </c>
      <c r="Q136" s="8" t="s">
        <v>1360</v>
      </c>
      <c r="R136" s="8" t="s">
        <v>1300</v>
      </c>
      <c r="S136" s="8" t="s">
        <v>1361</v>
      </c>
      <c r="T136" s="8" t="s">
        <v>1362</v>
      </c>
      <c r="U136" s="8" t="s">
        <v>41</v>
      </c>
      <c r="V136" s="8" t="s">
        <v>9</v>
      </c>
      <c r="W136" s="8" t="s">
        <v>1363</v>
      </c>
    </row>
    <row r="137" customFormat="false" ht="130.5" hidden="false" customHeight="true" outlineLevel="0" collapsed="false">
      <c r="A137" s="8" t="s">
        <v>1364</v>
      </c>
      <c r="B137" s="8" t="s">
        <v>176</v>
      </c>
      <c r="C137" s="8" t="s">
        <v>177</v>
      </c>
      <c r="D137" s="8" t="s">
        <v>36</v>
      </c>
      <c r="E137" s="8" t="s">
        <v>1365</v>
      </c>
      <c r="F137" s="8" t="s">
        <v>1366</v>
      </c>
      <c r="G137" s="8" t="s">
        <v>1367</v>
      </c>
      <c r="H137" s="8" t="s">
        <v>18</v>
      </c>
      <c r="I137" s="8" t="n">
        <v>1</v>
      </c>
      <c r="J137" s="8" t="s">
        <v>57</v>
      </c>
      <c r="K137" s="8" t="s">
        <v>752</v>
      </c>
      <c r="L137" s="8" t="s">
        <v>182</v>
      </c>
      <c r="M137" s="8" t="s">
        <v>1368</v>
      </c>
      <c r="N137" s="8" t="s">
        <v>1369</v>
      </c>
      <c r="O137" s="8" t="s">
        <v>1370</v>
      </c>
      <c r="P137" s="8" t="s">
        <v>186</v>
      </c>
      <c r="Q137" s="8" t="s">
        <v>1371</v>
      </c>
      <c r="R137" s="8" t="s">
        <v>1300</v>
      </c>
      <c r="S137" s="8" t="s">
        <v>65</v>
      </c>
      <c r="T137" s="8" t="s">
        <v>1301</v>
      </c>
      <c r="U137" s="8" t="s">
        <v>40</v>
      </c>
      <c r="V137" s="8" t="s">
        <v>7</v>
      </c>
      <c r="W137" s="8" t="s">
        <v>1372</v>
      </c>
    </row>
    <row r="138" customFormat="false" ht="130.5" hidden="false" customHeight="true" outlineLevel="0" collapsed="false">
      <c r="A138" s="8" t="s">
        <v>1373</v>
      </c>
      <c r="B138" s="8" t="s">
        <v>176</v>
      </c>
      <c r="C138" s="8" t="s">
        <v>177</v>
      </c>
      <c r="D138" s="8" t="s">
        <v>36</v>
      </c>
      <c r="E138" s="8" t="s">
        <v>1365</v>
      </c>
      <c r="F138" s="8" t="s">
        <v>1374</v>
      </c>
      <c r="G138" s="8" t="s">
        <v>1375</v>
      </c>
      <c r="H138" s="8" t="s">
        <v>20</v>
      </c>
      <c r="I138" s="8" t="n">
        <v>3</v>
      </c>
      <c r="J138" s="8" t="s">
        <v>56</v>
      </c>
      <c r="K138" s="8" t="s">
        <v>752</v>
      </c>
      <c r="L138" s="8" t="s">
        <v>182</v>
      </c>
      <c r="M138" s="8" t="s">
        <v>1376</v>
      </c>
      <c r="N138" s="8" t="s">
        <v>1377</v>
      </c>
      <c r="O138" s="8" t="s">
        <v>1378</v>
      </c>
      <c r="P138" s="8" t="s">
        <v>186</v>
      </c>
      <c r="Q138" s="8" t="s">
        <v>1379</v>
      </c>
      <c r="R138" s="8" t="s">
        <v>1300</v>
      </c>
      <c r="S138" s="8" t="s">
        <v>1380</v>
      </c>
      <c r="T138" s="8" t="s">
        <v>1381</v>
      </c>
      <c r="U138" s="8" t="s">
        <v>40</v>
      </c>
      <c r="V138" s="8" t="s">
        <v>9</v>
      </c>
      <c r="W138" s="8" t="s">
        <v>1382</v>
      </c>
    </row>
    <row r="139" customFormat="false" ht="54" hidden="false" customHeight="true" outlineLevel="0" collapsed="false">
      <c r="A139" s="8" t="s">
        <v>1383</v>
      </c>
      <c r="B139" s="8" t="s">
        <v>176</v>
      </c>
      <c r="C139" s="8" t="s">
        <v>177</v>
      </c>
      <c r="D139" s="8" t="s">
        <v>37</v>
      </c>
      <c r="E139" s="8" t="s">
        <v>1365</v>
      </c>
      <c r="F139" s="8" t="s">
        <v>1384</v>
      </c>
      <c r="G139" s="8" t="s">
        <v>1385</v>
      </c>
      <c r="H139" s="8" t="s">
        <v>20</v>
      </c>
      <c r="I139" s="8" t="n">
        <v>3</v>
      </c>
      <c r="J139" s="8" t="s">
        <v>56</v>
      </c>
      <c r="K139" s="8" t="s">
        <v>65</v>
      </c>
      <c r="L139" s="8" t="s">
        <v>65</v>
      </c>
      <c r="M139" s="8" t="s">
        <v>65</v>
      </c>
      <c r="N139" s="8" t="s">
        <v>65</v>
      </c>
      <c r="O139" s="8" t="s">
        <v>65</v>
      </c>
      <c r="P139" s="8" t="s">
        <v>186</v>
      </c>
      <c r="Q139" s="8" t="s">
        <v>1386</v>
      </c>
      <c r="R139" s="8" t="s">
        <v>1300</v>
      </c>
      <c r="S139" s="8" t="s">
        <v>65</v>
      </c>
      <c r="T139" s="8" t="s">
        <v>1277</v>
      </c>
      <c r="U139" s="8" t="s">
        <v>40</v>
      </c>
      <c r="V139" s="8" t="s">
        <v>13</v>
      </c>
      <c r="W139" s="8" t="s">
        <v>1387</v>
      </c>
    </row>
    <row r="140" customFormat="false" ht="143.25" hidden="false" customHeight="true" outlineLevel="0" collapsed="false">
      <c r="A140" s="8" t="s">
        <v>1388</v>
      </c>
      <c r="B140" s="8" t="s">
        <v>176</v>
      </c>
      <c r="C140" s="8" t="s">
        <v>177</v>
      </c>
      <c r="D140" s="8" t="s">
        <v>36</v>
      </c>
      <c r="E140" s="8" t="s">
        <v>1365</v>
      </c>
      <c r="F140" s="8" t="s">
        <v>1389</v>
      </c>
      <c r="G140" s="8" t="s">
        <v>1390</v>
      </c>
      <c r="H140" s="8" t="s">
        <v>19</v>
      </c>
      <c r="I140" s="8" t="n">
        <v>2</v>
      </c>
      <c r="J140" s="8" t="s">
        <v>57</v>
      </c>
      <c r="K140" s="8" t="s">
        <v>1391</v>
      </c>
      <c r="L140" s="8" t="s">
        <v>182</v>
      </c>
      <c r="M140" s="8" t="s">
        <v>1392</v>
      </c>
      <c r="N140" s="8" t="s">
        <v>1393</v>
      </c>
      <c r="O140" s="8" t="s">
        <v>1394</v>
      </c>
      <c r="P140" s="8" t="s">
        <v>186</v>
      </c>
      <c r="Q140" s="8" t="s">
        <v>1395</v>
      </c>
      <c r="R140" s="8" t="s">
        <v>1300</v>
      </c>
      <c r="S140" s="8" t="s">
        <v>65</v>
      </c>
      <c r="T140" s="8" t="s">
        <v>1396</v>
      </c>
      <c r="U140" s="8" t="s">
        <v>40</v>
      </c>
      <c r="V140" s="8" t="s">
        <v>7</v>
      </c>
      <c r="W140" s="8" t="s">
        <v>1397</v>
      </c>
    </row>
    <row r="141" customFormat="false" ht="156" hidden="false" customHeight="true" outlineLevel="0" collapsed="false">
      <c r="A141" s="8" t="s">
        <v>1398</v>
      </c>
      <c r="B141" s="8" t="s">
        <v>176</v>
      </c>
      <c r="C141" s="8" t="s">
        <v>177</v>
      </c>
      <c r="D141" s="8" t="s">
        <v>36</v>
      </c>
      <c r="E141" s="8" t="s">
        <v>1365</v>
      </c>
      <c r="F141" s="8" t="s">
        <v>1399</v>
      </c>
      <c r="G141" s="8" t="s">
        <v>1400</v>
      </c>
      <c r="H141" s="8" t="s">
        <v>20</v>
      </c>
      <c r="I141" s="8" t="n">
        <v>3</v>
      </c>
      <c r="J141" s="8" t="s">
        <v>56</v>
      </c>
      <c r="K141" s="8" t="s">
        <v>1401</v>
      </c>
      <c r="L141" s="8" t="s">
        <v>182</v>
      </c>
      <c r="M141" s="8" t="s">
        <v>1402</v>
      </c>
      <c r="N141" s="8" t="s">
        <v>1403</v>
      </c>
      <c r="O141" s="8" t="s">
        <v>1404</v>
      </c>
      <c r="P141" s="8" t="s">
        <v>186</v>
      </c>
      <c r="Q141" s="8" t="s">
        <v>1405</v>
      </c>
      <c r="R141" s="8" t="s">
        <v>1300</v>
      </c>
      <c r="S141" s="8" t="s">
        <v>65</v>
      </c>
      <c r="T141" s="8" t="s">
        <v>1406</v>
      </c>
      <c r="U141" s="8" t="s">
        <v>40</v>
      </c>
      <c r="V141" s="8" t="s">
        <v>7</v>
      </c>
      <c r="W141" s="8" t="s">
        <v>1407</v>
      </c>
    </row>
    <row r="142" customFormat="false" ht="156" hidden="false" customHeight="true" outlineLevel="0" collapsed="false">
      <c r="A142" s="8" t="s">
        <v>1408</v>
      </c>
      <c r="B142" s="8" t="s">
        <v>176</v>
      </c>
      <c r="C142" s="8" t="s">
        <v>177</v>
      </c>
      <c r="D142" s="8" t="s">
        <v>36</v>
      </c>
      <c r="E142" s="8" t="s">
        <v>1365</v>
      </c>
      <c r="F142" s="8" t="s">
        <v>1409</v>
      </c>
      <c r="G142" s="8" t="s">
        <v>1410</v>
      </c>
      <c r="H142" s="8" t="s">
        <v>18</v>
      </c>
      <c r="I142" s="8" t="n">
        <v>1</v>
      </c>
      <c r="J142" s="8" t="s">
        <v>59</v>
      </c>
      <c r="K142" s="8" t="s">
        <v>1411</v>
      </c>
      <c r="L142" s="8" t="s">
        <v>182</v>
      </c>
      <c r="M142" s="8" t="s">
        <v>1412</v>
      </c>
      <c r="N142" s="8" t="s">
        <v>1413</v>
      </c>
      <c r="O142" s="8" t="s">
        <v>1414</v>
      </c>
      <c r="P142" s="8" t="s">
        <v>186</v>
      </c>
      <c r="Q142" s="8" t="s">
        <v>1415</v>
      </c>
      <c r="R142" s="8" t="s">
        <v>1300</v>
      </c>
      <c r="S142" s="8" t="s">
        <v>65</v>
      </c>
      <c r="T142" s="8" t="s">
        <v>1406</v>
      </c>
      <c r="U142" s="8" t="s">
        <v>40</v>
      </c>
      <c r="V142" s="8" t="s">
        <v>7</v>
      </c>
      <c r="W142" s="8" t="s">
        <v>1416</v>
      </c>
    </row>
    <row r="143" customFormat="false" ht="143.25" hidden="false" customHeight="true" outlineLevel="0" collapsed="false">
      <c r="A143" s="8" t="s">
        <v>1417</v>
      </c>
      <c r="B143" s="8" t="s">
        <v>176</v>
      </c>
      <c r="C143" s="8" t="s">
        <v>177</v>
      </c>
      <c r="D143" s="8" t="s">
        <v>36</v>
      </c>
      <c r="E143" s="8" t="s">
        <v>1418</v>
      </c>
      <c r="F143" s="8" t="s">
        <v>1419</v>
      </c>
      <c r="G143" s="8" t="s">
        <v>1420</v>
      </c>
      <c r="H143" s="8" t="s">
        <v>19</v>
      </c>
      <c r="I143" s="8" t="n">
        <v>2</v>
      </c>
      <c r="J143" s="8" t="s">
        <v>58</v>
      </c>
      <c r="K143" s="8" t="s">
        <v>1421</v>
      </c>
      <c r="L143" s="8" t="s">
        <v>182</v>
      </c>
      <c r="M143" s="8" t="s">
        <v>1422</v>
      </c>
      <c r="N143" s="8" t="s">
        <v>1423</v>
      </c>
      <c r="O143" s="8" t="s">
        <v>591</v>
      </c>
      <c r="P143" s="8" t="s">
        <v>186</v>
      </c>
      <c r="Q143" s="8" t="s">
        <v>1424</v>
      </c>
      <c r="R143" s="8" t="s">
        <v>1300</v>
      </c>
      <c r="S143" s="8" t="s">
        <v>65</v>
      </c>
      <c r="T143" s="8" t="s">
        <v>1301</v>
      </c>
      <c r="U143" s="8" t="s">
        <v>40</v>
      </c>
      <c r="V143" s="8" t="s">
        <v>7</v>
      </c>
      <c r="W143" s="8" t="s">
        <v>1425</v>
      </c>
    </row>
    <row r="144" customFormat="false" ht="143.25" hidden="false" customHeight="true" outlineLevel="0" collapsed="false">
      <c r="A144" s="8" t="s">
        <v>1426</v>
      </c>
      <c r="B144" s="8" t="s">
        <v>176</v>
      </c>
      <c r="C144" s="8" t="s">
        <v>177</v>
      </c>
      <c r="D144" s="8" t="s">
        <v>36</v>
      </c>
      <c r="E144" s="8" t="s">
        <v>1418</v>
      </c>
      <c r="F144" s="8" t="s">
        <v>1427</v>
      </c>
      <c r="G144" s="8" t="s">
        <v>1428</v>
      </c>
      <c r="H144" s="8" t="s">
        <v>19</v>
      </c>
      <c r="I144" s="8" t="n">
        <v>2</v>
      </c>
      <c r="J144" s="8" t="s">
        <v>58</v>
      </c>
      <c r="K144" s="8" t="s">
        <v>1421</v>
      </c>
      <c r="L144" s="8" t="s">
        <v>182</v>
      </c>
      <c r="M144" s="8" t="s">
        <v>1429</v>
      </c>
      <c r="N144" s="8" t="s">
        <v>1430</v>
      </c>
      <c r="O144" s="8" t="s">
        <v>582</v>
      </c>
      <c r="P144" s="8" t="s">
        <v>186</v>
      </c>
      <c r="Q144" s="8" t="s">
        <v>1424</v>
      </c>
      <c r="R144" s="8" t="s">
        <v>1300</v>
      </c>
      <c r="S144" s="8" t="s">
        <v>65</v>
      </c>
      <c r="T144" s="8" t="s">
        <v>1301</v>
      </c>
      <c r="U144" s="8" t="s">
        <v>40</v>
      </c>
      <c r="V144" s="8" t="s">
        <v>7</v>
      </c>
      <c r="W144" s="8" t="s">
        <v>1431</v>
      </c>
    </row>
    <row r="145" customFormat="false" ht="156" hidden="false" customHeight="true" outlineLevel="0" collapsed="false">
      <c r="A145" s="8" t="s">
        <v>1432</v>
      </c>
      <c r="B145" s="8" t="s">
        <v>176</v>
      </c>
      <c r="C145" s="8" t="s">
        <v>177</v>
      </c>
      <c r="D145" s="8" t="s">
        <v>36</v>
      </c>
      <c r="E145" s="8" t="s">
        <v>1418</v>
      </c>
      <c r="F145" s="8" t="s">
        <v>1433</v>
      </c>
      <c r="G145" s="8" t="s">
        <v>1434</v>
      </c>
      <c r="H145" s="8" t="s">
        <v>19</v>
      </c>
      <c r="I145" s="8" t="n">
        <v>2</v>
      </c>
      <c r="J145" s="8" t="s">
        <v>59</v>
      </c>
      <c r="K145" s="8" t="s">
        <v>1435</v>
      </c>
      <c r="L145" s="8" t="s">
        <v>182</v>
      </c>
      <c r="M145" s="8" t="s">
        <v>1436</v>
      </c>
      <c r="N145" s="8" t="s">
        <v>1437</v>
      </c>
      <c r="O145" s="8" t="s">
        <v>1438</v>
      </c>
      <c r="P145" s="8" t="s">
        <v>186</v>
      </c>
      <c r="Q145" s="8" t="s">
        <v>1439</v>
      </c>
      <c r="R145" s="8" t="s">
        <v>1300</v>
      </c>
      <c r="S145" s="8" t="s">
        <v>1440</v>
      </c>
      <c r="T145" s="8" t="s">
        <v>1441</v>
      </c>
      <c r="U145" s="8" t="s">
        <v>40</v>
      </c>
      <c r="V145" s="8" t="s">
        <v>9</v>
      </c>
      <c r="W145" s="8" t="s">
        <v>1442</v>
      </c>
    </row>
    <row r="146" customFormat="false" ht="143.25" hidden="false" customHeight="true" outlineLevel="0" collapsed="false">
      <c r="A146" s="8" t="s">
        <v>1443</v>
      </c>
      <c r="B146" s="8" t="s">
        <v>176</v>
      </c>
      <c r="C146" s="8" t="s">
        <v>177</v>
      </c>
      <c r="D146" s="8" t="s">
        <v>36</v>
      </c>
      <c r="E146" s="8" t="s">
        <v>1418</v>
      </c>
      <c r="F146" s="8" t="s">
        <v>1444</v>
      </c>
      <c r="G146" s="8" t="s">
        <v>1445</v>
      </c>
      <c r="H146" s="8" t="s">
        <v>19</v>
      </c>
      <c r="I146" s="8" t="n">
        <v>2</v>
      </c>
      <c r="J146" s="8" t="s">
        <v>59</v>
      </c>
      <c r="K146" s="8" t="s">
        <v>1446</v>
      </c>
      <c r="L146" s="8" t="s">
        <v>182</v>
      </c>
      <c r="M146" s="8" t="s">
        <v>1447</v>
      </c>
      <c r="N146" s="8" t="s">
        <v>1448</v>
      </c>
      <c r="O146" s="8" t="s">
        <v>1449</v>
      </c>
      <c r="P146" s="8" t="s">
        <v>186</v>
      </c>
      <c r="Q146" s="8" t="s">
        <v>1450</v>
      </c>
      <c r="R146" s="8" t="s">
        <v>1300</v>
      </c>
      <c r="S146" s="8" t="s">
        <v>1440</v>
      </c>
      <c r="T146" s="8" t="s">
        <v>1451</v>
      </c>
      <c r="U146" s="8" t="s">
        <v>40</v>
      </c>
      <c r="V146" s="8" t="s">
        <v>9</v>
      </c>
      <c r="W146" s="8" t="s">
        <v>1452</v>
      </c>
    </row>
    <row r="147" customFormat="false" ht="143.25" hidden="false" customHeight="true" outlineLevel="0" collapsed="false">
      <c r="A147" s="8" t="s">
        <v>1453</v>
      </c>
      <c r="B147" s="8" t="s">
        <v>176</v>
      </c>
      <c r="C147" s="8" t="s">
        <v>177</v>
      </c>
      <c r="D147" s="8" t="s">
        <v>36</v>
      </c>
      <c r="E147" s="8" t="s">
        <v>1418</v>
      </c>
      <c r="F147" s="8" t="s">
        <v>1454</v>
      </c>
      <c r="G147" s="8" t="s">
        <v>1455</v>
      </c>
      <c r="H147" s="8" t="s">
        <v>19</v>
      </c>
      <c r="I147" s="8" t="n">
        <v>2</v>
      </c>
      <c r="J147" s="8" t="s">
        <v>56</v>
      </c>
      <c r="K147" s="8" t="s">
        <v>1456</v>
      </c>
      <c r="L147" s="8" t="s">
        <v>182</v>
      </c>
      <c r="M147" s="8" t="s">
        <v>1457</v>
      </c>
      <c r="N147" s="8" t="s">
        <v>1458</v>
      </c>
      <c r="O147" s="8" t="s">
        <v>582</v>
      </c>
      <c r="P147" s="8" t="s">
        <v>186</v>
      </c>
      <c r="Q147" s="8" t="s">
        <v>1459</v>
      </c>
      <c r="R147" s="8" t="s">
        <v>1300</v>
      </c>
      <c r="S147" s="8" t="s">
        <v>65</v>
      </c>
      <c r="T147" s="8" t="s">
        <v>1301</v>
      </c>
      <c r="U147" s="8" t="s">
        <v>40</v>
      </c>
      <c r="V147" s="8" t="s">
        <v>7</v>
      </c>
      <c r="W147" s="8" t="s">
        <v>1460</v>
      </c>
    </row>
    <row r="148" customFormat="false" ht="143.25" hidden="false" customHeight="true" outlineLevel="0" collapsed="false">
      <c r="A148" s="8" t="s">
        <v>1461</v>
      </c>
      <c r="B148" s="8" t="s">
        <v>176</v>
      </c>
      <c r="C148" s="8" t="s">
        <v>177</v>
      </c>
      <c r="D148" s="8" t="s">
        <v>36</v>
      </c>
      <c r="E148" s="8" t="s">
        <v>1418</v>
      </c>
      <c r="F148" s="8" t="s">
        <v>1462</v>
      </c>
      <c r="G148" s="8" t="s">
        <v>1463</v>
      </c>
      <c r="H148" s="8" t="s">
        <v>19</v>
      </c>
      <c r="I148" s="8" t="n">
        <v>2</v>
      </c>
      <c r="J148" s="8" t="s">
        <v>58</v>
      </c>
      <c r="K148" s="8" t="s">
        <v>1464</v>
      </c>
      <c r="L148" s="8" t="s">
        <v>182</v>
      </c>
      <c r="M148" s="8" t="s">
        <v>1465</v>
      </c>
      <c r="N148" s="8" t="s">
        <v>1466</v>
      </c>
      <c r="O148" s="8" t="s">
        <v>1467</v>
      </c>
      <c r="P148" s="8" t="s">
        <v>186</v>
      </c>
      <c r="Q148" s="8" t="s">
        <v>1468</v>
      </c>
      <c r="R148" s="8" t="s">
        <v>1300</v>
      </c>
      <c r="S148" s="8" t="s">
        <v>65</v>
      </c>
      <c r="T148" s="8" t="s">
        <v>1301</v>
      </c>
      <c r="U148" s="8" t="s">
        <v>40</v>
      </c>
      <c r="V148" s="8" t="s">
        <v>7</v>
      </c>
      <c r="W148" s="8" t="s">
        <v>1469</v>
      </c>
    </row>
    <row r="149" customFormat="false" ht="156" hidden="false" customHeight="true" outlineLevel="0" collapsed="false">
      <c r="A149" s="8" t="s">
        <v>1470</v>
      </c>
      <c r="B149" s="8" t="s">
        <v>176</v>
      </c>
      <c r="C149" s="8" t="s">
        <v>177</v>
      </c>
      <c r="D149" s="8" t="s">
        <v>36</v>
      </c>
      <c r="E149" s="8" t="s">
        <v>1418</v>
      </c>
      <c r="F149" s="8" t="s">
        <v>1471</v>
      </c>
      <c r="G149" s="8" t="s">
        <v>1472</v>
      </c>
      <c r="H149" s="8" t="s">
        <v>19</v>
      </c>
      <c r="I149" s="8" t="n">
        <v>2</v>
      </c>
      <c r="J149" s="8" t="s">
        <v>57</v>
      </c>
      <c r="K149" s="8" t="s">
        <v>1473</v>
      </c>
      <c r="L149" s="8" t="s">
        <v>182</v>
      </c>
      <c r="M149" s="8" t="s">
        <v>1474</v>
      </c>
      <c r="N149" s="8" t="s">
        <v>1475</v>
      </c>
      <c r="O149" s="8" t="s">
        <v>1476</v>
      </c>
      <c r="P149" s="8" t="s">
        <v>186</v>
      </c>
      <c r="Q149" s="8" t="s">
        <v>1477</v>
      </c>
      <c r="R149" s="8" t="s">
        <v>1300</v>
      </c>
      <c r="S149" s="8" t="s">
        <v>1478</v>
      </c>
      <c r="T149" s="8" t="s">
        <v>1479</v>
      </c>
      <c r="U149" s="8" t="s">
        <v>41</v>
      </c>
      <c r="V149" s="8" t="s">
        <v>9</v>
      </c>
      <c r="W149" s="8" t="s">
        <v>1480</v>
      </c>
    </row>
    <row r="150" customFormat="false" ht="143.25" hidden="false" customHeight="true" outlineLevel="0" collapsed="false">
      <c r="A150" s="8" t="s">
        <v>1481</v>
      </c>
      <c r="B150" s="8" t="s">
        <v>176</v>
      </c>
      <c r="C150" s="8" t="s">
        <v>177</v>
      </c>
      <c r="D150" s="8" t="s">
        <v>36</v>
      </c>
      <c r="E150" s="8" t="s">
        <v>1482</v>
      </c>
      <c r="F150" s="8" t="s">
        <v>1483</v>
      </c>
      <c r="G150" s="8" t="s">
        <v>1484</v>
      </c>
      <c r="H150" s="8" t="s">
        <v>18</v>
      </c>
      <c r="I150" s="8" t="n">
        <v>1</v>
      </c>
      <c r="J150" s="8" t="s">
        <v>56</v>
      </c>
      <c r="K150" s="8" t="s">
        <v>1485</v>
      </c>
      <c r="L150" s="8" t="s">
        <v>182</v>
      </c>
      <c r="M150" s="8" t="s">
        <v>1486</v>
      </c>
      <c r="N150" s="8" t="s">
        <v>1487</v>
      </c>
      <c r="O150" s="8" t="s">
        <v>1488</v>
      </c>
      <c r="P150" s="8" t="s">
        <v>186</v>
      </c>
      <c r="Q150" s="8" t="s">
        <v>1489</v>
      </c>
      <c r="R150" s="8" t="s">
        <v>1490</v>
      </c>
      <c r="S150" s="8" t="s">
        <v>1491</v>
      </c>
      <c r="T150" s="8" t="s">
        <v>1492</v>
      </c>
      <c r="U150" s="8" t="s">
        <v>40</v>
      </c>
      <c r="V150" s="8" t="s">
        <v>9</v>
      </c>
      <c r="W150" s="8" t="s">
        <v>1493</v>
      </c>
    </row>
    <row r="151" customFormat="false" ht="168.75" hidden="false" customHeight="true" outlineLevel="0" collapsed="false">
      <c r="A151" s="8" t="s">
        <v>1494</v>
      </c>
      <c r="B151" s="8" t="s">
        <v>176</v>
      </c>
      <c r="C151" s="8" t="s">
        <v>177</v>
      </c>
      <c r="D151" s="8" t="s">
        <v>36</v>
      </c>
      <c r="E151" s="8" t="s">
        <v>1482</v>
      </c>
      <c r="F151" s="8" t="s">
        <v>1495</v>
      </c>
      <c r="G151" s="8" t="s">
        <v>1496</v>
      </c>
      <c r="H151" s="8" t="s">
        <v>18</v>
      </c>
      <c r="I151" s="8" t="n">
        <v>1</v>
      </c>
      <c r="J151" s="8" t="s">
        <v>57</v>
      </c>
      <c r="K151" s="8" t="s">
        <v>1497</v>
      </c>
      <c r="L151" s="8" t="s">
        <v>182</v>
      </c>
      <c r="M151" s="8" t="s">
        <v>1498</v>
      </c>
      <c r="N151" s="8" t="s">
        <v>1499</v>
      </c>
      <c r="O151" s="8" t="s">
        <v>1500</v>
      </c>
      <c r="P151" s="8" t="s">
        <v>186</v>
      </c>
      <c r="Q151" s="8" t="s">
        <v>1501</v>
      </c>
      <c r="R151" s="8" t="s">
        <v>1490</v>
      </c>
      <c r="S151" s="8" t="s">
        <v>1491</v>
      </c>
      <c r="T151" s="8" t="s">
        <v>1492</v>
      </c>
      <c r="U151" s="8" t="s">
        <v>40</v>
      </c>
      <c r="V151" s="8" t="s">
        <v>9</v>
      </c>
      <c r="W151" s="8" t="s">
        <v>1502</v>
      </c>
    </row>
    <row r="152" customFormat="false" ht="143.25" hidden="false" customHeight="true" outlineLevel="0" collapsed="false">
      <c r="A152" s="8" t="s">
        <v>1503</v>
      </c>
      <c r="B152" s="8" t="s">
        <v>176</v>
      </c>
      <c r="C152" s="8" t="s">
        <v>177</v>
      </c>
      <c r="D152" s="8" t="s">
        <v>36</v>
      </c>
      <c r="E152" s="8" t="s">
        <v>1482</v>
      </c>
      <c r="F152" s="8" t="s">
        <v>1504</v>
      </c>
      <c r="G152" s="8" t="s">
        <v>1505</v>
      </c>
      <c r="H152" s="8" t="s">
        <v>18</v>
      </c>
      <c r="I152" s="8" t="n">
        <v>1</v>
      </c>
      <c r="J152" s="8" t="s">
        <v>57</v>
      </c>
      <c r="K152" s="8" t="s">
        <v>1485</v>
      </c>
      <c r="L152" s="8" t="s">
        <v>182</v>
      </c>
      <c r="M152" s="8" t="s">
        <v>1506</v>
      </c>
      <c r="N152" s="8" t="s">
        <v>1507</v>
      </c>
      <c r="O152" s="8" t="s">
        <v>1508</v>
      </c>
      <c r="P152" s="8" t="s">
        <v>186</v>
      </c>
      <c r="Q152" s="8" t="s">
        <v>1509</v>
      </c>
      <c r="R152" s="8" t="s">
        <v>1490</v>
      </c>
      <c r="S152" s="8" t="s">
        <v>1491</v>
      </c>
      <c r="T152" s="8" t="s">
        <v>1492</v>
      </c>
      <c r="U152" s="8" t="s">
        <v>40</v>
      </c>
      <c r="V152" s="8" t="s">
        <v>9</v>
      </c>
      <c r="W152" s="8" t="s">
        <v>1510</v>
      </c>
    </row>
    <row r="153" customFormat="false" ht="143.25" hidden="false" customHeight="true" outlineLevel="0" collapsed="false">
      <c r="A153" s="8" t="s">
        <v>1511</v>
      </c>
      <c r="B153" s="8" t="s">
        <v>176</v>
      </c>
      <c r="C153" s="8" t="s">
        <v>177</v>
      </c>
      <c r="D153" s="8" t="s">
        <v>36</v>
      </c>
      <c r="E153" s="8" t="s">
        <v>1482</v>
      </c>
      <c r="F153" s="8" t="s">
        <v>1512</v>
      </c>
      <c r="G153" s="8" t="s">
        <v>1513</v>
      </c>
      <c r="H153" s="8" t="s">
        <v>19</v>
      </c>
      <c r="I153" s="8" t="n">
        <v>2</v>
      </c>
      <c r="J153" s="8" t="s">
        <v>58</v>
      </c>
      <c r="K153" s="8" t="s">
        <v>1514</v>
      </c>
      <c r="L153" s="8" t="s">
        <v>182</v>
      </c>
      <c r="M153" s="8" t="s">
        <v>1515</v>
      </c>
      <c r="N153" s="8" t="s">
        <v>1516</v>
      </c>
      <c r="O153" s="8" t="s">
        <v>1517</v>
      </c>
      <c r="P153" s="8" t="s">
        <v>186</v>
      </c>
      <c r="Q153" s="8" t="s">
        <v>1518</v>
      </c>
      <c r="R153" s="8" t="s">
        <v>1490</v>
      </c>
      <c r="S153" s="8" t="s">
        <v>1491</v>
      </c>
      <c r="T153" s="8" t="s">
        <v>1492</v>
      </c>
      <c r="U153" s="8" t="s">
        <v>40</v>
      </c>
      <c r="V153" s="8" t="s">
        <v>9</v>
      </c>
      <c r="W153" s="8" t="s">
        <v>1519</v>
      </c>
    </row>
    <row r="154" customFormat="false" ht="143.25" hidden="false" customHeight="true" outlineLevel="0" collapsed="false">
      <c r="A154" s="8" t="s">
        <v>1520</v>
      </c>
      <c r="B154" s="8" t="s">
        <v>176</v>
      </c>
      <c r="C154" s="8" t="s">
        <v>177</v>
      </c>
      <c r="D154" s="8" t="s">
        <v>36</v>
      </c>
      <c r="E154" s="8" t="s">
        <v>1482</v>
      </c>
      <c r="F154" s="8" t="s">
        <v>1521</v>
      </c>
      <c r="G154" s="8" t="s">
        <v>1522</v>
      </c>
      <c r="H154" s="8" t="s">
        <v>20</v>
      </c>
      <c r="I154" s="8" t="n">
        <v>3</v>
      </c>
      <c r="J154" s="8" t="s">
        <v>57</v>
      </c>
      <c r="K154" s="8" t="s">
        <v>1485</v>
      </c>
      <c r="L154" s="8" t="s">
        <v>182</v>
      </c>
      <c r="M154" s="8" t="s">
        <v>1523</v>
      </c>
      <c r="N154" s="8" t="s">
        <v>1524</v>
      </c>
      <c r="O154" s="8" t="s">
        <v>1525</v>
      </c>
      <c r="P154" s="8" t="s">
        <v>186</v>
      </c>
      <c r="Q154" s="8" t="s">
        <v>1526</v>
      </c>
      <c r="R154" s="8" t="s">
        <v>1490</v>
      </c>
      <c r="S154" s="8" t="s">
        <v>1491</v>
      </c>
      <c r="T154" s="8" t="s">
        <v>1492</v>
      </c>
      <c r="U154" s="8" t="s">
        <v>40</v>
      </c>
      <c r="V154" s="8" t="s">
        <v>9</v>
      </c>
      <c r="W154" s="8" t="s">
        <v>1527</v>
      </c>
    </row>
    <row r="155" customFormat="false" ht="143.25" hidden="false" customHeight="true" outlineLevel="0" collapsed="false">
      <c r="A155" s="8" t="s">
        <v>1528</v>
      </c>
      <c r="B155" s="8" t="s">
        <v>176</v>
      </c>
      <c r="C155" s="8" t="s">
        <v>177</v>
      </c>
      <c r="D155" s="8" t="s">
        <v>36</v>
      </c>
      <c r="E155" s="8" t="s">
        <v>1529</v>
      </c>
      <c r="F155" s="8" t="s">
        <v>1530</v>
      </c>
      <c r="G155" s="8" t="s">
        <v>1531</v>
      </c>
      <c r="H155" s="8" t="s">
        <v>19</v>
      </c>
      <c r="I155" s="8" t="n">
        <v>2</v>
      </c>
      <c r="J155" s="8" t="s">
        <v>57</v>
      </c>
      <c r="K155" s="8" t="s">
        <v>1532</v>
      </c>
      <c r="L155" s="8" t="s">
        <v>182</v>
      </c>
      <c r="M155" s="8" t="s">
        <v>1533</v>
      </c>
      <c r="N155" s="8" t="s">
        <v>1534</v>
      </c>
      <c r="O155" s="8" t="s">
        <v>1535</v>
      </c>
      <c r="P155" s="8" t="s">
        <v>186</v>
      </c>
      <c r="Q155" s="8" t="s">
        <v>1536</v>
      </c>
      <c r="R155" s="8" t="s">
        <v>1537</v>
      </c>
      <c r="S155" s="8" t="s">
        <v>65</v>
      </c>
      <c r="T155" s="8" t="s">
        <v>234</v>
      </c>
      <c r="U155" s="8" t="s">
        <v>41</v>
      </c>
      <c r="V155" s="8" t="s">
        <v>7</v>
      </c>
      <c r="W155" s="8" t="s">
        <v>1538</v>
      </c>
    </row>
    <row r="156" customFormat="false" ht="156" hidden="false" customHeight="true" outlineLevel="0" collapsed="false">
      <c r="A156" s="8" t="s">
        <v>1539</v>
      </c>
      <c r="B156" s="8" t="s">
        <v>176</v>
      </c>
      <c r="C156" s="8" t="s">
        <v>177</v>
      </c>
      <c r="D156" s="8" t="s">
        <v>36</v>
      </c>
      <c r="E156" s="8" t="s">
        <v>1529</v>
      </c>
      <c r="F156" s="8" t="s">
        <v>1540</v>
      </c>
      <c r="G156" s="8" t="s">
        <v>1541</v>
      </c>
      <c r="H156" s="8" t="s">
        <v>19</v>
      </c>
      <c r="I156" s="8" t="n">
        <v>2</v>
      </c>
      <c r="J156" s="8" t="s">
        <v>57</v>
      </c>
      <c r="K156" s="8" t="s">
        <v>1542</v>
      </c>
      <c r="L156" s="8" t="s">
        <v>182</v>
      </c>
      <c r="M156" s="8" t="s">
        <v>1543</v>
      </c>
      <c r="N156" s="8" t="s">
        <v>1544</v>
      </c>
      <c r="O156" s="8" t="s">
        <v>1545</v>
      </c>
      <c r="P156" s="8" t="s">
        <v>186</v>
      </c>
      <c r="Q156" s="8" t="s">
        <v>1546</v>
      </c>
      <c r="R156" s="8" t="s">
        <v>1537</v>
      </c>
      <c r="S156" s="8" t="s">
        <v>65</v>
      </c>
      <c r="T156" s="8" t="s">
        <v>1301</v>
      </c>
      <c r="U156" s="8" t="s">
        <v>41</v>
      </c>
      <c r="V156" s="8" t="s">
        <v>7</v>
      </c>
      <c r="W156" s="8" t="s">
        <v>1547</v>
      </c>
    </row>
    <row r="157" customFormat="false" ht="156" hidden="false" customHeight="true" outlineLevel="0" collapsed="false">
      <c r="A157" s="8" t="s">
        <v>1548</v>
      </c>
      <c r="B157" s="8" t="s">
        <v>176</v>
      </c>
      <c r="C157" s="8" t="s">
        <v>177</v>
      </c>
      <c r="D157" s="8" t="s">
        <v>36</v>
      </c>
      <c r="E157" s="8" t="s">
        <v>1529</v>
      </c>
      <c r="F157" s="8" t="s">
        <v>1549</v>
      </c>
      <c r="G157" s="8" t="s">
        <v>1550</v>
      </c>
      <c r="H157" s="8" t="s">
        <v>20</v>
      </c>
      <c r="I157" s="8" t="n">
        <v>3</v>
      </c>
      <c r="J157" s="8" t="s">
        <v>57</v>
      </c>
      <c r="K157" s="8" t="s">
        <v>1551</v>
      </c>
      <c r="L157" s="8" t="s">
        <v>182</v>
      </c>
      <c r="M157" s="8" t="s">
        <v>1552</v>
      </c>
      <c r="N157" s="8" t="s">
        <v>1553</v>
      </c>
      <c r="O157" s="8" t="s">
        <v>1554</v>
      </c>
      <c r="P157" s="8" t="s">
        <v>186</v>
      </c>
      <c r="Q157" s="8" t="s">
        <v>1555</v>
      </c>
      <c r="R157" s="8" t="s">
        <v>1537</v>
      </c>
      <c r="S157" s="8" t="s">
        <v>65</v>
      </c>
      <c r="T157" s="8" t="s">
        <v>1301</v>
      </c>
      <c r="U157" s="8" t="s">
        <v>41</v>
      </c>
      <c r="V157" s="8" t="s">
        <v>7</v>
      </c>
      <c r="W157" s="8" t="s">
        <v>1556</v>
      </c>
    </row>
    <row r="158" customFormat="false" ht="143.25" hidden="false" customHeight="true" outlineLevel="0" collapsed="false">
      <c r="A158" s="8" t="s">
        <v>1557</v>
      </c>
      <c r="B158" s="8" t="s">
        <v>176</v>
      </c>
      <c r="C158" s="8" t="s">
        <v>177</v>
      </c>
      <c r="D158" s="8" t="s">
        <v>36</v>
      </c>
      <c r="E158" s="8" t="s">
        <v>1529</v>
      </c>
      <c r="F158" s="8" t="s">
        <v>1558</v>
      </c>
      <c r="G158" s="8" t="s">
        <v>1559</v>
      </c>
      <c r="H158" s="8" t="s">
        <v>20</v>
      </c>
      <c r="I158" s="8" t="n">
        <v>3</v>
      </c>
      <c r="J158" s="8" t="s">
        <v>57</v>
      </c>
      <c r="K158" s="8" t="s">
        <v>1560</v>
      </c>
      <c r="L158" s="8" t="s">
        <v>182</v>
      </c>
      <c r="M158" s="8" t="s">
        <v>1561</v>
      </c>
      <c r="N158" s="8" t="s">
        <v>1562</v>
      </c>
      <c r="O158" s="8" t="s">
        <v>1563</v>
      </c>
      <c r="P158" s="8" t="s">
        <v>186</v>
      </c>
      <c r="Q158" s="8" t="s">
        <v>1564</v>
      </c>
      <c r="R158" s="8" t="s">
        <v>1537</v>
      </c>
      <c r="S158" s="8" t="s">
        <v>65</v>
      </c>
      <c r="T158" s="8" t="s">
        <v>234</v>
      </c>
      <c r="U158" s="8" t="s">
        <v>41</v>
      </c>
      <c r="V158" s="8" t="s">
        <v>7</v>
      </c>
      <c r="W158" s="8" t="s">
        <v>1565</v>
      </c>
    </row>
  </sheetData>
  <autoFilter ref="A1:W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Q1" activeCellId="0" sqref="Q1"/>
    </sheetView>
  </sheetViews>
  <sheetFormatPr defaultColWidth="8.71484375" defaultRowHeight="15"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4" min="4" style="0" width="16"/>
    <col collapsed="false" customWidth="true" hidden="false" outlineLevel="0" max="5" min="5" style="0" width="9"/>
    <col collapsed="false" customWidth="true" hidden="false" outlineLevel="0" max="7" min="6" style="0" width="15"/>
    <col collapsed="false" customWidth="true" hidden="false" outlineLevel="0" max="8" min="8" style="0" width="38"/>
    <col collapsed="false" customWidth="true" hidden="false" outlineLevel="0" max="9" min="9" style="0" width="46"/>
    <col collapsed="false" customWidth="true" hidden="false" outlineLevel="0" max="10" min="10" style="0" width="44"/>
    <col collapsed="false" customWidth="true" hidden="false" outlineLevel="0" max="11" min="11" style="0" width="30"/>
    <col collapsed="false" customWidth="true" hidden="false" outlineLevel="0" max="16" min="12" style="0" width="9"/>
    <col collapsed="false" customWidth="true" hidden="false" outlineLevel="0" max="17" min="17" style="0" width="10"/>
  </cols>
  <sheetData>
    <row r="1" customFormat="false" ht="34.5" hidden="false" customHeight="true" outlineLevel="0" collapsed="false">
      <c r="A1" s="5" t="s">
        <v>164</v>
      </c>
      <c r="B1" s="5" t="s">
        <v>1566</v>
      </c>
      <c r="C1" s="5" t="s">
        <v>162</v>
      </c>
      <c r="D1" s="5" t="s">
        <v>163</v>
      </c>
      <c r="E1" s="5" t="s">
        <v>35</v>
      </c>
      <c r="F1" s="5" t="s">
        <v>43</v>
      </c>
      <c r="G1" s="5" t="s">
        <v>61</v>
      </c>
      <c r="H1" s="5" t="s">
        <v>165</v>
      </c>
      <c r="I1" s="5" t="s">
        <v>1567</v>
      </c>
      <c r="J1" s="5" t="s">
        <v>115</v>
      </c>
      <c r="K1" s="5" t="s">
        <v>1568</v>
      </c>
      <c r="L1" s="5" t="s">
        <v>90</v>
      </c>
      <c r="M1" s="5" t="s">
        <v>7</v>
      </c>
      <c r="N1" s="5" t="s">
        <v>9</v>
      </c>
      <c r="O1" s="5" t="s">
        <v>11</v>
      </c>
      <c r="P1" s="5" t="s">
        <v>13</v>
      </c>
      <c r="Q1" s="5" t="s">
        <v>3</v>
      </c>
    </row>
    <row r="2" customFormat="false" ht="41.25" hidden="false" customHeight="true" outlineLevel="0" collapsed="false">
      <c r="A2" s="8" t="s">
        <v>178</v>
      </c>
      <c r="B2" s="8" t="s">
        <v>188</v>
      </c>
      <c r="C2" s="8" t="s">
        <v>176</v>
      </c>
      <c r="D2" s="8" t="s">
        <v>177</v>
      </c>
      <c r="E2" s="8" t="s">
        <v>36</v>
      </c>
      <c r="F2" s="8" t="s">
        <v>44</v>
      </c>
      <c r="G2" s="8" t="s">
        <v>62</v>
      </c>
      <c r="H2" s="8" t="s">
        <v>179</v>
      </c>
      <c r="I2" s="8" t="s">
        <v>1569</v>
      </c>
      <c r="J2" s="8" t="s">
        <v>1570</v>
      </c>
      <c r="K2" s="8" t="s">
        <v>65</v>
      </c>
      <c r="L2" s="8" t="n">
        <f aca="false">COUNTIFS(TestCases!$E$2:$E$158,$A2)</f>
        <v>2</v>
      </c>
      <c r="M2" s="8" t="n">
        <f aca="false">COUNTIFS(TestCases!$E$2:$E$158,$A2,TestCases!$V$2:$V$158,"Approve")</f>
        <v>2</v>
      </c>
      <c r="N2" s="8" t="n">
        <f aca="false">COUNTIFS(TestCases!$E$2:$E$158,$A2,TestCases!$V$2:$V$158,"Draft")</f>
        <v>0</v>
      </c>
      <c r="O2" s="8" t="n">
        <f aca="false">COUNTIFS(TestCases!$E$2:$E$158,$A2,TestCases!$V$2:$V$158,"Block")</f>
        <v>0</v>
      </c>
      <c r="P2" s="8" t="n">
        <f aca="false">COUNTIFS(TestCases!$E$2:$E$158,$A2,TestCases!$V$2:$V$158,"Reject")</f>
        <v>0</v>
      </c>
      <c r="Q2" s="8" t="str">
        <f aca="false">IF(P2=L2,"Reject",IF(O2&gt;0,"Block",IF(N2&gt;0,"Draft","Approve")))</f>
        <v>Approve</v>
      </c>
    </row>
    <row r="3" customFormat="false" ht="28.5" hidden="false" customHeight="true" outlineLevel="0" collapsed="false">
      <c r="A3" s="8" t="s">
        <v>201</v>
      </c>
      <c r="B3" s="8" t="s">
        <v>188</v>
      </c>
      <c r="C3" s="8" t="s">
        <v>176</v>
      </c>
      <c r="D3" s="8" t="s">
        <v>177</v>
      </c>
      <c r="E3" s="8" t="s">
        <v>36</v>
      </c>
      <c r="F3" s="8" t="s">
        <v>46</v>
      </c>
      <c r="G3" s="8" t="s">
        <v>64</v>
      </c>
      <c r="H3" s="8" t="s">
        <v>1571</v>
      </c>
      <c r="I3" s="8" t="s">
        <v>1572</v>
      </c>
      <c r="J3" s="8" t="s">
        <v>1573</v>
      </c>
      <c r="K3" s="8" t="s">
        <v>1574</v>
      </c>
      <c r="L3" s="8" t="n">
        <f aca="false">COUNTIFS(TestCases!$E$2:$E$158,$A3)</f>
        <v>3</v>
      </c>
      <c r="M3" s="8" t="n">
        <f aca="false">COUNTIFS(TestCases!$E$2:$E$158,$A3,TestCases!$V$2:$V$158,"Approve")</f>
        <v>3</v>
      </c>
      <c r="N3" s="8" t="n">
        <f aca="false">COUNTIFS(TestCases!$E$2:$E$158,$A3,TestCases!$V$2:$V$158,"Draft")</f>
        <v>0</v>
      </c>
      <c r="O3" s="8" t="n">
        <f aca="false">COUNTIFS(TestCases!$E$2:$E$158,$A3,TestCases!$V$2:$V$158,"Block")</f>
        <v>0</v>
      </c>
      <c r="P3" s="8" t="n">
        <f aca="false">COUNTIFS(TestCases!$E$2:$E$158,$A3,TestCases!$V$2:$V$158,"Reject")</f>
        <v>0</v>
      </c>
      <c r="Q3" s="8" t="str">
        <f aca="false">IF(P3=L3,"Reject",IF(O3&gt;0,"Block",IF(N3&gt;0,"Draft","Approve")))</f>
        <v>Approve</v>
      </c>
    </row>
    <row r="4" customFormat="false" ht="28.5" hidden="false" customHeight="true" outlineLevel="0" collapsed="false">
      <c r="A4" s="8" t="s">
        <v>226</v>
      </c>
      <c r="B4" s="8" t="s">
        <v>233</v>
      </c>
      <c r="C4" s="8" t="s">
        <v>176</v>
      </c>
      <c r="D4" s="8" t="s">
        <v>177</v>
      </c>
      <c r="E4" s="8" t="s">
        <v>36</v>
      </c>
      <c r="F4" s="8" t="s">
        <v>45</v>
      </c>
      <c r="G4" s="8" t="s">
        <v>63</v>
      </c>
      <c r="H4" s="8" t="s">
        <v>1575</v>
      </c>
      <c r="I4" s="8" t="s">
        <v>1576</v>
      </c>
      <c r="J4" s="8" t="s">
        <v>1577</v>
      </c>
      <c r="K4" s="8" t="s">
        <v>1578</v>
      </c>
      <c r="L4" s="8" t="n">
        <f aca="false">COUNTIFS(TestCases!$E$2:$E$158,$A4)</f>
        <v>5</v>
      </c>
      <c r="M4" s="8" t="n">
        <f aca="false">COUNTIFS(TestCases!$E$2:$E$158,$A4,TestCases!$V$2:$V$158,"Approve")</f>
        <v>4</v>
      </c>
      <c r="N4" s="8" t="n">
        <f aca="false">COUNTIFS(TestCases!$E$2:$E$158,$A4,TestCases!$V$2:$V$158,"Draft")</f>
        <v>1</v>
      </c>
      <c r="O4" s="8" t="n">
        <f aca="false">COUNTIFS(TestCases!$E$2:$E$158,$A4,TestCases!$V$2:$V$158,"Block")</f>
        <v>0</v>
      </c>
      <c r="P4" s="8" t="n">
        <f aca="false">COUNTIFS(TestCases!$E$2:$E$158,$A4,TestCases!$V$2:$V$158,"Reject")</f>
        <v>0</v>
      </c>
      <c r="Q4" s="8" t="str">
        <f aca="false">IF(P4=L4,"Reject",IF(O4&gt;0,"Block",IF(N4&gt;0,"Draft","Approve")))</f>
        <v>Draft</v>
      </c>
    </row>
    <row r="5" customFormat="false" ht="28.5" hidden="false" customHeight="true" outlineLevel="0" collapsed="false">
      <c r="A5" s="8" t="s">
        <v>267</v>
      </c>
      <c r="B5" s="8" t="s">
        <v>274</v>
      </c>
      <c r="C5" s="8" t="s">
        <v>176</v>
      </c>
      <c r="D5" s="8" t="s">
        <v>177</v>
      </c>
      <c r="E5" s="8" t="s">
        <v>36</v>
      </c>
      <c r="F5" s="8" t="s">
        <v>47</v>
      </c>
      <c r="G5" s="8" t="s">
        <v>64</v>
      </c>
      <c r="H5" s="8" t="s">
        <v>1579</v>
      </c>
      <c r="I5" s="8" t="s">
        <v>1580</v>
      </c>
      <c r="J5" s="8" t="s">
        <v>1581</v>
      </c>
      <c r="K5" s="8" t="s">
        <v>1582</v>
      </c>
      <c r="L5" s="8" t="n">
        <f aca="false">COUNTIFS(TestCases!$E$2:$E$158,$A5)</f>
        <v>7</v>
      </c>
      <c r="M5" s="8" t="n">
        <f aca="false">COUNTIFS(TestCases!$E$2:$E$158,$A5,TestCases!$V$2:$V$158,"Approve")</f>
        <v>5</v>
      </c>
      <c r="N5" s="8" t="n">
        <f aca="false">COUNTIFS(TestCases!$E$2:$E$158,$A5,TestCases!$V$2:$V$158,"Draft")</f>
        <v>2</v>
      </c>
      <c r="O5" s="8" t="n">
        <f aca="false">COUNTIFS(TestCases!$E$2:$E$158,$A5,TestCases!$V$2:$V$158,"Block")</f>
        <v>0</v>
      </c>
      <c r="P5" s="8" t="n">
        <f aca="false">COUNTIFS(TestCases!$E$2:$E$158,$A5,TestCases!$V$2:$V$158,"Reject")</f>
        <v>0</v>
      </c>
      <c r="Q5" s="8" t="str">
        <f aca="false">IF(P5=L5,"Reject",IF(O5&gt;0,"Block",IF(N5&gt;0,"Draft","Approve")))</f>
        <v>Draft</v>
      </c>
    </row>
    <row r="6" customFormat="false" ht="28.5" hidden="false" customHeight="true" outlineLevel="0" collapsed="false">
      <c r="A6" s="8" t="s">
        <v>334</v>
      </c>
      <c r="B6" s="8" t="s">
        <v>341</v>
      </c>
      <c r="C6" s="8" t="s">
        <v>176</v>
      </c>
      <c r="D6" s="8" t="s">
        <v>177</v>
      </c>
      <c r="E6" s="8" t="s">
        <v>36</v>
      </c>
      <c r="F6" s="8" t="s">
        <v>47</v>
      </c>
      <c r="G6" s="8" t="s">
        <v>64</v>
      </c>
      <c r="H6" s="8" t="s">
        <v>1583</v>
      </c>
      <c r="I6" s="8" t="s">
        <v>1584</v>
      </c>
      <c r="J6" s="8" t="s">
        <v>1585</v>
      </c>
      <c r="K6" s="8" t="s">
        <v>1586</v>
      </c>
      <c r="L6" s="8" t="n">
        <f aca="false">COUNTIFS(TestCases!$E$2:$E$158,$A6)</f>
        <v>8</v>
      </c>
      <c r="M6" s="8" t="n">
        <f aca="false">COUNTIFS(TestCases!$E$2:$E$158,$A6,TestCases!$V$2:$V$158,"Approve")</f>
        <v>7</v>
      </c>
      <c r="N6" s="8" t="n">
        <f aca="false">COUNTIFS(TestCases!$E$2:$E$158,$A6,TestCases!$V$2:$V$158,"Draft")</f>
        <v>1</v>
      </c>
      <c r="O6" s="8" t="n">
        <f aca="false">COUNTIFS(TestCases!$E$2:$E$158,$A6,TestCases!$V$2:$V$158,"Block")</f>
        <v>0</v>
      </c>
      <c r="P6" s="8" t="n">
        <f aca="false">COUNTIFS(TestCases!$E$2:$E$158,$A6,TestCases!$V$2:$V$158,"Reject")</f>
        <v>0</v>
      </c>
      <c r="Q6" s="8" t="str">
        <f aca="false">IF(P6=L6,"Reject",IF(O6&gt;0,"Block",IF(N6&gt;0,"Draft","Approve")))</f>
        <v>Draft</v>
      </c>
    </row>
    <row r="7" customFormat="false" ht="54" hidden="false" customHeight="true" outlineLevel="0" collapsed="false">
      <c r="A7" s="8" t="s">
        <v>405</v>
      </c>
      <c r="B7" s="8" t="s">
        <v>413</v>
      </c>
      <c r="C7" s="8" t="s">
        <v>176</v>
      </c>
      <c r="D7" s="8" t="s">
        <v>177</v>
      </c>
      <c r="E7" s="8" t="s">
        <v>36</v>
      </c>
      <c r="F7" s="8" t="s">
        <v>44</v>
      </c>
      <c r="G7" s="8" t="s">
        <v>62</v>
      </c>
      <c r="H7" s="8" t="s">
        <v>1587</v>
      </c>
      <c r="I7" s="8" t="s">
        <v>1588</v>
      </c>
      <c r="J7" s="8" t="s">
        <v>1589</v>
      </c>
      <c r="K7" s="8" t="s">
        <v>1590</v>
      </c>
      <c r="L7" s="8" t="n">
        <f aca="false">COUNTIFS(TestCases!$E$2:$E$158,$A7)</f>
        <v>6</v>
      </c>
      <c r="M7" s="8" t="n">
        <f aca="false">COUNTIFS(TestCases!$E$2:$E$158,$A7,TestCases!$V$2:$V$158,"Approve")</f>
        <v>4</v>
      </c>
      <c r="N7" s="8" t="n">
        <f aca="false">COUNTIFS(TestCases!$E$2:$E$158,$A7,TestCases!$V$2:$V$158,"Draft")</f>
        <v>0</v>
      </c>
      <c r="O7" s="8" t="n">
        <f aca="false">COUNTIFS(TestCases!$E$2:$E$158,$A7,TestCases!$V$2:$V$158,"Block")</f>
        <v>2</v>
      </c>
      <c r="P7" s="8" t="n">
        <f aca="false">COUNTIFS(TestCases!$E$2:$E$158,$A7,TestCases!$V$2:$V$158,"Reject")</f>
        <v>0</v>
      </c>
      <c r="Q7" s="8" t="str">
        <f aca="false">IF(P7=L7,"Reject",IF(O7&gt;0,"Block",IF(N7&gt;0,"Draft","Approve")))</f>
        <v>Block</v>
      </c>
    </row>
    <row r="8" customFormat="false" ht="41.25" hidden="false" customHeight="true" outlineLevel="0" collapsed="false">
      <c r="A8" s="8" t="s">
        <v>448</v>
      </c>
      <c r="B8" s="8" t="s">
        <v>455</v>
      </c>
      <c r="C8" s="8" t="s">
        <v>176</v>
      </c>
      <c r="D8" s="8" t="s">
        <v>177</v>
      </c>
      <c r="E8" s="8" t="s">
        <v>36</v>
      </c>
      <c r="F8" s="8" t="s">
        <v>50</v>
      </c>
      <c r="G8" s="8" t="s">
        <v>64</v>
      </c>
      <c r="H8" s="8" t="s">
        <v>1591</v>
      </c>
      <c r="I8" s="8" t="s">
        <v>1592</v>
      </c>
      <c r="J8" s="8" t="s">
        <v>1593</v>
      </c>
      <c r="K8" s="8" t="s">
        <v>1594</v>
      </c>
      <c r="L8" s="8" t="n">
        <f aca="false">COUNTIFS(TestCases!$E$2:$E$158,$A8)</f>
        <v>14</v>
      </c>
      <c r="M8" s="8" t="n">
        <f aca="false">COUNTIFS(TestCases!$E$2:$E$158,$A8,TestCases!$V$2:$V$158,"Approve")</f>
        <v>11</v>
      </c>
      <c r="N8" s="8" t="n">
        <f aca="false">COUNTIFS(TestCases!$E$2:$E$158,$A8,TestCases!$V$2:$V$158,"Draft")</f>
        <v>2</v>
      </c>
      <c r="O8" s="8" t="n">
        <f aca="false">COUNTIFS(TestCases!$E$2:$E$158,$A8,TestCases!$V$2:$V$158,"Block")</f>
        <v>1</v>
      </c>
      <c r="P8" s="8" t="n">
        <f aca="false">COUNTIFS(TestCases!$E$2:$E$158,$A8,TestCases!$V$2:$V$158,"Reject")</f>
        <v>0</v>
      </c>
      <c r="Q8" s="8" t="str">
        <f aca="false">IF(P8=L8,"Reject",IF(O8&gt;0,"Block",IF(N8&gt;0,"Draft","Approve")))</f>
        <v>Block</v>
      </c>
    </row>
    <row r="9" customFormat="false" ht="28.5" hidden="false" customHeight="true" outlineLevel="0" collapsed="false">
      <c r="A9" s="8" t="s">
        <v>552</v>
      </c>
      <c r="B9" s="8" t="s">
        <v>413</v>
      </c>
      <c r="C9" s="8" t="s">
        <v>176</v>
      </c>
      <c r="D9" s="8" t="s">
        <v>177</v>
      </c>
      <c r="E9" s="8" t="s">
        <v>36</v>
      </c>
      <c r="F9" s="8" t="s">
        <v>44</v>
      </c>
      <c r="G9" s="8" t="s">
        <v>62</v>
      </c>
      <c r="H9" s="8" t="s">
        <v>1595</v>
      </c>
      <c r="I9" s="8" t="s">
        <v>1596</v>
      </c>
      <c r="J9" s="8" t="s">
        <v>1597</v>
      </c>
      <c r="K9" s="8" t="s">
        <v>1598</v>
      </c>
      <c r="L9" s="8" t="n">
        <f aca="false">COUNTIFS(TestCases!$E$2:$E$158,$A9)</f>
        <v>5</v>
      </c>
      <c r="M9" s="8" t="n">
        <f aca="false">COUNTIFS(TestCases!$E$2:$E$158,$A9,TestCases!$V$2:$V$158,"Approve")</f>
        <v>4</v>
      </c>
      <c r="N9" s="8" t="n">
        <f aca="false">COUNTIFS(TestCases!$E$2:$E$158,$A9,TestCases!$V$2:$V$158,"Draft")</f>
        <v>1</v>
      </c>
      <c r="O9" s="8" t="n">
        <f aca="false">COUNTIFS(TestCases!$E$2:$E$158,$A9,TestCases!$V$2:$V$158,"Block")</f>
        <v>0</v>
      </c>
      <c r="P9" s="8" t="n">
        <f aca="false">COUNTIFS(TestCases!$E$2:$E$158,$A9,TestCases!$V$2:$V$158,"Reject")</f>
        <v>0</v>
      </c>
      <c r="Q9" s="8" t="str">
        <f aca="false">IF(P9=L9,"Reject",IF(O9&gt;0,"Block",IF(N9&gt;0,"Draft","Approve")))</f>
        <v>Draft</v>
      </c>
    </row>
    <row r="10" customFormat="false" ht="41.25" hidden="false" customHeight="true" outlineLevel="0" collapsed="false">
      <c r="A10" s="8" t="s">
        <v>595</v>
      </c>
      <c r="B10" s="8" t="s">
        <v>603</v>
      </c>
      <c r="C10" s="8" t="s">
        <v>176</v>
      </c>
      <c r="D10" s="8" t="s">
        <v>177</v>
      </c>
      <c r="E10" s="8" t="s">
        <v>36</v>
      </c>
      <c r="F10" s="8" t="s">
        <v>53</v>
      </c>
      <c r="G10" s="8" t="s">
        <v>64</v>
      </c>
      <c r="H10" s="8" t="s">
        <v>1599</v>
      </c>
      <c r="I10" s="8" t="s">
        <v>1600</v>
      </c>
      <c r="J10" s="8" t="s">
        <v>1601</v>
      </c>
      <c r="K10" s="8" t="s">
        <v>1602</v>
      </c>
      <c r="L10" s="8" t="n">
        <f aca="false">COUNTIFS(TestCases!$E$2:$E$158,$A10)</f>
        <v>7</v>
      </c>
      <c r="M10" s="8" t="n">
        <f aca="false">COUNTIFS(TestCases!$E$2:$E$158,$A10,TestCases!$V$2:$V$158,"Approve")</f>
        <v>5</v>
      </c>
      <c r="N10" s="8" t="n">
        <f aca="false">COUNTIFS(TestCases!$E$2:$E$158,$A10,TestCases!$V$2:$V$158,"Draft")</f>
        <v>0</v>
      </c>
      <c r="O10" s="8" t="n">
        <f aca="false">COUNTIFS(TestCases!$E$2:$E$158,$A10,TestCases!$V$2:$V$158,"Block")</f>
        <v>2</v>
      </c>
      <c r="P10" s="8" t="n">
        <f aca="false">COUNTIFS(TestCases!$E$2:$E$158,$A10,TestCases!$V$2:$V$158,"Reject")</f>
        <v>0</v>
      </c>
      <c r="Q10" s="8" t="str">
        <f aca="false">IF(P10=L10,"Reject",IF(O10&gt;0,"Block",IF(N10&gt;0,"Draft","Approve")))</f>
        <v>Block</v>
      </c>
    </row>
    <row r="11" customFormat="false" ht="28.5" hidden="false" customHeight="true" outlineLevel="0" collapsed="false">
      <c r="A11" s="8" t="s">
        <v>658</v>
      </c>
      <c r="B11" s="8" t="s">
        <v>413</v>
      </c>
      <c r="C11" s="8" t="s">
        <v>176</v>
      </c>
      <c r="D11" s="8" t="s">
        <v>177</v>
      </c>
      <c r="E11" s="8" t="s">
        <v>36</v>
      </c>
      <c r="F11" s="8" t="s">
        <v>51</v>
      </c>
      <c r="G11" s="8" t="s">
        <v>66</v>
      </c>
      <c r="H11" s="8" t="s">
        <v>1603</v>
      </c>
      <c r="I11" s="8" t="s">
        <v>1604</v>
      </c>
      <c r="J11" s="8" t="s">
        <v>1605</v>
      </c>
      <c r="K11" s="8" t="s">
        <v>1606</v>
      </c>
      <c r="L11" s="8" t="n">
        <f aca="false">COUNTIFS(TestCases!$E$2:$E$158,$A11)</f>
        <v>3</v>
      </c>
      <c r="M11" s="8" t="n">
        <f aca="false">COUNTIFS(TestCases!$E$2:$E$158,$A11,TestCases!$V$2:$V$158,"Approve")</f>
        <v>1</v>
      </c>
      <c r="N11" s="8" t="n">
        <f aca="false">COUNTIFS(TestCases!$E$2:$E$158,$A11,TestCases!$V$2:$V$158,"Draft")</f>
        <v>2</v>
      </c>
      <c r="O11" s="8" t="n">
        <f aca="false">COUNTIFS(TestCases!$E$2:$E$158,$A11,TestCases!$V$2:$V$158,"Block")</f>
        <v>0</v>
      </c>
      <c r="P11" s="8" t="n">
        <f aca="false">COUNTIFS(TestCases!$E$2:$E$158,$A11,TestCases!$V$2:$V$158,"Reject")</f>
        <v>0</v>
      </c>
      <c r="Q11" s="8" t="str">
        <f aca="false">IF(P11=L11,"Reject",IF(O11&gt;0,"Block",IF(N11&gt;0,"Draft","Approve")))</f>
        <v>Draft</v>
      </c>
    </row>
    <row r="12" customFormat="false" ht="41.25" hidden="false" customHeight="true" outlineLevel="0" collapsed="false">
      <c r="A12" s="8" t="s">
        <v>688</v>
      </c>
      <c r="B12" s="8" t="s">
        <v>696</v>
      </c>
      <c r="C12" s="8" t="s">
        <v>176</v>
      </c>
      <c r="D12" s="8" t="s">
        <v>177</v>
      </c>
      <c r="E12" s="8" t="s">
        <v>36</v>
      </c>
      <c r="F12" s="8" t="s">
        <v>52</v>
      </c>
      <c r="G12" s="8" t="s">
        <v>64</v>
      </c>
      <c r="H12" s="8" t="s">
        <v>1607</v>
      </c>
      <c r="I12" s="8" t="s">
        <v>1608</v>
      </c>
      <c r="J12" s="8" t="s">
        <v>1609</v>
      </c>
      <c r="K12" s="8" t="s">
        <v>1610</v>
      </c>
      <c r="L12" s="8" t="n">
        <f aca="false">COUNTIFS(TestCases!$E$2:$E$158,$A12)</f>
        <v>5</v>
      </c>
      <c r="M12" s="8" t="n">
        <f aca="false">COUNTIFS(TestCases!$E$2:$E$158,$A12,TestCases!$V$2:$V$158,"Approve")</f>
        <v>3</v>
      </c>
      <c r="N12" s="8" t="n">
        <f aca="false">COUNTIFS(TestCases!$E$2:$E$158,$A12,TestCases!$V$2:$V$158,"Draft")</f>
        <v>2</v>
      </c>
      <c r="O12" s="8" t="n">
        <f aca="false">COUNTIFS(TestCases!$E$2:$E$158,$A12,TestCases!$V$2:$V$158,"Block")</f>
        <v>0</v>
      </c>
      <c r="P12" s="8" t="n">
        <f aca="false">COUNTIFS(TestCases!$E$2:$E$158,$A12,TestCases!$V$2:$V$158,"Reject")</f>
        <v>0</v>
      </c>
      <c r="Q12" s="8" t="str">
        <f aca="false">IF(P12=L12,"Reject",IF(O12&gt;0,"Block",IF(N12&gt;0,"Draft","Approve")))</f>
        <v>Draft</v>
      </c>
    </row>
    <row r="13" customFormat="false" ht="28.5" hidden="false" customHeight="true" outlineLevel="0" collapsed="false">
      <c r="A13" s="8" t="s">
        <v>737</v>
      </c>
      <c r="B13" s="8" t="s">
        <v>745</v>
      </c>
      <c r="C13" s="8" t="s">
        <v>176</v>
      </c>
      <c r="D13" s="8" t="s">
        <v>177</v>
      </c>
      <c r="E13" s="8" t="s">
        <v>36</v>
      </c>
      <c r="F13" s="8" t="s">
        <v>45</v>
      </c>
      <c r="G13" s="8" t="s">
        <v>64</v>
      </c>
      <c r="H13" s="8" t="s">
        <v>1611</v>
      </c>
      <c r="I13" s="8" t="s">
        <v>738</v>
      </c>
      <c r="J13" s="8" t="s">
        <v>1612</v>
      </c>
      <c r="K13" s="8" t="s">
        <v>65</v>
      </c>
      <c r="L13" s="8" t="n">
        <f aca="false">COUNTIFS(TestCases!$E$2:$E$158,$A13)</f>
        <v>1</v>
      </c>
      <c r="M13" s="8" t="n">
        <f aca="false">COUNTIFS(TestCases!$E$2:$E$158,$A13,TestCases!$V$2:$V$158,"Approve")</f>
        <v>1</v>
      </c>
      <c r="N13" s="8" t="n">
        <f aca="false">COUNTIFS(TestCases!$E$2:$E$158,$A13,TestCases!$V$2:$V$158,"Draft")</f>
        <v>0</v>
      </c>
      <c r="O13" s="8" t="n">
        <f aca="false">COUNTIFS(TestCases!$E$2:$E$158,$A13,TestCases!$V$2:$V$158,"Block")</f>
        <v>0</v>
      </c>
      <c r="P13" s="8" t="n">
        <f aca="false">COUNTIFS(TestCases!$E$2:$E$158,$A13,TestCases!$V$2:$V$158,"Reject")</f>
        <v>0</v>
      </c>
      <c r="Q13" s="8" t="str">
        <f aca="false">IF(P13=L13,"Reject",IF(O13&gt;0,"Block",IF(N13&gt;0,"Draft","Approve")))</f>
        <v>Approve</v>
      </c>
    </row>
    <row r="14" customFormat="false" ht="41.25" hidden="false" customHeight="true" outlineLevel="0" collapsed="false">
      <c r="A14" s="8" t="s">
        <v>749</v>
      </c>
      <c r="B14" s="8" t="s">
        <v>757</v>
      </c>
      <c r="C14" s="8" t="s">
        <v>176</v>
      </c>
      <c r="D14" s="8" t="s">
        <v>177</v>
      </c>
      <c r="E14" s="8" t="s">
        <v>36</v>
      </c>
      <c r="F14" s="8" t="s">
        <v>44</v>
      </c>
      <c r="G14" s="8" t="s">
        <v>62</v>
      </c>
      <c r="H14" s="8" t="s">
        <v>1613</v>
      </c>
      <c r="I14" s="8" t="s">
        <v>1614</v>
      </c>
      <c r="J14" s="8" t="s">
        <v>1615</v>
      </c>
      <c r="K14" s="8" t="s">
        <v>1574</v>
      </c>
      <c r="L14" s="8" t="n">
        <f aca="false">COUNTIFS(TestCases!$E$2:$E$158,$A14)</f>
        <v>3</v>
      </c>
      <c r="M14" s="8" t="n">
        <f aca="false">COUNTIFS(TestCases!$E$2:$E$158,$A14,TestCases!$V$2:$V$158,"Approve")</f>
        <v>3</v>
      </c>
      <c r="N14" s="8" t="n">
        <f aca="false">COUNTIFS(TestCases!$E$2:$E$158,$A14,TestCases!$V$2:$V$158,"Draft")</f>
        <v>0</v>
      </c>
      <c r="O14" s="8" t="n">
        <f aca="false">COUNTIFS(TestCases!$E$2:$E$158,$A14,TestCases!$V$2:$V$158,"Block")</f>
        <v>0</v>
      </c>
      <c r="P14" s="8" t="n">
        <f aca="false">COUNTIFS(TestCases!$E$2:$E$158,$A14,TestCases!$V$2:$V$158,"Reject")</f>
        <v>0</v>
      </c>
      <c r="Q14" s="8" t="str">
        <f aca="false">IF(P14=L14,"Reject",IF(O14&gt;0,"Block",IF(N14&gt;0,"Draft","Approve")))</f>
        <v>Approve</v>
      </c>
    </row>
    <row r="15" customFormat="false" ht="66.75" hidden="false" customHeight="true" outlineLevel="0" collapsed="false">
      <c r="A15" s="8" t="s">
        <v>779</v>
      </c>
      <c r="B15" s="8" t="s">
        <v>787</v>
      </c>
      <c r="C15" s="8" t="s">
        <v>176</v>
      </c>
      <c r="D15" s="8" t="s">
        <v>177</v>
      </c>
      <c r="E15" s="8" t="s">
        <v>36</v>
      </c>
      <c r="F15" s="8" t="s">
        <v>47</v>
      </c>
      <c r="G15" s="8" t="s">
        <v>64</v>
      </c>
      <c r="H15" s="8" t="s">
        <v>1616</v>
      </c>
      <c r="I15" s="8" t="s">
        <v>1617</v>
      </c>
      <c r="J15" s="8" t="s">
        <v>1618</v>
      </c>
      <c r="K15" s="8" t="s">
        <v>1619</v>
      </c>
      <c r="L15" s="8" t="n">
        <f aca="false">COUNTIFS(TestCases!$E$2:$E$158,$A15)</f>
        <v>12</v>
      </c>
      <c r="M15" s="8" t="n">
        <f aca="false">COUNTIFS(TestCases!$E$2:$E$158,$A15,TestCases!$V$2:$V$158,"Approve")</f>
        <v>1</v>
      </c>
      <c r="N15" s="8" t="n">
        <f aca="false">COUNTIFS(TestCases!$E$2:$E$158,$A15,TestCases!$V$2:$V$158,"Draft")</f>
        <v>11</v>
      </c>
      <c r="O15" s="8" t="n">
        <f aca="false">COUNTIFS(TestCases!$E$2:$E$158,$A15,TestCases!$V$2:$V$158,"Block")</f>
        <v>0</v>
      </c>
      <c r="P15" s="8" t="n">
        <f aca="false">COUNTIFS(TestCases!$E$2:$E$158,$A15,TestCases!$V$2:$V$158,"Reject")</f>
        <v>0</v>
      </c>
      <c r="Q15" s="8" t="str">
        <f aca="false">IF(P15=L15,"Reject",IF(O15&gt;0,"Block",IF(N15&gt;0,"Draft","Approve")))</f>
        <v>Draft</v>
      </c>
    </row>
    <row r="16" customFormat="false" ht="28.5" hidden="false" customHeight="true" outlineLevel="0" collapsed="false">
      <c r="A16" s="8" t="s">
        <v>897</v>
      </c>
      <c r="B16" s="8" t="s">
        <v>901</v>
      </c>
      <c r="C16" s="8" t="s">
        <v>176</v>
      </c>
      <c r="D16" s="8" t="s">
        <v>177</v>
      </c>
      <c r="E16" s="8" t="s">
        <v>37</v>
      </c>
      <c r="F16" s="8" t="s">
        <v>48</v>
      </c>
      <c r="G16" s="8" t="s">
        <v>66</v>
      </c>
      <c r="H16" s="8" t="s">
        <v>1620</v>
      </c>
      <c r="I16" s="8" t="s">
        <v>1621</v>
      </c>
      <c r="J16" s="8" t="s">
        <v>1622</v>
      </c>
      <c r="K16" s="8" t="s">
        <v>902</v>
      </c>
      <c r="L16" s="8" t="n">
        <f aca="false">COUNTIFS(TestCases!$E$2:$E$158,$A16)</f>
        <v>2</v>
      </c>
      <c r="M16" s="8" t="n">
        <f aca="false">COUNTIFS(TestCases!$E$2:$E$158,$A16,TestCases!$V$2:$V$158,"Approve")</f>
        <v>0</v>
      </c>
      <c r="N16" s="8" t="n">
        <f aca="false">COUNTIFS(TestCases!$E$2:$E$158,$A16,TestCases!$V$2:$V$158,"Draft")</f>
        <v>0</v>
      </c>
      <c r="O16" s="8" t="n">
        <f aca="false">COUNTIFS(TestCases!$E$2:$E$158,$A16,TestCases!$V$2:$V$158,"Block")</f>
        <v>0</v>
      </c>
      <c r="P16" s="8" t="n">
        <f aca="false">COUNTIFS(TestCases!$E$2:$E$158,$A16,TestCases!$V$2:$V$158,"Reject")</f>
        <v>2</v>
      </c>
      <c r="Q16" s="8" t="str">
        <f aca="false">IF(P16=L16,"Reject",IF(O16&gt;0,"Block",IF(N16&gt;0,"Draft","Approve")))</f>
        <v>Reject</v>
      </c>
    </row>
    <row r="17" customFormat="false" ht="28.5" hidden="false" customHeight="true" outlineLevel="0" collapsed="false">
      <c r="A17" s="8" t="s">
        <v>909</v>
      </c>
      <c r="B17" s="8" t="s">
        <v>917</v>
      </c>
      <c r="C17" s="8" t="s">
        <v>176</v>
      </c>
      <c r="D17" s="8" t="s">
        <v>177</v>
      </c>
      <c r="E17" s="8" t="s">
        <v>36</v>
      </c>
      <c r="F17" s="8" t="s">
        <v>45</v>
      </c>
      <c r="G17" s="8" t="s">
        <v>63</v>
      </c>
      <c r="H17" s="8" t="s">
        <v>1623</v>
      </c>
      <c r="I17" s="8" t="s">
        <v>1624</v>
      </c>
      <c r="J17" s="8" t="s">
        <v>1625</v>
      </c>
      <c r="K17" s="8" t="s">
        <v>1626</v>
      </c>
      <c r="L17" s="8" t="n">
        <f aca="false">COUNTIFS(TestCases!$E$2:$E$158,$A17)</f>
        <v>2</v>
      </c>
      <c r="M17" s="8" t="n">
        <f aca="false">COUNTIFS(TestCases!$E$2:$E$158,$A17,TestCases!$V$2:$V$158,"Approve")</f>
        <v>1</v>
      </c>
      <c r="N17" s="8" t="n">
        <f aca="false">COUNTIFS(TestCases!$E$2:$E$158,$A17,TestCases!$V$2:$V$158,"Draft")</f>
        <v>1</v>
      </c>
      <c r="O17" s="8" t="n">
        <f aca="false">COUNTIFS(TestCases!$E$2:$E$158,$A17,TestCases!$V$2:$V$158,"Block")</f>
        <v>0</v>
      </c>
      <c r="P17" s="8" t="n">
        <f aca="false">COUNTIFS(TestCases!$E$2:$E$158,$A17,TestCases!$V$2:$V$158,"Reject")</f>
        <v>0</v>
      </c>
      <c r="Q17" s="8" t="str">
        <f aca="false">IF(P17=L17,"Reject",IF(O17&gt;0,"Block",IF(N17&gt;0,"Draft","Approve")))</f>
        <v>Draft</v>
      </c>
    </row>
    <row r="18" customFormat="false" ht="28.5" hidden="false" customHeight="true" outlineLevel="0" collapsed="false">
      <c r="A18" s="8" t="s">
        <v>931</v>
      </c>
      <c r="B18" s="8" t="s">
        <v>939</v>
      </c>
      <c r="C18" s="8" t="s">
        <v>176</v>
      </c>
      <c r="D18" s="8" t="s">
        <v>177</v>
      </c>
      <c r="E18" s="8" t="s">
        <v>36</v>
      </c>
      <c r="F18" s="8" t="s">
        <v>52</v>
      </c>
      <c r="G18" s="8" t="s">
        <v>66</v>
      </c>
      <c r="H18" s="8" t="s">
        <v>1627</v>
      </c>
      <c r="I18" s="8" t="s">
        <v>1628</v>
      </c>
      <c r="J18" s="8" t="s">
        <v>1629</v>
      </c>
      <c r="K18" s="8" t="s">
        <v>1630</v>
      </c>
      <c r="L18" s="8" t="n">
        <f aca="false">COUNTIFS(TestCases!$E$2:$E$158,$A18)</f>
        <v>4</v>
      </c>
      <c r="M18" s="8" t="n">
        <f aca="false">COUNTIFS(TestCases!$E$2:$E$158,$A18,TestCases!$V$2:$V$158,"Approve")</f>
        <v>3</v>
      </c>
      <c r="N18" s="8" t="n">
        <f aca="false">COUNTIFS(TestCases!$E$2:$E$158,$A18,TestCases!$V$2:$V$158,"Draft")</f>
        <v>1</v>
      </c>
      <c r="O18" s="8" t="n">
        <f aca="false">COUNTIFS(TestCases!$E$2:$E$158,$A18,TestCases!$V$2:$V$158,"Block")</f>
        <v>0</v>
      </c>
      <c r="P18" s="8" t="n">
        <f aca="false">COUNTIFS(TestCases!$E$2:$E$158,$A18,TestCases!$V$2:$V$158,"Reject")</f>
        <v>0</v>
      </c>
      <c r="Q18" s="8" t="str">
        <f aca="false">IF(P18=L18,"Reject",IF(O18&gt;0,"Block",IF(N18&gt;0,"Draft","Approve")))</f>
        <v>Draft</v>
      </c>
    </row>
    <row r="19" customFormat="false" ht="54" hidden="false" customHeight="true" outlineLevel="0" collapsed="false">
      <c r="A19" s="8" t="s">
        <v>969</v>
      </c>
      <c r="B19" s="8" t="s">
        <v>973</v>
      </c>
      <c r="C19" s="8" t="s">
        <v>176</v>
      </c>
      <c r="D19" s="8" t="s">
        <v>177</v>
      </c>
      <c r="E19" s="8" t="s">
        <v>36</v>
      </c>
      <c r="F19" s="8" t="s">
        <v>52</v>
      </c>
      <c r="G19" s="8" t="s">
        <v>62</v>
      </c>
      <c r="H19" s="8" t="s">
        <v>1631</v>
      </c>
      <c r="I19" s="8" t="s">
        <v>1632</v>
      </c>
      <c r="J19" s="8" t="s">
        <v>1633</v>
      </c>
      <c r="K19" s="8" t="s">
        <v>1634</v>
      </c>
      <c r="L19" s="8" t="n">
        <f aca="false">COUNTIFS(TestCases!$E$2:$E$158,$A19)</f>
        <v>4</v>
      </c>
      <c r="M19" s="8" t="n">
        <f aca="false">COUNTIFS(TestCases!$E$2:$E$158,$A19,TestCases!$V$2:$V$158,"Approve")</f>
        <v>2</v>
      </c>
      <c r="N19" s="8" t="n">
        <f aca="false">COUNTIFS(TestCases!$E$2:$E$158,$A19,TestCases!$V$2:$V$158,"Draft")</f>
        <v>1</v>
      </c>
      <c r="O19" s="8" t="n">
        <f aca="false">COUNTIFS(TestCases!$E$2:$E$158,$A19,TestCases!$V$2:$V$158,"Block")</f>
        <v>1</v>
      </c>
      <c r="P19" s="8" t="n">
        <f aca="false">COUNTIFS(TestCases!$E$2:$E$158,$A19,TestCases!$V$2:$V$158,"Reject")</f>
        <v>0</v>
      </c>
      <c r="Q19" s="8" t="str">
        <f aca="false">IF(P19=L19,"Reject",IF(O19&gt;0,"Block",IF(N19&gt;0,"Draft","Approve")))</f>
        <v>Block</v>
      </c>
    </row>
    <row r="20" customFormat="false" ht="54" hidden="false" customHeight="true" outlineLevel="0" collapsed="false">
      <c r="A20" s="8" t="s">
        <v>1004</v>
      </c>
      <c r="B20" s="8" t="s">
        <v>973</v>
      </c>
      <c r="C20" s="8" t="s">
        <v>176</v>
      </c>
      <c r="D20" s="8" t="s">
        <v>177</v>
      </c>
      <c r="E20" s="8" t="s">
        <v>36</v>
      </c>
      <c r="F20" s="8" t="s">
        <v>52</v>
      </c>
      <c r="G20" s="8" t="s">
        <v>66</v>
      </c>
      <c r="H20" s="8" t="s">
        <v>1635</v>
      </c>
      <c r="I20" s="8" t="s">
        <v>1636</v>
      </c>
      <c r="J20" s="8" t="s">
        <v>1637</v>
      </c>
      <c r="K20" s="8" t="s">
        <v>1638</v>
      </c>
      <c r="L20" s="8" t="n">
        <f aca="false">COUNTIFS(TestCases!$E$2:$E$158,$A20)</f>
        <v>5</v>
      </c>
      <c r="M20" s="8" t="n">
        <f aca="false">COUNTIFS(TestCases!$E$2:$E$158,$A20,TestCases!$V$2:$V$158,"Approve")</f>
        <v>1</v>
      </c>
      <c r="N20" s="8" t="n">
        <f aca="false">COUNTIFS(TestCases!$E$2:$E$158,$A20,TestCases!$V$2:$V$158,"Draft")</f>
        <v>3</v>
      </c>
      <c r="O20" s="8" t="n">
        <f aca="false">COUNTIFS(TestCases!$E$2:$E$158,$A20,TestCases!$V$2:$V$158,"Block")</f>
        <v>1</v>
      </c>
      <c r="P20" s="8" t="n">
        <f aca="false">COUNTIFS(TestCases!$E$2:$E$158,$A20,TestCases!$V$2:$V$158,"Reject")</f>
        <v>0</v>
      </c>
      <c r="Q20" s="8" t="str">
        <f aca="false">IF(P20=L20,"Reject",IF(O20&gt;0,"Block",IF(N20&gt;0,"Draft","Approve")))</f>
        <v>Block</v>
      </c>
    </row>
    <row r="21" customFormat="false" ht="28.5" hidden="false" customHeight="true" outlineLevel="0" collapsed="false">
      <c r="A21" s="8" t="s">
        <v>1050</v>
      </c>
      <c r="B21" s="8" t="s">
        <v>1054</v>
      </c>
      <c r="C21" s="8" t="s">
        <v>176</v>
      </c>
      <c r="D21" s="8" t="s">
        <v>177</v>
      </c>
      <c r="E21" s="8" t="s">
        <v>37</v>
      </c>
      <c r="F21" s="8" t="s">
        <v>52</v>
      </c>
      <c r="G21" s="8" t="s">
        <v>66</v>
      </c>
      <c r="H21" s="8" t="s">
        <v>1639</v>
      </c>
      <c r="I21" s="8" t="s">
        <v>1640</v>
      </c>
      <c r="J21" s="8" t="s">
        <v>1641</v>
      </c>
      <c r="K21" s="8" t="s">
        <v>1642</v>
      </c>
      <c r="L21" s="8" t="n">
        <f aca="false">COUNTIFS(TestCases!$E$2:$E$158,$A21)</f>
        <v>1</v>
      </c>
      <c r="M21" s="8" t="n">
        <f aca="false">COUNTIFS(TestCases!$E$2:$E$158,$A21,TestCases!$V$2:$V$158,"Approve")</f>
        <v>0</v>
      </c>
      <c r="N21" s="8" t="n">
        <f aca="false">COUNTIFS(TestCases!$E$2:$E$158,$A21,TestCases!$V$2:$V$158,"Draft")</f>
        <v>0</v>
      </c>
      <c r="O21" s="8" t="n">
        <f aca="false">COUNTIFS(TestCases!$E$2:$E$158,$A21,TestCases!$V$2:$V$158,"Block")</f>
        <v>1</v>
      </c>
      <c r="P21" s="8" t="n">
        <f aca="false">COUNTIFS(TestCases!$E$2:$E$158,$A21,TestCases!$V$2:$V$158,"Reject")</f>
        <v>0</v>
      </c>
      <c r="Q21" s="8" t="str">
        <f aca="false">IF(P21=L21,"Reject",IF(O21&gt;0,"Block",IF(N21&gt;0,"Draft","Approve")))</f>
        <v>Block</v>
      </c>
    </row>
    <row r="22" customFormat="false" ht="41.25" hidden="false" customHeight="true" outlineLevel="0" collapsed="false">
      <c r="A22" s="8" t="s">
        <v>1058</v>
      </c>
      <c r="B22" s="8" t="s">
        <v>1066</v>
      </c>
      <c r="C22" s="8" t="s">
        <v>176</v>
      </c>
      <c r="D22" s="8" t="s">
        <v>177</v>
      </c>
      <c r="E22" s="8" t="s">
        <v>36</v>
      </c>
      <c r="F22" s="8" t="s">
        <v>47</v>
      </c>
      <c r="G22" s="8" t="s">
        <v>62</v>
      </c>
      <c r="H22" s="8" t="s">
        <v>1643</v>
      </c>
      <c r="I22" s="8" t="s">
        <v>1644</v>
      </c>
      <c r="J22" s="8" t="s">
        <v>1645</v>
      </c>
      <c r="K22" s="8" t="s">
        <v>1646</v>
      </c>
      <c r="L22" s="8" t="n">
        <f aca="false">COUNTIFS(TestCases!$E$2:$E$158,$A22)</f>
        <v>6</v>
      </c>
      <c r="M22" s="8" t="n">
        <f aca="false">COUNTIFS(TestCases!$E$2:$E$158,$A22,TestCases!$V$2:$V$158,"Approve")</f>
        <v>4</v>
      </c>
      <c r="N22" s="8" t="n">
        <f aca="false">COUNTIFS(TestCases!$E$2:$E$158,$A22,TestCases!$V$2:$V$158,"Draft")</f>
        <v>2</v>
      </c>
      <c r="O22" s="8" t="n">
        <f aca="false">COUNTIFS(TestCases!$E$2:$E$158,$A22,TestCases!$V$2:$V$158,"Block")</f>
        <v>0</v>
      </c>
      <c r="P22" s="8" t="n">
        <f aca="false">COUNTIFS(TestCases!$E$2:$E$158,$A22,TestCases!$V$2:$V$158,"Reject")</f>
        <v>0</v>
      </c>
      <c r="Q22" s="8" t="str">
        <f aca="false">IF(P22=L22,"Reject",IF(O22&gt;0,"Block",IF(N22&gt;0,"Draft","Approve")))</f>
        <v>Draft</v>
      </c>
    </row>
    <row r="23" customFormat="false" ht="28.5" hidden="false" customHeight="true" outlineLevel="0" collapsed="false">
      <c r="A23" s="8" t="s">
        <v>1114</v>
      </c>
      <c r="B23" s="8" t="s">
        <v>1118</v>
      </c>
      <c r="C23" s="8" t="s">
        <v>176</v>
      </c>
      <c r="D23" s="8" t="s">
        <v>177</v>
      </c>
      <c r="E23" s="8" t="s">
        <v>37</v>
      </c>
      <c r="F23" s="8" t="s">
        <v>45</v>
      </c>
      <c r="G23" s="8" t="s">
        <v>64</v>
      </c>
      <c r="H23" s="8" t="s">
        <v>1647</v>
      </c>
      <c r="I23" s="8" t="s">
        <v>1648</v>
      </c>
      <c r="J23" s="8" t="s">
        <v>1649</v>
      </c>
      <c r="K23" s="8" t="s">
        <v>1119</v>
      </c>
      <c r="L23" s="8" t="n">
        <f aca="false">COUNTIFS(TestCases!$E$2:$E$158,$A23)</f>
        <v>1</v>
      </c>
      <c r="M23" s="8" t="n">
        <f aca="false">COUNTIFS(TestCases!$E$2:$E$158,$A23,TestCases!$V$2:$V$158,"Approve")</f>
        <v>0</v>
      </c>
      <c r="N23" s="8" t="n">
        <f aca="false">COUNTIFS(TestCases!$E$2:$E$158,$A23,TestCases!$V$2:$V$158,"Draft")</f>
        <v>0</v>
      </c>
      <c r="O23" s="8" t="n">
        <f aca="false">COUNTIFS(TestCases!$E$2:$E$158,$A23,TestCases!$V$2:$V$158,"Block")</f>
        <v>0</v>
      </c>
      <c r="P23" s="8" t="n">
        <f aca="false">COUNTIFS(TestCases!$E$2:$E$158,$A23,TestCases!$V$2:$V$158,"Reject")</f>
        <v>1</v>
      </c>
      <c r="Q23" s="8" t="str">
        <f aca="false">IF(P23=L23,"Reject",IF(O23&gt;0,"Block",IF(N23&gt;0,"Draft","Approve")))</f>
        <v>Reject</v>
      </c>
    </row>
    <row r="24" customFormat="false" ht="28.5" hidden="false" customHeight="true" outlineLevel="0" collapsed="false">
      <c r="A24" s="8" t="s">
        <v>1122</v>
      </c>
      <c r="B24" s="8" t="s">
        <v>1129</v>
      </c>
      <c r="C24" s="8" t="s">
        <v>176</v>
      </c>
      <c r="D24" s="8" t="s">
        <v>177</v>
      </c>
      <c r="E24" s="8" t="s">
        <v>36</v>
      </c>
      <c r="F24" s="8" t="s">
        <v>45</v>
      </c>
      <c r="G24" s="8" t="s">
        <v>64</v>
      </c>
      <c r="H24" s="8" t="s">
        <v>1650</v>
      </c>
      <c r="I24" s="8" t="s">
        <v>1651</v>
      </c>
      <c r="J24" s="8" t="s">
        <v>1652</v>
      </c>
      <c r="K24" s="8" t="s">
        <v>65</v>
      </c>
      <c r="L24" s="8" t="n">
        <f aca="false">COUNTIFS(TestCases!$E$2:$E$158,$A24)</f>
        <v>2</v>
      </c>
      <c r="M24" s="8" t="n">
        <f aca="false">COUNTIFS(TestCases!$E$2:$E$158,$A24,TestCases!$V$2:$V$158,"Approve")</f>
        <v>2</v>
      </c>
      <c r="N24" s="8" t="n">
        <f aca="false">COUNTIFS(TestCases!$E$2:$E$158,$A24,TestCases!$V$2:$V$158,"Draft")</f>
        <v>0</v>
      </c>
      <c r="O24" s="8" t="n">
        <f aca="false">COUNTIFS(TestCases!$E$2:$E$158,$A24,TestCases!$V$2:$V$158,"Block")</f>
        <v>0</v>
      </c>
      <c r="P24" s="8" t="n">
        <f aca="false">COUNTIFS(TestCases!$E$2:$E$158,$A24,TestCases!$V$2:$V$158,"Reject")</f>
        <v>0</v>
      </c>
      <c r="Q24" s="8" t="str">
        <f aca="false">IF(P24=L24,"Reject",IF(O24&gt;0,"Block",IF(N24&gt;0,"Draft","Approve")))</f>
        <v>Approve</v>
      </c>
    </row>
    <row r="25" customFormat="false" ht="28.5" hidden="false" customHeight="true" outlineLevel="0" collapsed="false">
      <c r="A25" s="8" t="s">
        <v>1139</v>
      </c>
      <c r="B25" s="8" t="s">
        <v>1147</v>
      </c>
      <c r="C25" s="8" t="s">
        <v>176</v>
      </c>
      <c r="D25" s="8" t="s">
        <v>177</v>
      </c>
      <c r="E25" s="8" t="s">
        <v>36</v>
      </c>
      <c r="F25" s="8" t="s">
        <v>46</v>
      </c>
      <c r="G25" s="8" t="s">
        <v>64</v>
      </c>
      <c r="H25" s="8" t="s">
        <v>1653</v>
      </c>
      <c r="I25" s="8" t="s">
        <v>1654</v>
      </c>
      <c r="J25" s="8" t="s">
        <v>1655</v>
      </c>
      <c r="K25" s="8" t="s">
        <v>65</v>
      </c>
      <c r="L25" s="8" t="n">
        <f aca="false">COUNTIFS(TestCases!$E$2:$E$158,$A25)</f>
        <v>4</v>
      </c>
      <c r="M25" s="8" t="n">
        <f aca="false">COUNTIFS(TestCases!$E$2:$E$158,$A25,TestCases!$V$2:$V$158,"Approve")</f>
        <v>4</v>
      </c>
      <c r="N25" s="8" t="n">
        <f aca="false">COUNTIFS(TestCases!$E$2:$E$158,$A25,TestCases!$V$2:$V$158,"Draft")</f>
        <v>0</v>
      </c>
      <c r="O25" s="8" t="n">
        <f aca="false">COUNTIFS(TestCases!$E$2:$E$158,$A25,TestCases!$V$2:$V$158,"Block")</f>
        <v>0</v>
      </c>
      <c r="P25" s="8" t="n">
        <f aca="false">COUNTIFS(TestCases!$E$2:$E$158,$A25,TestCases!$V$2:$V$158,"Reject")</f>
        <v>0</v>
      </c>
      <c r="Q25" s="8" t="str">
        <f aca="false">IF(P25=L25,"Reject",IF(O25&gt;0,"Block",IF(N25&gt;0,"Draft","Approve")))</f>
        <v>Approve</v>
      </c>
    </row>
    <row r="26" customFormat="false" ht="28.5" hidden="false" customHeight="true" outlineLevel="0" collapsed="false">
      <c r="A26" s="8" t="s">
        <v>1176</v>
      </c>
      <c r="B26" s="8" t="s">
        <v>413</v>
      </c>
      <c r="C26" s="8" t="s">
        <v>176</v>
      </c>
      <c r="D26" s="8" t="s">
        <v>177</v>
      </c>
      <c r="E26" s="8" t="s">
        <v>36</v>
      </c>
      <c r="F26" s="8" t="s">
        <v>51</v>
      </c>
      <c r="G26" s="8" t="s">
        <v>66</v>
      </c>
      <c r="H26" s="8" t="s">
        <v>1656</v>
      </c>
      <c r="I26" s="8" t="s">
        <v>1657</v>
      </c>
      <c r="J26" s="8" t="s">
        <v>1658</v>
      </c>
      <c r="K26" s="8" t="s">
        <v>1659</v>
      </c>
      <c r="L26" s="8" t="n">
        <f aca="false">COUNTIFS(TestCases!$E$2:$E$158,$A26)</f>
        <v>4</v>
      </c>
      <c r="M26" s="8" t="n">
        <f aca="false">COUNTIFS(TestCases!$E$2:$E$158,$A26,TestCases!$V$2:$V$158,"Approve")</f>
        <v>2</v>
      </c>
      <c r="N26" s="8" t="n">
        <f aca="false">COUNTIFS(TestCases!$E$2:$E$158,$A26,TestCases!$V$2:$V$158,"Draft")</f>
        <v>0</v>
      </c>
      <c r="O26" s="8" t="n">
        <f aca="false">COUNTIFS(TestCases!$E$2:$E$158,$A26,TestCases!$V$2:$V$158,"Block")</f>
        <v>2</v>
      </c>
      <c r="P26" s="8" t="n">
        <f aca="false">COUNTIFS(TestCases!$E$2:$E$158,$A26,TestCases!$V$2:$V$158,"Reject")</f>
        <v>0</v>
      </c>
      <c r="Q26" s="8" t="str">
        <f aca="false">IF(P26=L26,"Reject",IF(O26&gt;0,"Block",IF(N26&gt;0,"Draft","Approve")))</f>
        <v>Block</v>
      </c>
    </row>
    <row r="27" customFormat="false" ht="41.25" hidden="false" customHeight="true" outlineLevel="0" collapsed="false">
      <c r="A27" s="8" t="s">
        <v>1214</v>
      </c>
      <c r="B27" s="8" t="s">
        <v>1222</v>
      </c>
      <c r="C27" s="8" t="s">
        <v>176</v>
      </c>
      <c r="D27" s="8" t="s">
        <v>177</v>
      </c>
      <c r="E27" s="8" t="s">
        <v>36</v>
      </c>
      <c r="F27" s="8" t="s">
        <v>48</v>
      </c>
      <c r="G27" s="8" t="s">
        <v>66</v>
      </c>
      <c r="H27" s="8" t="s">
        <v>1660</v>
      </c>
      <c r="I27" s="8" t="s">
        <v>1661</v>
      </c>
      <c r="J27" s="8" t="s">
        <v>1662</v>
      </c>
      <c r="K27" s="8" t="s">
        <v>1659</v>
      </c>
      <c r="L27" s="8" t="n">
        <f aca="false">COUNTIFS(TestCases!$E$2:$E$158,$A27)</f>
        <v>6</v>
      </c>
      <c r="M27" s="8" t="n">
        <f aca="false">COUNTIFS(TestCases!$E$2:$E$158,$A27,TestCases!$V$2:$V$158,"Approve")</f>
        <v>1</v>
      </c>
      <c r="N27" s="8" t="n">
        <f aca="false">COUNTIFS(TestCases!$E$2:$E$158,$A27,TestCases!$V$2:$V$158,"Draft")</f>
        <v>0</v>
      </c>
      <c r="O27" s="8" t="n">
        <f aca="false">COUNTIFS(TestCases!$E$2:$E$158,$A27,TestCases!$V$2:$V$158,"Block")</f>
        <v>5</v>
      </c>
      <c r="P27" s="8" t="n">
        <f aca="false">COUNTIFS(TestCases!$E$2:$E$158,$A27,TestCases!$V$2:$V$158,"Reject")</f>
        <v>0</v>
      </c>
      <c r="Q27" s="8" t="str">
        <f aca="false">IF(P27=L27,"Reject",IF(O27&gt;0,"Block",IF(N27&gt;0,"Draft","Approve")))</f>
        <v>Block</v>
      </c>
    </row>
    <row r="28" customFormat="false" ht="28.5" hidden="false" customHeight="true" outlineLevel="0" collapsed="false">
      <c r="A28" s="8" t="s">
        <v>1272</v>
      </c>
      <c r="B28" s="8" t="s">
        <v>1276</v>
      </c>
      <c r="C28" s="8" t="s">
        <v>176</v>
      </c>
      <c r="D28" s="8" t="s">
        <v>177</v>
      </c>
      <c r="E28" s="8" t="s">
        <v>37</v>
      </c>
      <c r="F28" s="8" t="s">
        <v>47</v>
      </c>
      <c r="G28" s="8" t="s">
        <v>64</v>
      </c>
      <c r="H28" s="8" t="s">
        <v>1663</v>
      </c>
      <c r="I28" s="8" t="s">
        <v>1664</v>
      </c>
      <c r="J28" s="8" t="s">
        <v>1665</v>
      </c>
      <c r="K28" s="8" t="s">
        <v>1666</v>
      </c>
      <c r="L28" s="8" t="n">
        <f aca="false">COUNTIFS(TestCases!$E$2:$E$158,$A28)</f>
        <v>5</v>
      </c>
      <c r="M28" s="8" t="n">
        <f aca="false">COUNTIFS(TestCases!$E$2:$E$158,$A28,TestCases!$V$2:$V$158,"Approve")</f>
        <v>0</v>
      </c>
      <c r="N28" s="8" t="n">
        <f aca="false">COUNTIFS(TestCases!$E$2:$E$158,$A28,TestCases!$V$2:$V$158,"Draft")</f>
        <v>0</v>
      </c>
      <c r="O28" s="8" t="n">
        <f aca="false">COUNTIFS(TestCases!$E$2:$E$158,$A28,TestCases!$V$2:$V$158,"Block")</f>
        <v>0</v>
      </c>
      <c r="P28" s="8" t="n">
        <f aca="false">COUNTIFS(TestCases!$E$2:$E$158,$A28,TestCases!$V$2:$V$158,"Reject")</f>
        <v>5</v>
      </c>
      <c r="Q28" s="8" t="str">
        <f aca="false">IF(P28=L28,"Reject",IF(O28&gt;0,"Block",IF(N28&gt;0,"Draft","Approve")))</f>
        <v>Reject</v>
      </c>
    </row>
    <row r="29" customFormat="false" ht="28.5" hidden="false" customHeight="true" outlineLevel="0" collapsed="false">
      <c r="A29" s="8" t="s">
        <v>1292</v>
      </c>
      <c r="B29" s="8" t="s">
        <v>1300</v>
      </c>
      <c r="C29" s="8" t="s">
        <v>176</v>
      </c>
      <c r="D29" s="8" t="s">
        <v>177</v>
      </c>
      <c r="E29" s="8" t="s">
        <v>36</v>
      </c>
      <c r="F29" s="8" t="s">
        <v>53</v>
      </c>
      <c r="G29" s="8" t="s">
        <v>64</v>
      </c>
      <c r="H29" s="8" t="s">
        <v>1667</v>
      </c>
      <c r="I29" s="8" t="s">
        <v>1668</v>
      </c>
      <c r="J29" s="8" t="s">
        <v>1669</v>
      </c>
      <c r="K29" s="8" t="s">
        <v>1670</v>
      </c>
      <c r="L29" s="8" t="n">
        <f aca="false">COUNTIFS(TestCases!$E$2:$E$158,$A29)</f>
        <v>8</v>
      </c>
      <c r="M29" s="8" t="n">
        <f aca="false">COUNTIFS(TestCases!$E$2:$E$158,$A29,TestCases!$V$2:$V$158,"Approve")</f>
        <v>7</v>
      </c>
      <c r="N29" s="8" t="n">
        <f aca="false">COUNTIFS(TestCases!$E$2:$E$158,$A29,TestCases!$V$2:$V$158,"Draft")</f>
        <v>1</v>
      </c>
      <c r="O29" s="8" t="n">
        <f aca="false">COUNTIFS(TestCases!$E$2:$E$158,$A29,TestCases!$V$2:$V$158,"Block")</f>
        <v>0</v>
      </c>
      <c r="P29" s="8" t="n">
        <f aca="false">COUNTIFS(TestCases!$E$2:$E$158,$A29,TestCases!$V$2:$V$158,"Reject")</f>
        <v>0</v>
      </c>
      <c r="Q29" s="8" t="str">
        <f aca="false">IF(P29=L29,"Reject",IF(O29&gt;0,"Block",IF(N29&gt;0,"Draft","Approve")))</f>
        <v>Draft</v>
      </c>
    </row>
    <row r="30" customFormat="false" ht="54" hidden="false" customHeight="true" outlineLevel="0" collapsed="false">
      <c r="A30" s="8" t="s">
        <v>1365</v>
      </c>
      <c r="B30" s="8" t="s">
        <v>1300</v>
      </c>
      <c r="C30" s="8" t="s">
        <v>176</v>
      </c>
      <c r="D30" s="8" t="s">
        <v>177</v>
      </c>
      <c r="E30" s="8" t="s">
        <v>36</v>
      </c>
      <c r="F30" s="8" t="s">
        <v>47</v>
      </c>
      <c r="G30" s="8" t="s">
        <v>66</v>
      </c>
      <c r="H30" s="8" t="s">
        <v>1671</v>
      </c>
      <c r="I30" s="8" t="s">
        <v>1672</v>
      </c>
      <c r="J30" s="8" t="s">
        <v>1673</v>
      </c>
      <c r="K30" s="8" t="s">
        <v>1674</v>
      </c>
      <c r="L30" s="8" t="n">
        <f aca="false">COUNTIFS(TestCases!$E$2:$E$158,$A30)</f>
        <v>6</v>
      </c>
      <c r="M30" s="8" t="n">
        <f aca="false">COUNTIFS(TestCases!$E$2:$E$158,$A30,TestCases!$V$2:$V$158,"Approve")</f>
        <v>4</v>
      </c>
      <c r="N30" s="8" t="n">
        <f aca="false">COUNTIFS(TestCases!$E$2:$E$158,$A30,TestCases!$V$2:$V$158,"Draft")</f>
        <v>1</v>
      </c>
      <c r="O30" s="8" t="n">
        <f aca="false">COUNTIFS(TestCases!$E$2:$E$158,$A30,TestCases!$V$2:$V$158,"Block")</f>
        <v>0</v>
      </c>
      <c r="P30" s="8" t="n">
        <f aca="false">COUNTIFS(TestCases!$E$2:$E$158,$A30,TestCases!$V$2:$V$158,"Reject")</f>
        <v>1</v>
      </c>
      <c r="Q30" s="8" t="str">
        <f aca="false">IF(P30=L30,"Reject",IF(O30&gt;0,"Block",IF(N30&gt;0,"Draft","Approve")))</f>
        <v>Draft</v>
      </c>
    </row>
    <row r="31" customFormat="false" ht="54" hidden="false" customHeight="true" outlineLevel="0" collapsed="false">
      <c r="A31" s="8" t="s">
        <v>1418</v>
      </c>
      <c r="B31" s="8" t="s">
        <v>1300</v>
      </c>
      <c r="C31" s="8" t="s">
        <v>176</v>
      </c>
      <c r="D31" s="8" t="s">
        <v>177</v>
      </c>
      <c r="E31" s="8" t="s">
        <v>36</v>
      </c>
      <c r="F31" s="8" t="s">
        <v>48</v>
      </c>
      <c r="G31" s="8" t="s">
        <v>64</v>
      </c>
      <c r="H31" s="8" t="s">
        <v>1675</v>
      </c>
      <c r="I31" s="8" t="s">
        <v>1676</v>
      </c>
      <c r="J31" s="8" t="s">
        <v>1677</v>
      </c>
      <c r="K31" s="8" t="s">
        <v>1678</v>
      </c>
      <c r="L31" s="8" t="n">
        <f aca="false">COUNTIFS(TestCases!$E$2:$E$158,$A31)</f>
        <v>7</v>
      </c>
      <c r="M31" s="8" t="n">
        <f aca="false">COUNTIFS(TestCases!$E$2:$E$158,$A31,TestCases!$V$2:$V$158,"Approve")</f>
        <v>4</v>
      </c>
      <c r="N31" s="8" t="n">
        <f aca="false">COUNTIFS(TestCases!$E$2:$E$158,$A31,TestCases!$V$2:$V$158,"Draft")</f>
        <v>3</v>
      </c>
      <c r="O31" s="8" t="n">
        <f aca="false">COUNTIFS(TestCases!$E$2:$E$158,$A31,TestCases!$V$2:$V$158,"Block")</f>
        <v>0</v>
      </c>
      <c r="P31" s="8" t="n">
        <f aca="false">COUNTIFS(TestCases!$E$2:$E$158,$A31,TestCases!$V$2:$V$158,"Reject")</f>
        <v>0</v>
      </c>
      <c r="Q31" s="8" t="str">
        <f aca="false">IF(P31=L31,"Reject",IF(O31&gt;0,"Block",IF(N31&gt;0,"Draft","Approve")))</f>
        <v>Draft</v>
      </c>
    </row>
    <row r="32" customFormat="false" ht="41.25" hidden="false" customHeight="true" outlineLevel="0" collapsed="false">
      <c r="A32" s="8" t="s">
        <v>1482</v>
      </c>
      <c r="B32" s="8" t="s">
        <v>1490</v>
      </c>
      <c r="C32" s="8" t="s">
        <v>176</v>
      </c>
      <c r="D32" s="8" t="s">
        <v>177</v>
      </c>
      <c r="E32" s="8" t="s">
        <v>36</v>
      </c>
      <c r="F32" s="8" t="s">
        <v>52</v>
      </c>
      <c r="G32" s="8" t="s">
        <v>63</v>
      </c>
      <c r="H32" s="8" t="s">
        <v>1679</v>
      </c>
      <c r="I32" s="8" t="s">
        <v>1680</v>
      </c>
      <c r="J32" s="8" t="s">
        <v>1681</v>
      </c>
      <c r="K32" s="8" t="s">
        <v>1682</v>
      </c>
      <c r="L32" s="8" t="n">
        <f aca="false">COUNTIFS(TestCases!$E$2:$E$158,$A32)</f>
        <v>5</v>
      </c>
      <c r="M32" s="8" t="n">
        <f aca="false">COUNTIFS(TestCases!$E$2:$E$158,$A32,TestCases!$V$2:$V$158,"Approve")</f>
        <v>0</v>
      </c>
      <c r="N32" s="8" t="n">
        <f aca="false">COUNTIFS(TestCases!$E$2:$E$158,$A32,TestCases!$V$2:$V$158,"Draft")</f>
        <v>5</v>
      </c>
      <c r="O32" s="8" t="n">
        <f aca="false">COUNTIFS(TestCases!$E$2:$E$158,$A32,TestCases!$V$2:$V$158,"Block")</f>
        <v>0</v>
      </c>
      <c r="P32" s="8" t="n">
        <f aca="false">COUNTIFS(TestCases!$E$2:$E$158,$A32,TestCases!$V$2:$V$158,"Reject")</f>
        <v>0</v>
      </c>
      <c r="Q32" s="8" t="str">
        <f aca="false">IF(P32=L32,"Reject",IF(O32&gt;0,"Block",IF(N32&gt;0,"Draft","Approve")))</f>
        <v>Draft</v>
      </c>
    </row>
    <row r="33" customFormat="false" ht="54" hidden="false" customHeight="true" outlineLevel="0" collapsed="false">
      <c r="A33" s="8" t="s">
        <v>1529</v>
      </c>
      <c r="B33" s="8" t="s">
        <v>1537</v>
      </c>
      <c r="C33" s="8" t="s">
        <v>176</v>
      </c>
      <c r="D33" s="8" t="s">
        <v>177</v>
      </c>
      <c r="E33" s="8" t="s">
        <v>36</v>
      </c>
      <c r="F33" s="8" t="s">
        <v>47</v>
      </c>
      <c r="G33" s="8" t="s">
        <v>64</v>
      </c>
      <c r="H33" s="8" t="s">
        <v>1683</v>
      </c>
      <c r="I33" s="8" t="s">
        <v>1684</v>
      </c>
      <c r="J33" s="8" t="s">
        <v>1685</v>
      </c>
      <c r="K33" s="8" t="s">
        <v>65</v>
      </c>
      <c r="L33" s="8" t="n">
        <f aca="false">COUNTIFS(TestCases!$E$2:$E$158,$A33)</f>
        <v>4</v>
      </c>
      <c r="M33" s="8" t="n">
        <f aca="false">COUNTIFS(TestCases!$E$2:$E$158,$A33,TestCases!$V$2:$V$158,"Approve")</f>
        <v>4</v>
      </c>
      <c r="N33" s="8" t="n">
        <f aca="false">COUNTIFS(TestCases!$E$2:$E$158,$A33,TestCases!$V$2:$V$158,"Draft")</f>
        <v>0</v>
      </c>
      <c r="O33" s="8" t="n">
        <f aca="false">COUNTIFS(TestCases!$E$2:$E$158,$A33,TestCases!$V$2:$V$158,"Block")</f>
        <v>0</v>
      </c>
      <c r="P33" s="8" t="n">
        <f aca="false">COUNTIFS(TestCases!$E$2:$E$158,$A33,TestCases!$V$2:$V$158,"Reject")</f>
        <v>0</v>
      </c>
      <c r="Q33" s="8" t="str">
        <f aca="false">IF(P33=L33,"Reject",IF(O33&gt;0,"Block",IF(N33&gt;0,"Draft","Approve")))</f>
        <v>Approve</v>
      </c>
    </row>
  </sheetData>
  <autoFilter ref="A1:Q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54"/>
    <col collapsed="false" customWidth="true" hidden="false" outlineLevel="0" max="4" min="4" style="0" width="46"/>
    <col collapsed="false" customWidth="true" hidden="false" outlineLevel="0" max="5" min="5" style="0" width="36"/>
    <col collapsed="false" customWidth="true" hidden="false" outlineLevel="0" max="6" min="6" style="0" width="16"/>
    <col collapsed="false" customWidth="true" hidden="false" outlineLevel="0" max="7" min="7" style="0" width="9"/>
    <col collapsed="false" customWidth="true" hidden="false" outlineLevel="0" max="8" min="8" style="0" width="10"/>
    <col collapsed="false" customWidth="true" hidden="false" outlineLevel="0" max="9" min="9" style="0" width="14"/>
    <col collapsed="false" customWidth="true" hidden="false" outlineLevel="0" max="10" min="10" style="0" width="34"/>
    <col collapsed="false" customWidth="true" hidden="false" outlineLevel="0" max="11" min="11" style="0" width="14"/>
    <col collapsed="false" customWidth="true" hidden="false" outlineLevel="0" max="12" min="12" style="0" width="46"/>
    <col collapsed="false" customWidth="true" hidden="false" outlineLevel="0" max="13" min="13" style="0" width="36"/>
    <col collapsed="false" customWidth="true" hidden="false" outlineLevel="0" max="14" min="14" style="0" width="12"/>
    <col collapsed="false" customWidth="true" hidden="false" outlineLevel="0" max="18" min="15" style="0" width="9"/>
  </cols>
  <sheetData>
    <row r="1" customFormat="false" ht="34.5" hidden="false" customHeight="true" outlineLevel="0" collapsed="false">
      <c r="A1" s="5" t="s">
        <v>1686</v>
      </c>
      <c r="B1" s="5" t="s">
        <v>127</v>
      </c>
      <c r="C1" s="5" t="s">
        <v>162</v>
      </c>
      <c r="D1" s="5" t="s">
        <v>1687</v>
      </c>
      <c r="E1" s="5" t="s">
        <v>1688</v>
      </c>
      <c r="F1" s="5" t="s">
        <v>163</v>
      </c>
      <c r="G1" s="5" t="s">
        <v>35</v>
      </c>
      <c r="H1" s="5" t="s">
        <v>68</v>
      </c>
      <c r="I1" s="5" t="s">
        <v>1689</v>
      </c>
      <c r="J1" s="5" t="s">
        <v>1568</v>
      </c>
      <c r="K1" s="5" t="s">
        <v>1690</v>
      </c>
      <c r="L1" s="5" t="s">
        <v>1691</v>
      </c>
      <c r="M1" s="5" t="s">
        <v>1692</v>
      </c>
      <c r="N1" s="5" t="s">
        <v>1693</v>
      </c>
      <c r="O1" s="5" t="s">
        <v>7</v>
      </c>
      <c r="P1" s="5" t="s">
        <v>9</v>
      </c>
      <c r="Q1" s="5" t="s">
        <v>11</v>
      </c>
      <c r="R1" s="5" t="s">
        <v>13</v>
      </c>
    </row>
    <row r="2" customFormat="false" ht="41.25" hidden="false" customHeight="true" outlineLevel="0" collapsed="false">
      <c r="A2" s="8" t="s">
        <v>233</v>
      </c>
      <c r="B2" s="8" t="s">
        <v>1694</v>
      </c>
      <c r="C2" s="8" t="s">
        <v>1695</v>
      </c>
      <c r="D2" s="8" t="s">
        <v>1696</v>
      </c>
      <c r="E2" s="8" t="s">
        <v>1697</v>
      </c>
      <c r="F2" s="8" t="s">
        <v>177</v>
      </c>
      <c r="G2" s="8" t="s">
        <v>36</v>
      </c>
      <c r="H2" s="8" t="str">
        <f aca="false">IF(OR(Q2&gt;0,AND(R2&gt;0,O2+P2+Q2=0)),"Open",IF(P2&gt;0,"Assumed","Clear"))</f>
        <v>Assumed</v>
      </c>
      <c r="I2" s="8" t="str">
        <f aca="false">IF(COUNTIFS(TestCases!$R$2:$R$158,$A2,TestCases!$V$2:$V$158,"&lt;&gt;Reject")&gt;0,"Yes","No")</f>
        <v>Yes</v>
      </c>
      <c r="J2" s="8" t="s">
        <v>1578</v>
      </c>
      <c r="K2" s="8" t="str">
        <f aca="false">IF(O2+P2+Q2=0,"Reject",IF(Q2&gt;0,"Block",IF(P2&gt;0,"Draft","Approve")))</f>
        <v>Draft</v>
      </c>
      <c r="L2" s="8" t="s">
        <v>1698</v>
      </c>
      <c r="M2" s="8" t="s">
        <v>1699</v>
      </c>
      <c r="N2" s="8" t="s">
        <v>65</v>
      </c>
      <c r="O2" s="8" t="n">
        <f aca="false">COUNTIFS(TestCases!$R$2:$R$158,$A2,TestCases!$V$2:$V$158,"Approve")</f>
        <v>4</v>
      </c>
      <c r="P2" s="8" t="n">
        <f aca="false">COUNTIFS(TestCases!$R$2:$R$158,$A2,TestCases!$V$2:$V$158,"Draft")</f>
        <v>1</v>
      </c>
      <c r="Q2" s="8" t="n">
        <f aca="false">COUNTIFS(TestCases!$R$2:$R$158,$A2,TestCases!$V$2:$V$158,"Block")</f>
        <v>0</v>
      </c>
      <c r="R2" s="8" t="n">
        <f aca="false">COUNTIFS(TestCases!$R$2:$R$158,$A2,TestCases!$V$2:$V$158,"Reject")</f>
        <v>0</v>
      </c>
    </row>
    <row r="3" customFormat="false" ht="28.5" hidden="false" customHeight="true" outlineLevel="0" collapsed="false">
      <c r="A3" s="8" t="s">
        <v>188</v>
      </c>
      <c r="B3" s="8" t="s">
        <v>1700</v>
      </c>
      <c r="C3" s="8" t="s">
        <v>1701</v>
      </c>
      <c r="D3" s="8" t="s">
        <v>1702</v>
      </c>
      <c r="E3" s="8" t="s">
        <v>1703</v>
      </c>
      <c r="F3" s="8" t="s">
        <v>177</v>
      </c>
      <c r="G3" s="8" t="s">
        <v>36</v>
      </c>
      <c r="H3" s="8" t="str">
        <f aca="false">IF(OR(Q3&gt;0,AND(R3&gt;0,O3+P3+Q3=0)),"Open",IF(P3&gt;0,"Assumed","Clear"))</f>
        <v>Clear</v>
      </c>
      <c r="I3" s="8" t="str">
        <f aca="false">IF(COUNTIFS(TestCases!$R$2:$R$158,$A3,TestCases!$V$2:$V$158,"&lt;&gt;Reject")&gt;0,"Yes","No")</f>
        <v>Yes</v>
      </c>
      <c r="J3" s="8" t="s">
        <v>1574</v>
      </c>
      <c r="K3" s="8" t="str">
        <f aca="false">IF(O3+P3+Q3=0,"Reject",IF(Q3&gt;0,"Block",IF(P3&gt;0,"Draft","Approve")))</f>
        <v>Approve</v>
      </c>
      <c r="L3" s="8" t="s">
        <v>1704</v>
      </c>
      <c r="M3" s="8" t="s">
        <v>1705</v>
      </c>
      <c r="N3" s="8" t="s">
        <v>65</v>
      </c>
      <c r="O3" s="8" t="n">
        <f aca="false">COUNTIFS(TestCases!$R$2:$R$158,$A3,TestCases!$V$2:$V$158,"Approve")</f>
        <v>5</v>
      </c>
      <c r="P3" s="8" t="n">
        <f aca="false">COUNTIFS(TestCases!$R$2:$R$158,$A3,TestCases!$V$2:$V$158,"Draft")</f>
        <v>0</v>
      </c>
      <c r="Q3" s="8" t="n">
        <f aca="false">COUNTIFS(TestCases!$R$2:$R$158,$A3,TestCases!$V$2:$V$158,"Block")</f>
        <v>0</v>
      </c>
      <c r="R3" s="8" t="n">
        <f aca="false">COUNTIFS(TestCases!$R$2:$R$158,$A3,TestCases!$V$2:$V$158,"Reject")</f>
        <v>0</v>
      </c>
    </row>
    <row r="4" customFormat="false" ht="41.25" hidden="false" customHeight="true" outlineLevel="0" collapsed="false">
      <c r="A4" s="8" t="s">
        <v>274</v>
      </c>
      <c r="B4" s="8" t="s">
        <v>1706</v>
      </c>
      <c r="C4" s="8" t="s">
        <v>1707</v>
      </c>
      <c r="D4" s="8" t="s">
        <v>1708</v>
      </c>
      <c r="E4" s="8" t="s">
        <v>1709</v>
      </c>
      <c r="F4" s="8" t="s">
        <v>177</v>
      </c>
      <c r="G4" s="8" t="s">
        <v>36</v>
      </c>
      <c r="H4" s="8" t="str">
        <f aca="false">IF(OR(Q4&gt;0,AND(R4&gt;0,O4+P4+Q4=0)),"Open",IF(P4&gt;0,"Assumed","Clear"))</f>
        <v>Assumed</v>
      </c>
      <c r="I4" s="8" t="str">
        <f aca="false">IF(COUNTIFS(TestCases!$R$2:$R$158,$A4,TestCases!$V$2:$V$158,"&lt;&gt;Reject")&gt;0,"Yes","No")</f>
        <v>Yes</v>
      </c>
      <c r="J4" s="8" t="s">
        <v>1582</v>
      </c>
      <c r="K4" s="8" t="str">
        <f aca="false">IF(O4+P4+Q4=0,"Reject",IF(Q4&gt;0,"Block",IF(P4&gt;0,"Draft","Approve")))</f>
        <v>Draft</v>
      </c>
      <c r="L4" s="8" t="s">
        <v>1710</v>
      </c>
      <c r="M4" s="8" t="s">
        <v>1711</v>
      </c>
      <c r="N4" s="8" t="s">
        <v>65</v>
      </c>
      <c r="O4" s="8" t="n">
        <f aca="false">COUNTIFS(TestCases!$R$2:$R$158,$A4,TestCases!$V$2:$V$158,"Approve")</f>
        <v>5</v>
      </c>
      <c r="P4" s="8" t="n">
        <f aca="false">COUNTIFS(TestCases!$R$2:$R$158,$A4,TestCases!$V$2:$V$158,"Draft")</f>
        <v>2</v>
      </c>
      <c r="Q4" s="8" t="n">
        <f aca="false">COUNTIFS(TestCases!$R$2:$R$158,$A4,TestCases!$V$2:$V$158,"Block")</f>
        <v>0</v>
      </c>
      <c r="R4" s="8" t="n">
        <f aca="false">COUNTIFS(TestCases!$R$2:$R$158,$A4,TestCases!$V$2:$V$158,"Reject")</f>
        <v>0</v>
      </c>
    </row>
    <row r="5" customFormat="false" ht="28.5" hidden="false" customHeight="true" outlineLevel="0" collapsed="false">
      <c r="A5" s="8" t="s">
        <v>757</v>
      </c>
      <c r="B5" s="8" t="s">
        <v>1712</v>
      </c>
      <c r="C5" s="8" t="s">
        <v>1713</v>
      </c>
      <c r="D5" s="8" t="s">
        <v>1714</v>
      </c>
      <c r="E5" s="8" t="s">
        <v>1715</v>
      </c>
      <c r="F5" s="8" t="s">
        <v>177</v>
      </c>
      <c r="G5" s="8" t="s">
        <v>36</v>
      </c>
      <c r="H5" s="8" t="str">
        <f aca="false">IF(OR(Q5&gt;0,AND(R5&gt;0,O5+P5+Q5=0)),"Open",IF(P5&gt;0,"Assumed","Clear"))</f>
        <v>Clear</v>
      </c>
      <c r="I5" s="8" t="str">
        <f aca="false">IF(COUNTIFS(TestCases!$R$2:$R$158,$A5,TestCases!$V$2:$V$158,"&lt;&gt;Reject")&gt;0,"Yes","No")</f>
        <v>Yes</v>
      </c>
      <c r="J5" s="8" t="s">
        <v>1574</v>
      </c>
      <c r="K5" s="8" t="str">
        <f aca="false">IF(O5+P5+Q5=0,"Reject",IF(Q5&gt;0,"Block",IF(P5&gt;0,"Draft","Approve")))</f>
        <v>Approve</v>
      </c>
      <c r="L5" s="8" t="s">
        <v>1716</v>
      </c>
      <c r="M5" s="8" t="s">
        <v>1717</v>
      </c>
      <c r="N5" s="8" t="s">
        <v>65</v>
      </c>
      <c r="O5" s="8" t="n">
        <f aca="false">COUNTIFS(TestCases!$R$2:$R$158,$A5,TestCases!$V$2:$V$158,"Approve")</f>
        <v>3</v>
      </c>
      <c r="P5" s="8" t="n">
        <f aca="false">COUNTIFS(TestCases!$R$2:$R$158,$A5,TestCases!$V$2:$V$158,"Draft")</f>
        <v>0</v>
      </c>
      <c r="Q5" s="8" t="n">
        <f aca="false">COUNTIFS(TestCases!$R$2:$R$158,$A5,TestCases!$V$2:$V$158,"Block")</f>
        <v>0</v>
      </c>
      <c r="R5" s="8" t="n">
        <f aca="false">COUNTIFS(TestCases!$R$2:$R$158,$A5,TestCases!$V$2:$V$158,"Reject")</f>
        <v>0</v>
      </c>
    </row>
    <row r="6" customFormat="false" ht="41.25" hidden="false" customHeight="true" outlineLevel="0" collapsed="false">
      <c r="A6" s="8" t="s">
        <v>341</v>
      </c>
      <c r="B6" s="8" t="s">
        <v>1718</v>
      </c>
      <c r="C6" s="8" t="s">
        <v>1719</v>
      </c>
      <c r="D6" s="8" t="s">
        <v>1720</v>
      </c>
      <c r="E6" s="8" t="s">
        <v>1721</v>
      </c>
      <c r="F6" s="8" t="s">
        <v>177</v>
      </c>
      <c r="G6" s="8" t="s">
        <v>36</v>
      </c>
      <c r="H6" s="8" t="str">
        <f aca="false">IF(OR(Q6&gt;0,AND(R6&gt;0,O6+P6+Q6=0)),"Open",IF(P6&gt;0,"Assumed","Clear"))</f>
        <v>Assumed</v>
      </c>
      <c r="I6" s="8" t="str">
        <f aca="false">IF(COUNTIFS(TestCases!$R$2:$R$158,$A6,TestCases!$V$2:$V$158,"&lt;&gt;Reject")&gt;0,"Yes","No")</f>
        <v>Yes</v>
      </c>
      <c r="J6" s="8" t="s">
        <v>1586</v>
      </c>
      <c r="K6" s="8" t="str">
        <f aca="false">IF(O6+P6+Q6=0,"Reject",IF(Q6&gt;0,"Block",IF(P6&gt;0,"Draft","Approve")))</f>
        <v>Draft</v>
      </c>
      <c r="L6" s="8" t="s">
        <v>1722</v>
      </c>
      <c r="M6" s="8" t="s">
        <v>1723</v>
      </c>
      <c r="N6" s="8" t="s">
        <v>65</v>
      </c>
      <c r="O6" s="8" t="n">
        <f aca="false">COUNTIFS(TestCases!$R$2:$R$158,$A6,TestCases!$V$2:$V$158,"Approve")</f>
        <v>7</v>
      </c>
      <c r="P6" s="8" t="n">
        <f aca="false">COUNTIFS(TestCases!$R$2:$R$158,$A6,TestCases!$V$2:$V$158,"Draft")</f>
        <v>1</v>
      </c>
      <c r="Q6" s="8" t="n">
        <f aca="false">COUNTIFS(TestCases!$R$2:$R$158,$A6,TestCases!$V$2:$V$158,"Block")</f>
        <v>0</v>
      </c>
      <c r="R6" s="8" t="n">
        <f aca="false">COUNTIFS(TestCases!$R$2:$R$158,$A6,TestCases!$V$2:$V$158,"Reject")</f>
        <v>0</v>
      </c>
    </row>
    <row r="7" customFormat="false" ht="41.25" hidden="false" customHeight="true" outlineLevel="0" collapsed="false">
      <c r="A7" s="8" t="s">
        <v>696</v>
      </c>
      <c r="B7" s="8" t="s">
        <v>1724</v>
      </c>
      <c r="C7" s="8" t="s">
        <v>1725</v>
      </c>
      <c r="D7" s="8" t="s">
        <v>1726</v>
      </c>
      <c r="E7" s="8" t="s">
        <v>1727</v>
      </c>
      <c r="F7" s="8" t="s">
        <v>177</v>
      </c>
      <c r="G7" s="8" t="s">
        <v>36</v>
      </c>
      <c r="H7" s="8" t="str">
        <f aca="false">IF(OR(Q7&gt;0,AND(R7&gt;0,O7+P7+Q7=0)),"Open",IF(P7&gt;0,"Assumed","Clear"))</f>
        <v>Assumed</v>
      </c>
      <c r="I7" s="8" t="str">
        <f aca="false">IF(COUNTIFS(TestCases!$R$2:$R$158,$A7,TestCases!$V$2:$V$158,"&lt;&gt;Reject")&gt;0,"Yes","No")</f>
        <v>Yes</v>
      </c>
      <c r="J7" s="8" t="s">
        <v>1610</v>
      </c>
      <c r="K7" s="8" t="str">
        <f aca="false">IF(O7+P7+Q7=0,"Reject",IF(Q7&gt;0,"Block",IF(P7&gt;0,"Draft","Approve")))</f>
        <v>Draft</v>
      </c>
      <c r="L7" s="8" t="s">
        <v>1728</v>
      </c>
      <c r="M7" s="8" t="s">
        <v>1729</v>
      </c>
      <c r="N7" s="8" t="s">
        <v>65</v>
      </c>
      <c r="O7" s="8" t="n">
        <f aca="false">COUNTIFS(TestCases!$R$2:$R$158,$A7,TestCases!$V$2:$V$158,"Approve")</f>
        <v>3</v>
      </c>
      <c r="P7" s="8" t="n">
        <f aca="false">COUNTIFS(TestCases!$R$2:$R$158,$A7,TestCases!$V$2:$V$158,"Draft")</f>
        <v>2</v>
      </c>
      <c r="Q7" s="8" t="n">
        <f aca="false">COUNTIFS(TestCases!$R$2:$R$158,$A7,TestCases!$V$2:$V$158,"Block")</f>
        <v>0</v>
      </c>
      <c r="R7" s="8" t="n">
        <f aca="false">COUNTIFS(TestCases!$R$2:$R$158,$A7,TestCases!$V$2:$V$158,"Reject")</f>
        <v>0</v>
      </c>
    </row>
    <row r="8" customFormat="false" ht="54" hidden="false" customHeight="true" outlineLevel="0" collapsed="false">
      <c r="A8" s="8" t="s">
        <v>787</v>
      </c>
      <c r="B8" s="8" t="s">
        <v>1730</v>
      </c>
      <c r="C8" s="8" t="s">
        <v>1731</v>
      </c>
      <c r="D8" s="8" t="s">
        <v>1732</v>
      </c>
      <c r="E8" s="8" t="s">
        <v>1733</v>
      </c>
      <c r="F8" s="8" t="s">
        <v>177</v>
      </c>
      <c r="G8" s="8" t="s">
        <v>36</v>
      </c>
      <c r="H8" s="8" t="str">
        <f aca="false">IF(OR(Q8&gt;0,AND(R8&gt;0,O8+P8+Q8=0)),"Open",IF(P8&gt;0,"Assumed","Clear"))</f>
        <v>Assumed</v>
      </c>
      <c r="I8" s="8" t="str">
        <f aca="false">IF(COUNTIFS(TestCases!$R$2:$R$158,$A8,TestCases!$V$2:$V$158,"&lt;&gt;Reject")&gt;0,"Yes","No")</f>
        <v>Yes</v>
      </c>
      <c r="J8" s="8" t="s">
        <v>1619</v>
      </c>
      <c r="K8" s="8" t="str">
        <f aca="false">IF(O8+P8+Q8=0,"Reject",IF(Q8&gt;0,"Block",IF(P8&gt;0,"Draft","Approve")))</f>
        <v>Draft</v>
      </c>
      <c r="L8" s="8" t="s">
        <v>1734</v>
      </c>
      <c r="M8" s="8" t="s">
        <v>1735</v>
      </c>
      <c r="N8" s="8" t="s">
        <v>65</v>
      </c>
      <c r="O8" s="8" t="n">
        <f aca="false">COUNTIFS(TestCases!$R$2:$R$158,$A8,TestCases!$V$2:$V$158,"Approve")</f>
        <v>1</v>
      </c>
      <c r="P8" s="8" t="n">
        <f aca="false">COUNTIFS(TestCases!$R$2:$R$158,$A8,TestCases!$V$2:$V$158,"Draft")</f>
        <v>11</v>
      </c>
      <c r="Q8" s="8" t="n">
        <f aca="false">COUNTIFS(TestCases!$R$2:$R$158,$A8,TestCases!$V$2:$V$158,"Block")</f>
        <v>0</v>
      </c>
      <c r="R8" s="8" t="n">
        <f aca="false">COUNTIFS(TestCases!$R$2:$R$158,$A8,TestCases!$V$2:$V$158,"Reject")</f>
        <v>0</v>
      </c>
    </row>
    <row r="9" customFormat="false" ht="28.5" hidden="false" customHeight="true" outlineLevel="0" collapsed="false">
      <c r="A9" s="8" t="s">
        <v>901</v>
      </c>
      <c r="B9" s="8" t="s">
        <v>1736</v>
      </c>
      <c r="C9" s="8" t="s">
        <v>1737</v>
      </c>
      <c r="D9" s="8" t="s">
        <v>1738</v>
      </c>
      <c r="E9" s="8" t="s">
        <v>1739</v>
      </c>
      <c r="F9" s="8" t="s">
        <v>177</v>
      </c>
      <c r="G9" s="8" t="s">
        <v>37</v>
      </c>
      <c r="H9" s="8" t="str">
        <f aca="false">IF(OR(Q9&gt;0,AND(R9&gt;0,O9+P9+Q9=0)),"Open",IF(P9&gt;0,"Assumed","Clear"))</f>
        <v>Open</v>
      </c>
      <c r="I9" s="8" t="str">
        <f aca="false">IF(COUNTIFS(TestCases!$R$2:$R$158,$A9,TestCases!$V$2:$V$158,"&lt;&gt;Reject")&gt;0,"Yes","No")</f>
        <v>No</v>
      </c>
      <c r="J9" s="8" t="s">
        <v>902</v>
      </c>
      <c r="K9" s="8" t="str">
        <f aca="false">IF(O9+P9+Q9=0,"Reject",IF(Q9&gt;0,"Block",IF(P9&gt;0,"Draft","Approve")))</f>
        <v>Reject</v>
      </c>
      <c r="L9" s="8" t="s">
        <v>1740</v>
      </c>
      <c r="M9" s="8" t="s">
        <v>1741</v>
      </c>
      <c r="N9" s="8" t="s">
        <v>65</v>
      </c>
      <c r="O9" s="8" t="n">
        <f aca="false">COUNTIFS(TestCases!$R$2:$R$158,$A9,TestCases!$V$2:$V$158,"Approve")</f>
        <v>0</v>
      </c>
      <c r="P9" s="8" t="n">
        <f aca="false">COUNTIFS(TestCases!$R$2:$R$158,$A9,TestCases!$V$2:$V$158,"Draft")</f>
        <v>0</v>
      </c>
      <c r="Q9" s="8" t="n">
        <f aca="false">COUNTIFS(TestCases!$R$2:$R$158,$A9,TestCases!$V$2:$V$158,"Block")</f>
        <v>0</v>
      </c>
      <c r="R9" s="8" t="n">
        <f aca="false">COUNTIFS(TestCases!$R$2:$R$158,$A9,TestCases!$V$2:$V$158,"Reject")</f>
        <v>2</v>
      </c>
    </row>
    <row r="10" customFormat="false" ht="28.5" hidden="false" customHeight="true" outlineLevel="0" collapsed="false">
      <c r="A10" s="8" t="s">
        <v>917</v>
      </c>
      <c r="B10" s="8" t="s">
        <v>1625</v>
      </c>
      <c r="C10" s="8" t="s">
        <v>1742</v>
      </c>
      <c r="D10" s="8" t="s">
        <v>1743</v>
      </c>
      <c r="E10" s="8" t="s">
        <v>1744</v>
      </c>
      <c r="F10" s="8" t="s">
        <v>177</v>
      </c>
      <c r="G10" s="8" t="s">
        <v>36</v>
      </c>
      <c r="H10" s="8" t="str">
        <f aca="false">IF(OR(Q10&gt;0,AND(R10&gt;0,O10+P10+Q10=0)),"Open",IF(P10&gt;0,"Assumed","Clear"))</f>
        <v>Assumed</v>
      </c>
      <c r="I10" s="8" t="str">
        <f aca="false">IF(COUNTIFS(TestCases!$R$2:$R$158,$A10,TestCases!$V$2:$V$158,"&lt;&gt;Reject")&gt;0,"Yes","No")</f>
        <v>Yes</v>
      </c>
      <c r="J10" s="8" t="s">
        <v>1626</v>
      </c>
      <c r="K10" s="8" t="str">
        <f aca="false">IF(O10+P10+Q10=0,"Reject",IF(Q10&gt;0,"Block",IF(P10&gt;0,"Draft","Approve")))</f>
        <v>Draft</v>
      </c>
      <c r="L10" s="8" t="s">
        <v>1745</v>
      </c>
      <c r="M10" s="8" t="s">
        <v>1746</v>
      </c>
      <c r="N10" s="8" t="s">
        <v>65</v>
      </c>
      <c r="O10" s="8" t="n">
        <f aca="false">COUNTIFS(TestCases!$R$2:$R$158,$A10,TestCases!$V$2:$V$158,"Approve")</f>
        <v>1</v>
      </c>
      <c r="P10" s="8" t="n">
        <f aca="false">COUNTIFS(TestCases!$R$2:$R$158,$A10,TestCases!$V$2:$V$158,"Draft")</f>
        <v>1</v>
      </c>
      <c r="Q10" s="8" t="n">
        <f aca="false">COUNTIFS(TestCases!$R$2:$R$158,$A10,TestCases!$V$2:$V$158,"Block")</f>
        <v>0</v>
      </c>
      <c r="R10" s="8" t="n">
        <f aca="false">COUNTIFS(TestCases!$R$2:$R$158,$A10,TestCases!$V$2:$V$158,"Reject")</f>
        <v>0</v>
      </c>
    </row>
    <row r="11" customFormat="false" ht="66.75" hidden="false" customHeight="true" outlineLevel="0" collapsed="false">
      <c r="A11" s="8" t="s">
        <v>455</v>
      </c>
      <c r="B11" s="8" t="s">
        <v>1747</v>
      </c>
      <c r="C11" s="8" t="s">
        <v>1748</v>
      </c>
      <c r="D11" s="8" t="s">
        <v>1749</v>
      </c>
      <c r="E11" s="8" t="s">
        <v>1750</v>
      </c>
      <c r="F11" s="8" t="s">
        <v>177</v>
      </c>
      <c r="G11" s="8" t="s">
        <v>36</v>
      </c>
      <c r="H11" s="8" t="str">
        <f aca="false">IF(OR(Q11&gt;0,AND(R11&gt;0,O11+P11+Q11=0)),"Open",IF(P11&gt;0,"Assumed","Clear"))</f>
        <v>Open</v>
      </c>
      <c r="I11" s="8" t="str">
        <f aca="false">IF(COUNTIFS(TestCases!$R$2:$R$158,$A11,TestCases!$V$2:$V$158,"&lt;&gt;Reject")&gt;0,"Yes","No")</f>
        <v>Yes</v>
      </c>
      <c r="J11" s="8" t="s">
        <v>1594</v>
      </c>
      <c r="K11" s="8" t="str">
        <f aca="false">IF(O11+P11+Q11=0,"Reject",IF(Q11&gt;0,"Block",IF(P11&gt;0,"Draft","Approve")))</f>
        <v>Block</v>
      </c>
      <c r="L11" s="8" t="s">
        <v>1751</v>
      </c>
      <c r="M11" s="8" t="s">
        <v>1752</v>
      </c>
      <c r="N11" s="8" t="s">
        <v>65</v>
      </c>
      <c r="O11" s="8" t="n">
        <f aca="false">COUNTIFS(TestCases!$R$2:$R$158,$A11,TestCases!$V$2:$V$158,"Approve")</f>
        <v>11</v>
      </c>
      <c r="P11" s="8" t="n">
        <f aca="false">COUNTIFS(TestCases!$R$2:$R$158,$A11,TestCases!$V$2:$V$158,"Draft")</f>
        <v>2</v>
      </c>
      <c r="Q11" s="8" t="n">
        <f aca="false">COUNTIFS(TestCases!$R$2:$R$158,$A11,TestCases!$V$2:$V$158,"Block")</f>
        <v>1</v>
      </c>
      <c r="R11" s="8" t="n">
        <f aca="false">COUNTIFS(TestCases!$R$2:$R$158,$A11,TestCases!$V$2:$V$158,"Reject")</f>
        <v>0</v>
      </c>
    </row>
    <row r="12" customFormat="false" ht="41.25" hidden="false" customHeight="true" outlineLevel="0" collapsed="false">
      <c r="A12" s="8" t="s">
        <v>603</v>
      </c>
      <c r="B12" s="8" t="s">
        <v>1753</v>
      </c>
      <c r="C12" s="8" t="s">
        <v>1754</v>
      </c>
      <c r="D12" s="8" t="s">
        <v>1755</v>
      </c>
      <c r="E12" s="8" t="s">
        <v>1756</v>
      </c>
      <c r="F12" s="8" t="s">
        <v>177</v>
      </c>
      <c r="G12" s="8" t="s">
        <v>36</v>
      </c>
      <c r="H12" s="8" t="str">
        <f aca="false">IF(OR(Q12&gt;0,AND(R12&gt;0,O12+P12+Q12=0)),"Open",IF(P12&gt;0,"Assumed","Clear"))</f>
        <v>Open</v>
      </c>
      <c r="I12" s="8" t="str">
        <f aca="false">IF(COUNTIFS(TestCases!$R$2:$R$158,$A12,TestCases!$V$2:$V$158,"&lt;&gt;Reject")&gt;0,"Yes","No")</f>
        <v>Yes</v>
      </c>
      <c r="J12" s="8" t="s">
        <v>1602</v>
      </c>
      <c r="K12" s="8" t="str">
        <f aca="false">IF(O12+P12+Q12=0,"Reject",IF(Q12&gt;0,"Block",IF(P12&gt;0,"Draft","Approve")))</f>
        <v>Block</v>
      </c>
      <c r="L12" s="8" t="s">
        <v>1757</v>
      </c>
      <c r="M12" s="8" t="s">
        <v>1758</v>
      </c>
      <c r="N12" s="8" t="s">
        <v>65</v>
      </c>
      <c r="O12" s="8" t="n">
        <f aca="false">COUNTIFS(TestCases!$R$2:$R$158,$A12,TestCases!$V$2:$V$158,"Approve")</f>
        <v>5</v>
      </c>
      <c r="P12" s="8" t="n">
        <f aca="false">COUNTIFS(TestCases!$R$2:$R$158,$A12,TestCases!$V$2:$V$158,"Draft")</f>
        <v>0</v>
      </c>
      <c r="Q12" s="8" t="n">
        <f aca="false">COUNTIFS(TestCases!$R$2:$R$158,$A12,TestCases!$V$2:$V$158,"Block")</f>
        <v>2</v>
      </c>
      <c r="R12" s="8" t="n">
        <f aca="false">COUNTIFS(TestCases!$R$2:$R$158,$A12,TestCases!$V$2:$V$158,"Reject")</f>
        <v>0</v>
      </c>
    </row>
    <row r="13" customFormat="false" ht="79.5" hidden="false" customHeight="true" outlineLevel="0" collapsed="false">
      <c r="A13" s="8" t="s">
        <v>413</v>
      </c>
      <c r="B13" s="8" t="s">
        <v>1759</v>
      </c>
      <c r="C13" s="8" t="s">
        <v>1760</v>
      </c>
      <c r="D13" s="8" t="s">
        <v>1761</v>
      </c>
      <c r="E13" s="8" t="s">
        <v>1762</v>
      </c>
      <c r="F13" s="8" t="s">
        <v>177</v>
      </c>
      <c r="G13" s="8" t="s">
        <v>36</v>
      </c>
      <c r="H13" s="8" t="str">
        <f aca="false">IF(OR(Q13&gt;0,AND(R13&gt;0,O13+P13+Q13=0)),"Open",IF(P13&gt;0,"Assumed","Clear"))</f>
        <v>Open</v>
      </c>
      <c r="I13" s="8" t="str">
        <f aca="false">IF(COUNTIFS(TestCases!$R$2:$R$158,$A13,TestCases!$V$2:$V$158,"&lt;&gt;Reject")&gt;0,"Yes","No")</f>
        <v>Yes</v>
      </c>
      <c r="J13" s="8" t="s">
        <v>1763</v>
      </c>
      <c r="K13" s="8" t="str">
        <f aca="false">IF(O13+P13+Q13=0,"Reject",IF(Q13&gt;0,"Block",IF(P13&gt;0,"Draft","Approve")))</f>
        <v>Block</v>
      </c>
      <c r="L13" s="8" t="s">
        <v>1764</v>
      </c>
      <c r="M13" s="8" t="s">
        <v>1765</v>
      </c>
      <c r="N13" s="8" t="s">
        <v>65</v>
      </c>
      <c r="O13" s="8" t="n">
        <f aca="false">COUNTIFS(TestCases!$R$2:$R$158,$A13,TestCases!$V$2:$V$158,"Approve")</f>
        <v>11</v>
      </c>
      <c r="P13" s="8" t="n">
        <f aca="false">COUNTIFS(TestCases!$R$2:$R$158,$A13,TestCases!$V$2:$V$158,"Draft")</f>
        <v>3</v>
      </c>
      <c r="Q13" s="8" t="n">
        <f aca="false">COUNTIFS(TestCases!$R$2:$R$158,$A13,TestCases!$V$2:$V$158,"Block")</f>
        <v>4</v>
      </c>
      <c r="R13" s="8" t="n">
        <f aca="false">COUNTIFS(TestCases!$R$2:$R$158,$A13,TestCases!$V$2:$V$158,"Reject")</f>
        <v>0</v>
      </c>
    </row>
    <row r="14" customFormat="false" ht="66.75" hidden="false" customHeight="true" outlineLevel="0" collapsed="false">
      <c r="A14" s="8" t="s">
        <v>973</v>
      </c>
      <c r="B14" s="8" t="s">
        <v>1766</v>
      </c>
      <c r="C14" s="8" t="s">
        <v>1767</v>
      </c>
      <c r="D14" s="8" t="s">
        <v>1768</v>
      </c>
      <c r="E14" s="8" t="s">
        <v>1769</v>
      </c>
      <c r="F14" s="8" t="s">
        <v>177</v>
      </c>
      <c r="G14" s="8" t="s">
        <v>36</v>
      </c>
      <c r="H14" s="8" t="str">
        <f aca="false">IF(OR(Q14&gt;0,AND(R14&gt;0,O14+P14+Q14=0)),"Open",IF(P14&gt;0,"Assumed","Clear"))</f>
        <v>Open</v>
      </c>
      <c r="I14" s="8" t="str">
        <f aca="false">IF(COUNTIFS(TestCases!$R$2:$R$158,$A14,TestCases!$V$2:$V$158,"&lt;&gt;Reject")&gt;0,"Yes","No")</f>
        <v>Yes</v>
      </c>
      <c r="J14" s="8" t="s">
        <v>1770</v>
      </c>
      <c r="K14" s="8" t="str">
        <f aca="false">IF(O14+P14+Q14=0,"Reject",IF(Q14&gt;0,"Block",IF(P14&gt;0,"Draft","Approve")))</f>
        <v>Block</v>
      </c>
      <c r="L14" s="8" t="s">
        <v>1771</v>
      </c>
      <c r="M14" s="8" t="s">
        <v>1772</v>
      </c>
      <c r="N14" s="8" t="s">
        <v>65</v>
      </c>
      <c r="O14" s="8" t="n">
        <f aca="false">COUNTIFS(TestCases!$R$2:$R$158,$A14,TestCases!$V$2:$V$158,"Approve")</f>
        <v>3</v>
      </c>
      <c r="P14" s="8" t="n">
        <f aca="false">COUNTIFS(TestCases!$R$2:$R$158,$A14,TestCases!$V$2:$V$158,"Draft")</f>
        <v>4</v>
      </c>
      <c r="Q14" s="8" t="n">
        <f aca="false">COUNTIFS(TestCases!$R$2:$R$158,$A14,TestCases!$V$2:$V$158,"Block")</f>
        <v>2</v>
      </c>
      <c r="R14" s="8" t="n">
        <f aca="false">COUNTIFS(TestCases!$R$2:$R$158,$A14,TestCases!$V$2:$V$158,"Reject")</f>
        <v>0</v>
      </c>
    </row>
    <row r="15" customFormat="false" ht="28.5" hidden="false" customHeight="true" outlineLevel="0" collapsed="false">
      <c r="A15" s="8" t="s">
        <v>1054</v>
      </c>
      <c r="B15" s="8" t="s">
        <v>1773</v>
      </c>
      <c r="C15" s="8" t="s">
        <v>1774</v>
      </c>
      <c r="D15" s="8" t="s">
        <v>1775</v>
      </c>
      <c r="E15" s="8" t="s">
        <v>1776</v>
      </c>
      <c r="F15" s="8" t="s">
        <v>177</v>
      </c>
      <c r="G15" s="8" t="s">
        <v>37</v>
      </c>
      <c r="H15" s="8" t="str">
        <f aca="false">IF(OR(Q15&gt;0,AND(R15&gt;0,O15+P15+Q15=0)),"Open",IF(P15&gt;0,"Assumed","Clear"))</f>
        <v>Open</v>
      </c>
      <c r="I15" s="8" t="str">
        <f aca="false">IF(COUNTIFS(TestCases!$R$2:$R$158,$A15,TestCases!$V$2:$V$158,"&lt;&gt;Reject")&gt;0,"Yes","No")</f>
        <v>Yes</v>
      </c>
      <c r="J15" s="8" t="s">
        <v>1642</v>
      </c>
      <c r="K15" s="8" t="str">
        <f aca="false">IF(O15+P15+Q15=0,"Reject",IF(Q15&gt;0,"Block",IF(P15&gt;0,"Draft","Approve")))</f>
        <v>Block</v>
      </c>
      <c r="L15" s="8" t="s">
        <v>1777</v>
      </c>
      <c r="M15" s="8" t="s">
        <v>1049</v>
      </c>
      <c r="N15" s="8" t="s">
        <v>65</v>
      </c>
      <c r="O15" s="8" t="n">
        <f aca="false">COUNTIFS(TestCases!$R$2:$R$158,$A15,TestCases!$V$2:$V$158,"Approve")</f>
        <v>0</v>
      </c>
      <c r="P15" s="8" t="n">
        <f aca="false">COUNTIFS(TestCases!$R$2:$R$158,$A15,TestCases!$V$2:$V$158,"Draft")</f>
        <v>0</v>
      </c>
      <c r="Q15" s="8" t="n">
        <f aca="false">COUNTIFS(TestCases!$R$2:$R$158,$A15,TestCases!$V$2:$V$158,"Block")</f>
        <v>1</v>
      </c>
      <c r="R15" s="8" t="n">
        <f aca="false">COUNTIFS(TestCases!$R$2:$R$158,$A15,TestCases!$V$2:$V$158,"Reject")</f>
        <v>0</v>
      </c>
    </row>
    <row r="16" customFormat="false" ht="28.5" hidden="false" customHeight="true" outlineLevel="0" collapsed="false">
      <c r="A16" s="8" t="s">
        <v>939</v>
      </c>
      <c r="B16" s="8" t="s">
        <v>1778</v>
      </c>
      <c r="C16" s="8" t="s">
        <v>1779</v>
      </c>
      <c r="D16" s="8" t="s">
        <v>1780</v>
      </c>
      <c r="E16" s="8" t="s">
        <v>1781</v>
      </c>
      <c r="F16" s="8" t="s">
        <v>177</v>
      </c>
      <c r="G16" s="8" t="s">
        <v>36</v>
      </c>
      <c r="H16" s="8" t="str">
        <f aca="false">IF(OR(Q16&gt;0,AND(R16&gt;0,O16+P16+Q16=0)),"Open",IF(P16&gt;0,"Assumed","Clear"))</f>
        <v>Assumed</v>
      </c>
      <c r="I16" s="8" t="str">
        <f aca="false">IF(COUNTIFS(TestCases!$R$2:$R$158,$A16,TestCases!$V$2:$V$158,"&lt;&gt;Reject")&gt;0,"Yes","No")</f>
        <v>Yes</v>
      </c>
      <c r="J16" s="8" t="s">
        <v>1630</v>
      </c>
      <c r="K16" s="8" t="str">
        <f aca="false">IF(O16+P16+Q16=0,"Reject",IF(Q16&gt;0,"Block",IF(P16&gt;0,"Draft","Approve")))</f>
        <v>Draft</v>
      </c>
      <c r="L16" s="8" t="s">
        <v>1782</v>
      </c>
      <c r="M16" s="8" t="s">
        <v>1783</v>
      </c>
      <c r="N16" s="8" t="s">
        <v>65</v>
      </c>
      <c r="O16" s="8" t="n">
        <f aca="false">COUNTIFS(TestCases!$R$2:$R$158,$A16,TestCases!$V$2:$V$158,"Approve")</f>
        <v>3</v>
      </c>
      <c r="P16" s="8" t="n">
        <f aca="false">COUNTIFS(TestCases!$R$2:$R$158,$A16,TestCases!$V$2:$V$158,"Draft")</f>
        <v>1</v>
      </c>
      <c r="Q16" s="8" t="n">
        <f aca="false">COUNTIFS(TestCases!$R$2:$R$158,$A16,TestCases!$V$2:$V$158,"Block")</f>
        <v>0</v>
      </c>
      <c r="R16" s="8" t="n">
        <f aca="false">COUNTIFS(TestCases!$R$2:$R$158,$A16,TestCases!$V$2:$V$158,"Reject")</f>
        <v>0</v>
      </c>
    </row>
    <row r="17" customFormat="false" ht="28.5" hidden="false" customHeight="true" outlineLevel="0" collapsed="false">
      <c r="A17" s="8" t="s">
        <v>1066</v>
      </c>
      <c r="B17" s="8" t="s">
        <v>1784</v>
      </c>
      <c r="C17" s="8" t="s">
        <v>1785</v>
      </c>
      <c r="D17" s="8" t="s">
        <v>1786</v>
      </c>
      <c r="E17" s="8" t="s">
        <v>1787</v>
      </c>
      <c r="F17" s="8" t="s">
        <v>177</v>
      </c>
      <c r="G17" s="8" t="s">
        <v>36</v>
      </c>
      <c r="H17" s="8" t="str">
        <f aca="false">IF(OR(Q17&gt;0,AND(R17&gt;0,O17+P17+Q17=0)),"Open",IF(P17&gt;0,"Assumed","Clear"))</f>
        <v>Assumed</v>
      </c>
      <c r="I17" s="8" t="str">
        <f aca="false">IF(COUNTIFS(TestCases!$R$2:$R$158,$A17,TestCases!$V$2:$V$158,"&lt;&gt;Reject")&gt;0,"Yes","No")</f>
        <v>Yes</v>
      </c>
      <c r="J17" s="8" t="s">
        <v>1646</v>
      </c>
      <c r="K17" s="8" t="str">
        <f aca="false">IF(O17+P17+Q17=0,"Reject",IF(Q17&gt;0,"Block",IF(P17&gt;0,"Draft","Approve")))</f>
        <v>Draft</v>
      </c>
      <c r="L17" s="8" t="s">
        <v>1788</v>
      </c>
      <c r="M17" s="8" t="s">
        <v>1789</v>
      </c>
      <c r="N17" s="8" t="s">
        <v>65</v>
      </c>
      <c r="O17" s="8" t="n">
        <f aca="false">COUNTIFS(TestCases!$R$2:$R$158,$A17,TestCases!$V$2:$V$158,"Approve")</f>
        <v>4</v>
      </c>
      <c r="P17" s="8" t="n">
        <f aca="false">COUNTIFS(TestCases!$R$2:$R$158,$A17,TestCases!$V$2:$V$158,"Draft")</f>
        <v>2</v>
      </c>
      <c r="Q17" s="8" t="n">
        <f aca="false">COUNTIFS(TestCases!$R$2:$R$158,$A17,TestCases!$V$2:$V$158,"Block")</f>
        <v>0</v>
      </c>
      <c r="R17" s="8" t="n">
        <f aca="false">COUNTIFS(TestCases!$R$2:$R$158,$A17,TestCases!$V$2:$V$158,"Reject")</f>
        <v>0</v>
      </c>
    </row>
    <row r="18" customFormat="false" ht="28.5" hidden="false" customHeight="true" outlineLevel="0" collapsed="false">
      <c r="A18" s="8" t="s">
        <v>745</v>
      </c>
      <c r="B18" s="8" t="s">
        <v>1790</v>
      </c>
      <c r="C18" s="8" t="s">
        <v>1791</v>
      </c>
      <c r="D18" s="8" t="s">
        <v>1792</v>
      </c>
      <c r="E18" s="8" t="s">
        <v>1793</v>
      </c>
      <c r="F18" s="8" t="s">
        <v>177</v>
      </c>
      <c r="G18" s="8" t="s">
        <v>36</v>
      </c>
      <c r="H18" s="8" t="str">
        <f aca="false">IF(OR(Q18&gt;0,AND(R18&gt;0,O18+P18+Q18=0)),"Open",IF(P18&gt;0,"Assumed","Clear"))</f>
        <v>Clear</v>
      </c>
      <c r="I18" s="8" t="str">
        <f aca="false">IF(COUNTIFS(TestCases!$R$2:$R$158,$A18,TestCases!$V$2:$V$158,"&lt;&gt;Reject")&gt;0,"Yes","No")</f>
        <v>Yes</v>
      </c>
      <c r="J18" s="8" t="s">
        <v>1794</v>
      </c>
      <c r="K18" s="8" t="str">
        <f aca="false">IF(O18+P18+Q18=0,"Reject",IF(Q18&gt;0,"Block",IF(P18&gt;0,"Draft","Approve")))</f>
        <v>Approve</v>
      </c>
      <c r="L18" s="8" t="s">
        <v>1795</v>
      </c>
      <c r="M18" s="8" t="s">
        <v>736</v>
      </c>
      <c r="N18" s="8" t="s">
        <v>65</v>
      </c>
      <c r="O18" s="8" t="n">
        <f aca="false">COUNTIFS(TestCases!$R$2:$R$158,$A18,TestCases!$V$2:$V$158,"Approve")</f>
        <v>1</v>
      </c>
      <c r="P18" s="8" t="n">
        <f aca="false">COUNTIFS(TestCases!$R$2:$R$158,$A18,TestCases!$V$2:$V$158,"Draft")</f>
        <v>0</v>
      </c>
      <c r="Q18" s="8" t="n">
        <f aca="false">COUNTIFS(TestCases!$R$2:$R$158,$A18,TestCases!$V$2:$V$158,"Block")</f>
        <v>0</v>
      </c>
      <c r="R18" s="8" t="n">
        <f aca="false">COUNTIFS(TestCases!$R$2:$R$158,$A18,TestCases!$V$2:$V$158,"Reject")</f>
        <v>0</v>
      </c>
    </row>
    <row r="19" customFormat="false" ht="28.5" hidden="false" customHeight="true" outlineLevel="0" collapsed="false">
      <c r="A19" s="8" t="s">
        <v>1129</v>
      </c>
      <c r="B19" s="8" t="s">
        <v>1652</v>
      </c>
      <c r="C19" s="8" t="s">
        <v>1796</v>
      </c>
      <c r="D19" s="8" t="s">
        <v>1797</v>
      </c>
      <c r="E19" s="8" t="s">
        <v>1798</v>
      </c>
      <c r="F19" s="8" t="s">
        <v>177</v>
      </c>
      <c r="G19" s="8" t="s">
        <v>36</v>
      </c>
      <c r="H19" s="8" t="str">
        <f aca="false">IF(OR(Q19&gt;0,AND(R19&gt;0,O19+P19+Q19=0)),"Open",IF(P19&gt;0,"Assumed","Clear"))</f>
        <v>Clear</v>
      </c>
      <c r="I19" s="8" t="str">
        <f aca="false">IF(COUNTIFS(TestCases!$R$2:$R$158,$A19,TestCases!$V$2:$V$158,"&lt;&gt;Reject")&gt;0,"Yes","No")</f>
        <v>Yes</v>
      </c>
      <c r="J19" s="8" t="s">
        <v>1794</v>
      </c>
      <c r="K19" s="8" t="str">
        <f aca="false">IF(O19+P19+Q19=0,"Reject",IF(Q19&gt;0,"Block",IF(P19&gt;0,"Draft","Approve")))</f>
        <v>Approve</v>
      </c>
      <c r="L19" s="8" t="s">
        <v>1799</v>
      </c>
      <c r="M19" s="8" t="s">
        <v>1800</v>
      </c>
      <c r="N19" s="8" t="s">
        <v>65</v>
      </c>
      <c r="O19" s="8" t="n">
        <f aca="false">COUNTIFS(TestCases!$R$2:$R$158,$A19,TestCases!$V$2:$V$158,"Approve")</f>
        <v>2</v>
      </c>
      <c r="P19" s="8" t="n">
        <f aca="false">COUNTIFS(TestCases!$R$2:$R$158,$A19,TestCases!$V$2:$V$158,"Draft")</f>
        <v>0</v>
      </c>
      <c r="Q19" s="8" t="n">
        <f aca="false">COUNTIFS(TestCases!$R$2:$R$158,$A19,TestCases!$V$2:$V$158,"Block")</f>
        <v>0</v>
      </c>
      <c r="R19" s="8" t="n">
        <f aca="false">COUNTIFS(TestCases!$R$2:$R$158,$A19,TestCases!$V$2:$V$158,"Reject")</f>
        <v>0</v>
      </c>
    </row>
    <row r="20" customFormat="false" ht="28.5" hidden="false" customHeight="true" outlineLevel="0" collapsed="false">
      <c r="A20" s="8" t="s">
        <v>1118</v>
      </c>
      <c r="B20" s="8" t="s">
        <v>1801</v>
      </c>
      <c r="C20" s="8" t="s">
        <v>1802</v>
      </c>
      <c r="D20" s="8" t="s">
        <v>1803</v>
      </c>
      <c r="E20" s="8" t="s">
        <v>1804</v>
      </c>
      <c r="F20" s="8" t="s">
        <v>177</v>
      </c>
      <c r="G20" s="8" t="s">
        <v>37</v>
      </c>
      <c r="H20" s="8" t="str">
        <f aca="false">IF(OR(Q20&gt;0,AND(R20&gt;0,O20+P20+Q20=0)),"Open",IF(P20&gt;0,"Assumed","Clear"))</f>
        <v>Open</v>
      </c>
      <c r="I20" s="8" t="str">
        <f aca="false">IF(COUNTIFS(TestCases!$R$2:$R$158,$A20,TestCases!$V$2:$V$158,"&lt;&gt;Reject")&gt;0,"Yes","No")</f>
        <v>No</v>
      </c>
      <c r="J20" s="8" t="s">
        <v>1119</v>
      </c>
      <c r="K20" s="8" t="str">
        <f aca="false">IF(O20+P20+Q20=0,"Reject",IF(Q20&gt;0,"Block",IF(P20&gt;0,"Draft","Approve")))</f>
        <v>Reject</v>
      </c>
      <c r="L20" s="8" t="s">
        <v>1805</v>
      </c>
      <c r="M20" s="8" t="s">
        <v>1113</v>
      </c>
      <c r="N20" s="8" t="s">
        <v>65</v>
      </c>
      <c r="O20" s="8" t="n">
        <f aca="false">COUNTIFS(TestCases!$R$2:$R$158,$A20,TestCases!$V$2:$V$158,"Approve")</f>
        <v>0</v>
      </c>
      <c r="P20" s="8" t="n">
        <f aca="false">COUNTIFS(TestCases!$R$2:$R$158,$A20,TestCases!$V$2:$V$158,"Draft")</f>
        <v>0</v>
      </c>
      <c r="Q20" s="8" t="n">
        <f aca="false">COUNTIFS(TestCases!$R$2:$R$158,$A20,TestCases!$V$2:$V$158,"Block")</f>
        <v>0</v>
      </c>
      <c r="R20" s="8" t="n">
        <f aca="false">COUNTIFS(TestCases!$R$2:$R$158,$A20,TestCases!$V$2:$V$158,"Reject")</f>
        <v>1</v>
      </c>
    </row>
    <row r="21" customFormat="false" ht="28.5" hidden="false" customHeight="true" outlineLevel="0" collapsed="false">
      <c r="A21" s="8" t="s">
        <v>1147</v>
      </c>
      <c r="B21" s="8" t="s">
        <v>1806</v>
      </c>
      <c r="C21" s="8" t="s">
        <v>1807</v>
      </c>
      <c r="D21" s="8" t="s">
        <v>1808</v>
      </c>
      <c r="E21" s="8" t="s">
        <v>1809</v>
      </c>
      <c r="F21" s="8" t="s">
        <v>177</v>
      </c>
      <c r="G21" s="8" t="s">
        <v>36</v>
      </c>
      <c r="H21" s="8" t="str">
        <f aca="false">IF(OR(Q21&gt;0,AND(R21&gt;0,O21+P21+Q21=0)),"Open",IF(P21&gt;0,"Assumed","Clear"))</f>
        <v>Clear</v>
      </c>
      <c r="I21" s="8" t="str">
        <f aca="false">IF(COUNTIFS(TestCases!$R$2:$R$158,$A21,TestCases!$V$2:$V$158,"&lt;&gt;Reject")&gt;0,"Yes","No")</f>
        <v>Yes</v>
      </c>
      <c r="J21" s="8" t="s">
        <v>1794</v>
      </c>
      <c r="K21" s="8" t="str">
        <f aca="false">IF(O21+P21+Q21=0,"Reject",IF(Q21&gt;0,"Block",IF(P21&gt;0,"Draft","Approve")))</f>
        <v>Approve</v>
      </c>
      <c r="L21" s="8" t="s">
        <v>1810</v>
      </c>
      <c r="M21" s="8" t="s">
        <v>1811</v>
      </c>
      <c r="N21" s="8" t="s">
        <v>65</v>
      </c>
      <c r="O21" s="8" t="n">
        <f aca="false">COUNTIFS(TestCases!$R$2:$R$158,$A21,TestCases!$V$2:$V$158,"Approve")</f>
        <v>4</v>
      </c>
      <c r="P21" s="8" t="n">
        <f aca="false">COUNTIFS(TestCases!$R$2:$R$158,$A21,TestCases!$V$2:$V$158,"Draft")</f>
        <v>0</v>
      </c>
      <c r="Q21" s="8" t="n">
        <f aca="false">COUNTIFS(TestCases!$R$2:$R$158,$A21,TestCases!$V$2:$V$158,"Block")</f>
        <v>0</v>
      </c>
      <c r="R21" s="8" t="n">
        <f aca="false">COUNTIFS(TestCases!$R$2:$R$158,$A21,TestCases!$V$2:$V$158,"Reject")</f>
        <v>0</v>
      </c>
    </row>
    <row r="22" customFormat="false" ht="41.25" hidden="false" customHeight="true" outlineLevel="0" collapsed="false">
      <c r="A22" s="8" t="s">
        <v>1222</v>
      </c>
      <c r="B22" s="8" t="s">
        <v>1812</v>
      </c>
      <c r="C22" s="8" t="s">
        <v>1813</v>
      </c>
      <c r="D22" s="8" t="s">
        <v>1814</v>
      </c>
      <c r="E22" s="8" t="s">
        <v>1815</v>
      </c>
      <c r="F22" s="8" t="s">
        <v>177</v>
      </c>
      <c r="G22" s="8" t="s">
        <v>36</v>
      </c>
      <c r="H22" s="8" t="str">
        <f aca="false">IF(OR(Q22&gt;0,AND(R22&gt;0,O22+P22+Q22=0)),"Open",IF(P22&gt;0,"Assumed","Clear"))</f>
        <v>Open</v>
      </c>
      <c r="I22" s="8" t="str">
        <f aca="false">IF(COUNTIFS(TestCases!$R$2:$R$158,$A22,TestCases!$V$2:$V$158,"&lt;&gt;Reject")&gt;0,"Yes","No")</f>
        <v>Yes</v>
      </c>
      <c r="J22" s="8" t="s">
        <v>1659</v>
      </c>
      <c r="K22" s="8" t="str">
        <f aca="false">IF(O22+P22+Q22=0,"Reject",IF(Q22&gt;0,"Block",IF(P22&gt;0,"Draft","Approve")))</f>
        <v>Block</v>
      </c>
      <c r="L22" s="8" t="s">
        <v>1816</v>
      </c>
      <c r="M22" s="8" t="s">
        <v>1817</v>
      </c>
      <c r="N22" s="8" t="s">
        <v>65</v>
      </c>
      <c r="O22" s="8" t="n">
        <f aca="false">COUNTIFS(TestCases!$R$2:$R$158,$A22,TestCases!$V$2:$V$158,"Approve")</f>
        <v>1</v>
      </c>
      <c r="P22" s="8" t="n">
        <f aca="false">COUNTIFS(TestCases!$R$2:$R$158,$A22,TestCases!$V$2:$V$158,"Draft")</f>
        <v>0</v>
      </c>
      <c r="Q22" s="8" t="n">
        <f aca="false">COUNTIFS(TestCases!$R$2:$R$158,$A22,TestCases!$V$2:$V$158,"Block")</f>
        <v>5</v>
      </c>
      <c r="R22" s="8" t="n">
        <f aca="false">COUNTIFS(TestCases!$R$2:$R$158,$A22,TestCases!$V$2:$V$158,"Reject")</f>
        <v>0</v>
      </c>
    </row>
    <row r="23" customFormat="false" ht="41.25" hidden="false" customHeight="true" outlineLevel="0" collapsed="false">
      <c r="A23" s="8" t="s">
        <v>1276</v>
      </c>
      <c r="B23" s="8" t="s">
        <v>1665</v>
      </c>
      <c r="C23" s="8" t="s">
        <v>1818</v>
      </c>
      <c r="D23" s="8" t="s">
        <v>1819</v>
      </c>
      <c r="E23" s="8" t="s">
        <v>1820</v>
      </c>
      <c r="F23" s="8" t="s">
        <v>177</v>
      </c>
      <c r="G23" s="8" t="s">
        <v>37</v>
      </c>
      <c r="H23" s="8" t="str">
        <f aca="false">IF(OR(Q23&gt;0,AND(R23&gt;0,O23+P23+Q23=0)),"Open",IF(P23&gt;0,"Assumed","Clear"))</f>
        <v>Open</v>
      </c>
      <c r="I23" s="8" t="str">
        <f aca="false">IF(COUNTIFS(TestCases!$R$2:$R$158,$A23,TestCases!$V$2:$V$158,"&lt;&gt;Reject")&gt;0,"Yes","No")</f>
        <v>No</v>
      </c>
      <c r="J23" s="8" t="s">
        <v>1666</v>
      </c>
      <c r="K23" s="8" t="str">
        <f aca="false">IF(O23+P23+Q23=0,"Reject",IF(Q23&gt;0,"Block",IF(P23&gt;0,"Draft","Approve")))</f>
        <v>Reject</v>
      </c>
      <c r="L23" s="8" t="s">
        <v>1821</v>
      </c>
      <c r="M23" s="8" t="s">
        <v>1822</v>
      </c>
      <c r="N23" s="8" t="s">
        <v>65</v>
      </c>
      <c r="O23" s="8" t="n">
        <f aca="false">COUNTIFS(TestCases!$R$2:$R$158,$A23,TestCases!$V$2:$V$158,"Approve")</f>
        <v>0</v>
      </c>
      <c r="P23" s="8" t="n">
        <f aca="false">COUNTIFS(TestCases!$R$2:$R$158,$A23,TestCases!$V$2:$V$158,"Draft")</f>
        <v>0</v>
      </c>
      <c r="Q23" s="8" t="n">
        <f aca="false">COUNTIFS(TestCases!$R$2:$R$158,$A23,TestCases!$V$2:$V$158,"Block")</f>
        <v>0</v>
      </c>
      <c r="R23" s="8" t="n">
        <f aca="false">COUNTIFS(TestCases!$R$2:$R$158,$A23,TestCases!$V$2:$V$158,"Reject")</f>
        <v>5</v>
      </c>
    </row>
    <row r="24" customFormat="false" ht="92.25" hidden="false" customHeight="true" outlineLevel="0" collapsed="false">
      <c r="A24" s="8" t="s">
        <v>1300</v>
      </c>
      <c r="B24" s="8" t="s">
        <v>1823</v>
      </c>
      <c r="C24" s="8" t="s">
        <v>1824</v>
      </c>
      <c r="D24" s="8" t="s">
        <v>1825</v>
      </c>
      <c r="E24" s="8" t="s">
        <v>1826</v>
      </c>
      <c r="F24" s="8" t="s">
        <v>177</v>
      </c>
      <c r="G24" s="8" t="s">
        <v>36</v>
      </c>
      <c r="H24" s="8" t="str">
        <f aca="false">IF(OR(Q24&gt;0,AND(R24&gt;0,O24+P24+Q24=0)),"Open",IF(P24&gt;0,"Assumed","Clear"))</f>
        <v>Assumed</v>
      </c>
      <c r="I24" s="8" t="str">
        <f aca="false">IF(COUNTIFS(TestCases!$R$2:$R$158,$A24,TestCases!$V$2:$V$158,"&lt;&gt;Reject")&gt;0,"Yes","No")</f>
        <v>Yes</v>
      </c>
      <c r="J24" s="8" t="s">
        <v>1827</v>
      </c>
      <c r="K24" s="8" t="str">
        <f aca="false">IF(O24+P24+Q24=0,"Reject",IF(Q24&gt;0,"Block",IF(P24&gt;0,"Draft","Approve")))</f>
        <v>Draft</v>
      </c>
      <c r="L24" s="8" t="s">
        <v>1828</v>
      </c>
      <c r="M24" s="8" t="s">
        <v>1829</v>
      </c>
      <c r="N24" s="8" t="s">
        <v>65</v>
      </c>
      <c r="O24" s="8" t="n">
        <f aca="false">COUNTIFS(TestCases!$R$2:$R$158,$A24,TestCases!$V$2:$V$158,"Approve")</f>
        <v>15</v>
      </c>
      <c r="P24" s="8" t="n">
        <f aca="false">COUNTIFS(TestCases!$R$2:$R$158,$A24,TestCases!$V$2:$V$158,"Draft")</f>
        <v>5</v>
      </c>
      <c r="Q24" s="8" t="n">
        <f aca="false">COUNTIFS(TestCases!$R$2:$R$158,$A24,TestCases!$V$2:$V$158,"Block")</f>
        <v>0</v>
      </c>
      <c r="R24" s="8" t="n">
        <f aca="false">COUNTIFS(TestCases!$R$2:$R$158,$A24,TestCases!$V$2:$V$158,"Reject")</f>
        <v>1</v>
      </c>
    </row>
    <row r="25" customFormat="false" ht="41.25" hidden="false" customHeight="true" outlineLevel="0" collapsed="false">
      <c r="A25" s="8" t="s">
        <v>1490</v>
      </c>
      <c r="B25" s="8" t="s">
        <v>1830</v>
      </c>
      <c r="C25" s="8" t="s">
        <v>1831</v>
      </c>
      <c r="D25" s="8" t="s">
        <v>1832</v>
      </c>
      <c r="E25" s="8" t="s">
        <v>1833</v>
      </c>
      <c r="F25" s="8" t="s">
        <v>177</v>
      </c>
      <c r="G25" s="8" t="s">
        <v>36</v>
      </c>
      <c r="H25" s="8" t="str">
        <f aca="false">IF(OR(Q25&gt;0,AND(R25&gt;0,O25+P25+Q25=0)),"Open",IF(P25&gt;0,"Assumed","Clear"))</f>
        <v>Assumed</v>
      </c>
      <c r="I25" s="8" t="str">
        <f aca="false">IF(COUNTIFS(TestCases!$R$2:$R$158,$A25,TestCases!$V$2:$V$158,"&lt;&gt;Reject")&gt;0,"Yes","No")</f>
        <v>Yes</v>
      </c>
      <c r="J25" s="8" t="s">
        <v>1682</v>
      </c>
      <c r="K25" s="8" t="str">
        <f aca="false">IF(O25+P25+Q25=0,"Reject",IF(Q25&gt;0,"Block",IF(P25&gt;0,"Draft","Approve")))</f>
        <v>Draft</v>
      </c>
      <c r="L25" s="8" t="s">
        <v>1834</v>
      </c>
      <c r="M25" s="8" t="s">
        <v>1835</v>
      </c>
      <c r="N25" s="8" t="s">
        <v>65</v>
      </c>
      <c r="O25" s="8" t="n">
        <f aca="false">COUNTIFS(TestCases!$R$2:$R$158,$A25,TestCases!$V$2:$V$158,"Approve")</f>
        <v>0</v>
      </c>
      <c r="P25" s="8" t="n">
        <f aca="false">COUNTIFS(TestCases!$R$2:$R$158,$A25,TestCases!$V$2:$V$158,"Draft")</f>
        <v>5</v>
      </c>
      <c r="Q25" s="8" t="n">
        <f aca="false">COUNTIFS(TestCases!$R$2:$R$158,$A25,TestCases!$V$2:$V$158,"Block")</f>
        <v>0</v>
      </c>
      <c r="R25" s="8" t="n">
        <f aca="false">COUNTIFS(TestCases!$R$2:$R$158,$A25,TestCases!$V$2:$V$158,"Reject")</f>
        <v>0</v>
      </c>
    </row>
    <row r="26" customFormat="false" ht="54" hidden="false" customHeight="true" outlineLevel="0" collapsed="false">
      <c r="A26" s="8" t="s">
        <v>1537</v>
      </c>
      <c r="B26" s="8" t="s">
        <v>1836</v>
      </c>
      <c r="C26" s="8" t="s">
        <v>1837</v>
      </c>
      <c r="D26" s="8" t="s">
        <v>1838</v>
      </c>
      <c r="E26" s="8" t="s">
        <v>1839</v>
      </c>
      <c r="F26" s="8" t="s">
        <v>177</v>
      </c>
      <c r="G26" s="8" t="s">
        <v>36</v>
      </c>
      <c r="H26" s="8" t="str">
        <f aca="false">IF(OR(Q26&gt;0,AND(R26&gt;0,O26+P26+Q26=0)),"Open",IF(P26&gt;0,"Assumed","Clear"))</f>
        <v>Clear</v>
      </c>
      <c r="I26" s="8" t="str">
        <f aca="false">IF(COUNTIFS(TestCases!$R$2:$R$158,$A26,TestCases!$V$2:$V$158,"&lt;&gt;Reject")&gt;0,"Yes","No")</f>
        <v>Yes</v>
      </c>
      <c r="J26" s="8" t="s">
        <v>1794</v>
      </c>
      <c r="K26" s="8" t="str">
        <f aca="false">IF(O26+P26+Q26=0,"Reject",IF(Q26&gt;0,"Block",IF(P26&gt;0,"Draft","Approve")))</f>
        <v>Approve</v>
      </c>
      <c r="L26" s="8" t="s">
        <v>1840</v>
      </c>
      <c r="M26" s="8" t="s">
        <v>1841</v>
      </c>
      <c r="N26" s="8" t="s">
        <v>65</v>
      </c>
      <c r="O26" s="8" t="n">
        <f aca="false">COUNTIFS(TestCases!$R$2:$R$158,$A26,TestCases!$V$2:$V$158,"Approve")</f>
        <v>4</v>
      </c>
      <c r="P26" s="8" t="n">
        <f aca="false">COUNTIFS(TestCases!$R$2:$R$158,$A26,TestCases!$V$2:$V$158,"Draft")</f>
        <v>0</v>
      </c>
      <c r="Q26" s="8" t="n">
        <f aca="false">COUNTIFS(TestCases!$R$2:$R$158,$A26,TestCases!$V$2:$V$158,"Block")</f>
        <v>0</v>
      </c>
      <c r="R26" s="8" t="n">
        <f aca="false">COUNTIFS(TestCases!$R$2:$R$158,$A26,TestCases!$V$2:$V$158,"Reject")</f>
        <v>0</v>
      </c>
    </row>
  </sheetData>
  <autoFilter ref="A1:R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20"/>
    <col collapsed="false" customWidth="true" hidden="false" outlineLevel="0" max="4" min="4" style="0" width="40"/>
    <col collapsed="false" customWidth="true" hidden="false" outlineLevel="0" max="5" min="5" style="0" width="60"/>
    <col collapsed="false" customWidth="true" hidden="false" outlineLevel="0" max="6" min="6" style="0" width="28"/>
    <col collapsed="false" customWidth="true" hidden="false" outlineLevel="0" max="7" min="7" style="0" width="56"/>
    <col collapsed="false" customWidth="true" hidden="false" outlineLevel="0" max="8" min="8" style="0" width="36"/>
    <col collapsed="false" customWidth="true" hidden="false" outlineLevel="0" max="9" min="9" style="0" width="40"/>
    <col collapsed="false" customWidth="true" hidden="false" outlineLevel="0" max="10" min="10" style="0" width="11"/>
    <col collapsed="false" customWidth="true" hidden="false" outlineLevel="0" max="11" min="11" style="0" width="26"/>
    <col collapsed="false" customWidth="true" hidden="false" outlineLevel="0" max="13" min="12" style="0" width="34"/>
    <col collapsed="false" customWidth="true" hidden="false" outlineLevel="0" max="14" min="14" style="0" width="70"/>
  </cols>
  <sheetData>
    <row r="1" customFormat="false" ht="34.5" hidden="false" customHeight="true" outlineLevel="0" collapsed="false">
      <c r="A1" s="5" t="s">
        <v>1842</v>
      </c>
      <c r="B1" s="5" t="s">
        <v>55</v>
      </c>
      <c r="C1" s="5" t="s">
        <v>1843</v>
      </c>
      <c r="D1" s="5" t="s">
        <v>1844</v>
      </c>
      <c r="E1" s="5" t="s">
        <v>1845</v>
      </c>
      <c r="F1" s="5" t="s">
        <v>1846</v>
      </c>
      <c r="G1" s="5" t="s">
        <v>1847</v>
      </c>
      <c r="H1" s="5" t="s">
        <v>174</v>
      </c>
      <c r="I1" s="5" t="s">
        <v>1848</v>
      </c>
      <c r="J1" s="5" t="s">
        <v>52</v>
      </c>
      <c r="K1" s="5" t="s">
        <v>1849</v>
      </c>
      <c r="L1" s="5" t="s">
        <v>1850</v>
      </c>
      <c r="M1" s="5" t="s">
        <v>1851</v>
      </c>
      <c r="N1" s="5" t="s">
        <v>1852</v>
      </c>
    </row>
    <row r="2" customFormat="false" ht="168.75" hidden="false" customHeight="true" outlineLevel="0" collapsed="false">
      <c r="A2" s="8" t="s">
        <v>1853</v>
      </c>
      <c r="B2" s="8" t="s">
        <v>1854</v>
      </c>
      <c r="C2" s="8" t="s">
        <v>1855</v>
      </c>
      <c r="D2" s="8" t="s">
        <v>1856</v>
      </c>
      <c r="E2" s="8" t="s">
        <v>1857</v>
      </c>
      <c r="F2" s="8" t="s">
        <v>1858</v>
      </c>
      <c r="G2" s="8" t="s">
        <v>1859</v>
      </c>
      <c r="H2" s="8" t="s">
        <v>1860</v>
      </c>
      <c r="I2" s="8" t="s">
        <v>1861</v>
      </c>
      <c r="J2" s="8" t="s">
        <v>73</v>
      </c>
      <c r="K2" s="8" t="s">
        <v>1862</v>
      </c>
      <c r="L2" s="8" t="s">
        <v>1863</v>
      </c>
      <c r="M2" s="8" t="s">
        <v>1864</v>
      </c>
      <c r="N2" s="8" t="s">
        <v>1865</v>
      </c>
    </row>
    <row r="3" customFormat="false" ht="54" hidden="false" customHeight="true" outlineLevel="0" collapsed="false">
      <c r="A3" s="8" t="s">
        <v>1866</v>
      </c>
      <c r="B3" s="8" t="s">
        <v>46</v>
      </c>
      <c r="C3" s="8" t="s">
        <v>1855</v>
      </c>
      <c r="D3" s="8" t="s">
        <v>1867</v>
      </c>
      <c r="E3" s="8" t="s">
        <v>1868</v>
      </c>
      <c r="F3" s="8" t="s">
        <v>1869</v>
      </c>
      <c r="G3" s="8" t="s">
        <v>1870</v>
      </c>
      <c r="H3" s="8" t="s">
        <v>1871</v>
      </c>
      <c r="I3" s="8" t="s">
        <v>1872</v>
      </c>
      <c r="J3" s="8" t="s">
        <v>75</v>
      </c>
      <c r="K3" s="8" t="s">
        <v>1873</v>
      </c>
      <c r="L3" s="8" t="s">
        <v>1863</v>
      </c>
      <c r="M3" s="8" t="s">
        <v>1874</v>
      </c>
      <c r="N3" s="8" t="s">
        <v>1863</v>
      </c>
    </row>
    <row r="4" customFormat="false" ht="66.75" hidden="false" customHeight="true" outlineLevel="0" collapsed="false">
      <c r="A4" s="8" t="s">
        <v>1875</v>
      </c>
      <c r="B4" s="8" t="s">
        <v>46</v>
      </c>
      <c r="C4" s="8" t="s">
        <v>1876</v>
      </c>
      <c r="D4" s="8" t="s">
        <v>1877</v>
      </c>
      <c r="E4" s="8" t="s">
        <v>1878</v>
      </c>
      <c r="F4" s="8" t="s">
        <v>1879</v>
      </c>
      <c r="G4" s="8" t="s">
        <v>1880</v>
      </c>
      <c r="H4" s="8" t="s">
        <v>1881</v>
      </c>
      <c r="I4" s="8" t="s">
        <v>1882</v>
      </c>
      <c r="J4" s="8" t="s">
        <v>75</v>
      </c>
      <c r="K4" s="8" t="s">
        <v>1883</v>
      </c>
      <c r="L4" s="8" t="s">
        <v>1863</v>
      </c>
      <c r="M4" s="8" t="s">
        <v>1705</v>
      </c>
      <c r="N4" s="8" t="s">
        <v>1863</v>
      </c>
    </row>
    <row r="5" customFormat="false" ht="41.25" hidden="false" customHeight="true" outlineLevel="0" collapsed="false">
      <c r="A5" s="8" t="s">
        <v>1884</v>
      </c>
      <c r="B5" s="8" t="s">
        <v>126</v>
      </c>
      <c r="C5" s="8" t="s">
        <v>1885</v>
      </c>
      <c r="D5" s="8" t="s">
        <v>1886</v>
      </c>
      <c r="E5" s="8" t="s">
        <v>1887</v>
      </c>
      <c r="F5" s="8" t="s">
        <v>1888</v>
      </c>
      <c r="G5" s="8" t="s">
        <v>1889</v>
      </c>
      <c r="H5" s="8" t="s">
        <v>1890</v>
      </c>
      <c r="I5" s="8" t="s">
        <v>1891</v>
      </c>
      <c r="J5" s="8" t="s">
        <v>75</v>
      </c>
      <c r="K5" s="8" t="s">
        <v>1892</v>
      </c>
      <c r="L5" s="8" t="s">
        <v>1863</v>
      </c>
      <c r="M5" s="8" t="s">
        <v>1893</v>
      </c>
      <c r="N5" s="8" t="s">
        <v>1863</v>
      </c>
    </row>
    <row r="6" customFormat="false" ht="41.25" hidden="false" customHeight="true" outlineLevel="0" collapsed="false">
      <c r="A6" s="8" t="s">
        <v>1894</v>
      </c>
      <c r="B6" s="8" t="s">
        <v>1854</v>
      </c>
      <c r="C6" s="8" t="s">
        <v>1895</v>
      </c>
      <c r="D6" s="8" t="s">
        <v>1896</v>
      </c>
      <c r="E6" s="8" t="s">
        <v>1897</v>
      </c>
      <c r="F6" s="8" t="s">
        <v>1612</v>
      </c>
      <c r="G6" s="8" t="s">
        <v>1898</v>
      </c>
      <c r="H6" s="8" t="s">
        <v>1899</v>
      </c>
      <c r="I6" s="8" t="s">
        <v>1900</v>
      </c>
      <c r="J6" s="8" t="s">
        <v>73</v>
      </c>
      <c r="K6" s="8" t="s">
        <v>1862</v>
      </c>
      <c r="L6" s="8" t="s">
        <v>1863</v>
      </c>
      <c r="M6" s="8" t="s">
        <v>736</v>
      </c>
      <c r="N6" s="8" t="s">
        <v>1901</v>
      </c>
    </row>
    <row r="7" customFormat="false" ht="41.25" hidden="false" customHeight="true" outlineLevel="0" collapsed="false">
      <c r="A7" s="8" t="s">
        <v>1902</v>
      </c>
      <c r="B7" s="8" t="s">
        <v>126</v>
      </c>
      <c r="C7" s="8" t="s">
        <v>1903</v>
      </c>
      <c r="D7" s="8" t="s">
        <v>1904</v>
      </c>
      <c r="E7" s="8" t="s">
        <v>1905</v>
      </c>
      <c r="F7" s="8" t="s">
        <v>1906</v>
      </c>
      <c r="G7" s="8" t="s">
        <v>1907</v>
      </c>
      <c r="H7" s="8" t="s">
        <v>1908</v>
      </c>
      <c r="I7" s="8" t="s">
        <v>1882</v>
      </c>
      <c r="J7" s="8" t="s">
        <v>75</v>
      </c>
      <c r="K7" s="8" t="s">
        <v>1909</v>
      </c>
      <c r="L7" s="8" t="s">
        <v>1863</v>
      </c>
      <c r="M7" s="8" t="s">
        <v>1717</v>
      </c>
      <c r="N7" s="8" t="s">
        <v>1863</v>
      </c>
    </row>
    <row r="8" customFormat="false" ht="79.5" hidden="false" customHeight="true" outlineLevel="0" collapsed="false">
      <c r="A8" s="8" t="s">
        <v>1910</v>
      </c>
      <c r="B8" s="8" t="s">
        <v>126</v>
      </c>
      <c r="C8" s="8" t="s">
        <v>1911</v>
      </c>
      <c r="D8" s="8" t="s">
        <v>1912</v>
      </c>
      <c r="E8" s="8" t="s">
        <v>1913</v>
      </c>
      <c r="F8" s="8" t="s">
        <v>1914</v>
      </c>
      <c r="G8" s="8" t="s">
        <v>1915</v>
      </c>
      <c r="H8" s="8" t="s">
        <v>1916</v>
      </c>
      <c r="I8" s="8" t="s">
        <v>1917</v>
      </c>
      <c r="J8" s="8" t="s">
        <v>73</v>
      </c>
      <c r="K8" s="8" t="s">
        <v>1862</v>
      </c>
      <c r="L8" s="8" t="s">
        <v>1918</v>
      </c>
      <c r="M8" s="8" t="s">
        <v>1023</v>
      </c>
      <c r="N8" s="8" t="s">
        <v>1919</v>
      </c>
    </row>
    <row r="9" customFormat="false" ht="41.25" hidden="false" customHeight="true" outlineLevel="0" collapsed="false">
      <c r="A9" s="8" t="s">
        <v>1920</v>
      </c>
      <c r="B9" s="8" t="s">
        <v>126</v>
      </c>
      <c r="C9" s="8" t="s">
        <v>1921</v>
      </c>
      <c r="D9" s="8" t="s">
        <v>1922</v>
      </c>
      <c r="E9" s="8" t="s">
        <v>1923</v>
      </c>
      <c r="F9" s="8" t="s">
        <v>1924</v>
      </c>
      <c r="G9" s="8" t="s">
        <v>1925</v>
      </c>
      <c r="H9" s="8" t="s">
        <v>1926</v>
      </c>
      <c r="I9" s="8" t="s">
        <v>1927</v>
      </c>
      <c r="J9" s="8" t="s">
        <v>76</v>
      </c>
      <c r="K9" s="8" t="s">
        <v>1928</v>
      </c>
      <c r="L9" s="8" t="s">
        <v>1863</v>
      </c>
      <c r="M9" s="8" t="s">
        <v>1863</v>
      </c>
      <c r="N9" s="8" t="s">
        <v>1863</v>
      </c>
    </row>
    <row r="10" customFormat="false" ht="28.5" hidden="false" customHeight="true" outlineLevel="0" collapsed="false">
      <c r="A10" s="8" t="s">
        <v>1929</v>
      </c>
      <c r="B10" s="8" t="s">
        <v>126</v>
      </c>
      <c r="C10" s="8" t="s">
        <v>1930</v>
      </c>
      <c r="D10" s="8" t="s">
        <v>1931</v>
      </c>
      <c r="E10" s="8" t="s">
        <v>1932</v>
      </c>
      <c r="F10" s="8" t="s">
        <v>1933</v>
      </c>
      <c r="G10" s="8" t="s">
        <v>1934</v>
      </c>
      <c r="H10" s="8" t="s">
        <v>1935</v>
      </c>
      <c r="I10" s="8" t="s">
        <v>1936</v>
      </c>
      <c r="J10" s="8" t="s">
        <v>76</v>
      </c>
      <c r="K10" s="8" t="s">
        <v>1937</v>
      </c>
      <c r="L10" s="8" t="s">
        <v>1863</v>
      </c>
      <c r="M10" s="8" t="s">
        <v>1863</v>
      </c>
      <c r="N10" s="8" t="s">
        <v>1863</v>
      </c>
    </row>
    <row r="11" customFormat="false" ht="28.5" hidden="false" customHeight="true" outlineLevel="0" collapsed="false">
      <c r="A11" s="8" t="s">
        <v>1938</v>
      </c>
      <c r="B11" s="8" t="s">
        <v>126</v>
      </c>
      <c r="C11" s="8" t="s">
        <v>1939</v>
      </c>
      <c r="D11" s="8" t="s">
        <v>1940</v>
      </c>
      <c r="E11" s="8" t="s">
        <v>1941</v>
      </c>
      <c r="F11" s="8" t="s">
        <v>1942</v>
      </c>
      <c r="G11" s="8" t="s">
        <v>1943</v>
      </c>
      <c r="H11" s="8" t="s">
        <v>1944</v>
      </c>
      <c r="I11" s="8" t="s">
        <v>1945</v>
      </c>
      <c r="J11" s="8" t="s">
        <v>76</v>
      </c>
      <c r="K11" s="8" t="s">
        <v>1946</v>
      </c>
      <c r="L11" s="8" t="s">
        <v>1863</v>
      </c>
      <c r="M11" s="8" t="s">
        <v>1863</v>
      </c>
      <c r="N11" s="8" t="s">
        <v>1863</v>
      </c>
    </row>
    <row r="12" customFormat="false" ht="54" hidden="false" customHeight="true" outlineLevel="0" collapsed="false">
      <c r="A12" s="8" t="s">
        <v>1947</v>
      </c>
      <c r="B12" s="8" t="s">
        <v>126</v>
      </c>
      <c r="C12" s="8" t="s">
        <v>1948</v>
      </c>
      <c r="D12" s="8" t="s">
        <v>1949</v>
      </c>
      <c r="E12" s="8" t="s">
        <v>1950</v>
      </c>
      <c r="F12" s="8" t="s">
        <v>1625</v>
      </c>
      <c r="G12" s="8" t="s">
        <v>1951</v>
      </c>
      <c r="H12" s="8" t="s">
        <v>1952</v>
      </c>
      <c r="I12" s="8" t="s">
        <v>1953</v>
      </c>
      <c r="J12" s="8" t="s">
        <v>78</v>
      </c>
      <c r="K12" s="8" t="s">
        <v>1954</v>
      </c>
      <c r="L12" s="8" t="s">
        <v>1863</v>
      </c>
      <c r="M12" s="8" t="s">
        <v>1863</v>
      </c>
      <c r="N12" s="8" t="s">
        <v>1863</v>
      </c>
    </row>
    <row r="13" customFormat="false" ht="54" hidden="false" customHeight="true" outlineLevel="0" collapsed="false">
      <c r="A13" s="8" t="s">
        <v>1955</v>
      </c>
      <c r="B13" s="8" t="s">
        <v>126</v>
      </c>
      <c r="C13" s="8" t="s">
        <v>1956</v>
      </c>
      <c r="D13" s="8" t="s">
        <v>1957</v>
      </c>
      <c r="E13" s="8" t="s">
        <v>1958</v>
      </c>
      <c r="F13" s="8" t="s">
        <v>1959</v>
      </c>
      <c r="G13" s="8" t="s">
        <v>1960</v>
      </c>
      <c r="H13" s="8" t="s">
        <v>1961</v>
      </c>
      <c r="I13" s="8" t="s">
        <v>1882</v>
      </c>
      <c r="J13" s="8" t="s">
        <v>75</v>
      </c>
      <c r="K13" s="8" t="s">
        <v>1962</v>
      </c>
      <c r="L13" s="8" t="s">
        <v>1863</v>
      </c>
      <c r="M13" s="8" t="s">
        <v>1863</v>
      </c>
      <c r="N13" s="8" t="s">
        <v>1863</v>
      </c>
    </row>
    <row r="14" customFormat="false" ht="41.25" hidden="false" customHeight="true" outlineLevel="0" collapsed="false">
      <c r="A14" s="8" t="s">
        <v>1963</v>
      </c>
      <c r="B14" s="8" t="s">
        <v>126</v>
      </c>
      <c r="C14" s="8" t="s">
        <v>1964</v>
      </c>
      <c r="D14" s="8" t="s">
        <v>1965</v>
      </c>
      <c r="E14" s="8" t="s">
        <v>1966</v>
      </c>
      <c r="F14" s="8" t="s">
        <v>1967</v>
      </c>
      <c r="G14" s="8" t="s">
        <v>1968</v>
      </c>
      <c r="H14" s="8" t="s">
        <v>1969</v>
      </c>
      <c r="I14" s="8" t="s">
        <v>1970</v>
      </c>
      <c r="J14" s="8" t="s">
        <v>76</v>
      </c>
      <c r="K14" s="8" t="s">
        <v>1971</v>
      </c>
      <c r="L14" s="8" t="s">
        <v>1863</v>
      </c>
      <c r="M14" s="8" t="s">
        <v>1863</v>
      </c>
      <c r="N14" s="8" t="s">
        <v>1863</v>
      </c>
    </row>
    <row r="15" customFormat="false" ht="41.25" hidden="false" customHeight="true" outlineLevel="0" collapsed="false">
      <c r="A15" s="8" t="s">
        <v>1972</v>
      </c>
      <c r="B15" s="8" t="s">
        <v>46</v>
      </c>
      <c r="C15" s="8" t="s">
        <v>1973</v>
      </c>
      <c r="D15" s="8" t="s">
        <v>1974</v>
      </c>
      <c r="E15" s="8" t="s">
        <v>1975</v>
      </c>
      <c r="F15" s="8" t="s">
        <v>1976</v>
      </c>
      <c r="G15" s="8" t="s">
        <v>1977</v>
      </c>
      <c r="H15" s="8" t="s">
        <v>1978</v>
      </c>
      <c r="I15" s="8" t="s">
        <v>1882</v>
      </c>
      <c r="J15" s="8" t="s">
        <v>75</v>
      </c>
      <c r="K15" s="8" t="s">
        <v>1979</v>
      </c>
      <c r="L15" s="8" t="s">
        <v>1863</v>
      </c>
      <c r="M15" s="8" t="s">
        <v>1980</v>
      </c>
      <c r="N15" s="8" t="s">
        <v>1863</v>
      </c>
    </row>
    <row r="16" customFormat="false" ht="28.5" hidden="false" customHeight="true" outlineLevel="0" collapsed="false">
      <c r="A16" s="8" t="s">
        <v>1981</v>
      </c>
      <c r="B16" s="8" t="s">
        <v>126</v>
      </c>
      <c r="C16" s="8" t="s">
        <v>1982</v>
      </c>
      <c r="D16" s="8" t="s">
        <v>1983</v>
      </c>
      <c r="E16" s="8" t="s">
        <v>1984</v>
      </c>
      <c r="F16" s="8" t="s">
        <v>1985</v>
      </c>
      <c r="G16" s="8" t="s">
        <v>1986</v>
      </c>
      <c r="H16" s="8" t="s">
        <v>1926</v>
      </c>
      <c r="I16" s="8" t="s">
        <v>1987</v>
      </c>
      <c r="J16" s="8" t="s">
        <v>76</v>
      </c>
      <c r="K16" s="8" t="s">
        <v>1988</v>
      </c>
      <c r="L16" s="8" t="s">
        <v>1863</v>
      </c>
      <c r="M16" s="8" t="s">
        <v>1863</v>
      </c>
      <c r="N16" s="8" t="s">
        <v>1863</v>
      </c>
    </row>
    <row r="17" customFormat="false" ht="28.5" hidden="false" customHeight="true" outlineLevel="0" collapsed="false">
      <c r="A17" s="8" t="s">
        <v>1989</v>
      </c>
      <c r="B17" s="8" t="s">
        <v>1854</v>
      </c>
      <c r="C17" s="8" t="s">
        <v>1990</v>
      </c>
      <c r="D17" s="8" t="s">
        <v>1991</v>
      </c>
      <c r="E17" s="8" t="s">
        <v>1992</v>
      </c>
      <c r="F17" s="8" t="s">
        <v>1993</v>
      </c>
      <c r="G17" s="8" t="s">
        <v>1994</v>
      </c>
      <c r="H17" s="8" t="s">
        <v>1995</v>
      </c>
      <c r="I17" s="8" t="s">
        <v>1996</v>
      </c>
      <c r="J17" s="8" t="s">
        <v>76</v>
      </c>
      <c r="K17" s="8" t="s">
        <v>1997</v>
      </c>
      <c r="L17" s="8" t="s">
        <v>1863</v>
      </c>
      <c r="M17" s="8" t="s">
        <v>1863</v>
      </c>
      <c r="N17" s="8" t="s">
        <v>1863</v>
      </c>
    </row>
    <row r="18" customFormat="false" ht="54" hidden="false" customHeight="true" outlineLevel="0" collapsed="false">
      <c r="A18" s="8" t="s">
        <v>1998</v>
      </c>
      <c r="B18" s="8" t="s">
        <v>126</v>
      </c>
      <c r="C18" s="8" t="s">
        <v>1999</v>
      </c>
      <c r="D18" s="8" t="s">
        <v>2000</v>
      </c>
      <c r="E18" s="8" t="s">
        <v>2001</v>
      </c>
      <c r="F18" s="8" t="s">
        <v>2002</v>
      </c>
      <c r="G18" s="8" t="s">
        <v>2003</v>
      </c>
      <c r="H18" s="8" t="s">
        <v>2004</v>
      </c>
      <c r="I18" s="8" t="s">
        <v>2005</v>
      </c>
      <c r="J18" s="8" t="s">
        <v>73</v>
      </c>
      <c r="K18" s="8" t="s">
        <v>1862</v>
      </c>
      <c r="L18" s="8" t="s">
        <v>706</v>
      </c>
      <c r="M18" s="8" t="s">
        <v>1863</v>
      </c>
      <c r="N18" s="8" t="s">
        <v>2006</v>
      </c>
    </row>
    <row r="19" customFormat="false" ht="41.25" hidden="false" customHeight="true" outlineLevel="0" collapsed="false">
      <c r="A19" s="8" t="s">
        <v>2007</v>
      </c>
      <c r="B19" s="8" t="s">
        <v>126</v>
      </c>
      <c r="C19" s="8" t="s">
        <v>2008</v>
      </c>
      <c r="D19" s="8" t="s">
        <v>2009</v>
      </c>
      <c r="E19" s="8" t="s">
        <v>2010</v>
      </c>
      <c r="F19" s="8" t="s">
        <v>1641</v>
      </c>
      <c r="G19" s="8" t="s">
        <v>2011</v>
      </c>
      <c r="H19" s="8" t="s">
        <v>2012</v>
      </c>
      <c r="I19" s="8" t="s">
        <v>2013</v>
      </c>
      <c r="J19" s="8" t="s">
        <v>78</v>
      </c>
      <c r="K19" s="8" t="s">
        <v>2014</v>
      </c>
      <c r="L19" s="8" t="s">
        <v>1863</v>
      </c>
      <c r="M19" s="8" t="s">
        <v>1863</v>
      </c>
      <c r="N19" s="8" t="s">
        <v>1863</v>
      </c>
    </row>
    <row r="20" customFormat="false" ht="41.25" hidden="false" customHeight="true" outlineLevel="0" collapsed="false">
      <c r="A20" s="8" t="s">
        <v>2015</v>
      </c>
      <c r="B20" s="8" t="s">
        <v>126</v>
      </c>
      <c r="C20" s="8" t="s">
        <v>2016</v>
      </c>
      <c r="D20" s="8" t="s">
        <v>2017</v>
      </c>
      <c r="E20" s="8" t="s">
        <v>2018</v>
      </c>
      <c r="F20" s="8" t="s">
        <v>2019</v>
      </c>
      <c r="G20" s="8" t="s">
        <v>2020</v>
      </c>
      <c r="H20" s="8" t="s">
        <v>2021</v>
      </c>
      <c r="I20" s="8" t="s">
        <v>2022</v>
      </c>
      <c r="J20" s="8" t="s">
        <v>75</v>
      </c>
      <c r="K20" s="8" t="s">
        <v>2023</v>
      </c>
      <c r="L20" s="8" t="s">
        <v>1863</v>
      </c>
      <c r="M20" s="8" t="s">
        <v>2024</v>
      </c>
      <c r="N20" s="8" t="s">
        <v>1863</v>
      </c>
    </row>
    <row r="21" customFormat="false" ht="347.25" hidden="false" customHeight="true" outlineLevel="0" collapsed="false">
      <c r="A21" s="8" t="s">
        <v>2025</v>
      </c>
      <c r="B21" s="8" t="s">
        <v>46</v>
      </c>
      <c r="C21" s="8" t="s">
        <v>2026</v>
      </c>
      <c r="D21" s="8" t="s">
        <v>2027</v>
      </c>
      <c r="E21" s="8" t="s">
        <v>2028</v>
      </c>
      <c r="F21" s="8" t="s">
        <v>2029</v>
      </c>
      <c r="G21" s="8" t="s">
        <v>2030</v>
      </c>
      <c r="H21" s="8" t="s">
        <v>2031</v>
      </c>
      <c r="I21" s="8" t="s">
        <v>1882</v>
      </c>
      <c r="J21" s="8" t="s">
        <v>75</v>
      </c>
      <c r="K21" s="8" t="s">
        <v>2032</v>
      </c>
      <c r="L21" s="8" t="s">
        <v>1863</v>
      </c>
      <c r="M21" s="8" t="s">
        <v>2033</v>
      </c>
      <c r="N21" s="8" t="s">
        <v>1863</v>
      </c>
    </row>
    <row r="22" customFormat="false" ht="54" hidden="false" customHeight="true" outlineLevel="0" collapsed="false">
      <c r="A22" s="8" t="s">
        <v>1646</v>
      </c>
      <c r="B22" s="8" t="s">
        <v>126</v>
      </c>
      <c r="C22" s="8" t="s">
        <v>2034</v>
      </c>
      <c r="D22" s="8" t="s">
        <v>2035</v>
      </c>
      <c r="E22" s="8" t="s">
        <v>2036</v>
      </c>
      <c r="F22" s="8" t="s">
        <v>2037</v>
      </c>
      <c r="G22" s="8" t="s">
        <v>2038</v>
      </c>
      <c r="H22" s="8" t="s">
        <v>2039</v>
      </c>
      <c r="I22" s="8" t="s">
        <v>2040</v>
      </c>
      <c r="J22" s="8" t="s">
        <v>73</v>
      </c>
      <c r="K22" s="8" t="s">
        <v>1862</v>
      </c>
      <c r="L22" s="8" t="s">
        <v>2041</v>
      </c>
      <c r="M22" s="8" t="s">
        <v>1863</v>
      </c>
      <c r="N22" s="8" t="s">
        <v>2042</v>
      </c>
    </row>
    <row r="23" customFormat="false" ht="41.25" hidden="false" customHeight="true" outlineLevel="0" collapsed="false">
      <c r="A23" s="8" t="s">
        <v>2043</v>
      </c>
      <c r="B23" s="8" t="s">
        <v>126</v>
      </c>
      <c r="C23" s="8" t="s">
        <v>2044</v>
      </c>
      <c r="D23" s="8" t="s">
        <v>2045</v>
      </c>
      <c r="E23" s="8" t="s">
        <v>2046</v>
      </c>
      <c r="F23" s="8" t="s">
        <v>2047</v>
      </c>
      <c r="G23" s="8" t="s">
        <v>2048</v>
      </c>
      <c r="H23" s="8" t="s">
        <v>2049</v>
      </c>
      <c r="I23" s="8" t="s">
        <v>2050</v>
      </c>
      <c r="J23" s="8" t="s">
        <v>73</v>
      </c>
      <c r="K23" s="8" t="s">
        <v>1862</v>
      </c>
      <c r="L23" s="8" t="s">
        <v>551</v>
      </c>
      <c r="M23" s="8" t="s">
        <v>1863</v>
      </c>
      <c r="N23" s="8" t="s">
        <v>2051</v>
      </c>
    </row>
    <row r="24" customFormat="false" ht="54" hidden="false" customHeight="true" outlineLevel="0" collapsed="false">
      <c r="A24" s="8" t="s">
        <v>2052</v>
      </c>
      <c r="B24" s="8" t="s">
        <v>126</v>
      </c>
      <c r="C24" s="8" t="s">
        <v>2053</v>
      </c>
      <c r="D24" s="8" t="s">
        <v>2054</v>
      </c>
      <c r="E24" s="8" t="s">
        <v>2055</v>
      </c>
      <c r="F24" s="8" t="s">
        <v>2056</v>
      </c>
      <c r="G24" s="8" t="s">
        <v>2057</v>
      </c>
      <c r="H24" s="8" t="s">
        <v>2058</v>
      </c>
      <c r="I24" s="8" t="s">
        <v>2059</v>
      </c>
      <c r="J24" s="8" t="s">
        <v>73</v>
      </c>
      <c r="K24" s="8" t="s">
        <v>2060</v>
      </c>
      <c r="L24" s="8" t="s">
        <v>1863</v>
      </c>
      <c r="M24" s="8" t="s">
        <v>2061</v>
      </c>
      <c r="N24" s="8" t="s">
        <v>2062</v>
      </c>
    </row>
    <row r="25" customFormat="false" ht="54" hidden="false" customHeight="true" outlineLevel="0" collapsed="false">
      <c r="A25" s="8" t="s">
        <v>1606</v>
      </c>
      <c r="B25" s="8" t="s">
        <v>126</v>
      </c>
      <c r="C25" s="8" t="s">
        <v>2063</v>
      </c>
      <c r="D25" s="8" t="s">
        <v>2064</v>
      </c>
      <c r="E25" s="8" t="s">
        <v>2065</v>
      </c>
      <c r="F25" s="8" t="s">
        <v>2066</v>
      </c>
      <c r="G25" s="8" t="s">
        <v>2067</v>
      </c>
      <c r="H25" s="8" t="s">
        <v>2068</v>
      </c>
      <c r="I25" s="8" t="s">
        <v>2069</v>
      </c>
      <c r="J25" s="8" t="s">
        <v>73</v>
      </c>
      <c r="K25" s="8" t="s">
        <v>1862</v>
      </c>
      <c r="L25" s="8" t="s">
        <v>2070</v>
      </c>
      <c r="M25" s="8" t="s">
        <v>2071</v>
      </c>
      <c r="N25" s="8" t="s">
        <v>2072</v>
      </c>
    </row>
    <row r="26" customFormat="false" ht="41.25" hidden="false" customHeight="true" outlineLevel="0" collapsed="false">
      <c r="A26" s="8" t="s">
        <v>2073</v>
      </c>
      <c r="B26" s="8" t="s">
        <v>2074</v>
      </c>
      <c r="C26" s="8" t="s">
        <v>1855</v>
      </c>
      <c r="D26" s="8" t="s">
        <v>2075</v>
      </c>
      <c r="E26" s="8" t="s">
        <v>2076</v>
      </c>
      <c r="F26" s="8" t="s">
        <v>152</v>
      </c>
      <c r="G26" s="8" t="s">
        <v>2077</v>
      </c>
      <c r="H26" s="8" t="s">
        <v>2077</v>
      </c>
      <c r="I26" s="8" t="s">
        <v>2078</v>
      </c>
      <c r="J26" s="8" t="s">
        <v>79</v>
      </c>
      <c r="K26" s="8" t="s">
        <v>2079</v>
      </c>
      <c r="L26" s="8" t="s">
        <v>1863</v>
      </c>
      <c r="M26" s="8" t="s">
        <v>1863</v>
      </c>
      <c r="N26" s="8" t="s">
        <v>1863</v>
      </c>
    </row>
    <row r="27" customFormat="false" ht="360" hidden="false" customHeight="true" outlineLevel="0" collapsed="false">
      <c r="A27" s="8" t="s">
        <v>2080</v>
      </c>
      <c r="B27" s="8" t="s">
        <v>1854</v>
      </c>
      <c r="C27" s="8" t="s">
        <v>2081</v>
      </c>
      <c r="D27" s="8" t="s">
        <v>2082</v>
      </c>
      <c r="E27" s="8" t="s">
        <v>2083</v>
      </c>
      <c r="F27" s="8" t="s">
        <v>2084</v>
      </c>
      <c r="G27" s="8" t="s">
        <v>2085</v>
      </c>
      <c r="H27" s="8" t="s">
        <v>2086</v>
      </c>
      <c r="I27" s="8" t="s">
        <v>2087</v>
      </c>
      <c r="J27" s="8" t="s">
        <v>73</v>
      </c>
      <c r="K27" s="8" t="s">
        <v>1862</v>
      </c>
      <c r="L27" s="8" t="s">
        <v>1863</v>
      </c>
      <c r="M27" s="8" t="s">
        <v>2088</v>
      </c>
      <c r="N27" s="8" t="s">
        <v>2089</v>
      </c>
    </row>
    <row r="28" customFormat="false" ht="28.5" hidden="false" customHeight="true" outlineLevel="0" collapsed="false">
      <c r="A28" s="8" t="s">
        <v>2090</v>
      </c>
      <c r="B28" s="8" t="s">
        <v>126</v>
      </c>
      <c r="C28" s="8" t="s">
        <v>2091</v>
      </c>
      <c r="D28" s="8" t="s">
        <v>2092</v>
      </c>
      <c r="E28" s="8" t="s">
        <v>2093</v>
      </c>
      <c r="F28" s="8" t="s">
        <v>2094</v>
      </c>
      <c r="G28" s="8" t="s">
        <v>2095</v>
      </c>
      <c r="H28" s="8" t="s">
        <v>2096</v>
      </c>
      <c r="I28" s="8" t="s">
        <v>2097</v>
      </c>
      <c r="J28" s="8" t="s">
        <v>75</v>
      </c>
      <c r="K28" s="8" t="s">
        <v>2098</v>
      </c>
      <c r="L28" s="8" t="s">
        <v>1863</v>
      </c>
      <c r="M28" s="8" t="s">
        <v>2071</v>
      </c>
      <c r="N28" s="8" t="s">
        <v>1863</v>
      </c>
    </row>
    <row r="29" customFormat="false" ht="66.75" hidden="false" customHeight="true" outlineLevel="0" collapsed="false">
      <c r="A29" s="8" t="s">
        <v>2099</v>
      </c>
      <c r="B29" s="8" t="s">
        <v>126</v>
      </c>
      <c r="C29" s="8" t="s">
        <v>2100</v>
      </c>
      <c r="D29" s="8" t="s">
        <v>2101</v>
      </c>
      <c r="E29" s="8" t="s">
        <v>2102</v>
      </c>
      <c r="F29" s="8" t="s">
        <v>2056</v>
      </c>
      <c r="G29" s="8" t="s">
        <v>2103</v>
      </c>
      <c r="H29" s="8" t="s">
        <v>2104</v>
      </c>
      <c r="I29" s="8" t="s">
        <v>2105</v>
      </c>
      <c r="J29" s="8" t="s">
        <v>73</v>
      </c>
      <c r="K29" s="8" t="s">
        <v>2060</v>
      </c>
      <c r="L29" s="8" t="s">
        <v>1863</v>
      </c>
      <c r="M29" s="8" t="s">
        <v>2106</v>
      </c>
      <c r="N29" s="8" t="s">
        <v>2107</v>
      </c>
    </row>
    <row r="30" customFormat="false" ht="54" hidden="false" customHeight="true" outlineLevel="0" collapsed="false">
      <c r="A30" s="8" t="s">
        <v>2108</v>
      </c>
      <c r="B30" s="8" t="s">
        <v>126</v>
      </c>
      <c r="C30" s="8" t="s">
        <v>2109</v>
      </c>
      <c r="D30" s="8" t="s">
        <v>2110</v>
      </c>
      <c r="E30" s="8" t="s">
        <v>2111</v>
      </c>
      <c r="F30" s="8" t="s">
        <v>2056</v>
      </c>
      <c r="G30" s="8" t="s">
        <v>2112</v>
      </c>
      <c r="H30" s="8" t="s">
        <v>2113</v>
      </c>
      <c r="I30" s="8" t="s">
        <v>2114</v>
      </c>
      <c r="J30" s="8" t="s">
        <v>73</v>
      </c>
      <c r="K30" s="8" t="s">
        <v>2115</v>
      </c>
      <c r="L30" s="8" t="s">
        <v>1863</v>
      </c>
      <c r="M30" s="8" t="s">
        <v>1251</v>
      </c>
      <c r="N30" s="8" t="s">
        <v>2116</v>
      </c>
    </row>
    <row r="31" customFormat="false" ht="54" hidden="false" customHeight="true" outlineLevel="0" collapsed="false">
      <c r="A31" s="8" t="s">
        <v>2117</v>
      </c>
      <c r="B31" s="8" t="s">
        <v>126</v>
      </c>
      <c r="C31" s="8" t="s">
        <v>2118</v>
      </c>
      <c r="D31" s="8" t="s">
        <v>2119</v>
      </c>
      <c r="E31" s="8" t="s">
        <v>2120</v>
      </c>
      <c r="F31" s="8" t="s">
        <v>2121</v>
      </c>
      <c r="G31" s="8" t="s">
        <v>2122</v>
      </c>
      <c r="H31" s="8" t="s">
        <v>2123</v>
      </c>
      <c r="I31" s="8" t="s">
        <v>2124</v>
      </c>
      <c r="J31" s="8" t="s">
        <v>73</v>
      </c>
      <c r="K31" s="8" t="s">
        <v>1862</v>
      </c>
      <c r="L31" s="8" t="s">
        <v>2125</v>
      </c>
      <c r="M31" s="8" t="s">
        <v>1863</v>
      </c>
      <c r="N31" s="8" t="s">
        <v>2126</v>
      </c>
    </row>
    <row r="32" customFormat="false" ht="54" hidden="false" customHeight="true" outlineLevel="0" collapsed="false">
      <c r="A32" s="8" t="s">
        <v>1578</v>
      </c>
      <c r="B32" s="8" t="s">
        <v>46</v>
      </c>
      <c r="C32" s="8" t="s">
        <v>2127</v>
      </c>
      <c r="D32" s="8" t="s">
        <v>2128</v>
      </c>
      <c r="E32" s="8" t="s">
        <v>2129</v>
      </c>
      <c r="F32" s="8" t="s">
        <v>2130</v>
      </c>
      <c r="G32" s="8" t="s">
        <v>2131</v>
      </c>
      <c r="H32" s="8" t="s">
        <v>2132</v>
      </c>
      <c r="I32" s="8" t="s">
        <v>2133</v>
      </c>
      <c r="J32" s="8" t="s">
        <v>73</v>
      </c>
      <c r="K32" s="8" t="s">
        <v>1862</v>
      </c>
      <c r="L32" s="8" t="s">
        <v>2134</v>
      </c>
      <c r="M32" s="8" t="s">
        <v>522</v>
      </c>
      <c r="N32" s="8" t="s">
        <v>2135</v>
      </c>
    </row>
    <row r="33" customFormat="false" ht="66.75" hidden="false" customHeight="true" outlineLevel="0" collapsed="false">
      <c r="A33" s="8" t="s">
        <v>2136</v>
      </c>
      <c r="B33" s="8" t="s">
        <v>1854</v>
      </c>
      <c r="C33" s="8" t="s">
        <v>1855</v>
      </c>
      <c r="D33" s="8" t="s">
        <v>2137</v>
      </c>
      <c r="E33" s="8" t="s">
        <v>2138</v>
      </c>
      <c r="F33" s="8" t="s">
        <v>2139</v>
      </c>
      <c r="G33" s="8" t="s">
        <v>2140</v>
      </c>
      <c r="H33" s="8" t="s">
        <v>2141</v>
      </c>
      <c r="I33" s="8" t="s">
        <v>2142</v>
      </c>
      <c r="J33" s="8" t="s">
        <v>73</v>
      </c>
      <c r="K33" s="8" t="s">
        <v>1862</v>
      </c>
      <c r="L33" s="8" t="s">
        <v>1863</v>
      </c>
      <c r="M33" s="8" t="s">
        <v>2143</v>
      </c>
      <c r="N33" s="8" t="s">
        <v>2144</v>
      </c>
    </row>
    <row r="34" customFormat="false" ht="54" hidden="false" customHeight="true" outlineLevel="0" collapsed="false">
      <c r="A34" s="8" t="s">
        <v>1586</v>
      </c>
      <c r="B34" s="8" t="s">
        <v>126</v>
      </c>
      <c r="C34" s="8" t="s">
        <v>2145</v>
      </c>
      <c r="D34" s="8" t="s">
        <v>2146</v>
      </c>
      <c r="E34" s="8" t="s">
        <v>2147</v>
      </c>
      <c r="F34" s="8" t="s">
        <v>2148</v>
      </c>
      <c r="G34" s="8" t="s">
        <v>2149</v>
      </c>
      <c r="H34" s="8" t="s">
        <v>2150</v>
      </c>
      <c r="I34" s="8" t="s">
        <v>2151</v>
      </c>
      <c r="J34" s="8" t="s">
        <v>73</v>
      </c>
      <c r="K34" s="8" t="s">
        <v>1862</v>
      </c>
      <c r="L34" s="8" t="s">
        <v>368</v>
      </c>
      <c r="M34" s="8" t="s">
        <v>1863</v>
      </c>
      <c r="N34" s="8" t="s">
        <v>2152</v>
      </c>
    </row>
    <row r="35" customFormat="false" ht="79.5" hidden="false" customHeight="true" outlineLevel="0" collapsed="false">
      <c r="A35" s="8" t="s">
        <v>2153</v>
      </c>
      <c r="B35" s="8" t="s">
        <v>126</v>
      </c>
      <c r="C35" s="8" t="s">
        <v>2154</v>
      </c>
      <c r="D35" s="8" t="s">
        <v>2155</v>
      </c>
      <c r="E35" s="8" t="s">
        <v>2156</v>
      </c>
      <c r="F35" s="8" t="s">
        <v>2157</v>
      </c>
      <c r="G35" s="8" t="s">
        <v>2158</v>
      </c>
      <c r="H35" s="8" t="s">
        <v>2159</v>
      </c>
      <c r="I35" s="8" t="s">
        <v>2160</v>
      </c>
      <c r="J35" s="8" t="s">
        <v>73</v>
      </c>
      <c r="K35" s="8" t="s">
        <v>1862</v>
      </c>
      <c r="L35" s="8" t="s">
        <v>305</v>
      </c>
      <c r="M35" s="8" t="s">
        <v>1863</v>
      </c>
      <c r="N35" s="8" t="s">
        <v>2161</v>
      </c>
    </row>
    <row r="36" customFormat="false" ht="41.25" hidden="false" customHeight="true" outlineLevel="0" collapsed="false">
      <c r="A36" s="8" t="s">
        <v>2162</v>
      </c>
      <c r="B36" s="8" t="s">
        <v>126</v>
      </c>
      <c r="C36" s="8" t="s">
        <v>2163</v>
      </c>
      <c r="D36" s="8" t="s">
        <v>2164</v>
      </c>
      <c r="E36" s="8" t="s">
        <v>2165</v>
      </c>
      <c r="F36" s="8" t="s">
        <v>2166</v>
      </c>
      <c r="G36" s="8" t="s">
        <v>2167</v>
      </c>
      <c r="H36" s="8" t="s">
        <v>2168</v>
      </c>
      <c r="I36" s="8" t="s">
        <v>2169</v>
      </c>
      <c r="J36" s="8" t="s">
        <v>73</v>
      </c>
      <c r="K36" s="8" t="s">
        <v>1862</v>
      </c>
      <c r="L36" s="8" t="s">
        <v>726</v>
      </c>
      <c r="M36" s="8" t="s">
        <v>1863</v>
      </c>
      <c r="N36" s="8" t="s">
        <v>2170</v>
      </c>
    </row>
    <row r="37" customFormat="false" ht="41.25" hidden="false" customHeight="true" outlineLevel="0" collapsed="false">
      <c r="A37" s="8" t="s">
        <v>2171</v>
      </c>
      <c r="B37" s="8" t="s">
        <v>126</v>
      </c>
      <c r="C37" s="8" t="s">
        <v>2172</v>
      </c>
      <c r="D37" s="8" t="s">
        <v>2173</v>
      </c>
      <c r="E37" s="8" t="s">
        <v>2174</v>
      </c>
      <c r="F37" s="8" t="s">
        <v>2037</v>
      </c>
      <c r="G37" s="8" t="s">
        <v>2175</v>
      </c>
      <c r="H37" s="8" t="s">
        <v>2113</v>
      </c>
      <c r="I37" s="8" t="s">
        <v>2176</v>
      </c>
      <c r="J37" s="8" t="s">
        <v>73</v>
      </c>
      <c r="K37" s="8" t="s">
        <v>1862</v>
      </c>
      <c r="L37" s="8" t="s">
        <v>295</v>
      </c>
      <c r="M37" s="8" t="s">
        <v>1863</v>
      </c>
      <c r="N37" s="8" t="s">
        <v>2177</v>
      </c>
    </row>
    <row r="38" customFormat="false" ht="54" hidden="false" customHeight="true" outlineLevel="0" collapsed="false">
      <c r="A38" s="8" t="s">
        <v>2178</v>
      </c>
      <c r="B38" s="8" t="s">
        <v>126</v>
      </c>
      <c r="C38" s="8" t="s">
        <v>2179</v>
      </c>
      <c r="D38" s="8" t="s">
        <v>2180</v>
      </c>
      <c r="E38" s="8" t="s">
        <v>2181</v>
      </c>
      <c r="F38" s="8" t="s">
        <v>2182</v>
      </c>
      <c r="G38" s="8" t="s">
        <v>2183</v>
      </c>
      <c r="H38" s="8" t="s">
        <v>2184</v>
      </c>
      <c r="I38" s="8" t="s">
        <v>2185</v>
      </c>
      <c r="J38" s="8" t="s">
        <v>76</v>
      </c>
      <c r="K38" s="8" t="s">
        <v>2186</v>
      </c>
      <c r="L38" s="8" t="s">
        <v>1863</v>
      </c>
      <c r="M38" s="8" t="s">
        <v>1863</v>
      </c>
      <c r="N38" s="8" t="s">
        <v>1863</v>
      </c>
    </row>
    <row r="39" customFormat="false" ht="28.5" hidden="false" customHeight="true" outlineLevel="0" collapsed="false">
      <c r="A39" s="8" t="s">
        <v>1630</v>
      </c>
      <c r="B39" s="8" t="s">
        <v>126</v>
      </c>
      <c r="C39" s="8" t="s">
        <v>2187</v>
      </c>
      <c r="D39" s="8" t="s">
        <v>2188</v>
      </c>
      <c r="E39" s="8" t="s">
        <v>2189</v>
      </c>
      <c r="F39" s="8" t="s">
        <v>2190</v>
      </c>
      <c r="G39" s="8" t="s">
        <v>2191</v>
      </c>
      <c r="H39" s="8" t="s">
        <v>2113</v>
      </c>
      <c r="I39" s="8" t="s">
        <v>2192</v>
      </c>
      <c r="J39" s="8" t="s">
        <v>73</v>
      </c>
      <c r="K39" s="8" t="s">
        <v>1862</v>
      </c>
      <c r="L39" s="8" t="s">
        <v>958</v>
      </c>
      <c r="M39" s="8" t="s">
        <v>1863</v>
      </c>
      <c r="N39" s="8" t="s">
        <v>2193</v>
      </c>
    </row>
    <row r="40" customFormat="false" ht="66.75" hidden="false" customHeight="true" outlineLevel="0" collapsed="false">
      <c r="A40" s="8" t="s">
        <v>2194</v>
      </c>
      <c r="B40" s="8" t="s">
        <v>126</v>
      </c>
      <c r="C40" s="8" t="s">
        <v>2195</v>
      </c>
      <c r="D40" s="8" t="s">
        <v>2196</v>
      </c>
      <c r="E40" s="8" t="s">
        <v>2197</v>
      </c>
      <c r="F40" s="8" t="s">
        <v>2198</v>
      </c>
      <c r="G40" s="8" t="s">
        <v>2199</v>
      </c>
      <c r="H40" s="8" t="s">
        <v>2200</v>
      </c>
      <c r="I40" s="8" t="s">
        <v>2201</v>
      </c>
      <c r="J40" s="8" t="s">
        <v>73</v>
      </c>
      <c r="K40" s="8" t="s">
        <v>1862</v>
      </c>
      <c r="L40" s="8" t="s">
        <v>1373</v>
      </c>
      <c r="M40" s="8" t="s">
        <v>1863</v>
      </c>
      <c r="N40" s="8" t="s">
        <v>2202</v>
      </c>
    </row>
    <row r="41" customFormat="false" ht="54" hidden="false" customHeight="true" outlineLevel="0" collapsed="false">
      <c r="A41" s="8" t="s">
        <v>2203</v>
      </c>
      <c r="B41" s="8" t="s">
        <v>126</v>
      </c>
      <c r="C41" s="8" t="s">
        <v>2204</v>
      </c>
      <c r="D41" s="8" t="s">
        <v>2205</v>
      </c>
      <c r="E41" s="8" t="s">
        <v>2206</v>
      </c>
      <c r="F41" s="8" t="s">
        <v>2207</v>
      </c>
      <c r="G41" s="8" t="s">
        <v>2208</v>
      </c>
      <c r="H41" s="8" t="s">
        <v>2209</v>
      </c>
      <c r="I41" s="8" t="s">
        <v>2210</v>
      </c>
      <c r="J41" s="8" t="s">
        <v>73</v>
      </c>
      <c r="K41" s="8" t="s">
        <v>1862</v>
      </c>
      <c r="L41" s="8" t="s">
        <v>2211</v>
      </c>
      <c r="M41" s="8" t="s">
        <v>1863</v>
      </c>
      <c r="N41" s="8" t="s">
        <v>2212</v>
      </c>
    </row>
    <row r="42" customFormat="false" ht="66.75" hidden="false" customHeight="true" outlineLevel="0" collapsed="false">
      <c r="A42" s="8" t="s">
        <v>1682</v>
      </c>
      <c r="B42" s="8" t="s">
        <v>126</v>
      </c>
      <c r="C42" s="8" t="s">
        <v>2213</v>
      </c>
      <c r="D42" s="8" t="s">
        <v>2214</v>
      </c>
      <c r="E42" s="8" t="s">
        <v>2215</v>
      </c>
      <c r="F42" s="8" t="s">
        <v>1681</v>
      </c>
      <c r="G42" s="8" t="s">
        <v>2216</v>
      </c>
      <c r="H42" s="8" t="s">
        <v>2217</v>
      </c>
      <c r="I42" s="8" t="s">
        <v>2218</v>
      </c>
      <c r="J42" s="8" t="s">
        <v>73</v>
      </c>
      <c r="K42" s="8" t="s">
        <v>1862</v>
      </c>
      <c r="L42" s="8" t="s">
        <v>2219</v>
      </c>
      <c r="M42" s="8" t="s">
        <v>1863</v>
      </c>
      <c r="N42" s="8" t="s">
        <v>2220</v>
      </c>
    </row>
    <row r="43" customFormat="false" ht="117.75" hidden="false" customHeight="true" outlineLevel="0" collapsed="false">
      <c r="A43" s="8" t="s">
        <v>2221</v>
      </c>
      <c r="B43" s="8" t="s">
        <v>126</v>
      </c>
      <c r="C43" s="8" t="s">
        <v>2222</v>
      </c>
      <c r="D43" s="8" t="s">
        <v>2223</v>
      </c>
      <c r="E43" s="8" t="s">
        <v>2224</v>
      </c>
      <c r="F43" s="8" t="s">
        <v>2225</v>
      </c>
      <c r="G43" s="8" t="s">
        <v>2226</v>
      </c>
      <c r="H43" s="8" t="s">
        <v>2227</v>
      </c>
      <c r="I43" s="8" t="s">
        <v>2228</v>
      </c>
      <c r="J43" s="8" t="s">
        <v>73</v>
      </c>
      <c r="K43" s="8" t="s">
        <v>1862</v>
      </c>
      <c r="L43" s="8" t="s">
        <v>2229</v>
      </c>
      <c r="M43" s="8" t="s">
        <v>1863</v>
      </c>
      <c r="N43" s="8" t="s">
        <v>2230</v>
      </c>
    </row>
    <row r="44" customFormat="false" ht="92.25" hidden="false" customHeight="true" outlineLevel="0" collapsed="false">
      <c r="A44" s="8" t="s">
        <v>2231</v>
      </c>
      <c r="B44" s="8" t="s">
        <v>126</v>
      </c>
      <c r="C44" s="8" t="s">
        <v>2232</v>
      </c>
      <c r="D44" s="8" t="s">
        <v>2233</v>
      </c>
      <c r="E44" s="8" t="s">
        <v>2234</v>
      </c>
      <c r="F44" s="8" t="s">
        <v>2235</v>
      </c>
      <c r="G44" s="8" t="s">
        <v>2236</v>
      </c>
      <c r="H44" s="8" t="s">
        <v>2237</v>
      </c>
      <c r="I44" s="8" t="s">
        <v>2238</v>
      </c>
      <c r="J44" s="8" t="s">
        <v>73</v>
      </c>
      <c r="K44" s="8" t="s">
        <v>1862</v>
      </c>
      <c r="L44" s="8" t="s">
        <v>810</v>
      </c>
      <c r="M44" s="8" t="s">
        <v>1863</v>
      </c>
      <c r="N44" s="8" t="s">
        <v>2239</v>
      </c>
    </row>
    <row r="45" customFormat="false" ht="66.75" hidden="false" customHeight="true" outlineLevel="0" collapsed="false">
      <c r="A45" s="8" t="s">
        <v>2240</v>
      </c>
      <c r="B45" s="8" t="s">
        <v>126</v>
      </c>
      <c r="C45" s="8" t="s">
        <v>2241</v>
      </c>
      <c r="D45" s="8" t="s">
        <v>2242</v>
      </c>
      <c r="E45" s="8" t="s">
        <v>2243</v>
      </c>
      <c r="F45" s="8" t="s">
        <v>2244</v>
      </c>
      <c r="G45" s="8" t="s">
        <v>2245</v>
      </c>
      <c r="H45" s="8" t="s">
        <v>2246</v>
      </c>
      <c r="I45" s="8" t="s">
        <v>2247</v>
      </c>
      <c r="J45" s="8" t="s">
        <v>73</v>
      </c>
      <c r="K45" s="8" t="s">
        <v>1862</v>
      </c>
      <c r="L45" s="8" t="s">
        <v>855</v>
      </c>
      <c r="M45" s="8" t="s">
        <v>1863</v>
      </c>
      <c r="N45" s="8" t="s">
        <v>2248</v>
      </c>
    </row>
    <row r="46" customFormat="false" ht="66.75" hidden="false" customHeight="true" outlineLevel="0" collapsed="false">
      <c r="A46" s="8" t="s">
        <v>2249</v>
      </c>
      <c r="B46" s="8" t="s">
        <v>126</v>
      </c>
      <c r="C46" s="8" t="s">
        <v>2250</v>
      </c>
      <c r="D46" s="8" t="s">
        <v>2251</v>
      </c>
      <c r="E46" s="8" t="s">
        <v>2252</v>
      </c>
      <c r="F46" s="8" t="s">
        <v>2253</v>
      </c>
      <c r="G46" s="8" t="s">
        <v>2254</v>
      </c>
      <c r="H46" s="8" t="s">
        <v>2255</v>
      </c>
      <c r="I46" s="8" t="s">
        <v>2256</v>
      </c>
      <c r="J46" s="8" t="s">
        <v>73</v>
      </c>
      <c r="K46" s="8" t="s">
        <v>1862</v>
      </c>
      <c r="L46" s="8" t="s">
        <v>866</v>
      </c>
      <c r="M46" s="8" t="s">
        <v>1863</v>
      </c>
      <c r="N46" s="8" t="s">
        <v>2257</v>
      </c>
    </row>
    <row r="47" customFormat="false" ht="54" hidden="false" customHeight="true" outlineLevel="0" collapsed="false">
      <c r="A47" s="8" t="s">
        <v>2258</v>
      </c>
      <c r="B47" s="8" t="s">
        <v>126</v>
      </c>
      <c r="C47" s="8" t="s">
        <v>2259</v>
      </c>
      <c r="D47" s="8" t="s">
        <v>2260</v>
      </c>
      <c r="E47" s="8" t="s">
        <v>2261</v>
      </c>
      <c r="F47" s="8" t="s">
        <v>2262</v>
      </c>
      <c r="G47" s="8" t="s">
        <v>2263</v>
      </c>
      <c r="H47" s="8" t="s">
        <v>2264</v>
      </c>
      <c r="I47" s="8" t="s">
        <v>2265</v>
      </c>
      <c r="J47" s="8" t="s">
        <v>73</v>
      </c>
      <c r="K47" s="8" t="s">
        <v>1862</v>
      </c>
      <c r="L47" s="8" t="s">
        <v>885</v>
      </c>
      <c r="M47" s="8" t="s">
        <v>1863</v>
      </c>
      <c r="N47" s="8" t="s">
        <v>2266</v>
      </c>
    </row>
    <row r="48" customFormat="false" ht="143.25" hidden="false" customHeight="true" outlineLevel="0" collapsed="false">
      <c r="A48" s="8" t="s">
        <v>2267</v>
      </c>
      <c r="B48" s="8" t="s">
        <v>1854</v>
      </c>
      <c r="C48" s="8" t="s">
        <v>2268</v>
      </c>
      <c r="D48" s="8" t="s">
        <v>2269</v>
      </c>
      <c r="E48" s="8" t="s">
        <v>2270</v>
      </c>
      <c r="F48" s="8" t="s">
        <v>2271</v>
      </c>
      <c r="G48" s="8" t="s">
        <v>2272</v>
      </c>
      <c r="H48" s="8" t="s">
        <v>2273</v>
      </c>
      <c r="I48" s="8" t="s">
        <v>2274</v>
      </c>
      <c r="J48" s="8" t="s">
        <v>73</v>
      </c>
      <c r="K48" s="8" t="s">
        <v>1862</v>
      </c>
      <c r="L48" s="8" t="s">
        <v>1863</v>
      </c>
      <c r="M48" s="8" t="s">
        <v>2229</v>
      </c>
      <c r="N48" s="8" t="s">
        <v>2275</v>
      </c>
    </row>
    <row r="49" customFormat="false" ht="54" hidden="false" customHeight="true" outlineLevel="0" collapsed="false">
      <c r="A49" s="8" t="s">
        <v>2276</v>
      </c>
      <c r="B49" s="8" t="s">
        <v>126</v>
      </c>
      <c r="C49" s="8" t="s">
        <v>2277</v>
      </c>
      <c r="D49" s="8" t="s">
        <v>2278</v>
      </c>
      <c r="E49" s="8" t="s">
        <v>2279</v>
      </c>
      <c r="F49" s="8" t="s">
        <v>2280</v>
      </c>
      <c r="G49" s="8" t="s">
        <v>2281</v>
      </c>
      <c r="H49" s="8" t="s">
        <v>2282</v>
      </c>
      <c r="I49" s="8" t="s">
        <v>2283</v>
      </c>
      <c r="J49" s="8" t="s">
        <v>73</v>
      </c>
      <c r="K49" s="8" t="s">
        <v>1862</v>
      </c>
      <c r="L49" s="8" t="s">
        <v>1038</v>
      </c>
      <c r="M49" s="8" t="s">
        <v>1863</v>
      </c>
      <c r="N49" s="8" t="s">
        <v>2284</v>
      </c>
    </row>
    <row r="50" customFormat="false" ht="54" hidden="false" customHeight="true" outlineLevel="0" collapsed="false">
      <c r="A50" s="8" t="s">
        <v>1670</v>
      </c>
      <c r="B50" s="8" t="s">
        <v>126</v>
      </c>
      <c r="C50" s="8" t="s">
        <v>2285</v>
      </c>
      <c r="D50" s="8" t="s">
        <v>2286</v>
      </c>
      <c r="E50" s="8" t="s">
        <v>2287</v>
      </c>
      <c r="F50" s="8" t="s">
        <v>2288</v>
      </c>
      <c r="G50" s="8" t="s">
        <v>2289</v>
      </c>
      <c r="H50" s="8" t="s">
        <v>2290</v>
      </c>
      <c r="I50" s="8" t="s">
        <v>2291</v>
      </c>
      <c r="J50" s="8" t="s">
        <v>73</v>
      </c>
      <c r="K50" s="8" t="s">
        <v>1862</v>
      </c>
      <c r="L50" s="8" t="s">
        <v>1353</v>
      </c>
      <c r="M50" s="8" t="s">
        <v>1863</v>
      </c>
      <c r="N50" s="8" t="s">
        <v>2292</v>
      </c>
    </row>
    <row r="51" customFormat="false" ht="66.75" hidden="false" customHeight="true" outlineLevel="0" collapsed="false">
      <c r="A51" s="8" t="s">
        <v>2293</v>
      </c>
      <c r="B51" s="8" t="s">
        <v>126</v>
      </c>
      <c r="C51" s="8" t="s">
        <v>2294</v>
      </c>
      <c r="D51" s="8" t="s">
        <v>2295</v>
      </c>
      <c r="E51" s="8" t="s">
        <v>2296</v>
      </c>
      <c r="F51" s="8" t="s">
        <v>2297</v>
      </c>
      <c r="G51" s="8" t="s">
        <v>2298</v>
      </c>
      <c r="H51" s="8" t="s">
        <v>2299</v>
      </c>
      <c r="I51" s="8" t="s">
        <v>2300</v>
      </c>
      <c r="J51" s="8" t="s">
        <v>73</v>
      </c>
      <c r="K51" s="8" t="s">
        <v>1862</v>
      </c>
      <c r="L51" s="8" t="s">
        <v>1470</v>
      </c>
      <c r="M51" s="8" t="s">
        <v>1863</v>
      </c>
      <c r="N51" s="8" t="s">
        <v>2301</v>
      </c>
    </row>
  </sheetData>
  <autoFilter ref="A1:N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20"/>
    <col collapsed="false" customWidth="true" hidden="false" outlineLevel="0" max="3" min="3" style="0" width="50"/>
  </cols>
  <sheetData>
    <row r="1" customFormat="false" ht="34.5" hidden="false" customHeight="true" outlineLevel="0" collapsed="false">
      <c r="A1" s="5" t="s">
        <v>108</v>
      </c>
      <c r="B1" s="5" t="s">
        <v>2302</v>
      </c>
      <c r="C1" s="5" t="s">
        <v>2303</v>
      </c>
    </row>
    <row r="2" customFormat="false" ht="92.25" hidden="false" customHeight="true" outlineLevel="0" collapsed="false">
      <c r="A2" s="8" t="s">
        <v>1853</v>
      </c>
      <c r="B2" s="8" t="s">
        <v>1865</v>
      </c>
      <c r="C2" s="8"/>
    </row>
    <row r="3" customFormat="false" ht="28.5" hidden="false" customHeight="true" outlineLevel="0" collapsed="false">
      <c r="A3" s="8" t="s">
        <v>1894</v>
      </c>
      <c r="B3" s="8" t="s">
        <v>1901</v>
      </c>
      <c r="C3" s="8"/>
    </row>
    <row r="4" customFormat="false" ht="41.25" hidden="false" customHeight="true" outlineLevel="0" collapsed="false">
      <c r="A4" s="8" t="s">
        <v>1910</v>
      </c>
      <c r="B4" s="8" t="s">
        <v>1919</v>
      </c>
      <c r="C4" s="8"/>
    </row>
    <row r="5" customFormat="false" ht="28.5" hidden="false" customHeight="true" outlineLevel="0" collapsed="false">
      <c r="A5" s="8" t="s">
        <v>1998</v>
      </c>
      <c r="B5" s="8" t="s">
        <v>2006</v>
      </c>
      <c r="C5" s="8"/>
    </row>
    <row r="6" customFormat="false" ht="28.5" hidden="false" customHeight="true" outlineLevel="0" collapsed="false">
      <c r="A6" s="8" t="s">
        <v>1646</v>
      </c>
      <c r="B6" s="8" t="s">
        <v>2042</v>
      </c>
      <c r="C6" s="8"/>
    </row>
    <row r="7" customFormat="false" ht="28.5" hidden="false" customHeight="true" outlineLevel="0" collapsed="false">
      <c r="A7" s="8" t="s">
        <v>2043</v>
      </c>
      <c r="B7" s="8" t="s">
        <v>2051</v>
      </c>
      <c r="C7" s="8"/>
    </row>
    <row r="8" customFormat="false" ht="41.25" hidden="false" customHeight="true" outlineLevel="0" collapsed="false">
      <c r="A8" s="8" t="s">
        <v>2052</v>
      </c>
      <c r="B8" s="8" t="s">
        <v>2062</v>
      </c>
      <c r="C8" s="8"/>
    </row>
    <row r="9" customFormat="false" ht="28.5" hidden="false" customHeight="true" outlineLevel="0" collapsed="false">
      <c r="A9" s="8" t="s">
        <v>1606</v>
      </c>
      <c r="B9" s="8" t="s">
        <v>2072</v>
      </c>
      <c r="C9" s="8"/>
    </row>
    <row r="10" customFormat="false" ht="28.5" hidden="false" customHeight="true" outlineLevel="0" collapsed="false">
      <c r="A10" s="8" t="s">
        <v>2080</v>
      </c>
      <c r="B10" s="8" t="s">
        <v>2089</v>
      </c>
      <c r="C10" s="8"/>
    </row>
    <row r="11" customFormat="false" ht="41.25" hidden="false" customHeight="true" outlineLevel="0" collapsed="false">
      <c r="A11" s="8" t="s">
        <v>2099</v>
      </c>
      <c r="B11" s="8" t="s">
        <v>2107</v>
      </c>
      <c r="C11" s="8"/>
    </row>
    <row r="12" customFormat="false" ht="28.5" hidden="false" customHeight="true" outlineLevel="0" collapsed="false">
      <c r="A12" s="8" t="s">
        <v>2108</v>
      </c>
      <c r="B12" s="8" t="s">
        <v>2116</v>
      </c>
      <c r="C12" s="8"/>
    </row>
    <row r="13" customFormat="false" ht="28.5" hidden="false" customHeight="true" outlineLevel="0" collapsed="false">
      <c r="A13" s="8" t="s">
        <v>2117</v>
      </c>
      <c r="B13" s="8" t="s">
        <v>2126</v>
      </c>
      <c r="C13" s="8"/>
    </row>
    <row r="14" customFormat="false" ht="28.5" hidden="false" customHeight="true" outlineLevel="0" collapsed="false">
      <c r="A14" s="8" t="s">
        <v>1578</v>
      </c>
      <c r="B14" s="8" t="s">
        <v>2135</v>
      </c>
      <c r="C14" s="8"/>
    </row>
    <row r="15" customFormat="false" ht="28.5" hidden="false" customHeight="true" outlineLevel="0" collapsed="false">
      <c r="A15" s="8" t="s">
        <v>2136</v>
      </c>
      <c r="B15" s="8" t="s">
        <v>2144</v>
      </c>
      <c r="C15" s="8"/>
    </row>
    <row r="16" customFormat="false" ht="41.25" hidden="false" customHeight="true" outlineLevel="0" collapsed="false">
      <c r="A16" s="8" t="s">
        <v>1586</v>
      </c>
      <c r="B16" s="8" t="s">
        <v>2152</v>
      </c>
      <c r="C16" s="8"/>
    </row>
    <row r="17" customFormat="false" ht="41.25" hidden="false" customHeight="true" outlineLevel="0" collapsed="false">
      <c r="A17" s="8" t="s">
        <v>2153</v>
      </c>
      <c r="B17" s="8" t="s">
        <v>2161</v>
      </c>
      <c r="C17" s="8"/>
    </row>
    <row r="18" customFormat="false" ht="28.5" hidden="false" customHeight="true" outlineLevel="0" collapsed="false">
      <c r="A18" s="8" t="s">
        <v>2162</v>
      </c>
      <c r="B18" s="8" t="s">
        <v>2170</v>
      </c>
      <c r="C18" s="8"/>
    </row>
    <row r="19" customFormat="false" ht="28.5" hidden="false" customHeight="true" outlineLevel="0" collapsed="false">
      <c r="A19" s="8" t="s">
        <v>2171</v>
      </c>
      <c r="B19" s="8" t="s">
        <v>2177</v>
      </c>
      <c r="C19" s="8"/>
    </row>
    <row r="20" customFormat="false" ht="15.75" hidden="false" customHeight="true" outlineLevel="0" collapsed="false">
      <c r="A20" s="8" t="s">
        <v>1630</v>
      </c>
      <c r="B20" s="8" t="s">
        <v>2193</v>
      </c>
      <c r="C20" s="8"/>
    </row>
    <row r="21" customFormat="false" ht="41.25" hidden="false" customHeight="true" outlineLevel="0" collapsed="false">
      <c r="A21" s="8" t="s">
        <v>2194</v>
      </c>
      <c r="B21" s="8" t="s">
        <v>2202</v>
      </c>
      <c r="C21" s="8"/>
    </row>
    <row r="22" customFormat="false" ht="28.5" hidden="false" customHeight="true" outlineLevel="0" collapsed="false">
      <c r="A22" s="8" t="s">
        <v>2203</v>
      </c>
      <c r="B22" s="8" t="s">
        <v>2212</v>
      </c>
      <c r="C22" s="8"/>
    </row>
    <row r="23" customFormat="false" ht="41.25" hidden="false" customHeight="true" outlineLevel="0" collapsed="false">
      <c r="A23" s="8" t="s">
        <v>1682</v>
      </c>
      <c r="B23" s="8" t="s">
        <v>2220</v>
      </c>
      <c r="C23" s="8"/>
    </row>
    <row r="24" customFormat="false" ht="54" hidden="false" customHeight="true" outlineLevel="0" collapsed="false">
      <c r="A24" s="8" t="s">
        <v>2221</v>
      </c>
      <c r="B24" s="8" t="s">
        <v>2230</v>
      </c>
      <c r="C24" s="8"/>
    </row>
    <row r="25" customFormat="false" ht="41.25" hidden="false" customHeight="true" outlineLevel="0" collapsed="false">
      <c r="A25" s="8" t="s">
        <v>2231</v>
      </c>
      <c r="B25" s="8" t="s">
        <v>2239</v>
      </c>
      <c r="C25" s="8"/>
    </row>
    <row r="26" customFormat="false" ht="28.5" hidden="false" customHeight="true" outlineLevel="0" collapsed="false">
      <c r="A26" s="8" t="s">
        <v>2240</v>
      </c>
      <c r="B26" s="8" t="s">
        <v>2248</v>
      </c>
      <c r="C26" s="8"/>
    </row>
    <row r="27" customFormat="false" ht="41.25" hidden="false" customHeight="true" outlineLevel="0" collapsed="false">
      <c r="A27" s="8" t="s">
        <v>2249</v>
      </c>
      <c r="B27" s="8" t="s">
        <v>2257</v>
      </c>
      <c r="C27" s="8"/>
    </row>
    <row r="28" customFormat="false" ht="28.5" hidden="false" customHeight="true" outlineLevel="0" collapsed="false">
      <c r="A28" s="8" t="s">
        <v>2258</v>
      </c>
      <c r="B28" s="8" t="s">
        <v>2266</v>
      </c>
      <c r="C28" s="8"/>
    </row>
    <row r="29" customFormat="false" ht="28.5" hidden="false" customHeight="true" outlineLevel="0" collapsed="false">
      <c r="A29" s="8" t="s">
        <v>2267</v>
      </c>
      <c r="B29" s="8" t="s">
        <v>2275</v>
      </c>
      <c r="C29" s="8"/>
    </row>
    <row r="30" customFormat="false" ht="41.25" hidden="false" customHeight="true" outlineLevel="0" collapsed="false">
      <c r="A30" s="8" t="s">
        <v>2276</v>
      </c>
      <c r="B30" s="8" t="s">
        <v>2284</v>
      </c>
      <c r="C30" s="8"/>
    </row>
    <row r="31" customFormat="false" ht="28.5" hidden="false" customHeight="true" outlineLevel="0" collapsed="false">
      <c r="A31" s="8" t="s">
        <v>1670</v>
      </c>
      <c r="B31" s="8" t="s">
        <v>2292</v>
      </c>
      <c r="C31" s="8"/>
    </row>
    <row r="32" customFormat="false" ht="41.25" hidden="false" customHeight="true" outlineLevel="0" collapsed="false">
      <c r="A32" s="8" t="s">
        <v>2293</v>
      </c>
      <c r="B32" s="8" t="s">
        <v>2301</v>
      </c>
      <c r="C32" s="8"/>
    </row>
    <row r="33" customFormat="false" ht="41.25" hidden="false" customHeight="true" outlineLevel="0" collapsed="false">
      <c r="A33" s="8" t="s">
        <v>65</v>
      </c>
      <c r="B33" s="8" t="s">
        <v>2304</v>
      </c>
      <c r="C33" s="8"/>
    </row>
    <row r="34" customFormat="false" ht="54" hidden="false" customHeight="true" outlineLevel="0" collapsed="false">
      <c r="A34" s="8" t="s">
        <v>65</v>
      </c>
      <c r="B34" s="8" t="s">
        <v>2305</v>
      </c>
      <c r="C34" s="8"/>
    </row>
    <row r="35" customFormat="false" ht="41.25" hidden="false" customHeight="true" outlineLevel="0" collapsed="false">
      <c r="A35" s="8" t="s">
        <v>65</v>
      </c>
      <c r="B35" s="8" t="s">
        <v>2306</v>
      </c>
      <c r="C35" s="8"/>
    </row>
    <row r="36" customFormat="false" ht="28.5" hidden="false" customHeight="true" outlineLevel="0" collapsed="false">
      <c r="A36" s="8" t="s">
        <v>65</v>
      </c>
      <c r="B36" s="8" t="s">
        <v>2307</v>
      </c>
      <c r="C36" s="8"/>
    </row>
    <row r="37" customFormat="false" ht="41.25" hidden="false" customHeight="true" outlineLevel="0" collapsed="false">
      <c r="A37" s="8" t="s">
        <v>65</v>
      </c>
      <c r="B37" s="8" t="s">
        <v>2308</v>
      </c>
      <c r="C37" s="8"/>
    </row>
    <row r="38" customFormat="false" ht="41.25" hidden="false" customHeight="true" outlineLevel="0" collapsed="false">
      <c r="A38" s="8" t="s">
        <v>65</v>
      </c>
      <c r="B38" s="8" t="s">
        <v>2309</v>
      </c>
      <c r="C38" s="8"/>
    </row>
    <row r="39" customFormat="false" ht="41.25" hidden="false" customHeight="true" outlineLevel="0" collapsed="false">
      <c r="A39" s="8" t="s">
        <v>65</v>
      </c>
      <c r="B39" s="8" t="s">
        <v>2310</v>
      </c>
      <c r="C39" s="8"/>
    </row>
    <row r="40" customFormat="false" ht="41.25" hidden="false" customHeight="true" outlineLevel="0" collapsed="false">
      <c r="A40" s="8" t="s">
        <v>65</v>
      </c>
      <c r="B40" s="8" t="s">
        <v>2311</v>
      </c>
      <c r="C40" s="8"/>
    </row>
    <row r="41" customFormat="false" ht="41.25" hidden="false" customHeight="true" outlineLevel="0" collapsed="false">
      <c r="A41" s="8" t="s">
        <v>65</v>
      </c>
      <c r="B41" s="8" t="s">
        <v>2312</v>
      </c>
      <c r="C41" s="8"/>
    </row>
    <row r="42" customFormat="false" ht="28.5" hidden="false" customHeight="true" outlineLevel="0" collapsed="false">
      <c r="A42" s="8" t="s">
        <v>65</v>
      </c>
      <c r="B42" s="8" t="s">
        <v>2313</v>
      </c>
      <c r="C42" s="8"/>
    </row>
    <row r="43" customFormat="false" ht="28.5" hidden="false" customHeight="true" outlineLevel="0" collapsed="false">
      <c r="A43" s="8" t="s">
        <v>65</v>
      </c>
      <c r="B43" s="8" t="s">
        <v>2314</v>
      </c>
      <c r="C43" s="8"/>
    </row>
    <row r="44" customFormat="false" ht="28.5" hidden="false" customHeight="true" outlineLevel="0" collapsed="false">
      <c r="A44" s="8" t="s">
        <v>65</v>
      </c>
      <c r="B44" s="8" t="s">
        <v>2315</v>
      </c>
      <c r="C44" s="8"/>
    </row>
    <row r="45" customFormat="false" ht="41.25" hidden="false" customHeight="true" outlineLevel="0" collapsed="false">
      <c r="A45" s="8" t="s">
        <v>65</v>
      </c>
      <c r="B45" s="8" t="s">
        <v>2316</v>
      </c>
      <c r="C45" s="8"/>
    </row>
    <row r="46" customFormat="false" ht="41.25" hidden="false" customHeight="true" outlineLevel="0" collapsed="false">
      <c r="A46" s="8" t="s">
        <v>65</v>
      </c>
      <c r="B46" s="8" t="s">
        <v>2317</v>
      </c>
      <c r="C46" s="8"/>
    </row>
    <row r="47" customFormat="false" ht="41.25" hidden="false" customHeight="true" outlineLevel="0" collapsed="false">
      <c r="A47" s="8" t="s">
        <v>65</v>
      </c>
      <c r="B47" s="8" t="s">
        <v>2318</v>
      </c>
      <c r="C47" s="8"/>
    </row>
    <row r="48" customFormat="false" ht="41.25" hidden="false" customHeight="true" outlineLevel="0" collapsed="false">
      <c r="A48" s="8" t="s">
        <v>65</v>
      </c>
      <c r="B48" s="8" t="s">
        <v>2319</v>
      </c>
      <c r="C48" s="8"/>
    </row>
    <row r="49" customFormat="false" ht="41.25" hidden="false" customHeight="true" outlineLevel="0" collapsed="false">
      <c r="A49" s="8" t="s">
        <v>65</v>
      </c>
      <c r="B49" s="8" t="s">
        <v>2320</v>
      </c>
      <c r="C49" s="8"/>
    </row>
    <row r="50" customFormat="false" ht="41.25" hidden="false" customHeight="true" outlineLevel="0" collapsed="false">
      <c r="A50" s="8" t="s">
        <v>65</v>
      </c>
      <c r="B50" s="8" t="s">
        <v>2321</v>
      </c>
      <c r="C50" s="8"/>
    </row>
  </sheetData>
  <autoFilter ref="A1:C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4" min="3" style="0" width="70"/>
    <col collapsed="false" customWidth="true" hidden="false" outlineLevel="0" max="5" min="5" style="0" width="8"/>
    <col collapsed="false" customWidth="true" hidden="false" outlineLevel="0" max="6" min="6" style="0" width="10"/>
    <col collapsed="false" customWidth="true" hidden="false" outlineLevel="0" max="7" min="7" style="0" width="20"/>
  </cols>
  <sheetData>
    <row r="1" customFormat="false" ht="34.5" hidden="false" customHeight="true" outlineLevel="0" collapsed="false">
      <c r="A1" s="5" t="s">
        <v>2322</v>
      </c>
      <c r="B1" s="5" t="s">
        <v>2323</v>
      </c>
      <c r="C1" s="5" t="s">
        <v>2324</v>
      </c>
      <c r="D1" s="5" t="s">
        <v>2325</v>
      </c>
      <c r="E1" s="5" t="s">
        <v>4</v>
      </c>
      <c r="F1" s="5" t="s">
        <v>2326</v>
      </c>
      <c r="G1" s="5" t="s">
        <v>2327</v>
      </c>
    </row>
    <row r="2" customFormat="false" ht="41.25" hidden="false" customHeight="true" outlineLevel="0" collapsed="false">
      <c r="A2" s="8" t="s">
        <v>2328</v>
      </c>
      <c r="B2" s="8" t="s">
        <v>2329</v>
      </c>
      <c r="C2" s="8" t="s">
        <v>2330</v>
      </c>
      <c r="D2" s="8" t="s">
        <v>2331</v>
      </c>
      <c r="E2" s="8" t="n">
        <f aca="false">IF(D2="None",0,(LEN(D2)-LEN(SUBSTITUTE(D2,"TC-R1","")))/5)</f>
        <v>3</v>
      </c>
      <c r="F2" s="8" t="str">
        <f aca="false">IF(E2&gt;0,"Yes","No")</f>
        <v>Yes</v>
      </c>
      <c r="G2" s="8" t="s">
        <v>2332</v>
      </c>
    </row>
    <row r="3" customFormat="false" ht="15.75" hidden="false" customHeight="true" outlineLevel="0" collapsed="false">
      <c r="A3" s="8" t="s">
        <v>2333</v>
      </c>
      <c r="B3" s="8" t="s">
        <v>1863</v>
      </c>
      <c r="C3" s="8" t="s">
        <v>2334</v>
      </c>
      <c r="D3" s="8" t="s">
        <v>422</v>
      </c>
      <c r="E3" s="8" t="n">
        <f aca="false">IF(D3="None",0,(LEN(D3)-LEN(SUBSTITUTE(D3,"TC-R1","")))/5)</f>
        <v>1</v>
      </c>
      <c r="F3" s="8" t="str">
        <f aca="false">IF(E3&gt;0,"Yes","No")</f>
        <v>Yes</v>
      </c>
      <c r="G3" s="8" t="s">
        <v>2332</v>
      </c>
    </row>
    <row r="4" customFormat="false" ht="28.5" hidden="false" customHeight="true" outlineLevel="0" collapsed="false">
      <c r="A4" s="8" t="s">
        <v>2335</v>
      </c>
      <c r="B4" s="8" t="s">
        <v>1863</v>
      </c>
      <c r="C4" s="8" t="s">
        <v>2336</v>
      </c>
      <c r="D4" s="8" t="s">
        <v>2337</v>
      </c>
      <c r="E4" s="8" t="n">
        <f aca="false">IF(D4="None",0,(LEN(D4)-LEN(SUBSTITUTE(D4,"TC-R1","")))/5)</f>
        <v>2</v>
      </c>
      <c r="F4" s="8" t="str">
        <f aca="false">IF(E4&gt;0,"Yes","No")</f>
        <v>Yes</v>
      </c>
      <c r="G4" s="8" t="s">
        <v>2332</v>
      </c>
    </row>
    <row r="5" customFormat="false" ht="41.25" hidden="false" customHeight="true" outlineLevel="0" collapsed="false">
      <c r="A5" s="8" t="s">
        <v>2338</v>
      </c>
      <c r="B5" s="8" t="s">
        <v>1863</v>
      </c>
      <c r="C5" s="8" t="s">
        <v>2339</v>
      </c>
      <c r="D5" s="8" t="s">
        <v>2340</v>
      </c>
      <c r="E5" s="8" t="n">
        <f aca="false">IF(D5="None",0,(LEN(D5)-LEN(SUBSTITUTE(D5,"TC-R1","")))/5)</f>
        <v>3</v>
      </c>
      <c r="F5" s="8" t="str">
        <f aca="false">IF(E5&gt;0,"Yes","No")</f>
        <v>Yes</v>
      </c>
      <c r="G5" s="8" t="s">
        <v>2332</v>
      </c>
    </row>
    <row r="6" customFormat="false" ht="41.25" hidden="false" customHeight="true" outlineLevel="0" collapsed="false">
      <c r="A6" s="8" t="s">
        <v>2341</v>
      </c>
      <c r="B6" s="8" t="s">
        <v>1863</v>
      </c>
      <c r="C6" s="8" t="s">
        <v>2342</v>
      </c>
      <c r="D6" s="8" t="s">
        <v>2343</v>
      </c>
      <c r="E6" s="8" t="n">
        <f aca="false">IF(D6="None",0,(LEN(D6)-LEN(SUBSTITUTE(D6,"TC-R1","")))/5)</f>
        <v>3</v>
      </c>
      <c r="F6" s="8" t="str">
        <f aca="false">IF(E6&gt;0,"Yes","No")</f>
        <v>Yes</v>
      </c>
      <c r="G6" s="8" t="s">
        <v>2332</v>
      </c>
    </row>
    <row r="7" customFormat="false" ht="28.5" hidden="false" customHeight="true" outlineLevel="0" collapsed="false">
      <c r="A7" s="8" t="s">
        <v>2344</v>
      </c>
      <c r="B7" s="8" t="s">
        <v>1863</v>
      </c>
      <c r="C7" s="8" t="s">
        <v>2345</v>
      </c>
      <c r="D7" s="8" t="s">
        <v>2346</v>
      </c>
      <c r="E7" s="8" t="n">
        <f aca="false">IF(D7="None",0,(LEN(D7)-LEN(SUBSTITUTE(D7,"TC-R1","")))/5)</f>
        <v>2</v>
      </c>
      <c r="F7" s="8" t="str">
        <f aca="false">IF(E7&gt;0,"Yes","No")</f>
        <v>Yes</v>
      </c>
      <c r="G7" s="8" t="s">
        <v>2332</v>
      </c>
    </row>
    <row r="8" customFormat="false" ht="28.5" hidden="false" customHeight="true" outlineLevel="0" collapsed="false">
      <c r="A8" s="8" t="s">
        <v>2347</v>
      </c>
      <c r="B8" s="8" t="s">
        <v>1863</v>
      </c>
      <c r="C8" s="8" t="s">
        <v>2348</v>
      </c>
      <c r="D8" s="8" t="s">
        <v>2349</v>
      </c>
      <c r="E8" s="8" t="n">
        <f aca="false">IF(D8="None",0,(LEN(D8)-LEN(SUBSTITUTE(D8,"TC-R1","")))/5)</f>
        <v>2</v>
      </c>
      <c r="F8" s="8" t="str">
        <f aca="false">IF(E8&gt;0,"Yes","No")</f>
        <v>Yes</v>
      </c>
      <c r="G8" s="8" t="s">
        <v>2332</v>
      </c>
    </row>
    <row r="9" customFormat="false" ht="41.25" hidden="false" customHeight="true" outlineLevel="0" collapsed="false">
      <c r="A9" s="8" t="s">
        <v>2350</v>
      </c>
      <c r="B9" s="8" t="s">
        <v>1863</v>
      </c>
      <c r="C9" s="8" t="s">
        <v>2351</v>
      </c>
      <c r="D9" s="8" t="s">
        <v>2352</v>
      </c>
      <c r="E9" s="8" t="n">
        <f aca="false">IF(D9="None",0,(LEN(D9)-LEN(SUBSTITUTE(D9,"TC-R1","")))/5)</f>
        <v>3</v>
      </c>
      <c r="F9" s="8" t="str">
        <f aca="false">IF(E9&gt;0,"Yes","No")</f>
        <v>Yes</v>
      </c>
      <c r="G9" s="8" t="s">
        <v>2332</v>
      </c>
    </row>
    <row r="10" customFormat="false" ht="15.75" hidden="false" customHeight="true" outlineLevel="0" collapsed="false">
      <c r="A10" s="8" t="s">
        <v>2353</v>
      </c>
      <c r="B10" s="8" t="s">
        <v>1863</v>
      </c>
      <c r="C10" s="8" t="s">
        <v>2354</v>
      </c>
      <c r="D10" s="8" t="s">
        <v>537</v>
      </c>
      <c r="E10" s="8" t="n">
        <f aca="false">IF(D10="None",0,(LEN(D10)-LEN(SUBSTITUTE(D10,"TC-R1","")))/5)</f>
        <v>1</v>
      </c>
      <c r="F10" s="8" t="str">
        <f aca="false">IF(E10&gt;0,"Yes","No")</f>
        <v>Yes</v>
      </c>
      <c r="G10" s="8" t="s">
        <v>2332</v>
      </c>
    </row>
    <row r="11" customFormat="false" ht="15.75" hidden="false" customHeight="true" outlineLevel="0" collapsed="false">
      <c r="A11" s="8" t="s">
        <v>2355</v>
      </c>
      <c r="B11" s="8" t="s">
        <v>1863</v>
      </c>
      <c r="C11" s="8" t="s">
        <v>2356</v>
      </c>
      <c r="D11" s="8" t="s">
        <v>1213</v>
      </c>
      <c r="E11" s="8" t="n">
        <f aca="false">IF(D11="None",0,(LEN(D11)-LEN(SUBSTITUTE(D11,"TC-R1","")))/5)</f>
        <v>1</v>
      </c>
      <c r="F11" s="8" t="str">
        <f aca="false">IF(E11&gt;0,"Yes","No")</f>
        <v>Yes</v>
      </c>
      <c r="G11" s="8" t="s">
        <v>2332</v>
      </c>
    </row>
    <row r="12" customFormat="false" ht="66.75" hidden="false" customHeight="true" outlineLevel="0" collapsed="false">
      <c r="A12" s="8" t="s">
        <v>2357</v>
      </c>
      <c r="B12" s="8" t="s">
        <v>1863</v>
      </c>
      <c r="C12" s="8" t="s">
        <v>2358</v>
      </c>
      <c r="D12" s="8" t="s">
        <v>2359</v>
      </c>
      <c r="E12" s="8" t="n">
        <f aca="false">IF(D12="None",0,(LEN(D12)-LEN(SUBSTITUTE(D12,"TC-R1","")))/5)</f>
        <v>5</v>
      </c>
      <c r="F12" s="8" t="str">
        <f aca="false">IF(E12&gt;0,"Yes","No")</f>
        <v>Yes</v>
      </c>
      <c r="G12" s="8" t="s">
        <v>2332</v>
      </c>
    </row>
    <row r="13" customFormat="false" ht="28.5" hidden="false" customHeight="true" outlineLevel="0" collapsed="false">
      <c r="A13" s="8" t="s">
        <v>2360</v>
      </c>
      <c r="B13" s="8" t="s">
        <v>2361</v>
      </c>
      <c r="C13" s="8" t="s">
        <v>2362</v>
      </c>
      <c r="D13" s="8" t="s">
        <v>368</v>
      </c>
      <c r="E13" s="8" t="n">
        <f aca="false">IF(D13="None",0,(LEN(D13)-LEN(SUBSTITUTE(D13,"TC-R1","")))/5)</f>
        <v>1</v>
      </c>
      <c r="F13" s="8" t="str">
        <f aca="false">IF(E13&gt;0,"Yes","No")</f>
        <v>Yes</v>
      </c>
      <c r="G13" s="8" t="s">
        <v>2332</v>
      </c>
    </row>
    <row r="14" customFormat="false" ht="28.5" hidden="false" customHeight="true" outlineLevel="0" collapsed="false">
      <c r="A14" s="8" t="s">
        <v>2363</v>
      </c>
      <c r="B14" s="8" t="s">
        <v>1863</v>
      </c>
      <c r="C14" s="8" t="s">
        <v>2364</v>
      </c>
      <c r="D14" s="8" t="s">
        <v>2365</v>
      </c>
      <c r="E14" s="8" t="n">
        <f aca="false">IF(D14="None",0,(LEN(D14)-LEN(SUBSTITUTE(D14,"TC-R1","")))/5)</f>
        <v>2</v>
      </c>
      <c r="F14" s="8" t="str">
        <f aca="false">IF(E14&gt;0,"Yes","No")</f>
        <v>Yes</v>
      </c>
      <c r="G14" s="8" t="s">
        <v>2332</v>
      </c>
    </row>
    <row r="15" customFormat="false" ht="41.25" hidden="false" customHeight="true" outlineLevel="0" collapsed="false">
      <c r="A15" s="8" t="s">
        <v>2366</v>
      </c>
      <c r="B15" s="8" t="s">
        <v>1863</v>
      </c>
      <c r="C15" s="8" t="s">
        <v>2367</v>
      </c>
      <c r="D15" s="8" t="s">
        <v>2368</v>
      </c>
      <c r="E15" s="8" t="n">
        <f aca="false">IF(D15="None",0,(LEN(D15)-LEN(SUBSTITUTE(D15,"TC-R1","")))/5)</f>
        <v>3</v>
      </c>
      <c r="F15" s="8" t="str">
        <f aca="false">IF(E15&gt;0,"Yes","No")</f>
        <v>Yes</v>
      </c>
      <c r="G15" s="8" t="s">
        <v>2332</v>
      </c>
    </row>
    <row r="16" customFormat="false" ht="79.5" hidden="false" customHeight="true" outlineLevel="0" collapsed="false">
      <c r="A16" s="8" t="s">
        <v>2369</v>
      </c>
      <c r="B16" s="8" t="s">
        <v>1863</v>
      </c>
      <c r="C16" s="8" t="s">
        <v>2370</v>
      </c>
      <c r="D16" s="8" t="s">
        <v>2371</v>
      </c>
      <c r="E16" s="8" t="n">
        <f aca="false">IF(D16="None",0,(LEN(D16)-LEN(SUBSTITUTE(D16,"TC-R1","")))/5)</f>
        <v>6</v>
      </c>
      <c r="F16" s="8" t="str">
        <f aca="false">IF(E16&gt;0,"Yes","No")</f>
        <v>Yes</v>
      </c>
      <c r="G16" s="8" t="s">
        <v>2332</v>
      </c>
    </row>
    <row r="17" customFormat="false" ht="66.75" hidden="false" customHeight="true" outlineLevel="0" collapsed="false">
      <c r="A17" s="8" t="s">
        <v>2372</v>
      </c>
      <c r="B17" s="8" t="s">
        <v>1863</v>
      </c>
      <c r="C17" s="8" t="s">
        <v>2373</v>
      </c>
      <c r="D17" s="8" t="s">
        <v>2374</v>
      </c>
      <c r="E17" s="8" t="n">
        <f aca="false">IF(D17="None",0,(LEN(D17)-LEN(SUBSTITUTE(D17,"TC-R1","")))/5)</f>
        <v>5</v>
      </c>
      <c r="F17" s="8" t="str">
        <f aca="false">IF(E17&gt;0,"Yes","No")</f>
        <v>Yes</v>
      </c>
      <c r="G17" s="8" t="s">
        <v>2332</v>
      </c>
    </row>
    <row r="18" customFormat="false" ht="41.25" hidden="false" customHeight="true" outlineLevel="0" collapsed="false">
      <c r="A18" s="8" t="s">
        <v>2375</v>
      </c>
      <c r="B18" s="8" t="s">
        <v>1863</v>
      </c>
      <c r="C18" s="8" t="s">
        <v>2376</v>
      </c>
      <c r="D18" s="8" t="s">
        <v>2343</v>
      </c>
      <c r="E18" s="8" t="n">
        <f aca="false">IF(D18="None",0,(LEN(D18)-LEN(SUBSTITUTE(D18,"TC-R1","")))/5)</f>
        <v>3</v>
      </c>
      <c r="F18" s="8" t="str">
        <f aca="false">IF(E18&gt;0,"Yes","No")</f>
        <v>Yes</v>
      </c>
      <c r="G18" s="8" t="s">
        <v>2332</v>
      </c>
    </row>
    <row r="19" customFormat="false" ht="28.5" hidden="false" customHeight="true" outlineLevel="0" collapsed="false">
      <c r="A19" s="8" t="s">
        <v>2377</v>
      </c>
      <c r="B19" s="8" t="s">
        <v>1863</v>
      </c>
      <c r="C19" s="8" t="s">
        <v>2378</v>
      </c>
      <c r="D19" s="8" t="s">
        <v>2379</v>
      </c>
      <c r="E19" s="8" t="n">
        <f aca="false">IF(D19="None",0,(LEN(D19)-LEN(SUBSTITUTE(D19,"TC-R1","")))/5)</f>
        <v>2</v>
      </c>
      <c r="F19" s="8" t="str">
        <f aca="false">IF(E19&gt;0,"Yes","No")</f>
        <v>Yes</v>
      </c>
      <c r="G19" s="8" t="s">
        <v>2332</v>
      </c>
    </row>
    <row r="20" customFormat="false" ht="28.5" hidden="false" customHeight="true" outlineLevel="0" collapsed="false">
      <c r="A20" s="8" t="s">
        <v>2380</v>
      </c>
      <c r="B20" s="8" t="s">
        <v>1863</v>
      </c>
      <c r="C20" s="8" t="s">
        <v>2381</v>
      </c>
      <c r="D20" s="8" t="s">
        <v>2382</v>
      </c>
      <c r="E20" s="8" t="n">
        <f aca="false">IF(D20="None",0,(LEN(D20)-LEN(SUBSTITUTE(D20,"TC-R1","")))/5)</f>
        <v>2</v>
      </c>
      <c r="F20" s="8" t="str">
        <f aca="false">IF(E20&gt;0,"Yes","No")</f>
        <v>Yes</v>
      </c>
      <c r="G20" s="8" t="s">
        <v>2332</v>
      </c>
    </row>
    <row r="21" customFormat="false" ht="66.75" hidden="false" customHeight="true" outlineLevel="0" collapsed="false">
      <c r="A21" s="8" t="s">
        <v>2383</v>
      </c>
      <c r="B21" s="8" t="s">
        <v>1863</v>
      </c>
      <c r="C21" s="8" t="s">
        <v>2384</v>
      </c>
      <c r="D21" s="8" t="s">
        <v>2385</v>
      </c>
      <c r="E21" s="8" t="n">
        <f aca="false">IF(D21="None",0,(LEN(D21)-LEN(SUBSTITUTE(D21,"TC-R1","")))/5)</f>
        <v>5</v>
      </c>
      <c r="F21" s="8" t="str">
        <f aca="false">IF(E21&gt;0,"Yes","No")</f>
        <v>Yes</v>
      </c>
      <c r="G21" s="8" t="s">
        <v>2332</v>
      </c>
    </row>
    <row r="22" customFormat="false" ht="15.75" hidden="false" customHeight="true" outlineLevel="0" collapsed="false">
      <c r="A22" s="8" t="s">
        <v>2386</v>
      </c>
      <c r="B22" s="8" t="s">
        <v>1863</v>
      </c>
      <c r="C22" s="8" t="s">
        <v>2387</v>
      </c>
      <c r="D22" s="8" t="s">
        <v>537</v>
      </c>
      <c r="E22" s="8" t="n">
        <f aca="false">IF(D22="None",0,(LEN(D22)-LEN(SUBSTITUTE(D22,"TC-R1","")))/5)</f>
        <v>1</v>
      </c>
      <c r="F22" s="8" t="str">
        <f aca="false">IF(E22&gt;0,"Yes","No")</f>
        <v>Yes</v>
      </c>
      <c r="G22" s="8" t="s">
        <v>2332</v>
      </c>
    </row>
    <row r="23" customFormat="false" ht="15.75" hidden="false" customHeight="true" outlineLevel="0" collapsed="false">
      <c r="A23" s="8" t="s">
        <v>2388</v>
      </c>
      <c r="B23" s="8" t="s">
        <v>1863</v>
      </c>
      <c r="C23" s="8" t="s">
        <v>2389</v>
      </c>
      <c r="D23" s="8" t="s">
        <v>717</v>
      </c>
      <c r="E23" s="8" t="n">
        <f aca="false">IF(D23="None",0,(LEN(D23)-LEN(SUBSTITUTE(D23,"TC-R1","")))/5)</f>
        <v>1</v>
      </c>
      <c r="F23" s="8" t="str">
        <f aca="false">IF(E23&gt;0,"Yes","No")</f>
        <v>Yes</v>
      </c>
      <c r="G23" s="8" t="s">
        <v>2332</v>
      </c>
    </row>
    <row r="24" customFormat="false" ht="41.25" hidden="false" customHeight="true" outlineLevel="0" collapsed="false">
      <c r="A24" s="8" t="s">
        <v>2390</v>
      </c>
      <c r="B24" s="8" t="s">
        <v>1863</v>
      </c>
      <c r="C24" s="8" t="s">
        <v>2391</v>
      </c>
      <c r="D24" s="8" t="s">
        <v>2392</v>
      </c>
      <c r="E24" s="8" t="n">
        <f aca="false">IF(D24="None",0,(LEN(D24)-LEN(SUBSTITUTE(D24,"TC-R1","")))/5)</f>
        <v>3</v>
      </c>
      <c r="F24" s="8" t="str">
        <f aca="false">IF(E24&gt;0,"Yes","No")</f>
        <v>Yes</v>
      </c>
      <c r="G24" s="8" t="s">
        <v>2332</v>
      </c>
    </row>
    <row r="25" customFormat="false" ht="28.5" hidden="false" customHeight="true" outlineLevel="0" collapsed="false">
      <c r="A25" s="8" t="s">
        <v>2393</v>
      </c>
      <c r="B25" s="8" t="s">
        <v>1863</v>
      </c>
      <c r="C25" s="8" t="s">
        <v>2394</v>
      </c>
      <c r="D25" s="8" t="s">
        <v>2071</v>
      </c>
      <c r="E25" s="8" t="n">
        <f aca="false">IF(D25="None",0,(LEN(D25)-LEN(SUBSTITUTE(D25,"TC-R1","")))/5)</f>
        <v>2</v>
      </c>
      <c r="F25" s="8" t="str">
        <f aca="false">IF(E25&gt;0,"Yes","No")</f>
        <v>Yes</v>
      </c>
      <c r="G25" s="8" t="s">
        <v>2332</v>
      </c>
    </row>
    <row r="26" customFormat="false" ht="41.25" hidden="false" customHeight="true" outlineLevel="0" collapsed="false">
      <c r="A26" s="8" t="s">
        <v>2395</v>
      </c>
      <c r="B26" s="8" t="s">
        <v>2361</v>
      </c>
      <c r="C26" s="8" t="s">
        <v>2396</v>
      </c>
      <c r="D26" s="8" t="s">
        <v>2397</v>
      </c>
      <c r="E26" s="8" t="n">
        <f aca="false">IF(D26="None",0,(LEN(D26)-LEN(SUBSTITUTE(D26,"TC-R1","")))/5)</f>
        <v>3</v>
      </c>
      <c r="F26" s="8" t="str">
        <f aca="false">IF(E26&gt;0,"Yes","No")</f>
        <v>Yes</v>
      </c>
      <c r="G26" s="8" t="s">
        <v>2332</v>
      </c>
    </row>
    <row r="27" customFormat="false" ht="28.5" hidden="false" customHeight="true" outlineLevel="0" collapsed="false">
      <c r="A27" s="8" t="s">
        <v>2398</v>
      </c>
      <c r="B27" s="8" t="s">
        <v>1863</v>
      </c>
      <c r="C27" s="8" t="s">
        <v>2399</v>
      </c>
      <c r="D27" s="8" t="s">
        <v>2400</v>
      </c>
      <c r="E27" s="8" t="n">
        <f aca="false">IF(D27="None",0,(LEN(D27)-LEN(SUBSTITUTE(D27,"TC-R1","")))/5)</f>
        <v>2</v>
      </c>
      <c r="F27" s="8" t="str">
        <f aca="false">IF(E27&gt;0,"Yes","No")</f>
        <v>Yes</v>
      </c>
      <c r="G27" s="8" t="s">
        <v>2332</v>
      </c>
    </row>
    <row r="28" customFormat="false" ht="28.5" hidden="false" customHeight="true" outlineLevel="0" collapsed="false">
      <c r="A28" s="8" t="s">
        <v>2401</v>
      </c>
      <c r="B28" s="8" t="s">
        <v>1863</v>
      </c>
      <c r="C28" s="8" t="s">
        <v>2402</v>
      </c>
      <c r="D28" s="8" t="s">
        <v>2403</v>
      </c>
      <c r="E28" s="8" t="n">
        <f aca="false">IF(D28="None",0,(LEN(D28)-LEN(SUBSTITUTE(D28,"TC-R1","")))/5)</f>
        <v>2</v>
      </c>
      <c r="F28" s="8" t="str">
        <f aca="false">IF(E28&gt;0,"Yes","No")</f>
        <v>Yes</v>
      </c>
      <c r="G28" s="8" t="s">
        <v>2332</v>
      </c>
    </row>
    <row r="29" customFormat="false" ht="79.5" hidden="false" customHeight="true" outlineLevel="0" collapsed="false">
      <c r="A29" s="8" t="s">
        <v>2404</v>
      </c>
      <c r="B29" s="8" t="s">
        <v>2329</v>
      </c>
      <c r="C29" s="8" t="s">
        <v>2405</v>
      </c>
      <c r="D29" s="8" t="s">
        <v>2406</v>
      </c>
      <c r="E29" s="8" t="n">
        <f aca="false">IF(D29="None",0,(LEN(D29)-LEN(SUBSTITUTE(D29,"TC-R1","")))/5)</f>
        <v>6</v>
      </c>
      <c r="F29" s="8" t="str">
        <f aca="false">IF(E29&gt;0,"Yes","No")</f>
        <v>Yes</v>
      </c>
      <c r="G29" s="8" t="s">
        <v>2332</v>
      </c>
    </row>
    <row r="30" customFormat="false" ht="28.5" hidden="false" customHeight="true" outlineLevel="0" collapsed="false">
      <c r="A30" s="8" t="s">
        <v>2407</v>
      </c>
      <c r="B30" s="8" t="s">
        <v>2408</v>
      </c>
      <c r="C30" s="8" t="s">
        <v>2409</v>
      </c>
      <c r="D30" s="8" t="s">
        <v>2410</v>
      </c>
      <c r="E30" s="8" t="n">
        <f aca="false">IF(D30="None",0,(LEN(D30)-LEN(SUBSTITUTE(D30,"TC-R1","")))/5)</f>
        <v>2</v>
      </c>
      <c r="F30" s="8" t="str">
        <f aca="false">IF(E30&gt;0,"Yes","No")</f>
        <v>Yes</v>
      </c>
      <c r="G30" s="8" t="s">
        <v>2332</v>
      </c>
    </row>
    <row r="31" customFormat="false" ht="41.25" hidden="false" customHeight="true" outlineLevel="0" collapsed="false">
      <c r="A31" s="8" t="s">
        <v>2411</v>
      </c>
      <c r="B31" s="8" t="s">
        <v>2408</v>
      </c>
      <c r="C31" s="8" t="s">
        <v>2412</v>
      </c>
      <c r="D31" s="8" t="s">
        <v>2413</v>
      </c>
      <c r="E31" s="8" t="n">
        <f aca="false">IF(D31="None",0,(LEN(D31)-LEN(SUBSTITUTE(D31,"TC-R1","")))/5)</f>
        <v>3</v>
      </c>
      <c r="F31" s="8" t="str">
        <f aca="false">IF(E31&gt;0,"Yes","No")</f>
        <v>Yes</v>
      </c>
      <c r="G31" s="8" t="s">
        <v>2332</v>
      </c>
    </row>
    <row r="32" customFormat="false" ht="15.75" hidden="false" customHeight="true" outlineLevel="0" collapsed="false">
      <c r="A32" s="8" t="s">
        <v>2414</v>
      </c>
      <c r="B32" s="8" t="s">
        <v>2329</v>
      </c>
      <c r="C32" s="8" t="s">
        <v>2415</v>
      </c>
      <c r="D32" s="8" t="s">
        <v>748</v>
      </c>
      <c r="E32" s="8" t="n">
        <f aca="false">IF(D32="None",0,(LEN(D32)-LEN(SUBSTITUTE(D32,"TC-R1","")))/5)</f>
        <v>1</v>
      </c>
      <c r="F32" s="8" t="str">
        <f aca="false">IF(E32&gt;0,"Yes","No")</f>
        <v>Yes</v>
      </c>
      <c r="G32" s="8" t="s">
        <v>2332</v>
      </c>
    </row>
    <row r="33" customFormat="false" ht="41.25" hidden="false" customHeight="true" outlineLevel="0" collapsed="false">
      <c r="A33" s="8" t="s">
        <v>2416</v>
      </c>
      <c r="B33" s="8" t="s">
        <v>2408</v>
      </c>
      <c r="C33" s="8" t="s">
        <v>2417</v>
      </c>
      <c r="D33" s="8" t="s">
        <v>2418</v>
      </c>
      <c r="E33" s="8" t="n">
        <f aca="false">IF(D33="None",0,(LEN(D33)-LEN(SUBSTITUTE(D33,"TC-R1","")))/5)</f>
        <v>3</v>
      </c>
      <c r="F33" s="8" t="str">
        <f aca="false">IF(E33&gt;0,"Yes","No")</f>
        <v>Yes</v>
      </c>
      <c r="G33" s="8" t="s">
        <v>2332</v>
      </c>
    </row>
    <row r="34" customFormat="false" ht="28.5" hidden="false" customHeight="true" outlineLevel="0" collapsed="false">
      <c r="A34" s="8" t="s">
        <v>2419</v>
      </c>
      <c r="B34" s="8" t="s">
        <v>2408</v>
      </c>
      <c r="C34" s="8" t="s">
        <v>2420</v>
      </c>
      <c r="D34" s="8" t="s">
        <v>2421</v>
      </c>
      <c r="E34" s="8" t="n">
        <f aca="false">IF(D34="None",0,(LEN(D34)-LEN(SUBSTITUTE(D34,"TC-R1","")))/5)</f>
        <v>2</v>
      </c>
      <c r="F34" s="8" t="str">
        <f aca="false">IF(E34&gt;0,"Yes","No")</f>
        <v>Yes</v>
      </c>
      <c r="G34" s="8" t="s">
        <v>2332</v>
      </c>
    </row>
    <row r="35" customFormat="false" ht="41.25" hidden="false" customHeight="true" outlineLevel="0" collapsed="false">
      <c r="A35" s="8" t="s">
        <v>2422</v>
      </c>
      <c r="B35" s="8" t="s">
        <v>1863</v>
      </c>
      <c r="C35" s="8" t="s">
        <v>2423</v>
      </c>
      <c r="D35" s="8" t="s">
        <v>2424</v>
      </c>
      <c r="E35" s="8" t="n">
        <f aca="false">IF(D35="None",0,(LEN(D35)-LEN(SUBSTITUTE(D35,"TC-R1","")))/5)</f>
        <v>3</v>
      </c>
      <c r="F35" s="8" t="str">
        <f aca="false">IF(E35&gt;0,"Yes","No")</f>
        <v>Yes</v>
      </c>
      <c r="G35" s="8" t="s">
        <v>2332</v>
      </c>
    </row>
    <row r="36" customFormat="false" ht="15.75" hidden="false" customHeight="true" outlineLevel="0" collapsed="false">
      <c r="A36" s="8" t="s">
        <v>2425</v>
      </c>
      <c r="B36" s="8" t="s">
        <v>2408</v>
      </c>
      <c r="C36" s="8" t="s">
        <v>2426</v>
      </c>
      <c r="D36" s="8" t="s">
        <v>325</v>
      </c>
      <c r="E36" s="8" t="n">
        <f aca="false">IF(D36="None",0,(LEN(D36)-LEN(SUBSTITUTE(D36,"TC-R1","")))/5)</f>
        <v>1</v>
      </c>
      <c r="F36" s="8" t="str">
        <f aca="false">IF(E36&gt;0,"Yes","No")</f>
        <v>Yes</v>
      </c>
      <c r="G36" s="8" t="s">
        <v>2332</v>
      </c>
    </row>
    <row r="37" customFormat="false" ht="28.5" hidden="false" customHeight="true" outlineLevel="0" collapsed="false">
      <c r="A37" s="8" t="s">
        <v>2427</v>
      </c>
      <c r="B37" s="8" t="s">
        <v>2408</v>
      </c>
      <c r="C37" s="8" t="s">
        <v>2428</v>
      </c>
      <c r="D37" s="8" t="s">
        <v>1741</v>
      </c>
      <c r="E37" s="8" t="n">
        <f aca="false">IF(D37="None",0,(LEN(D37)-LEN(SUBSTITUTE(D37,"TC-R1","")))/5)</f>
        <v>2</v>
      </c>
      <c r="F37" s="8" t="str">
        <f aca="false">IF(E37&gt;0,"Yes","No")</f>
        <v>Yes</v>
      </c>
      <c r="G37" s="8" t="s">
        <v>2332</v>
      </c>
    </row>
    <row r="38" customFormat="false" ht="28.5" hidden="false" customHeight="true" outlineLevel="0" collapsed="false">
      <c r="A38" s="8" t="s">
        <v>2429</v>
      </c>
      <c r="B38" s="8" t="s">
        <v>2361</v>
      </c>
      <c r="C38" s="8" t="s">
        <v>2430</v>
      </c>
      <c r="D38" s="8" t="s">
        <v>2431</v>
      </c>
      <c r="E38" s="8" t="n">
        <f aca="false">IF(D38="None",0,(LEN(D38)-LEN(SUBSTITUTE(D38,"TC-R1","")))/5)</f>
        <v>2</v>
      </c>
      <c r="F38" s="8" t="str">
        <f aca="false">IF(E38&gt;0,"Yes","No")</f>
        <v>Yes</v>
      </c>
      <c r="G38" s="8" t="s">
        <v>2332</v>
      </c>
    </row>
    <row r="39" customFormat="false" ht="54" hidden="false" customHeight="true" outlineLevel="0" collapsed="false">
      <c r="A39" s="8" t="s">
        <v>2432</v>
      </c>
      <c r="B39" s="8" t="s">
        <v>2408</v>
      </c>
      <c r="C39" s="8" t="s">
        <v>2433</v>
      </c>
      <c r="D39" s="8" t="s">
        <v>2434</v>
      </c>
      <c r="E39" s="8" t="n">
        <f aca="false">IF(D39="None",0,(LEN(D39)-LEN(SUBSTITUTE(D39,"TC-R1","")))/5)</f>
        <v>4</v>
      </c>
      <c r="F39" s="8" t="str">
        <f aca="false">IF(E39&gt;0,"Yes","No")</f>
        <v>Yes</v>
      </c>
      <c r="G39" s="8" t="s">
        <v>2332</v>
      </c>
    </row>
    <row r="40" customFormat="false" ht="54" hidden="false" customHeight="true" outlineLevel="0" collapsed="false">
      <c r="A40" s="8" t="s">
        <v>2435</v>
      </c>
      <c r="B40" s="8" t="s">
        <v>2408</v>
      </c>
      <c r="C40" s="8" t="s">
        <v>2436</v>
      </c>
      <c r="D40" s="8" t="s">
        <v>2437</v>
      </c>
      <c r="E40" s="8" t="n">
        <f aca="false">IF(D40="None",0,(LEN(D40)-LEN(SUBSTITUTE(D40,"TC-R1","")))/5)</f>
        <v>4</v>
      </c>
      <c r="F40" s="8" t="str">
        <f aca="false">IF(E40&gt;0,"Yes","No")</f>
        <v>Yes</v>
      </c>
      <c r="G40" s="8" t="s">
        <v>2332</v>
      </c>
    </row>
    <row r="41" customFormat="false" ht="15.75" hidden="false" customHeight="true" outlineLevel="0" collapsed="false">
      <c r="A41" s="8" t="s">
        <v>2438</v>
      </c>
      <c r="B41" s="8" t="s">
        <v>2408</v>
      </c>
      <c r="C41" s="8" t="s">
        <v>2439</v>
      </c>
      <c r="D41" s="8" t="s">
        <v>1539</v>
      </c>
      <c r="E41" s="8" t="n">
        <f aca="false">IF(D41="None",0,(LEN(D41)-LEN(SUBSTITUTE(D41,"TC-R1","")))/5)</f>
        <v>1</v>
      </c>
      <c r="F41" s="8" t="str">
        <f aca="false">IF(E41&gt;0,"Yes","No")</f>
        <v>Yes</v>
      </c>
      <c r="G41" s="8" t="s">
        <v>2332</v>
      </c>
    </row>
    <row r="42" customFormat="false" ht="28.5" hidden="false" customHeight="true" outlineLevel="0" collapsed="false">
      <c r="A42" s="8" t="s">
        <v>2440</v>
      </c>
      <c r="B42" s="8" t="s">
        <v>2361</v>
      </c>
      <c r="C42" s="8" t="s">
        <v>2441</v>
      </c>
      <c r="D42" s="8" t="s">
        <v>1470</v>
      </c>
      <c r="E42" s="8" t="n">
        <f aca="false">IF(D42="None",0,(LEN(D42)-LEN(SUBSTITUTE(D42,"TC-R1","")))/5)</f>
        <v>1</v>
      </c>
      <c r="F42" s="8" t="str">
        <f aca="false">IF(E42&gt;0,"Yes","No")</f>
        <v>Yes</v>
      </c>
      <c r="G42" s="8" t="s">
        <v>2332</v>
      </c>
    </row>
    <row r="43" customFormat="false" ht="79.5" hidden="false" customHeight="true" outlineLevel="0" collapsed="false">
      <c r="A43" s="8" t="s">
        <v>2442</v>
      </c>
      <c r="B43" s="8" t="s">
        <v>1863</v>
      </c>
      <c r="C43" s="8" t="s">
        <v>2443</v>
      </c>
      <c r="D43" s="8" t="s">
        <v>2444</v>
      </c>
      <c r="E43" s="8" t="n">
        <f aca="false">IF(D43="None",0,(LEN(D43)-LEN(SUBSTITUTE(D43,"TC-R1","")))/5)</f>
        <v>6</v>
      </c>
      <c r="F43" s="8" t="str">
        <f aca="false">IF(E43&gt;0,"Yes","No")</f>
        <v>Yes</v>
      </c>
      <c r="G43" s="8" t="s">
        <v>2332</v>
      </c>
    </row>
    <row r="44" customFormat="false" ht="28.5" hidden="false" customHeight="true" outlineLevel="0" collapsed="false">
      <c r="A44" s="8" t="s">
        <v>2445</v>
      </c>
      <c r="B44" s="8" t="s">
        <v>1863</v>
      </c>
      <c r="C44" s="8" t="s">
        <v>2446</v>
      </c>
      <c r="D44" s="8" t="s">
        <v>2447</v>
      </c>
      <c r="E44" s="8" t="n">
        <f aca="false">IF(D44="None",0,(LEN(D44)-LEN(SUBSTITUTE(D44,"TC-R1","")))/5)</f>
        <v>2</v>
      </c>
      <c r="F44" s="8" t="str">
        <f aca="false">IF(E44&gt;0,"Yes","No")</f>
        <v>Yes</v>
      </c>
      <c r="G44" s="8" t="s">
        <v>2332</v>
      </c>
    </row>
    <row r="45" customFormat="false" ht="28.5" hidden="false" customHeight="true" outlineLevel="0" collapsed="false">
      <c r="A45" s="8" t="s">
        <v>2448</v>
      </c>
      <c r="B45" s="8" t="s">
        <v>1863</v>
      </c>
      <c r="C45" s="8" t="s">
        <v>2449</v>
      </c>
      <c r="D45" s="8" t="s">
        <v>2450</v>
      </c>
      <c r="E45" s="8" t="n">
        <f aca="false">IF(D45="None",0,(LEN(D45)-LEN(SUBSTITUTE(D45,"TC-R1","")))/5)</f>
        <v>2</v>
      </c>
      <c r="F45" s="8" t="str">
        <f aca="false">IF(E45&gt;0,"Yes","No")</f>
        <v>Yes</v>
      </c>
      <c r="G45" s="8" t="s">
        <v>2332</v>
      </c>
    </row>
    <row r="46" customFormat="false" ht="28.5" hidden="false" customHeight="true" outlineLevel="0" collapsed="false">
      <c r="A46" s="8" t="s">
        <v>2451</v>
      </c>
      <c r="B46" s="8" t="s">
        <v>1863</v>
      </c>
      <c r="C46" s="8" t="s">
        <v>2452</v>
      </c>
      <c r="D46" s="8" t="s">
        <v>1918</v>
      </c>
      <c r="E46" s="8" t="n">
        <f aca="false">IF(D46="None",0,(LEN(D46)-LEN(SUBSTITUTE(D46,"TC-R1","")))/5)</f>
        <v>2</v>
      </c>
      <c r="F46" s="8" t="str">
        <f aca="false">IF(E46&gt;0,"Yes","No")</f>
        <v>Yes</v>
      </c>
      <c r="G46" s="8" t="s">
        <v>2332</v>
      </c>
    </row>
    <row r="47" customFormat="false" ht="54" hidden="false" customHeight="true" outlineLevel="0" collapsed="false">
      <c r="A47" s="8" t="s">
        <v>2453</v>
      </c>
      <c r="B47" s="8" t="s">
        <v>1863</v>
      </c>
      <c r="C47" s="8" t="s">
        <v>2454</v>
      </c>
      <c r="D47" s="8" t="s">
        <v>2455</v>
      </c>
      <c r="E47" s="8" t="n">
        <f aca="false">IF(D47="None",0,(LEN(D47)-LEN(SUBSTITUTE(D47,"TC-R1","")))/5)</f>
        <v>4</v>
      </c>
      <c r="F47" s="8" t="str">
        <f aca="false">IF(E47&gt;0,"Yes","No")</f>
        <v>Yes</v>
      </c>
      <c r="G47" s="8" t="s">
        <v>2332</v>
      </c>
    </row>
    <row r="48" customFormat="false" ht="28.5" hidden="false" customHeight="true" outlineLevel="0" collapsed="false">
      <c r="A48" s="8" t="s">
        <v>2456</v>
      </c>
      <c r="B48" s="8" t="s">
        <v>2361</v>
      </c>
      <c r="C48" s="8" t="s">
        <v>2457</v>
      </c>
      <c r="D48" s="8" t="s">
        <v>2211</v>
      </c>
      <c r="E48" s="8" t="n">
        <f aca="false">IF(D48="None",0,(LEN(D48)-LEN(SUBSTITUTE(D48,"TC-R1","")))/5)</f>
        <v>2</v>
      </c>
      <c r="F48" s="8" t="str">
        <f aca="false">IF(E48&gt;0,"Yes","No")</f>
        <v>Yes</v>
      </c>
      <c r="G48" s="8" t="s">
        <v>2332</v>
      </c>
    </row>
    <row r="49" customFormat="false" ht="28.5" hidden="false" customHeight="true" outlineLevel="0" collapsed="false">
      <c r="A49" s="8" t="s">
        <v>2458</v>
      </c>
      <c r="B49" s="8" t="s">
        <v>2361</v>
      </c>
      <c r="C49" s="8" t="s">
        <v>2459</v>
      </c>
      <c r="D49" s="8" t="s">
        <v>1470</v>
      </c>
      <c r="E49" s="8" t="n">
        <f aca="false">IF(D49="None",0,(LEN(D49)-LEN(SUBSTITUTE(D49,"TC-R1","")))/5)</f>
        <v>1</v>
      </c>
      <c r="F49" s="8" t="str">
        <f aca="false">IF(E49&gt;0,"Yes","No")</f>
        <v>Yes</v>
      </c>
      <c r="G49" s="8" t="s">
        <v>2332</v>
      </c>
    </row>
    <row r="50" customFormat="false" ht="15.75" hidden="false" customHeight="true" outlineLevel="0" collapsed="false">
      <c r="A50" s="8" t="s">
        <v>2460</v>
      </c>
      <c r="B50" s="8" t="s">
        <v>1863</v>
      </c>
      <c r="C50" s="8" t="s">
        <v>2461</v>
      </c>
      <c r="D50" s="8" t="s">
        <v>1408</v>
      </c>
      <c r="E50" s="8" t="n">
        <f aca="false">IF(D50="None",0,(LEN(D50)-LEN(SUBSTITUTE(D50,"TC-R1","")))/5)</f>
        <v>1</v>
      </c>
      <c r="F50" s="8" t="str">
        <f aca="false">IF(E50&gt;0,"Yes","No")</f>
        <v>Yes</v>
      </c>
      <c r="G50" s="8" t="s">
        <v>2332</v>
      </c>
    </row>
    <row r="51" customFormat="false" ht="41.25" hidden="false" customHeight="true" outlineLevel="0" collapsed="false">
      <c r="A51" s="8" t="s">
        <v>2462</v>
      </c>
      <c r="B51" s="8" t="s">
        <v>2361</v>
      </c>
      <c r="C51" s="8" t="s">
        <v>2463</v>
      </c>
      <c r="D51" s="8" t="s">
        <v>2464</v>
      </c>
      <c r="E51" s="8" t="n">
        <f aca="false">IF(D51="None",0,(LEN(D51)-LEN(SUBSTITUTE(D51,"TC-R1","")))/5)</f>
        <v>3</v>
      </c>
      <c r="F51" s="8" t="str">
        <f aca="false">IF(E51&gt;0,"Yes","No")</f>
        <v>Yes</v>
      </c>
      <c r="G51" s="8" t="s">
        <v>2332</v>
      </c>
    </row>
    <row r="52" customFormat="false" ht="28.5" hidden="false" customHeight="true" outlineLevel="0" collapsed="false">
      <c r="A52" s="8" t="s">
        <v>2465</v>
      </c>
      <c r="B52" s="8" t="s">
        <v>1863</v>
      </c>
      <c r="C52" s="8" t="s">
        <v>2466</v>
      </c>
      <c r="D52" s="8" t="s">
        <v>1548</v>
      </c>
      <c r="E52" s="8" t="n">
        <f aca="false">IF(D52="None",0,(LEN(D52)-LEN(SUBSTITUTE(D52,"TC-R1","")))/5)</f>
        <v>1</v>
      </c>
      <c r="F52" s="8" t="str">
        <f aca="false">IF(E52&gt;0,"Yes","No")</f>
        <v>Yes</v>
      </c>
      <c r="G52" s="8" t="s">
        <v>2332</v>
      </c>
    </row>
    <row r="53" customFormat="false" ht="15.75" hidden="false" customHeight="true" outlineLevel="0" collapsed="false">
      <c r="A53" s="8" t="s">
        <v>2467</v>
      </c>
      <c r="B53" s="8" t="s">
        <v>1863</v>
      </c>
      <c r="C53" s="8" t="s">
        <v>2468</v>
      </c>
      <c r="D53" s="8" t="s">
        <v>760</v>
      </c>
      <c r="E53" s="8" t="n">
        <f aca="false">IF(D53="None",0,(LEN(D53)-LEN(SUBSTITUTE(D53,"TC-R1","")))/5)</f>
        <v>1</v>
      </c>
      <c r="F53" s="8" t="str">
        <f aca="false">IF(E53&gt;0,"Yes","No")</f>
        <v>Yes</v>
      </c>
      <c r="G53" s="8" t="s">
        <v>2332</v>
      </c>
    </row>
    <row r="54" customFormat="false" ht="41.25" hidden="false" customHeight="true" outlineLevel="0" collapsed="false">
      <c r="A54" s="8" t="s">
        <v>2469</v>
      </c>
      <c r="B54" s="8" t="s">
        <v>1863</v>
      </c>
      <c r="C54" s="8" t="s">
        <v>2470</v>
      </c>
      <c r="D54" s="8" t="s">
        <v>2471</v>
      </c>
      <c r="E54" s="8" t="n">
        <f aca="false">IF(D54="None",0,(LEN(D54)-LEN(SUBSTITUTE(D54,"TC-R1","")))/5)</f>
        <v>3</v>
      </c>
      <c r="F54" s="8" t="str">
        <f aca="false">IF(E54&gt;0,"Yes","No")</f>
        <v>Yes</v>
      </c>
      <c r="G54" s="8" t="s">
        <v>2332</v>
      </c>
    </row>
    <row r="55" customFormat="false" ht="15.75" hidden="false" customHeight="true" outlineLevel="0" collapsed="false">
      <c r="A55" s="8" t="s">
        <v>2472</v>
      </c>
      <c r="B55" s="8" t="s">
        <v>1863</v>
      </c>
      <c r="C55" s="8" t="s">
        <v>2473</v>
      </c>
      <c r="D55" s="8" t="s">
        <v>768</v>
      </c>
      <c r="E55" s="8" t="n">
        <f aca="false">IF(D55="None",0,(LEN(D55)-LEN(SUBSTITUTE(D55,"TC-R1","")))/5)</f>
        <v>1</v>
      </c>
      <c r="F55" s="8" t="str">
        <f aca="false">IF(E55&gt;0,"Yes","No")</f>
        <v>Yes</v>
      </c>
      <c r="G55" s="8" t="s">
        <v>2332</v>
      </c>
    </row>
    <row r="56" customFormat="false" ht="41.25" hidden="false" customHeight="true" outlineLevel="0" collapsed="false">
      <c r="A56" s="8" t="s">
        <v>2474</v>
      </c>
      <c r="B56" s="8" t="s">
        <v>1863</v>
      </c>
      <c r="C56" s="8" t="s">
        <v>2475</v>
      </c>
      <c r="D56" s="8" t="s">
        <v>2476</v>
      </c>
      <c r="E56" s="8" t="n">
        <f aca="false">IF(D56="None",0,(LEN(D56)-LEN(SUBSTITUTE(D56,"TC-R1","")))/5)</f>
        <v>3</v>
      </c>
      <c r="F56" s="8" t="str">
        <f aca="false">IF(E56&gt;0,"Yes","No")</f>
        <v>Yes</v>
      </c>
      <c r="G56" s="8" t="s">
        <v>2332</v>
      </c>
    </row>
    <row r="57" customFormat="false" ht="28.5" hidden="false" customHeight="true" outlineLevel="0" collapsed="false">
      <c r="A57" s="8" t="s">
        <v>2477</v>
      </c>
      <c r="B57" s="8" t="s">
        <v>1863</v>
      </c>
      <c r="C57" s="8" t="s">
        <v>2478</v>
      </c>
      <c r="D57" s="8" t="s">
        <v>2479</v>
      </c>
      <c r="E57" s="8" t="n">
        <f aca="false">IF(D57="None",0,(LEN(D57)-LEN(SUBSTITUTE(D57,"TC-R1","")))/5)</f>
        <v>2</v>
      </c>
      <c r="F57" s="8" t="str">
        <f aca="false">IF(E57&gt;0,"Yes","No")</f>
        <v>Yes</v>
      </c>
      <c r="G57" s="8" t="s">
        <v>2332</v>
      </c>
    </row>
    <row r="58" customFormat="false" ht="41.25" hidden="false" customHeight="true" outlineLevel="0" collapsed="false">
      <c r="A58" s="8" t="s">
        <v>2480</v>
      </c>
      <c r="B58" s="8" t="s">
        <v>1863</v>
      </c>
      <c r="C58" s="8" t="s">
        <v>2481</v>
      </c>
      <c r="D58" s="8" t="s">
        <v>2482</v>
      </c>
      <c r="E58" s="8" t="n">
        <f aca="false">IF(D58="None",0,(LEN(D58)-LEN(SUBSTITUTE(D58,"TC-R1","")))/5)</f>
        <v>3</v>
      </c>
      <c r="F58" s="8" t="str">
        <f aca="false">IF(E58&gt;0,"Yes","No")</f>
        <v>Yes</v>
      </c>
      <c r="G58" s="8" t="s">
        <v>2332</v>
      </c>
    </row>
    <row r="59" customFormat="false" ht="54" hidden="false" customHeight="true" outlineLevel="0" collapsed="false">
      <c r="A59" s="8" t="s">
        <v>2483</v>
      </c>
      <c r="B59" s="8" t="s">
        <v>1863</v>
      </c>
      <c r="C59" s="8" t="s">
        <v>2484</v>
      </c>
      <c r="D59" s="8" t="s">
        <v>2485</v>
      </c>
      <c r="E59" s="8" t="n">
        <f aca="false">IF(D59="None",0,(LEN(D59)-LEN(SUBSTITUTE(D59,"TC-R1","")))/5)</f>
        <v>4</v>
      </c>
      <c r="F59" s="8" t="str">
        <f aca="false">IF(E59&gt;0,"Yes","No")</f>
        <v>Yes</v>
      </c>
      <c r="G59" s="8" t="s">
        <v>2332</v>
      </c>
    </row>
    <row r="60" customFormat="false" ht="15.75" hidden="false" customHeight="true" outlineLevel="0" collapsed="false">
      <c r="A60" s="8" t="s">
        <v>2486</v>
      </c>
      <c r="B60" s="8" t="s">
        <v>1863</v>
      </c>
      <c r="C60" s="8" t="s">
        <v>2487</v>
      </c>
      <c r="D60" s="8" t="s">
        <v>1453</v>
      </c>
      <c r="E60" s="8" t="n">
        <f aca="false">IF(D60="None",0,(LEN(D60)-LEN(SUBSTITUTE(D60,"TC-R1","")))/5)</f>
        <v>1</v>
      </c>
      <c r="F60" s="8" t="str">
        <f aca="false">IF(E60&gt;0,"Yes","No")</f>
        <v>Yes</v>
      </c>
      <c r="G60" s="8" t="s">
        <v>2332</v>
      </c>
    </row>
    <row r="61" customFormat="false" ht="28.5" hidden="false" customHeight="true" outlineLevel="0" collapsed="false">
      <c r="A61" s="8" t="s">
        <v>2488</v>
      </c>
      <c r="B61" s="8" t="s">
        <v>2361</v>
      </c>
      <c r="C61" s="8" t="s">
        <v>2489</v>
      </c>
      <c r="D61" s="8" t="s">
        <v>2211</v>
      </c>
      <c r="E61" s="8" t="n">
        <f aca="false">IF(D61="None",0,(LEN(D61)-LEN(SUBSTITUTE(D61,"TC-R1","")))/5)</f>
        <v>2</v>
      </c>
      <c r="F61" s="8" t="str">
        <f aca="false">IF(E61&gt;0,"Yes","No")</f>
        <v>Yes</v>
      </c>
      <c r="G61" s="8" t="s">
        <v>2332</v>
      </c>
    </row>
    <row r="62" customFormat="false" ht="41.25" hidden="false" customHeight="true" outlineLevel="0" collapsed="false">
      <c r="A62" s="8" t="s">
        <v>2490</v>
      </c>
      <c r="B62" s="8" t="s">
        <v>1863</v>
      </c>
      <c r="C62" s="8" t="s">
        <v>2491</v>
      </c>
      <c r="D62" s="8" t="s">
        <v>2492</v>
      </c>
      <c r="E62" s="8" t="n">
        <f aca="false">IF(D62="None",0,(LEN(D62)-LEN(SUBSTITUTE(D62,"TC-R1","")))/5)</f>
        <v>3</v>
      </c>
      <c r="F62" s="8" t="str">
        <f aca="false">IF(E62&gt;0,"Yes","No")</f>
        <v>Yes</v>
      </c>
      <c r="G62" s="8" t="s">
        <v>2332</v>
      </c>
    </row>
    <row r="63" customFormat="false" ht="28.5" hidden="false" customHeight="true" outlineLevel="0" collapsed="false">
      <c r="A63" s="8" t="s">
        <v>2493</v>
      </c>
      <c r="B63" s="8" t="s">
        <v>2408</v>
      </c>
      <c r="C63" s="8" t="s">
        <v>2494</v>
      </c>
      <c r="D63" s="8" t="s">
        <v>1003</v>
      </c>
      <c r="E63" s="8" t="n">
        <f aca="false">IF(D63="None",0,(LEN(D63)-LEN(SUBSTITUTE(D63,"TC-R1","")))/5)</f>
        <v>1</v>
      </c>
      <c r="F63" s="8" t="str">
        <f aca="false">IF(E63&gt;0,"Yes","No")</f>
        <v>Yes</v>
      </c>
      <c r="G63" s="8" t="s">
        <v>2332</v>
      </c>
    </row>
    <row r="64" customFormat="false" ht="28.5" hidden="false" customHeight="true" outlineLevel="0" collapsed="false">
      <c r="A64" s="8" t="s">
        <v>2495</v>
      </c>
      <c r="B64" s="8" t="s">
        <v>1863</v>
      </c>
      <c r="C64" s="8" t="s">
        <v>2496</v>
      </c>
      <c r="D64" s="8" t="s">
        <v>2497</v>
      </c>
      <c r="E64" s="8" t="n">
        <f aca="false">IF(D64="None",0,(LEN(D64)-LEN(SUBSTITUTE(D64,"TC-R1","")))/5)</f>
        <v>2</v>
      </c>
      <c r="F64" s="8" t="str">
        <f aca="false">IF(E64&gt;0,"Yes","No")</f>
        <v>Yes</v>
      </c>
      <c r="G64" s="8" t="s">
        <v>2332</v>
      </c>
    </row>
    <row r="65" customFormat="false" ht="28.5" hidden="false" customHeight="true" outlineLevel="0" collapsed="false">
      <c r="A65" s="8" t="s">
        <v>2498</v>
      </c>
      <c r="B65" s="8" t="s">
        <v>1863</v>
      </c>
      <c r="C65" s="8" t="s">
        <v>2499</v>
      </c>
      <c r="D65" s="8" t="s">
        <v>1539</v>
      </c>
      <c r="E65" s="8" t="n">
        <f aca="false">IF(D65="None",0,(LEN(D65)-LEN(SUBSTITUTE(D65,"TC-R1","")))/5)</f>
        <v>1</v>
      </c>
      <c r="F65" s="8" t="str">
        <f aca="false">IF(E65&gt;0,"Yes","No")</f>
        <v>Yes</v>
      </c>
      <c r="G65" s="8" t="s">
        <v>2332</v>
      </c>
    </row>
    <row r="66" customFormat="false" ht="41.25" hidden="false" customHeight="true" outlineLevel="0" collapsed="false">
      <c r="A66" s="8" t="s">
        <v>2500</v>
      </c>
      <c r="B66" s="8" t="s">
        <v>1863</v>
      </c>
      <c r="C66" s="8" t="s">
        <v>2501</v>
      </c>
      <c r="D66" s="8" t="s">
        <v>2502</v>
      </c>
      <c r="E66" s="8" t="n">
        <f aca="false">IF(D66="None",0,(LEN(D66)-LEN(SUBSTITUTE(D66,"TC-R1","")))/5)</f>
        <v>3</v>
      </c>
      <c r="F66" s="8" t="str">
        <f aca="false">IF(E66&gt;0,"Yes","No")</f>
        <v>Yes</v>
      </c>
      <c r="G66" s="8" t="s">
        <v>2332</v>
      </c>
    </row>
    <row r="67" customFormat="false" ht="28.5" hidden="false" customHeight="true" outlineLevel="0" collapsed="false">
      <c r="A67" s="8" t="s">
        <v>2503</v>
      </c>
      <c r="B67" s="8" t="s">
        <v>2361</v>
      </c>
      <c r="C67" s="8" t="s">
        <v>2504</v>
      </c>
      <c r="D67" s="8" t="s">
        <v>576</v>
      </c>
      <c r="E67" s="8" t="n">
        <f aca="false">IF(D67="None",0,(LEN(D67)-LEN(SUBSTITUTE(D67,"TC-R1","")))/5)</f>
        <v>1</v>
      </c>
      <c r="F67" s="8" t="str">
        <f aca="false">IF(E67&gt;0,"Yes","No")</f>
        <v>Yes</v>
      </c>
      <c r="G67" s="8" t="s">
        <v>2332</v>
      </c>
    </row>
    <row r="68" customFormat="false" ht="15.75" hidden="false" customHeight="true" outlineLevel="0" collapsed="false">
      <c r="A68" s="8" t="s">
        <v>2505</v>
      </c>
      <c r="B68" s="8" t="s">
        <v>1863</v>
      </c>
      <c r="C68" s="8" t="s">
        <v>2506</v>
      </c>
      <c r="D68" s="8" t="s">
        <v>778</v>
      </c>
      <c r="E68" s="8" t="n">
        <f aca="false">IF(D68="None",0,(LEN(D68)-LEN(SUBSTITUTE(D68,"TC-R1","")))/5)</f>
        <v>1</v>
      </c>
      <c r="F68" s="8" t="str">
        <f aca="false">IF(E68&gt;0,"Yes","No")</f>
        <v>Yes</v>
      </c>
      <c r="G68" s="8" t="s">
        <v>2507</v>
      </c>
    </row>
    <row r="69" customFormat="false" ht="79.5" hidden="false" customHeight="true" outlineLevel="0" collapsed="false">
      <c r="A69" s="8" t="s">
        <v>2508</v>
      </c>
      <c r="B69" s="8" t="s">
        <v>1863</v>
      </c>
      <c r="C69" s="8" t="s">
        <v>2509</v>
      </c>
      <c r="D69" s="8" t="s">
        <v>2510</v>
      </c>
      <c r="E69" s="8" t="n">
        <f aca="false">IF(D69="None",0,(LEN(D69)-LEN(SUBSTITUTE(D69,"TC-R1","")))/5)</f>
        <v>6</v>
      </c>
      <c r="F69" s="8" t="str">
        <f aca="false">IF(E69&gt;0,"Yes","No")</f>
        <v>Yes</v>
      </c>
      <c r="G69" s="8" t="s">
        <v>2507</v>
      </c>
    </row>
    <row r="70" customFormat="false" ht="15.75" hidden="false" customHeight="true" outlineLevel="0" collapsed="false">
      <c r="A70" s="8" t="s">
        <v>2511</v>
      </c>
      <c r="B70" s="8" t="s">
        <v>2361</v>
      </c>
      <c r="C70" s="8" t="s">
        <v>2512</v>
      </c>
      <c r="D70" s="8" t="s">
        <v>778</v>
      </c>
      <c r="E70" s="8" t="n">
        <f aca="false">IF(D70="None",0,(LEN(D70)-LEN(SUBSTITUTE(D70,"TC-R1","")))/5)</f>
        <v>1</v>
      </c>
      <c r="F70" s="8" t="str">
        <f aca="false">IF(E70&gt;0,"Yes","No")</f>
        <v>Yes</v>
      </c>
      <c r="G70" s="8" t="s">
        <v>2507</v>
      </c>
    </row>
    <row r="71" customFormat="false" ht="41.25" hidden="false" customHeight="true" outlineLevel="0" collapsed="false">
      <c r="A71" s="8" t="s">
        <v>2513</v>
      </c>
      <c r="B71" s="8" t="s">
        <v>2361</v>
      </c>
      <c r="C71" s="8" t="s">
        <v>2514</v>
      </c>
      <c r="D71" s="8" t="s">
        <v>2515</v>
      </c>
      <c r="E71" s="8" t="n">
        <f aca="false">IF(D71="None",0,(LEN(D71)-LEN(SUBSTITUTE(D71,"TC-R1","")))/5)</f>
        <v>3</v>
      </c>
      <c r="F71" s="8" t="str">
        <f aca="false">IF(E71&gt;0,"Yes","No")</f>
        <v>Yes</v>
      </c>
      <c r="G71" s="8" t="s">
        <v>2507</v>
      </c>
    </row>
    <row r="72" customFormat="false" ht="15.75" hidden="false" customHeight="true" outlineLevel="0" collapsed="false">
      <c r="A72" s="8" t="s">
        <v>2516</v>
      </c>
      <c r="B72" s="8" t="s">
        <v>2361</v>
      </c>
      <c r="C72" s="8" t="s">
        <v>2517</v>
      </c>
      <c r="D72" s="8" t="s">
        <v>810</v>
      </c>
      <c r="E72" s="8" t="n">
        <f aca="false">IF(D72="None",0,(LEN(D72)-LEN(SUBSTITUTE(D72,"TC-R1","")))/5)</f>
        <v>1</v>
      </c>
      <c r="F72" s="8" t="str">
        <f aca="false">IF(E72&gt;0,"Yes","No")</f>
        <v>Yes</v>
      </c>
      <c r="G72" s="8" t="s">
        <v>2507</v>
      </c>
    </row>
    <row r="73" customFormat="false" ht="15.75" hidden="false" customHeight="true" outlineLevel="0" collapsed="false">
      <c r="A73" s="8" t="s">
        <v>2518</v>
      </c>
      <c r="B73" s="8" t="s">
        <v>2361</v>
      </c>
      <c r="C73" s="8" t="s">
        <v>2519</v>
      </c>
      <c r="D73" s="8" t="s">
        <v>829</v>
      </c>
      <c r="E73" s="8" t="n">
        <f aca="false">IF(D73="None",0,(LEN(D73)-LEN(SUBSTITUTE(D73,"TC-R1","")))/5)</f>
        <v>1</v>
      </c>
      <c r="F73" s="8" t="str">
        <f aca="false">IF(E73&gt;0,"Yes","No")</f>
        <v>Yes</v>
      </c>
      <c r="G73" s="8" t="s">
        <v>2507</v>
      </c>
    </row>
    <row r="74" customFormat="false" ht="28.5" hidden="false" customHeight="true" outlineLevel="0" collapsed="false">
      <c r="A74" s="8" t="s">
        <v>2520</v>
      </c>
      <c r="B74" s="8" t="s">
        <v>2361</v>
      </c>
      <c r="C74" s="8" t="s">
        <v>2521</v>
      </c>
      <c r="D74" s="8" t="s">
        <v>2522</v>
      </c>
      <c r="E74" s="8" t="n">
        <f aca="false">IF(D74="None",0,(LEN(D74)-LEN(SUBSTITUTE(D74,"TC-R1","")))/5)</f>
        <v>2</v>
      </c>
      <c r="F74" s="8" t="str">
        <f aca="false">IF(E74&gt;0,"Yes","No")</f>
        <v>Yes</v>
      </c>
      <c r="G74" s="8" t="s">
        <v>2507</v>
      </c>
    </row>
    <row r="75" customFormat="false" ht="15.75" hidden="false" customHeight="true" outlineLevel="0" collapsed="false">
      <c r="A75" s="8" t="s">
        <v>2523</v>
      </c>
      <c r="B75" s="8" t="s">
        <v>1863</v>
      </c>
      <c r="C75" s="8" t="s">
        <v>2524</v>
      </c>
      <c r="D75" s="8" t="s">
        <v>829</v>
      </c>
      <c r="E75" s="8" t="n">
        <f aca="false">IF(D75="None",0,(LEN(D75)-LEN(SUBSTITUTE(D75,"TC-R1","")))/5)</f>
        <v>1</v>
      </c>
      <c r="F75" s="8" t="str">
        <f aca="false">IF(E75&gt;0,"Yes","No")</f>
        <v>Yes</v>
      </c>
      <c r="G75" s="8" t="s">
        <v>2507</v>
      </c>
    </row>
    <row r="76" customFormat="false" ht="28.5" hidden="false" customHeight="true" outlineLevel="0" collapsed="false">
      <c r="A76" s="8" t="s">
        <v>2525</v>
      </c>
      <c r="B76" s="8" t="s">
        <v>1863</v>
      </c>
      <c r="C76" s="8" t="s">
        <v>2526</v>
      </c>
      <c r="D76" s="8" t="s">
        <v>2527</v>
      </c>
      <c r="E76" s="8" t="n">
        <f aca="false">IF(D76="None",0,(LEN(D76)-LEN(SUBSTITUTE(D76,"TC-R1","")))/5)</f>
        <v>2</v>
      </c>
      <c r="F76" s="8" t="str">
        <f aca="false">IF(E76&gt;0,"Yes","No")</f>
        <v>Yes</v>
      </c>
      <c r="G76" s="8" t="s">
        <v>2507</v>
      </c>
    </row>
    <row r="77" customFormat="false" ht="41.25" hidden="false" customHeight="true" outlineLevel="0" collapsed="false">
      <c r="A77" s="8" t="s">
        <v>2528</v>
      </c>
      <c r="B77" s="8" t="s">
        <v>1863</v>
      </c>
      <c r="C77" s="8" t="s">
        <v>2529</v>
      </c>
      <c r="D77" s="8" t="s">
        <v>2530</v>
      </c>
      <c r="E77" s="8" t="n">
        <f aca="false">IF(D77="None",0,(LEN(D77)-LEN(SUBSTITUTE(D77,"TC-R1","")))/5)</f>
        <v>3</v>
      </c>
      <c r="F77" s="8" t="str">
        <f aca="false">IF(E77&gt;0,"Yes","No")</f>
        <v>Yes</v>
      </c>
      <c r="G77" s="8" t="s">
        <v>2507</v>
      </c>
    </row>
    <row r="78" customFormat="false" ht="28.5" hidden="false" customHeight="true" outlineLevel="0" collapsed="false">
      <c r="A78" s="8" t="s">
        <v>2531</v>
      </c>
      <c r="B78" s="8" t="s">
        <v>2361</v>
      </c>
      <c r="C78" s="8" t="s">
        <v>2532</v>
      </c>
      <c r="D78" s="8" t="s">
        <v>866</v>
      </c>
      <c r="E78" s="8" t="n">
        <f aca="false">IF(D78="None",0,(LEN(D78)-LEN(SUBSTITUTE(D78,"TC-R1","")))/5)</f>
        <v>1</v>
      </c>
      <c r="F78" s="8" t="str">
        <f aca="false">IF(E78&gt;0,"Yes","No")</f>
        <v>Yes</v>
      </c>
      <c r="G78" s="8" t="s">
        <v>2507</v>
      </c>
    </row>
    <row r="79" customFormat="false" ht="41.25" hidden="false" customHeight="true" outlineLevel="0" collapsed="false">
      <c r="A79" s="8" t="s">
        <v>2533</v>
      </c>
      <c r="B79" s="8" t="s">
        <v>1863</v>
      </c>
      <c r="C79" s="8" t="s">
        <v>2534</v>
      </c>
      <c r="D79" s="8" t="s">
        <v>2535</v>
      </c>
      <c r="E79" s="8" t="n">
        <f aca="false">IF(D79="None",0,(LEN(D79)-LEN(SUBSTITUTE(D79,"TC-R1","")))/5)</f>
        <v>3</v>
      </c>
      <c r="F79" s="8" t="str">
        <f aca="false">IF(E79&gt;0,"Yes","No")</f>
        <v>Yes</v>
      </c>
      <c r="G79" s="8" t="s">
        <v>2507</v>
      </c>
    </row>
    <row r="80" customFormat="false" ht="15.75" hidden="false" customHeight="true" outlineLevel="0" collapsed="false">
      <c r="A80" s="8" t="s">
        <v>2536</v>
      </c>
      <c r="B80" s="8" t="s">
        <v>1863</v>
      </c>
      <c r="C80" s="8" t="s">
        <v>2537</v>
      </c>
      <c r="D80" s="8" t="s">
        <v>829</v>
      </c>
      <c r="E80" s="8" t="n">
        <f aca="false">IF(D80="None",0,(LEN(D80)-LEN(SUBSTITUTE(D80,"TC-R1","")))/5)</f>
        <v>1</v>
      </c>
      <c r="F80" s="8" t="str">
        <f aca="false">IF(E80&gt;0,"Yes","No")</f>
        <v>Yes</v>
      </c>
      <c r="G80" s="8" t="s">
        <v>2507</v>
      </c>
    </row>
    <row r="81" customFormat="false" ht="28.5" hidden="false" customHeight="true" outlineLevel="0" collapsed="false">
      <c r="A81" s="8" t="s">
        <v>2538</v>
      </c>
      <c r="B81" s="8" t="s">
        <v>1863</v>
      </c>
      <c r="C81" s="8" t="s">
        <v>2539</v>
      </c>
      <c r="D81" s="8" t="s">
        <v>2540</v>
      </c>
      <c r="E81" s="8" t="n">
        <f aca="false">IF(D81="None",0,(LEN(D81)-LEN(SUBSTITUTE(D81,"TC-R1","")))/5)</f>
        <v>2</v>
      </c>
      <c r="F81" s="8" t="str">
        <f aca="false">IF(E81&gt;0,"Yes","No")</f>
        <v>Yes</v>
      </c>
      <c r="G81" s="8" t="s">
        <v>2507</v>
      </c>
    </row>
    <row r="82" customFormat="false" ht="28.5" hidden="false" customHeight="true" outlineLevel="0" collapsed="false">
      <c r="A82" s="8" t="s">
        <v>2541</v>
      </c>
      <c r="B82" s="8" t="s">
        <v>1863</v>
      </c>
      <c r="C82" s="8" t="s">
        <v>2542</v>
      </c>
      <c r="D82" s="8" t="s">
        <v>2527</v>
      </c>
      <c r="E82" s="8" t="n">
        <f aca="false">IF(D82="None",0,(LEN(D82)-LEN(SUBSTITUTE(D82,"TC-R1","")))/5)</f>
        <v>2</v>
      </c>
      <c r="F82" s="8" t="str">
        <f aca="false">IF(E82&gt;0,"Yes","No")</f>
        <v>Yes</v>
      </c>
      <c r="G82" s="8" t="s">
        <v>2507</v>
      </c>
    </row>
    <row r="83" customFormat="false" ht="28.5" hidden="false" customHeight="true" outlineLevel="0" collapsed="false">
      <c r="A83" s="8" t="s">
        <v>2543</v>
      </c>
      <c r="B83" s="8" t="s">
        <v>1863</v>
      </c>
      <c r="C83" s="8" t="s">
        <v>2544</v>
      </c>
      <c r="D83" s="8" t="s">
        <v>2545</v>
      </c>
      <c r="E83" s="8" t="n">
        <f aca="false">IF(D83="None",0,(LEN(D83)-LEN(SUBSTITUTE(D83,"TC-R1","")))/5)</f>
        <v>2</v>
      </c>
      <c r="F83" s="8" t="str">
        <f aca="false">IF(E83&gt;0,"Yes","No")</f>
        <v>Yes</v>
      </c>
      <c r="G83" s="8" t="s">
        <v>2507</v>
      </c>
    </row>
    <row r="84" customFormat="false" ht="15.75" hidden="false" customHeight="true" outlineLevel="0" collapsed="false">
      <c r="A84" s="8" t="s">
        <v>2546</v>
      </c>
      <c r="B84" s="8" t="s">
        <v>1863</v>
      </c>
      <c r="C84" s="8" t="s">
        <v>2547</v>
      </c>
      <c r="D84" s="8" t="s">
        <v>855</v>
      </c>
      <c r="E84" s="8" t="n">
        <f aca="false">IF(D84="None",0,(LEN(D84)-LEN(SUBSTITUTE(D84,"TC-R1","")))/5)</f>
        <v>1</v>
      </c>
      <c r="F84" s="8" t="str">
        <f aca="false">IF(E84&gt;0,"Yes","No")</f>
        <v>Yes</v>
      </c>
      <c r="G84" s="8" t="s">
        <v>2507</v>
      </c>
    </row>
    <row r="85" customFormat="false" ht="28.5" hidden="false" customHeight="true" outlineLevel="0" collapsed="false">
      <c r="A85" s="8" t="s">
        <v>2548</v>
      </c>
      <c r="B85" s="8" t="s">
        <v>1863</v>
      </c>
      <c r="C85" s="8" t="s">
        <v>2549</v>
      </c>
      <c r="D85" s="8" t="s">
        <v>855</v>
      </c>
      <c r="E85" s="8" t="n">
        <f aca="false">IF(D85="None",0,(LEN(D85)-LEN(SUBSTITUTE(D85,"TC-R1","")))/5)</f>
        <v>1</v>
      </c>
      <c r="F85" s="8" t="str">
        <f aca="false">IF(E85&gt;0,"Yes","No")</f>
        <v>Yes</v>
      </c>
      <c r="G85" s="8" t="s">
        <v>2507</v>
      </c>
    </row>
    <row r="86" customFormat="false" ht="28.5" hidden="false" customHeight="true" outlineLevel="0" collapsed="false">
      <c r="A86" s="8" t="s">
        <v>2550</v>
      </c>
      <c r="B86" s="8" t="s">
        <v>2361</v>
      </c>
      <c r="C86" s="8" t="s">
        <v>2551</v>
      </c>
      <c r="D86" s="8" t="s">
        <v>2522</v>
      </c>
      <c r="E86" s="8" t="n">
        <f aca="false">IF(D86="None",0,(LEN(D86)-LEN(SUBSTITUTE(D86,"TC-R1","")))/5)</f>
        <v>2</v>
      </c>
      <c r="F86" s="8" t="str">
        <f aca="false">IF(E86&gt;0,"Yes","No")</f>
        <v>Yes</v>
      </c>
      <c r="G86" s="8" t="s">
        <v>2507</v>
      </c>
    </row>
  </sheetData>
  <autoFilter ref="A1:G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5" min="3" style="0" width="12"/>
    <col collapsed="false" customWidth="true" hidden="false" outlineLevel="0" max="6" min="6" style="0" width="52"/>
    <col collapsed="false" customWidth="true" hidden="false" outlineLevel="0" max="7" min="7" style="0" width="90"/>
  </cols>
  <sheetData>
    <row r="1" customFormat="false" ht="34.5" hidden="false" customHeight="true" outlineLevel="0" collapsed="false">
      <c r="A1" s="5" t="s">
        <v>2552</v>
      </c>
      <c r="B1" s="5" t="s">
        <v>2553</v>
      </c>
      <c r="C1" s="5" t="s">
        <v>2554</v>
      </c>
      <c r="D1" s="5" t="s">
        <v>2555</v>
      </c>
      <c r="E1" s="5" t="s">
        <v>2556</v>
      </c>
      <c r="F1" s="5" t="s">
        <v>2557</v>
      </c>
      <c r="G1" s="5" t="s">
        <v>2558</v>
      </c>
    </row>
    <row r="2" customFormat="false" ht="15.75" hidden="false" customHeight="true" outlineLevel="0" collapsed="false">
      <c r="A2" s="8" t="s">
        <v>150</v>
      </c>
      <c r="B2" s="8" t="s">
        <v>175</v>
      </c>
      <c r="C2" s="8" t="s">
        <v>2559</v>
      </c>
      <c r="D2" s="8" t="s">
        <v>7</v>
      </c>
      <c r="E2" s="8" t="s">
        <v>7</v>
      </c>
      <c r="F2" s="8" t="s">
        <v>2560</v>
      </c>
      <c r="G2" s="8" t="s">
        <v>2561</v>
      </c>
    </row>
    <row r="3" customFormat="false" ht="15.75" hidden="false" customHeight="true" outlineLevel="0" collapsed="false">
      <c r="A3" s="8" t="s">
        <v>150</v>
      </c>
      <c r="B3" s="8" t="s">
        <v>200</v>
      </c>
      <c r="C3" s="8" t="s">
        <v>2559</v>
      </c>
      <c r="D3" s="8" t="s">
        <v>7</v>
      </c>
      <c r="E3" s="8" t="s">
        <v>7</v>
      </c>
      <c r="F3" s="8" t="s">
        <v>2560</v>
      </c>
      <c r="G3" s="8" t="s">
        <v>2562</v>
      </c>
    </row>
    <row r="4" customFormat="false" ht="15.75" hidden="false" customHeight="true" outlineLevel="0" collapsed="false">
      <c r="A4" s="8" t="s">
        <v>150</v>
      </c>
      <c r="B4" s="8" t="s">
        <v>266</v>
      </c>
      <c r="C4" s="8" t="s">
        <v>2559</v>
      </c>
      <c r="D4" s="8" t="s">
        <v>7</v>
      </c>
      <c r="E4" s="8" t="s">
        <v>7</v>
      </c>
      <c r="F4" s="8" t="s">
        <v>2563</v>
      </c>
      <c r="G4" s="8" t="s">
        <v>2564</v>
      </c>
    </row>
    <row r="5" customFormat="false" ht="15.75" hidden="false" customHeight="true" outlineLevel="0" collapsed="false">
      <c r="A5" s="8" t="s">
        <v>150</v>
      </c>
      <c r="B5" s="8" t="s">
        <v>277</v>
      </c>
      <c r="C5" s="8" t="s">
        <v>2559</v>
      </c>
      <c r="D5" s="8" t="s">
        <v>7</v>
      </c>
      <c r="E5" s="8" t="s">
        <v>7</v>
      </c>
      <c r="F5" s="8" t="s">
        <v>2563</v>
      </c>
      <c r="G5" s="8" t="s">
        <v>2565</v>
      </c>
    </row>
    <row r="6" customFormat="false" ht="28.5" hidden="false" customHeight="true" outlineLevel="0" collapsed="false">
      <c r="A6" s="8" t="s">
        <v>150</v>
      </c>
      <c r="B6" s="8" t="s">
        <v>286</v>
      </c>
      <c r="C6" s="8" t="s">
        <v>2559</v>
      </c>
      <c r="D6" s="8" t="s">
        <v>7</v>
      </c>
      <c r="E6" s="8" t="s">
        <v>7</v>
      </c>
      <c r="F6" s="8" t="s">
        <v>2566</v>
      </c>
      <c r="G6" s="8" t="s">
        <v>2567</v>
      </c>
    </row>
    <row r="7" customFormat="false" ht="28.5" hidden="false" customHeight="true" outlineLevel="0" collapsed="false">
      <c r="A7" s="8" t="s">
        <v>150</v>
      </c>
      <c r="B7" s="8" t="s">
        <v>305</v>
      </c>
      <c r="C7" s="8" t="s">
        <v>2559</v>
      </c>
      <c r="D7" s="8" t="s">
        <v>9</v>
      </c>
      <c r="E7" s="8" t="s">
        <v>9</v>
      </c>
      <c r="F7" s="8" t="s">
        <v>2568</v>
      </c>
      <c r="G7" s="8" t="s">
        <v>2569</v>
      </c>
    </row>
    <row r="8" customFormat="false" ht="28.5" hidden="false" customHeight="true" outlineLevel="0" collapsed="false">
      <c r="A8" s="8" t="s">
        <v>150</v>
      </c>
      <c r="B8" s="8" t="s">
        <v>316</v>
      </c>
      <c r="C8" s="8" t="s">
        <v>2559</v>
      </c>
      <c r="D8" s="8" t="s">
        <v>9</v>
      </c>
      <c r="E8" s="8" t="s">
        <v>7</v>
      </c>
      <c r="F8" s="8" t="s">
        <v>2570</v>
      </c>
      <c r="G8" s="8" t="s">
        <v>2571</v>
      </c>
    </row>
    <row r="9" customFormat="false" ht="28.5" hidden="false" customHeight="true" outlineLevel="0" collapsed="false">
      <c r="A9" s="8" t="s">
        <v>150</v>
      </c>
      <c r="B9" s="8" t="s">
        <v>325</v>
      </c>
      <c r="C9" s="8" t="s">
        <v>2559</v>
      </c>
      <c r="D9" s="8" t="s">
        <v>7</v>
      </c>
      <c r="E9" s="8" t="s">
        <v>7</v>
      </c>
      <c r="F9" s="8" t="s">
        <v>2572</v>
      </c>
      <c r="G9" s="8" t="s">
        <v>2573</v>
      </c>
    </row>
    <row r="10" customFormat="false" ht="15.75" hidden="false" customHeight="true" outlineLevel="0" collapsed="false">
      <c r="A10" s="8" t="s">
        <v>150</v>
      </c>
      <c r="B10" s="8" t="s">
        <v>333</v>
      </c>
      <c r="C10" s="8" t="s">
        <v>2559</v>
      </c>
      <c r="D10" s="8" t="s">
        <v>7</v>
      </c>
      <c r="E10" s="8" t="s">
        <v>7</v>
      </c>
      <c r="F10" s="8" t="s">
        <v>2563</v>
      </c>
      <c r="G10" s="8" t="s">
        <v>2574</v>
      </c>
    </row>
    <row r="11" customFormat="false" ht="15.75" hidden="false" customHeight="true" outlineLevel="0" collapsed="false">
      <c r="A11" s="8" t="s">
        <v>150</v>
      </c>
      <c r="B11" s="8" t="s">
        <v>368</v>
      </c>
      <c r="C11" s="8" t="s">
        <v>2559</v>
      </c>
      <c r="D11" s="8" t="s">
        <v>9</v>
      </c>
      <c r="E11" s="8" t="s">
        <v>9</v>
      </c>
      <c r="F11" s="8" t="s">
        <v>2575</v>
      </c>
      <c r="G11" s="8" t="s">
        <v>2576</v>
      </c>
    </row>
    <row r="12" customFormat="false" ht="28.5" hidden="false" customHeight="true" outlineLevel="0" collapsed="false">
      <c r="A12" s="8" t="s">
        <v>150</v>
      </c>
      <c r="B12" s="8" t="s">
        <v>397</v>
      </c>
      <c r="C12" s="8" t="s">
        <v>2559</v>
      </c>
      <c r="D12" s="8" t="s">
        <v>7</v>
      </c>
      <c r="E12" s="8" t="s">
        <v>7</v>
      </c>
      <c r="F12" s="8" t="s">
        <v>2563</v>
      </c>
      <c r="G12" s="8" t="s">
        <v>2577</v>
      </c>
    </row>
    <row r="13" customFormat="false" ht="28.5" hidden="false" customHeight="true" outlineLevel="0" collapsed="false">
      <c r="A13" s="8" t="s">
        <v>150</v>
      </c>
      <c r="B13" s="8" t="s">
        <v>404</v>
      </c>
      <c r="C13" s="8" t="s">
        <v>2559</v>
      </c>
      <c r="D13" s="8" t="s">
        <v>11</v>
      </c>
      <c r="E13" s="8" t="s">
        <v>7</v>
      </c>
      <c r="F13" s="8" t="s">
        <v>2578</v>
      </c>
      <c r="G13" s="8" t="s">
        <v>2579</v>
      </c>
    </row>
    <row r="14" customFormat="false" ht="28.5" hidden="false" customHeight="true" outlineLevel="0" collapsed="false">
      <c r="A14" s="8" t="s">
        <v>150</v>
      </c>
      <c r="B14" s="8" t="s">
        <v>416</v>
      </c>
      <c r="C14" s="8" t="s">
        <v>2559</v>
      </c>
      <c r="D14" s="8" t="s">
        <v>11</v>
      </c>
      <c r="E14" s="8" t="s">
        <v>7</v>
      </c>
      <c r="F14" s="8" t="s">
        <v>2578</v>
      </c>
      <c r="G14" s="8" t="s">
        <v>2579</v>
      </c>
    </row>
    <row r="15" customFormat="false" ht="28.5" hidden="false" customHeight="true" outlineLevel="0" collapsed="false">
      <c r="A15" s="8" t="s">
        <v>150</v>
      </c>
      <c r="B15" s="8" t="s">
        <v>422</v>
      </c>
      <c r="C15" s="8" t="s">
        <v>2559</v>
      </c>
      <c r="D15" s="8" t="s">
        <v>11</v>
      </c>
      <c r="E15" s="8" t="s">
        <v>7</v>
      </c>
      <c r="F15" s="8" t="s">
        <v>2578</v>
      </c>
      <c r="G15" s="8" t="s">
        <v>2579</v>
      </c>
    </row>
    <row r="16" customFormat="false" ht="15.75" hidden="false" customHeight="true" outlineLevel="0" collapsed="false">
      <c r="A16" s="8" t="s">
        <v>150</v>
      </c>
      <c r="B16" s="8" t="s">
        <v>429</v>
      </c>
      <c r="C16" s="8" t="s">
        <v>2559</v>
      </c>
      <c r="D16" s="8" t="s">
        <v>7</v>
      </c>
      <c r="E16" s="8" t="s">
        <v>7</v>
      </c>
      <c r="F16" s="8" t="s">
        <v>2580</v>
      </c>
      <c r="G16" s="8" t="s">
        <v>2581</v>
      </c>
    </row>
    <row r="17" customFormat="false" ht="28.5" hidden="false" customHeight="true" outlineLevel="0" collapsed="false">
      <c r="A17" s="8" t="s">
        <v>150</v>
      </c>
      <c r="B17" s="8" t="s">
        <v>436</v>
      </c>
      <c r="C17" s="8" t="s">
        <v>2582</v>
      </c>
      <c r="D17" s="8"/>
      <c r="E17" s="8" t="s">
        <v>11</v>
      </c>
      <c r="F17" s="8" t="s">
        <v>437</v>
      </c>
      <c r="G17" s="8" t="s">
        <v>2583</v>
      </c>
    </row>
    <row r="18" customFormat="false" ht="28.5" hidden="false" customHeight="true" outlineLevel="0" collapsed="false">
      <c r="A18" s="8" t="s">
        <v>150</v>
      </c>
      <c r="B18" s="8" t="s">
        <v>442</v>
      </c>
      <c r="C18" s="8" t="s">
        <v>2582</v>
      </c>
      <c r="D18" s="8"/>
      <c r="E18" s="8" t="s">
        <v>11</v>
      </c>
      <c r="F18" s="8" t="s">
        <v>443</v>
      </c>
      <c r="G18" s="8" t="s">
        <v>2583</v>
      </c>
    </row>
    <row r="19" customFormat="false" ht="28.5" hidden="false" customHeight="true" outlineLevel="0" collapsed="false">
      <c r="A19" s="8" t="s">
        <v>150</v>
      </c>
      <c r="B19" s="8" t="s">
        <v>447</v>
      </c>
      <c r="C19" s="8" t="s">
        <v>2559</v>
      </c>
      <c r="D19" s="8" t="s">
        <v>7</v>
      </c>
      <c r="E19" s="8" t="s">
        <v>7</v>
      </c>
      <c r="F19" s="8" t="s">
        <v>2580</v>
      </c>
      <c r="G19" s="8" t="s">
        <v>2584</v>
      </c>
    </row>
    <row r="20" customFormat="false" ht="28.5" hidden="false" customHeight="true" outlineLevel="0" collapsed="false">
      <c r="A20" s="8" t="s">
        <v>150</v>
      </c>
      <c r="B20" s="8" t="s">
        <v>457</v>
      </c>
      <c r="C20" s="8" t="s">
        <v>2559</v>
      </c>
      <c r="D20" s="8" t="s">
        <v>7</v>
      </c>
      <c r="E20" s="8" t="s">
        <v>7</v>
      </c>
      <c r="F20" s="8" t="s">
        <v>2580</v>
      </c>
      <c r="G20" s="8" t="s">
        <v>2584</v>
      </c>
    </row>
    <row r="21" customFormat="false" ht="28.5" hidden="false" customHeight="true" outlineLevel="0" collapsed="false">
      <c r="A21" s="8" t="s">
        <v>150</v>
      </c>
      <c r="B21" s="8" t="s">
        <v>464</v>
      </c>
      <c r="C21" s="8" t="s">
        <v>2559</v>
      </c>
      <c r="D21" s="8" t="s">
        <v>7</v>
      </c>
      <c r="E21" s="8" t="s">
        <v>7</v>
      </c>
      <c r="F21" s="8" t="s">
        <v>2580</v>
      </c>
      <c r="G21" s="8" t="s">
        <v>2584</v>
      </c>
    </row>
    <row r="22" customFormat="false" ht="28.5" hidden="false" customHeight="true" outlineLevel="0" collapsed="false">
      <c r="A22" s="8" t="s">
        <v>150</v>
      </c>
      <c r="B22" s="8" t="s">
        <v>470</v>
      </c>
      <c r="C22" s="8" t="s">
        <v>2559</v>
      </c>
      <c r="D22" s="8" t="s">
        <v>7</v>
      </c>
      <c r="E22" s="8" t="s">
        <v>7</v>
      </c>
      <c r="F22" s="8" t="s">
        <v>2580</v>
      </c>
      <c r="G22" s="8" t="s">
        <v>2584</v>
      </c>
    </row>
    <row r="23" customFormat="false" ht="28.5" hidden="false" customHeight="true" outlineLevel="0" collapsed="false">
      <c r="A23" s="8" t="s">
        <v>150</v>
      </c>
      <c r="B23" s="8" t="s">
        <v>477</v>
      </c>
      <c r="C23" s="8" t="s">
        <v>2559</v>
      </c>
      <c r="D23" s="8" t="s">
        <v>7</v>
      </c>
      <c r="E23" s="8" t="s">
        <v>7</v>
      </c>
      <c r="F23" s="8" t="s">
        <v>2580</v>
      </c>
      <c r="G23" s="8" t="s">
        <v>2584</v>
      </c>
    </row>
    <row r="24" customFormat="false" ht="28.5" hidden="false" customHeight="true" outlineLevel="0" collapsed="false">
      <c r="A24" s="8" t="s">
        <v>150</v>
      </c>
      <c r="B24" s="8" t="s">
        <v>493</v>
      </c>
      <c r="C24" s="8" t="s">
        <v>2559</v>
      </c>
      <c r="D24" s="8" t="s">
        <v>7</v>
      </c>
      <c r="E24" s="8" t="s">
        <v>7</v>
      </c>
      <c r="F24" s="8" t="s">
        <v>2580</v>
      </c>
      <c r="G24" s="8" t="s">
        <v>2584</v>
      </c>
    </row>
    <row r="25" customFormat="false" ht="28.5" hidden="false" customHeight="true" outlineLevel="0" collapsed="false">
      <c r="A25" s="8" t="s">
        <v>150</v>
      </c>
      <c r="B25" s="8" t="s">
        <v>499</v>
      </c>
      <c r="C25" s="8" t="s">
        <v>2559</v>
      </c>
      <c r="D25" s="8" t="s">
        <v>7</v>
      </c>
      <c r="E25" s="8" t="s">
        <v>7</v>
      </c>
      <c r="F25" s="8" t="s">
        <v>2580</v>
      </c>
      <c r="G25" s="8" t="s">
        <v>2584</v>
      </c>
    </row>
    <row r="26" customFormat="false" ht="28.5" hidden="false" customHeight="true" outlineLevel="0" collapsed="false">
      <c r="A26" s="8" t="s">
        <v>150</v>
      </c>
      <c r="B26" s="8" t="s">
        <v>507</v>
      </c>
      <c r="C26" s="8" t="s">
        <v>2559</v>
      </c>
      <c r="D26" s="8" t="s">
        <v>9</v>
      </c>
      <c r="E26" s="8" t="s">
        <v>9</v>
      </c>
      <c r="F26" s="8" t="s">
        <v>2580</v>
      </c>
      <c r="G26" s="8" t="s">
        <v>2584</v>
      </c>
    </row>
    <row r="27" customFormat="false" ht="28.5" hidden="false" customHeight="true" outlineLevel="0" collapsed="false">
      <c r="A27" s="8" t="s">
        <v>150</v>
      </c>
      <c r="B27" s="8" t="s">
        <v>516</v>
      </c>
      <c r="C27" s="8" t="s">
        <v>2559</v>
      </c>
      <c r="D27" s="8" t="s">
        <v>9</v>
      </c>
      <c r="E27" s="8" t="s">
        <v>9</v>
      </c>
      <c r="F27" s="8" t="s">
        <v>2580</v>
      </c>
      <c r="G27" s="8" t="s">
        <v>2584</v>
      </c>
    </row>
    <row r="28" customFormat="false" ht="28.5" hidden="false" customHeight="true" outlineLevel="0" collapsed="false">
      <c r="A28" s="8" t="s">
        <v>150</v>
      </c>
      <c r="B28" s="8" t="s">
        <v>522</v>
      </c>
      <c r="C28" s="8" t="s">
        <v>2559</v>
      </c>
      <c r="D28" s="8" t="s">
        <v>7</v>
      </c>
      <c r="E28" s="8" t="s">
        <v>7</v>
      </c>
      <c r="F28" s="8" t="s">
        <v>2580</v>
      </c>
      <c r="G28" s="8" t="s">
        <v>2584</v>
      </c>
    </row>
    <row r="29" customFormat="false" ht="15.75" hidden="false" customHeight="true" outlineLevel="0" collapsed="false">
      <c r="A29" s="8" t="s">
        <v>150</v>
      </c>
      <c r="B29" s="8" t="s">
        <v>537</v>
      </c>
      <c r="C29" s="8" t="s">
        <v>2559</v>
      </c>
      <c r="D29" s="8" t="s">
        <v>7</v>
      </c>
      <c r="E29" s="8" t="s">
        <v>7</v>
      </c>
      <c r="F29" s="8" t="s">
        <v>2580</v>
      </c>
      <c r="G29" s="8" t="s">
        <v>2585</v>
      </c>
    </row>
    <row r="30" customFormat="false" ht="28.5" hidden="false" customHeight="true" outlineLevel="0" collapsed="false">
      <c r="A30" s="8" t="s">
        <v>150</v>
      </c>
      <c r="B30" s="8" t="s">
        <v>545</v>
      </c>
      <c r="C30" s="8" t="s">
        <v>2582</v>
      </c>
      <c r="D30" s="8"/>
      <c r="E30" s="8" t="s">
        <v>11</v>
      </c>
      <c r="F30" s="8" t="s">
        <v>546</v>
      </c>
      <c r="G30" s="8" t="s">
        <v>2586</v>
      </c>
    </row>
    <row r="31" customFormat="false" ht="15.75" hidden="false" customHeight="true" outlineLevel="0" collapsed="false">
      <c r="A31" s="8" t="s">
        <v>150</v>
      </c>
      <c r="B31" s="8" t="s">
        <v>576</v>
      </c>
      <c r="C31" s="8" t="s">
        <v>2559</v>
      </c>
      <c r="D31" s="8" t="s">
        <v>7</v>
      </c>
      <c r="E31" s="8" t="s">
        <v>7</v>
      </c>
      <c r="F31" s="8" t="s">
        <v>2563</v>
      </c>
      <c r="G31" s="8" t="s">
        <v>2587</v>
      </c>
    </row>
    <row r="32" customFormat="false" ht="15.75" hidden="false" customHeight="true" outlineLevel="0" collapsed="false">
      <c r="A32" s="8" t="s">
        <v>150</v>
      </c>
      <c r="B32" s="8" t="s">
        <v>594</v>
      </c>
      <c r="C32" s="8" t="s">
        <v>2559</v>
      </c>
      <c r="D32" s="8" t="s">
        <v>7</v>
      </c>
      <c r="E32" s="8" t="s">
        <v>7</v>
      </c>
      <c r="F32" s="8" t="s">
        <v>2563</v>
      </c>
      <c r="G32" s="8" t="s">
        <v>2588</v>
      </c>
    </row>
    <row r="33" customFormat="false" ht="15.75" hidden="false" customHeight="true" outlineLevel="0" collapsed="false">
      <c r="A33" s="8" t="s">
        <v>150</v>
      </c>
      <c r="B33" s="8" t="s">
        <v>605</v>
      </c>
      <c r="C33" s="8" t="s">
        <v>2559</v>
      </c>
      <c r="D33" s="8" t="s">
        <v>7</v>
      </c>
      <c r="E33" s="8" t="s">
        <v>7</v>
      </c>
      <c r="F33" s="8" t="s">
        <v>2572</v>
      </c>
      <c r="G33" s="8" t="s">
        <v>2589</v>
      </c>
    </row>
    <row r="34" customFormat="false" ht="15.75" hidden="false" customHeight="true" outlineLevel="0" collapsed="false">
      <c r="A34" s="8" t="s">
        <v>150</v>
      </c>
      <c r="B34" s="8" t="s">
        <v>614</v>
      </c>
      <c r="C34" s="8" t="s">
        <v>2559</v>
      </c>
      <c r="D34" s="8" t="s">
        <v>7</v>
      </c>
      <c r="E34" s="8" t="s">
        <v>7</v>
      </c>
      <c r="F34" s="8" t="s">
        <v>2580</v>
      </c>
      <c r="G34" s="8" t="s">
        <v>2590</v>
      </c>
    </row>
    <row r="35" customFormat="false" ht="28.5" hidden="false" customHeight="true" outlineLevel="0" collapsed="false">
      <c r="A35" s="8" t="s">
        <v>150</v>
      </c>
      <c r="B35" s="8" t="s">
        <v>623</v>
      </c>
      <c r="C35" s="8" t="s">
        <v>2559</v>
      </c>
      <c r="D35" s="8" t="s">
        <v>9</v>
      </c>
      <c r="E35" s="8" t="s">
        <v>11</v>
      </c>
      <c r="F35" s="8" t="s">
        <v>2591</v>
      </c>
      <c r="G35" s="8" t="s">
        <v>2592</v>
      </c>
    </row>
    <row r="36" customFormat="false" ht="15.75" hidden="false" customHeight="true" outlineLevel="0" collapsed="false">
      <c r="A36" s="8" t="s">
        <v>150</v>
      </c>
      <c r="B36" s="8" t="s">
        <v>639</v>
      </c>
      <c r="C36" s="8" t="s">
        <v>2559</v>
      </c>
      <c r="D36" s="8" t="s">
        <v>7</v>
      </c>
      <c r="E36" s="8" t="s">
        <v>7</v>
      </c>
      <c r="F36" s="8" t="s">
        <v>2563</v>
      </c>
      <c r="G36" s="8" t="s">
        <v>2565</v>
      </c>
    </row>
    <row r="37" customFormat="false" ht="15.75" hidden="false" customHeight="true" outlineLevel="0" collapsed="false">
      <c r="A37" s="8" t="s">
        <v>150</v>
      </c>
      <c r="B37" s="8" t="s">
        <v>648</v>
      </c>
      <c r="C37" s="8" t="s">
        <v>2559</v>
      </c>
      <c r="D37" s="8" t="s">
        <v>7</v>
      </c>
      <c r="E37" s="8" t="s">
        <v>7</v>
      </c>
      <c r="F37" s="8" t="s">
        <v>2580</v>
      </c>
      <c r="G37" s="8" t="s">
        <v>2593</v>
      </c>
    </row>
    <row r="38" customFormat="false" ht="15.75" hidden="false" customHeight="true" outlineLevel="0" collapsed="false">
      <c r="A38" s="8" t="s">
        <v>150</v>
      </c>
      <c r="B38" s="8" t="s">
        <v>678</v>
      </c>
      <c r="C38" s="8" t="s">
        <v>2559</v>
      </c>
      <c r="D38" s="8" t="s">
        <v>7</v>
      </c>
      <c r="E38" s="8" t="s">
        <v>7</v>
      </c>
      <c r="F38" s="8" t="s">
        <v>2575</v>
      </c>
      <c r="G38" s="8" t="s">
        <v>2594</v>
      </c>
    </row>
    <row r="39" customFormat="false" ht="15.75" hidden="false" customHeight="true" outlineLevel="0" collapsed="false">
      <c r="A39" s="8" t="s">
        <v>150</v>
      </c>
      <c r="B39" s="8" t="s">
        <v>687</v>
      </c>
      <c r="C39" s="8" t="s">
        <v>2559</v>
      </c>
      <c r="D39" s="8" t="s">
        <v>7</v>
      </c>
      <c r="E39" s="8" t="s">
        <v>7</v>
      </c>
      <c r="F39" s="8" t="s">
        <v>2563</v>
      </c>
      <c r="G39" s="8" t="s">
        <v>2595</v>
      </c>
    </row>
    <row r="40" customFormat="false" ht="15.75" hidden="false" customHeight="true" outlineLevel="0" collapsed="false">
      <c r="A40" s="8" t="s">
        <v>150</v>
      </c>
      <c r="B40" s="8" t="s">
        <v>706</v>
      </c>
      <c r="C40" s="8" t="s">
        <v>2559</v>
      </c>
      <c r="D40" s="8" t="s">
        <v>9</v>
      </c>
      <c r="E40" s="8" t="s">
        <v>9</v>
      </c>
      <c r="F40" s="8" t="s">
        <v>2596</v>
      </c>
      <c r="G40" s="8" t="s">
        <v>2597</v>
      </c>
    </row>
    <row r="41" customFormat="false" ht="15.75" hidden="false" customHeight="true" outlineLevel="0" collapsed="false">
      <c r="A41" s="8" t="s">
        <v>150</v>
      </c>
      <c r="B41" s="8" t="s">
        <v>726</v>
      </c>
      <c r="C41" s="8" t="s">
        <v>2559</v>
      </c>
      <c r="D41" s="8" t="s">
        <v>9</v>
      </c>
      <c r="E41" s="8" t="s">
        <v>9</v>
      </c>
      <c r="F41" s="8" t="s">
        <v>2596</v>
      </c>
      <c r="G41" s="8" t="s">
        <v>2598</v>
      </c>
    </row>
    <row r="42" customFormat="false" ht="28.5" hidden="false" customHeight="true" outlineLevel="0" collapsed="false">
      <c r="A42" s="8" t="s">
        <v>150</v>
      </c>
      <c r="B42" s="8" t="s">
        <v>748</v>
      </c>
      <c r="C42" s="8" t="s">
        <v>2559</v>
      </c>
      <c r="D42" s="8" t="s">
        <v>7</v>
      </c>
      <c r="E42" s="8" t="s">
        <v>7</v>
      </c>
      <c r="F42" s="8" t="s">
        <v>2560</v>
      </c>
      <c r="G42" s="8" t="s">
        <v>2599</v>
      </c>
    </row>
    <row r="43" customFormat="false" ht="15.75" hidden="false" customHeight="true" outlineLevel="0" collapsed="false">
      <c r="A43" s="8" t="s">
        <v>150</v>
      </c>
      <c r="B43" s="8" t="s">
        <v>760</v>
      </c>
      <c r="C43" s="8" t="s">
        <v>2559</v>
      </c>
      <c r="D43" s="8" t="s">
        <v>7</v>
      </c>
      <c r="E43" s="8" t="s">
        <v>7</v>
      </c>
      <c r="F43" s="8" t="s">
        <v>2560</v>
      </c>
      <c r="G43" s="8" t="s">
        <v>2600</v>
      </c>
    </row>
    <row r="44" customFormat="false" ht="28.5" hidden="false" customHeight="true" outlineLevel="0" collapsed="false">
      <c r="A44" s="8" t="s">
        <v>150</v>
      </c>
      <c r="B44" s="8" t="s">
        <v>778</v>
      </c>
      <c r="C44" s="8" t="s">
        <v>2559</v>
      </c>
      <c r="D44" s="8" t="s">
        <v>9</v>
      </c>
      <c r="E44" s="8" t="s">
        <v>9</v>
      </c>
      <c r="F44" s="8" t="s">
        <v>2560</v>
      </c>
      <c r="G44" s="8" t="s">
        <v>2601</v>
      </c>
    </row>
    <row r="45" customFormat="false" ht="15.75" hidden="false" customHeight="true" outlineLevel="0" collapsed="false">
      <c r="A45" s="8" t="s">
        <v>150</v>
      </c>
      <c r="B45" s="8" t="s">
        <v>800</v>
      </c>
      <c r="C45" s="8" t="s">
        <v>2559</v>
      </c>
      <c r="D45" s="8" t="s">
        <v>7</v>
      </c>
      <c r="E45" s="8" t="s">
        <v>7</v>
      </c>
      <c r="F45" s="8" t="s">
        <v>2563</v>
      </c>
      <c r="G45" s="8" t="s">
        <v>2602</v>
      </c>
    </row>
    <row r="46" customFormat="false" ht="28.5" hidden="false" customHeight="true" outlineLevel="0" collapsed="false">
      <c r="A46" s="8" t="s">
        <v>150</v>
      </c>
      <c r="B46" s="8" t="s">
        <v>821</v>
      </c>
      <c r="C46" s="8" t="s">
        <v>2559</v>
      </c>
      <c r="D46" s="8" t="s">
        <v>9</v>
      </c>
      <c r="E46" s="8" t="s">
        <v>9</v>
      </c>
      <c r="F46" s="8" t="s">
        <v>2563</v>
      </c>
      <c r="G46" s="8" t="s">
        <v>2601</v>
      </c>
    </row>
    <row r="47" customFormat="false" ht="28.5" hidden="false" customHeight="true" outlineLevel="0" collapsed="false">
      <c r="A47" s="8" t="s">
        <v>150</v>
      </c>
      <c r="B47" s="8" t="s">
        <v>829</v>
      </c>
      <c r="C47" s="8" t="s">
        <v>2559</v>
      </c>
      <c r="D47" s="8" t="s">
        <v>9</v>
      </c>
      <c r="E47" s="8" t="s">
        <v>9</v>
      </c>
      <c r="F47" s="8" t="s">
        <v>2560</v>
      </c>
      <c r="G47" s="8" t="s">
        <v>2601</v>
      </c>
    </row>
    <row r="48" customFormat="false" ht="28.5" hidden="false" customHeight="true" outlineLevel="0" collapsed="false">
      <c r="A48" s="8" t="s">
        <v>150</v>
      </c>
      <c r="B48" s="8" t="s">
        <v>885</v>
      </c>
      <c r="C48" s="8" t="s">
        <v>2559</v>
      </c>
      <c r="D48" s="8" t="s">
        <v>9</v>
      </c>
      <c r="E48" s="8" t="s">
        <v>9</v>
      </c>
      <c r="F48" s="8" t="s">
        <v>2596</v>
      </c>
      <c r="G48" s="8" t="s">
        <v>2601</v>
      </c>
    </row>
    <row r="49" customFormat="false" ht="28.5" hidden="false" customHeight="true" outlineLevel="0" collapsed="false">
      <c r="A49" s="8" t="s">
        <v>150</v>
      </c>
      <c r="B49" s="8" t="s">
        <v>896</v>
      </c>
      <c r="C49" s="8" t="s">
        <v>2559</v>
      </c>
      <c r="D49" s="8" t="s">
        <v>13</v>
      </c>
      <c r="E49" s="8" t="s">
        <v>13</v>
      </c>
      <c r="F49" s="8" t="s">
        <v>2560</v>
      </c>
      <c r="G49" s="8" t="s">
        <v>2601</v>
      </c>
    </row>
    <row r="50" customFormat="false" ht="28.5" hidden="false" customHeight="true" outlineLevel="0" collapsed="false">
      <c r="A50" s="8" t="s">
        <v>150</v>
      </c>
      <c r="B50" s="8" t="s">
        <v>904</v>
      </c>
      <c r="C50" s="8" t="s">
        <v>2559</v>
      </c>
      <c r="D50" s="8" t="s">
        <v>13</v>
      </c>
      <c r="E50" s="8" t="s">
        <v>13</v>
      </c>
      <c r="F50" s="8" t="s">
        <v>2560</v>
      </c>
      <c r="G50" s="8" t="s">
        <v>2601</v>
      </c>
    </row>
    <row r="51" customFormat="false" ht="15.75" hidden="false" customHeight="true" outlineLevel="0" collapsed="false">
      <c r="A51" s="8" t="s">
        <v>150</v>
      </c>
      <c r="B51" s="8" t="s">
        <v>908</v>
      </c>
      <c r="C51" s="8" t="s">
        <v>2559</v>
      </c>
      <c r="D51" s="8" t="s">
        <v>7</v>
      </c>
      <c r="E51" s="8" t="s">
        <v>7</v>
      </c>
      <c r="F51" s="8" t="s">
        <v>2563</v>
      </c>
      <c r="G51" s="8" t="s">
        <v>2603</v>
      </c>
    </row>
    <row r="52" customFormat="false" ht="28.5" hidden="false" customHeight="true" outlineLevel="0" collapsed="false">
      <c r="A52" s="8" t="s">
        <v>150</v>
      </c>
      <c r="B52" s="8" t="s">
        <v>930</v>
      </c>
      <c r="C52" s="8" t="s">
        <v>2559</v>
      </c>
      <c r="D52" s="8" t="s">
        <v>7</v>
      </c>
      <c r="E52" s="8" t="s">
        <v>7</v>
      </c>
      <c r="F52" s="8" t="s">
        <v>2563</v>
      </c>
      <c r="G52" s="8" t="s">
        <v>2601</v>
      </c>
    </row>
    <row r="53" customFormat="false" ht="28.5" hidden="false" customHeight="true" outlineLevel="0" collapsed="false">
      <c r="A53" s="8" t="s">
        <v>150</v>
      </c>
      <c r="B53" s="8" t="s">
        <v>942</v>
      </c>
      <c r="C53" s="8" t="s">
        <v>2559</v>
      </c>
      <c r="D53" s="8" t="s">
        <v>7</v>
      </c>
      <c r="E53" s="8" t="s">
        <v>7</v>
      </c>
      <c r="F53" s="8" t="s">
        <v>2560</v>
      </c>
      <c r="G53" s="8" t="s">
        <v>2601</v>
      </c>
    </row>
    <row r="54" customFormat="false" ht="28.5" hidden="false" customHeight="true" outlineLevel="0" collapsed="false">
      <c r="A54" s="8" t="s">
        <v>150</v>
      </c>
      <c r="B54" s="8" t="s">
        <v>949</v>
      </c>
      <c r="C54" s="8" t="s">
        <v>2559</v>
      </c>
      <c r="D54" s="8" t="s">
        <v>7</v>
      </c>
      <c r="E54" s="8" t="s">
        <v>7</v>
      </c>
      <c r="F54" s="8" t="s">
        <v>2563</v>
      </c>
      <c r="G54" s="8" t="s">
        <v>2601</v>
      </c>
    </row>
    <row r="55" customFormat="false" ht="28.5" hidden="false" customHeight="true" outlineLevel="0" collapsed="false">
      <c r="A55" s="8" t="s">
        <v>150</v>
      </c>
      <c r="B55" s="8" t="s">
        <v>958</v>
      </c>
      <c r="C55" s="8" t="s">
        <v>2559</v>
      </c>
      <c r="D55" s="8" t="s">
        <v>9</v>
      </c>
      <c r="E55" s="8" t="s">
        <v>9</v>
      </c>
      <c r="F55" s="8" t="s">
        <v>2563</v>
      </c>
      <c r="G55" s="8" t="s">
        <v>2601</v>
      </c>
    </row>
    <row r="56" customFormat="false" ht="28.5" hidden="false" customHeight="true" outlineLevel="0" collapsed="false">
      <c r="A56" s="8" t="s">
        <v>150</v>
      </c>
      <c r="B56" s="8" t="s">
        <v>968</v>
      </c>
      <c r="C56" s="8" t="s">
        <v>2559</v>
      </c>
      <c r="D56" s="8" t="s">
        <v>11</v>
      </c>
      <c r="E56" s="8" t="s">
        <v>11</v>
      </c>
      <c r="F56" s="8" t="s">
        <v>2604</v>
      </c>
      <c r="G56" s="8" t="s">
        <v>2605</v>
      </c>
    </row>
    <row r="57" customFormat="false" ht="15.75" hidden="false" customHeight="true" outlineLevel="0" collapsed="false">
      <c r="A57" s="8" t="s">
        <v>150</v>
      </c>
      <c r="B57" s="8" t="s">
        <v>976</v>
      </c>
      <c r="C57" s="8" t="s">
        <v>2559</v>
      </c>
      <c r="D57" s="8" t="s">
        <v>7</v>
      </c>
      <c r="E57" s="8" t="s">
        <v>7</v>
      </c>
      <c r="F57" s="8" t="s">
        <v>2563</v>
      </c>
      <c r="G57" s="8" t="s">
        <v>2606</v>
      </c>
    </row>
    <row r="58" customFormat="false" ht="15.75" hidden="false" customHeight="true" outlineLevel="0" collapsed="false">
      <c r="A58" s="8" t="s">
        <v>150</v>
      </c>
      <c r="B58" s="8" t="s">
        <v>985</v>
      </c>
      <c r="C58" s="8" t="s">
        <v>2559</v>
      </c>
      <c r="D58" s="8" t="s">
        <v>9</v>
      </c>
      <c r="E58" s="8" t="s">
        <v>9</v>
      </c>
      <c r="F58" s="8" t="s">
        <v>2563</v>
      </c>
      <c r="G58" s="8" t="s">
        <v>2607</v>
      </c>
    </row>
    <row r="59" customFormat="false" ht="15.75" hidden="false" customHeight="true" outlineLevel="0" collapsed="false">
      <c r="A59" s="8" t="s">
        <v>150</v>
      </c>
      <c r="B59" s="8" t="s">
        <v>994</v>
      </c>
      <c r="C59" s="8" t="s">
        <v>2559</v>
      </c>
      <c r="D59" s="8" t="s">
        <v>7</v>
      </c>
      <c r="E59" s="8" t="s">
        <v>7</v>
      </c>
      <c r="F59" s="8" t="s">
        <v>2563</v>
      </c>
      <c r="G59" s="8" t="s">
        <v>2608</v>
      </c>
    </row>
    <row r="60" customFormat="false" ht="28.5" hidden="false" customHeight="true" outlineLevel="0" collapsed="false">
      <c r="A60" s="8" t="s">
        <v>150</v>
      </c>
      <c r="B60" s="8" t="s">
        <v>1003</v>
      </c>
      <c r="C60" s="8" t="s">
        <v>2559</v>
      </c>
      <c r="D60" s="8" t="s">
        <v>9</v>
      </c>
      <c r="E60" s="8" t="s">
        <v>9</v>
      </c>
      <c r="F60" s="8" t="s">
        <v>2609</v>
      </c>
      <c r="G60" s="8" t="s">
        <v>2610</v>
      </c>
    </row>
    <row r="61" customFormat="false" ht="28.5" hidden="false" customHeight="true" outlineLevel="0" collapsed="false">
      <c r="A61" s="8" t="s">
        <v>150</v>
      </c>
      <c r="B61" s="8" t="s">
        <v>1015</v>
      </c>
      <c r="C61" s="8" t="s">
        <v>2559</v>
      </c>
      <c r="D61" s="8" t="s">
        <v>9</v>
      </c>
      <c r="E61" s="8" t="s">
        <v>7</v>
      </c>
      <c r="F61" s="8" t="s">
        <v>2611</v>
      </c>
      <c r="G61" s="8" t="s">
        <v>2612</v>
      </c>
    </row>
    <row r="62" customFormat="false" ht="28.5" hidden="false" customHeight="true" outlineLevel="0" collapsed="false">
      <c r="A62" s="8" t="s">
        <v>150</v>
      </c>
      <c r="B62" s="8" t="s">
        <v>1023</v>
      </c>
      <c r="C62" s="8" t="s">
        <v>2559</v>
      </c>
      <c r="D62" s="8" t="s">
        <v>7</v>
      </c>
      <c r="E62" s="8" t="s">
        <v>11</v>
      </c>
      <c r="F62" s="8" t="s">
        <v>2613</v>
      </c>
      <c r="G62" s="8" t="s">
        <v>2614</v>
      </c>
    </row>
    <row r="63" customFormat="false" ht="28.5" hidden="false" customHeight="true" outlineLevel="0" collapsed="false">
      <c r="A63" s="8" t="s">
        <v>150</v>
      </c>
      <c r="B63" s="8" t="s">
        <v>1029</v>
      </c>
      <c r="C63" s="8" t="s">
        <v>2559</v>
      </c>
      <c r="D63" s="8" t="s">
        <v>9</v>
      </c>
      <c r="E63" s="8" t="s">
        <v>9</v>
      </c>
      <c r="F63" s="8" t="s">
        <v>2615</v>
      </c>
      <c r="G63" s="8" t="s">
        <v>2616</v>
      </c>
    </row>
    <row r="64" customFormat="false" ht="28.5" hidden="false" customHeight="true" outlineLevel="0" collapsed="false">
      <c r="A64" s="8" t="s">
        <v>150</v>
      </c>
      <c r="B64" s="8" t="s">
        <v>1038</v>
      </c>
      <c r="C64" s="8" t="s">
        <v>2582</v>
      </c>
      <c r="D64" s="8"/>
      <c r="E64" s="8" t="s">
        <v>9</v>
      </c>
      <c r="F64" s="8" t="s">
        <v>1039</v>
      </c>
      <c r="G64" s="8" t="s">
        <v>2617</v>
      </c>
    </row>
    <row r="65" customFormat="false" ht="15.75" hidden="false" customHeight="true" outlineLevel="0" collapsed="false">
      <c r="A65" s="8" t="s">
        <v>150</v>
      </c>
      <c r="B65" s="8" t="s">
        <v>1138</v>
      </c>
      <c r="C65" s="8" t="s">
        <v>2559</v>
      </c>
      <c r="D65" s="8" t="s">
        <v>7</v>
      </c>
      <c r="E65" s="8" t="s">
        <v>7</v>
      </c>
      <c r="F65" s="8" t="s">
        <v>2618</v>
      </c>
      <c r="G65" s="8" t="s">
        <v>2619</v>
      </c>
    </row>
    <row r="66" customFormat="false" ht="15.75" hidden="false" customHeight="true" outlineLevel="0" collapsed="false">
      <c r="A66" s="8" t="s">
        <v>150</v>
      </c>
      <c r="B66" s="8" t="s">
        <v>1149</v>
      </c>
      <c r="C66" s="8" t="s">
        <v>2559</v>
      </c>
      <c r="D66" s="8" t="s">
        <v>7</v>
      </c>
      <c r="E66" s="8" t="s">
        <v>7</v>
      </c>
      <c r="F66" s="8" t="s">
        <v>2560</v>
      </c>
      <c r="G66" s="8" t="s">
        <v>2620</v>
      </c>
    </row>
    <row r="67" customFormat="false" ht="15.75" hidden="false" customHeight="true" outlineLevel="0" collapsed="false">
      <c r="A67" s="8" t="s">
        <v>150</v>
      </c>
      <c r="B67" s="8" t="s">
        <v>1158</v>
      </c>
      <c r="C67" s="8" t="s">
        <v>2559</v>
      </c>
      <c r="D67" s="8" t="s">
        <v>7</v>
      </c>
      <c r="E67" s="8" t="s">
        <v>7</v>
      </c>
      <c r="F67" s="8" t="s">
        <v>2563</v>
      </c>
      <c r="G67" s="8" t="s">
        <v>2621</v>
      </c>
    </row>
    <row r="68" customFormat="false" ht="28.5" hidden="false" customHeight="true" outlineLevel="0" collapsed="false">
      <c r="A68" s="8" t="s">
        <v>150</v>
      </c>
      <c r="B68" s="8" t="s">
        <v>1166</v>
      </c>
      <c r="C68" s="8" t="s">
        <v>2559</v>
      </c>
      <c r="D68" s="8" t="s">
        <v>7</v>
      </c>
      <c r="E68" s="8" t="s">
        <v>7</v>
      </c>
      <c r="F68" s="8" t="s">
        <v>2580</v>
      </c>
      <c r="G68" s="8" t="s">
        <v>2622</v>
      </c>
    </row>
    <row r="69" customFormat="false" ht="28.5" hidden="false" customHeight="true" outlineLevel="0" collapsed="false">
      <c r="A69" s="8" t="s">
        <v>150</v>
      </c>
      <c r="B69" s="8" t="s">
        <v>1175</v>
      </c>
      <c r="C69" s="8" t="s">
        <v>2559</v>
      </c>
      <c r="D69" s="8" t="s">
        <v>9</v>
      </c>
      <c r="E69" s="8" t="s">
        <v>7</v>
      </c>
      <c r="F69" s="8" t="s">
        <v>2623</v>
      </c>
      <c r="G69" s="8" t="s">
        <v>2624</v>
      </c>
    </row>
    <row r="70" customFormat="false" ht="28.5" hidden="false" customHeight="true" outlineLevel="0" collapsed="false">
      <c r="A70" s="8" t="s">
        <v>150</v>
      </c>
      <c r="B70" s="8" t="s">
        <v>1186</v>
      </c>
      <c r="C70" s="8" t="s">
        <v>2559</v>
      </c>
      <c r="D70" s="8" t="s">
        <v>9</v>
      </c>
      <c r="E70" s="8" t="s">
        <v>7</v>
      </c>
      <c r="F70" s="8" t="s">
        <v>2625</v>
      </c>
      <c r="G70" s="8" t="s">
        <v>2624</v>
      </c>
    </row>
    <row r="71" customFormat="false" ht="28.5" hidden="false" customHeight="true" outlineLevel="0" collapsed="false">
      <c r="A71" s="8" t="s">
        <v>150</v>
      </c>
      <c r="B71" s="8" t="s">
        <v>1194</v>
      </c>
      <c r="C71" s="8" t="s">
        <v>2559</v>
      </c>
      <c r="D71" s="8" t="s">
        <v>9</v>
      </c>
      <c r="E71" s="8" t="s">
        <v>11</v>
      </c>
      <c r="F71" s="8" t="s">
        <v>2626</v>
      </c>
      <c r="G71" s="8" t="s">
        <v>2592</v>
      </c>
    </row>
    <row r="72" customFormat="false" ht="28.5" hidden="false" customHeight="true" outlineLevel="0" collapsed="false">
      <c r="A72" s="8" t="s">
        <v>150</v>
      </c>
      <c r="B72" s="8" t="s">
        <v>1204</v>
      </c>
      <c r="C72" s="8" t="s">
        <v>2559</v>
      </c>
      <c r="D72" s="8" t="s">
        <v>9</v>
      </c>
      <c r="E72" s="8" t="s">
        <v>11</v>
      </c>
      <c r="F72" s="8" t="s">
        <v>2626</v>
      </c>
      <c r="G72" s="8" t="s">
        <v>2627</v>
      </c>
    </row>
    <row r="73" customFormat="false" ht="28.5" hidden="false" customHeight="true" outlineLevel="0" collapsed="false">
      <c r="A73" s="8" t="s">
        <v>150</v>
      </c>
      <c r="B73" s="8" t="s">
        <v>1213</v>
      </c>
      <c r="C73" s="8" t="s">
        <v>2559</v>
      </c>
      <c r="D73" s="8" t="s">
        <v>7</v>
      </c>
      <c r="E73" s="8" t="s">
        <v>7</v>
      </c>
      <c r="F73" s="8" t="s">
        <v>2580</v>
      </c>
      <c r="G73" s="8" t="s">
        <v>2628</v>
      </c>
    </row>
    <row r="74" customFormat="false" ht="28.5" hidden="false" customHeight="true" outlineLevel="0" collapsed="false">
      <c r="A74" s="8" t="s">
        <v>150</v>
      </c>
      <c r="B74" s="8" t="s">
        <v>1224</v>
      </c>
      <c r="C74" s="8" t="s">
        <v>2559</v>
      </c>
      <c r="D74" s="8" t="s">
        <v>9</v>
      </c>
      <c r="E74" s="8" t="s">
        <v>11</v>
      </c>
      <c r="F74" s="8" t="s">
        <v>2629</v>
      </c>
      <c r="G74" s="8" t="s">
        <v>2630</v>
      </c>
    </row>
    <row r="75" customFormat="false" ht="28.5" hidden="false" customHeight="true" outlineLevel="0" collapsed="false">
      <c r="A75" s="8" t="s">
        <v>150</v>
      </c>
      <c r="B75" s="8" t="s">
        <v>1234</v>
      </c>
      <c r="C75" s="8" t="s">
        <v>2559</v>
      </c>
      <c r="D75" s="8" t="s">
        <v>9</v>
      </c>
      <c r="E75" s="8" t="s">
        <v>11</v>
      </c>
      <c r="F75" s="8" t="s">
        <v>2629</v>
      </c>
      <c r="G75" s="8" t="s">
        <v>2630</v>
      </c>
    </row>
    <row r="76" customFormat="false" ht="15.75" hidden="false" customHeight="true" outlineLevel="0" collapsed="false">
      <c r="A76" s="8" t="s">
        <v>150</v>
      </c>
      <c r="B76" s="8" t="s">
        <v>1243</v>
      </c>
      <c r="C76" s="8" t="s">
        <v>2559</v>
      </c>
      <c r="D76" s="8" t="s">
        <v>9</v>
      </c>
      <c r="E76" s="8" t="s">
        <v>11</v>
      </c>
      <c r="F76" s="8" t="s">
        <v>2631</v>
      </c>
      <c r="G76" s="8" t="s">
        <v>2630</v>
      </c>
    </row>
    <row r="77" customFormat="false" ht="28.5" hidden="false" customHeight="true" outlineLevel="0" collapsed="false">
      <c r="A77" s="8" t="s">
        <v>150</v>
      </c>
      <c r="B77" s="8" t="s">
        <v>1251</v>
      </c>
      <c r="C77" s="8" t="s">
        <v>2559</v>
      </c>
      <c r="D77" s="8" t="s">
        <v>9</v>
      </c>
      <c r="E77" s="8" t="s">
        <v>11</v>
      </c>
      <c r="F77" s="8" t="s">
        <v>2591</v>
      </c>
      <c r="G77" s="8" t="s">
        <v>2630</v>
      </c>
    </row>
    <row r="78" customFormat="false" ht="28.5" hidden="false" customHeight="true" outlineLevel="0" collapsed="false">
      <c r="A78" s="8" t="s">
        <v>150</v>
      </c>
      <c r="B78" s="8" t="s">
        <v>1261</v>
      </c>
      <c r="C78" s="8" t="s">
        <v>2559</v>
      </c>
      <c r="D78" s="8" t="s">
        <v>9</v>
      </c>
      <c r="E78" s="8" t="s">
        <v>11</v>
      </c>
      <c r="F78" s="8" t="s">
        <v>2626</v>
      </c>
      <c r="G78" s="8" t="s">
        <v>2632</v>
      </c>
    </row>
    <row r="79" customFormat="false" ht="28.5" hidden="false" customHeight="true" outlineLevel="0" collapsed="false">
      <c r="A79" s="8" t="s">
        <v>150</v>
      </c>
      <c r="B79" s="8" t="s">
        <v>1271</v>
      </c>
      <c r="C79" s="8" t="s">
        <v>2559</v>
      </c>
      <c r="D79" s="8" t="s">
        <v>7</v>
      </c>
      <c r="E79" s="8" t="s">
        <v>13</v>
      </c>
      <c r="F79" s="8" t="s">
        <v>2633</v>
      </c>
      <c r="G79" s="8" t="s">
        <v>2634</v>
      </c>
    </row>
    <row r="80" customFormat="false" ht="28.5" hidden="false" customHeight="true" outlineLevel="0" collapsed="false">
      <c r="A80" s="8" t="s">
        <v>150</v>
      </c>
      <c r="B80" s="8" t="s">
        <v>1279</v>
      </c>
      <c r="C80" s="8" t="s">
        <v>2559</v>
      </c>
      <c r="D80" s="8" t="s">
        <v>7</v>
      </c>
      <c r="E80" s="8" t="s">
        <v>13</v>
      </c>
      <c r="F80" s="8" t="s">
        <v>2633</v>
      </c>
      <c r="G80" s="8" t="s">
        <v>2634</v>
      </c>
    </row>
    <row r="81" customFormat="false" ht="28.5" hidden="false" customHeight="true" outlineLevel="0" collapsed="false">
      <c r="A81" s="8" t="s">
        <v>150</v>
      </c>
      <c r="B81" s="8" t="s">
        <v>1282</v>
      </c>
      <c r="C81" s="8" t="s">
        <v>2559</v>
      </c>
      <c r="D81" s="8" t="s">
        <v>9</v>
      </c>
      <c r="E81" s="8" t="s">
        <v>13</v>
      </c>
      <c r="F81" s="8" t="s">
        <v>2635</v>
      </c>
      <c r="G81" s="8" t="s">
        <v>2634</v>
      </c>
    </row>
    <row r="82" customFormat="false" ht="28.5" hidden="false" customHeight="true" outlineLevel="0" collapsed="false">
      <c r="A82" s="8" t="s">
        <v>150</v>
      </c>
      <c r="B82" s="8" t="s">
        <v>1285</v>
      </c>
      <c r="C82" s="8" t="s">
        <v>2559</v>
      </c>
      <c r="D82" s="8" t="s">
        <v>7</v>
      </c>
      <c r="E82" s="8" t="s">
        <v>13</v>
      </c>
      <c r="F82" s="8" t="s">
        <v>2633</v>
      </c>
      <c r="G82" s="8" t="s">
        <v>2634</v>
      </c>
    </row>
    <row r="83" customFormat="false" ht="28.5" hidden="false" customHeight="true" outlineLevel="0" collapsed="false">
      <c r="A83" s="8" t="s">
        <v>150</v>
      </c>
      <c r="B83" s="8" t="s">
        <v>1288</v>
      </c>
      <c r="C83" s="8" t="s">
        <v>2559</v>
      </c>
      <c r="D83" s="8" t="s">
        <v>9</v>
      </c>
      <c r="E83" s="8" t="s">
        <v>13</v>
      </c>
      <c r="F83" s="8" t="s">
        <v>2635</v>
      </c>
      <c r="G83" s="8" t="s">
        <v>2634</v>
      </c>
    </row>
    <row r="84" customFormat="false" ht="15.75" hidden="false" customHeight="true" outlineLevel="0" collapsed="false">
      <c r="A84" s="8" t="s">
        <v>150</v>
      </c>
      <c r="B84" s="8" t="s">
        <v>1291</v>
      </c>
      <c r="C84" s="8" t="s">
        <v>2559</v>
      </c>
      <c r="D84" s="8" t="s">
        <v>7</v>
      </c>
      <c r="E84" s="8" t="s">
        <v>7</v>
      </c>
      <c r="F84" s="8" t="s">
        <v>2563</v>
      </c>
      <c r="G84" s="8" t="s">
        <v>2636</v>
      </c>
    </row>
    <row r="85" customFormat="false" ht="15.75" hidden="false" customHeight="true" outlineLevel="0" collapsed="false">
      <c r="A85" s="8" t="s">
        <v>150</v>
      </c>
      <c r="B85" s="8" t="s">
        <v>1303</v>
      </c>
      <c r="C85" s="8" t="s">
        <v>2559</v>
      </c>
      <c r="D85" s="8" t="s">
        <v>7</v>
      </c>
      <c r="E85" s="8" t="s">
        <v>7</v>
      </c>
      <c r="F85" s="8" t="s">
        <v>2563</v>
      </c>
      <c r="G85" s="8" t="s">
        <v>2636</v>
      </c>
    </row>
    <row r="86" customFormat="false" ht="28.5" hidden="false" customHeight="true" outlineLevel="0" collapsed="false">
      <c r="A86" s="8" t="s">
        <v>150</v>
      </c>
      <c r="B86" s="8" t="s">
        <v>1321</v>
      </c>
      <c r="C86" s="8" t="s">
        <v>2559</v>
      </c>
      <c r="D86" s="8" t="s">
        <v>7</v>
      </c>
      <c r="E86" s="8" t="s">
        <v>7</v>
      </c>
      <c r="F86" s="8" t="s">
        <v>2563</v>
      </c>
      <c r="G86" s="8" t="s">
        <v>2601</v>
      </c>
    </row>
    <row r="87" customFormat="false" ht="15.75" hidden="false" customHeight="true" outlineLevel="0" collapsed="false">
      <c r="A87" s="8" t="s">
        <v>150</v>
      </c>
      <c r="B87" s="8" t="s">
        <v>1330</v>
      </c>
      <c r="C87" s="8" t="s">
        <v>2559</v>
      </c>
      <c r="D87" s="8" t="s">
        <v>7</v>
      </c>
      <c r="E87" s="8" t="s">
        <v>7</v>
      </c>
      <c r="F87" s="8" t="s">
        <v>2560</v>
      </c>
      <c r="G87" s="8" t="s">
        <v>2600</v>
      </c>
    </row>
    <row r="88" customFormat="false" ht="15.75" hidden="false" customHeight="true" outlineLevel="0" collapsed="false">
      <c r="A88" s="8" t="s">
        <v>150</v>
      </c>
      <c r="B88" s="8" t="s">
        <v>1353</v>
      </c>
      <c r="C88" s="8" t="s">
        <v>2582</v>
      </c>
      <c r="D88" s="8"/>
      <c r="E88" s="8" t="s">
        <v>9</v>
      </c>
      <c r="F88" s="8" t="s">
        <v>1354</v>
      </c>
      <c r="G88" s="8" t="s">
        <v>2637</v>
      </c>
    </row>
    <row r="89" customFormat="false" ht="15.75" hidden="false" customHeight="true" outlineLevel="0" collapsed="false">
      <c r="A89" s="8" t="s">
        <v>150</v>
      </c>
      <c r="B89" s="8" t="s">
        <v>1364</v>
      </c>
      <c r="C89" s="8" t="s">
        <v>2559</v>
      </c>
      <c r="D89" s="8" t="s">
        <v>7</v>
      </c>
      <c r="E89" s="8" t="s">
        <v>7</v>
      </c>
      <c r="F89" s="8" t="s">
        <v>2580</v>
      </c>
      <c r="G89" s="8" t="s">
        <v>2638</v>
      </c>
    </row>
    <row r="90" customFormat="false" ht="28.5" hidden="false" customHeight="true" outlineLevel="0" collapsed="false">
      <c r="A90" s="8" t="s">
        <v>150</v>
      </c>
      <c r="B90" s="8" t="s">
        <v>1373</v>
      </c>
      <c r="C90" s="8" t="s">
        <v>2559</v>
      </c>
      <c r="D90" s="8" t="s">
        <v>9</v>
      </c>
      <c r="E90" s="8" t="s">
        <v>9</v>
      </c>
      <c r="F90" s="8" t="s">
        <v>2639</v>
      </c>
      <c r="G90" s="8" t="s">
        <v>2640</v>
      </c>
    </row>
    <row r="91" customFormat="false" ht="28.5" hidden="false" customHeight="true" outlineLevel="0" collapsed="false">
      <c r="A91" s="8" t="s">
        <v>150</v>
      </c>
      <c r="B91" s="8" t="s">
        <v>1383</v>
      </c>
      <c r="C91" s="8" t="s">
        <v>2559</v>
      </c>
      <c r="D91" s="8" t="s">
        <v>7</v>
      </c>
      <c r="E91" s="8" t="s">
        <v>13</v>
      </c>
      <c r="F91" s="8" t="s">
        <v>2633</v>
      </c>
      <c r="G91" s="8" t="s">
        <v>2641</v>
      </c>
    </row>
    <row r="92" customFormat="false" ht="15.75" hidden="false" customHeight="true" outlineLevel="0" collapsed="false">
      <c r="A92" s="8" t="s">
        <v>150</v>
      </c>
      <c r="B92" s="8" t="s">
        <v>1388</v>
      </c>
      <c r="C92" s="8" t="s">
        <v>2559</v>
      </c>
      <c r="D92" s="8" t="s">
        <v>7</v>
      </c>
      <c r="E92" s="8" t="s">
        <v>7</v>
      </c>
      <c r="F92" s="8" t="s">
        <v>2563</v>
      </c>
      <c r="G92" s="8" t="s">
        <v>2642</v>
      </c>
    </row>
    <row r="93" customFormat="false" ht="15.75" hidden="false" customHeight="true" outlineLevel="0" collapsed="false">
      <c r="A93" s="8" t="s">
        <v>150</v>
      </c>
      <c r="B93" s="8" t="s">
        <v>1408</v>
      </c>
      <c r="C93" s="8" t="s">
        <v>2559</v>
      </c>
      <c r="D93" s="8" t="s">
        <v>7</v>
      </c>
      <c r="E93" s="8" t="s">
        <v>7</v>
      </c>
      <c r="F93" s="8" t="s">
        <v>2575</v>
      </c>
      <c r="G93" s="8" t="s">
        <v>2643</v>
      </c>
    </row>
    <row r="94" customFormat="false" ht="15.75" hidden="false" customHeight="true" outlineLevel="0" collapsed="false">
      <c r="A94" s="8" t="s">
        <v>150</v>
      </c>
      <c r="B94" s="8" t="s">
        <v>1417</v>
      </c>
      <c r="C94" s="8" t="s">
        <v>2559</v>
      </c>
      <c r="D94" s="8" t="s">
        <v>7</v>
      </c>
      <c r="E94" s="8" t="s">
        <v>7</v>
      </c>
      <c r="F94" s="8" t="s">
        <v>2560</v>
      </c>
      <c r="G94" s="8" t="s">
        <v>2644</v>
      </c>
    </row>
    <row r="95" customFormat="false" ht="15.75" hidden="false" customHeight="true" outlineLevel="0" collapsed="false">
      <c r="A95" s="8" t="s">
        <v>150</v>
      </c>
      <c r="B95" s="8" t="s">
        <v>1426</v>
      </c>
      <c r="C95" s="8" t="s">
        <v>2559</v>
      </c>
      <c r="D95" s="8" t="s">
        <v>7</v>
      </c>
      <c r="E95" s="8" t="s">
        <v>7</v>
      </c>
      <c r="F95" s="8" t="s">
        <v>2560</v>
      </c>
      <c r="G95" s="8" t="s">
        <v>2644</v>
      </c>
    </row>
    <row r="96" customFormat="false" ht="28.5" hidden="false" customHeight="true" outlineLevel="0" collapsed="false">
      <c r="A96" s="8" t="s">
        <v>150</v>
      </c>
      <c r="B96" s="8" t="s">
        <v>1432</v>
      </c>
      <c r="C96" s="8" t="s">
        <v>2559</v>
      </c>
      <c r="D96" s="8" t="s">
        <v>7</v>
      </c>
      <c r="E96" s="8" t="s">
        <v>9</v>
      </c>
      <c r="F96" s="8" t="s">
        <v>2570</v>
      </c>
      <c r="G96" s="8" t="s">
        <v>2645</v>
      </c>
    </row>
    <row r="97" customFormat="false" ht="15.75" hidden="false" customHeight="true" outlineLevel="0" collapsed="false">
      <c r="A97" s="8" t="s">
        <v>150</v>
      </c>
      <c r="B97" s="8" t="s">
        <v>1443</v>
      </c>
      <c r="C97" s="8" t="s">
        <v>2559</v>
      </c>
      <c r="D97" s="8" t="s">
        <v>9</v>
      </c>
      <c r="E97" s="8" t="s">
        <v>9</v>
      </c>
      <c r="F97" s="8" t="s">
        <v>2596</v>
      </c>
      <c r="G97" s="8" t="s">
        <v>2646</v>
      </c>
    </row>
    <row r="98" customFormat="false" ht="15.75" hidden="false" customHeight="true" outlineLevel="0" collapsed="false">
      <c r="A98" s="8" t="s">
        <v>150</v>
      </c>
      <c r="B98" s="8" t="s">
        <v>1453</v>
      </c>
      <c r="C98" s="8" t="s">
        <v>2559</v>
      </c>
      <c r="D98" s="8" t="s">
        <v>7</v>
      </c>
      <c r="E98" s="8" t="s">
        <v>7</v>
      </c>
      <c r="F98" s="8" t="s">
        <v>2563</v>
      </c>
      <c r="G98" s="8" t="s">
        <v>2647</v>
      </c>
    </row>
    <row r="99" customFormat="false" ht="28.5" hidden="false" customHeight="true" outlineLevel="0" collapsed="false">
      <c r="A99" s="8" t="s">
        <v>150</v>
      </c>
      <c r="B99" s="8" t="s">
        <v>1461</v>
      </c>
      <c r="C99" s="8" t="s">
        <v>2559</v>
      </c>
      <c r="D99" s="8" t="s">
        <v>7</v>
      </c>
      <c r="E99" s="8" t="s">
        <v>7</v>
      </c>
      <c r="F99" s="8" t="s">
        <v>2563</v>
      </c>
      <c r="G99" s="8" t="s">
        <v>2648</v>
      </c>
    </row>
    <row r="100" customFormat="false" ht="28.5" hidden="false" customHeight="true" outlineLevel="0" collapsed="false">
      <c r="A100" s="8" t="s">
        <v>150</v>
      </c>
      <c r="B100" s="8" t="s">
        <v>1470</v>
      </c>
      <c r="C100" s="8" t="s">
        <v>2582</v>
      </c>
      <c r="D100" s="8"/>
      <c r="E100" s="8" t="s">
        <v>9</v>
      </c>
      <c r="F100" s="8" t="s">
        <v>1471</v>
      </c>
      <c r="G100" s="8" t="s">
        <v>2649</v>
      </c>
    </row>
    <row r="101" customFormat="false" ht="28.5" hidden="false" customHeight="true" outlineLevel="0" collapsed="false">
      <c r="A101" s="8" t="s">
        <v>150</v>
      </c>
      <c r="B101" s="8" t="s">
        <v>1481</v>
      </c>
      <c r="C101" s="8" t="s">
        <v>2559</v>
      </c>
      <c r="D101" s="8" t="s">
        <v>9</v>
      </c>
      <c r="E101" s="8" t="s">
        <v>9</v>
      </c>
      <c r="F101" s="8" t="s">
        <v>2650</v>
      </c>
      <c r="G101" s="8" t="s">
        <v>2601</v>
      </c>
    </row>
    <row r="102" customFormat="false" ht="28.5" hidden="false" customHeight="true" outlineLevel="0" collapsed="false">
      <c r="A102" s="8" t="s">
        <v>150</v>
      </c>
      <c r="B102" s="8" t="s">
        <v>1494</v>
      </c>
      <c r="C102" s="8" t="s">
        <v>2559</v>
      </c>
      <c r="D102" s="8" t="s">
        <v>9</v>
      </c>
      <c r="E102" s="8" t="s">
        <v>9</v>
      </c>
      <c r="F102" s="8" t="s">
        <v>2650</v>
      </c>
      <c r="G102" s="8" t="s">
        <v>2601</v>
      </c>
    </row>
    <row r="103" customFormat="false" ht="28.5" hidden="false" customHeight="true" outlineLevel="0" collapsed="false">
      <c r="A103" s="8" t="s">
        <v>150</v>
      </c>
      <c r="B103" s="8" t="s">
        <v>1503</v>
      </c>
      <c r="C103" s="8" t="s">
        <v>2559</v>
      </c>
      <c r="D103" s="8" t="s">
        <v>9</v>
      </c>
      <c r="E103" s="8" t="s">
        <v>9</v>
      </c>
      <c r="F103" s="8" t="s">
        <v>2596</v>
      </c>
      <c r="G103" s="8" t="s">
        <v>2601</v>
      </c>
    </row>
    <row r="104" customFormat="false" ht="28.5" hidden="false" customHeight="true" outlineLevel="0" collapsed="false">
      <c r="A104" s="8" t="s">
        <v>150</v>
      </c>
      <c r="B104" s="8" t="s">
        <v>1511</v>
      </c>
      <c r="C104" s="8" t="s">
        <v>2559</v>
      </c>
      <c r="D104" s="8" t="s">
        <v>9</v>
      </c>
      <c r="E104" s="8" t="s">
        <v>9</v>
      </c>
      <c r="F104" s="8" t="s">
        <v>2650</v>
      </c>
      <c r="G104" s="8" t="s">
        <v>2601</v>
      </c>
    </row>
    <row r="105" customFormat="false" ht="15.75" hidden="false" customHeight="true" outlineLevel="0" collapsed="false">
      <c r="A105" s="8" t="s">
        <v>150</v>
      </c>
      <c r="B105" s="8" t="s">
        <v>1520</v>
      </c>
      <c r="C105" s="8" t="s">
        <v>2559</v>
      </c>
      <c r="D105" s="8" t="s">
        <v>9</v>
      </c>
      <c r="E105" s="8" t="s">
        <v>9</v>
      </c>
      <c r="F105" s="8" t="s">
        <v>2651</v>
      </c>
      <c r="G105" s="8" t="s">
        <v>2638</v>
      </c>
    </row>
    <row r="106" customFormat="false" ht="28.5" hidden="false" customHeight="true" outlineLevel="0" collapsed="false">
      <c r="A106" s="8" t="s">
        <v>150</v>
      </c>
      <c r="B106" s="8" t="s">
        <v>1528</v>
      </c>
      <c r="C106" s="8" t="s">
        <v>2582</v>
      </c>
      <c r="D106" s="8"/>
      <c r="E106" s="8" t="s">
        <v>7</v>
      </c>
      <c r="F106" s="8" t="s">
        <v>1530</v>
      </c>
      <c r="G106" s="8" t="s">
        <v>2652</v>
      </c>
    </row>
    <row r="107" customFormat="false" ht="28.5" hidden="false" customHeight="true" outlineLevel="0" collapsed="false">
      <c r="A107" s="8" t="s">
        <v>150</v>
      </c>
      <c r="B107" s="8" t="s">
        <v>1539</v>
      </c>
      <c r="C107" s="8" t="s">
        <v>2582</v>
      </c>
      <c r="D107" s="8"/>
      <c r="E107" s="8" t="s">
        <v>7</v>
      </c>
      <c r="F107" s="8" t="s">
        <v>1540</v>
      </c>
      <c r="G107" s="8" t="s">
        <v>2653</v>
      </c>
    </row>
    <row r="108" customFormat="false" ht="28.5" hidden="false" customHeight="true" outlineLevel="0" collapsed="false">
      <c r="A108" s="8" t="s">
        <v>150</v>
      </c>
      <c r="B108" s="8" t="s">
        <v>1548</v>
      </c>
      <c r="C108" s="8" t="s">
        <v>2582</v>
      </c>
      <c r="D108" s="8"/>
      <c r="E108" s="8" t="s">
        <v>7</v>
      </c>
      <c r="F108" s="8" t="s">
        <v>1549</v>
      </c>
      <c r="G108" s="8" t="s">
        <v>2654</v>
      </c>
    </row>
    <row r="109" customFormat="false" ht="28.5" hidden="false" customHeight="true" outlineLevel="0" collapsed="false">
      <c r="A109" s="8" t="s">
        <v>150</v>
      </c>
      <c r="B109" s="8" t="s">
        <v>1557</v>
      </c>
      <c r="C109" s="8" t="s">
        <v>2582</v>
      </c>
      <c r="D109" s="8"/>
      <c r="E109" s="8" t="s">
        <v>7</v>
      </c>
      <c r="F109" s="8" t="s">
        <v>1558</v>
      </c>
      <c r="G109" s="8" t="s">
        <v>2655</v>
      </c>
    </row>
    <row r="110" customFormat="false" ht="15.75" hidden="false" customHeight="true" outlineLevel="0" collapsed="false">
      <c r="A110" s="8" t="s">
        <v>89</v>
      </c>
      <c r="B110" s="8" t="s">
        <v>178</v>
      </c>
      <c r="C110" s="8" t="s">
        <v>2559</v>
      </c>
      <c r="D110" s="8"/>
      <c r="E110" s="8"/>
      <c r="F110" s="8" t="s">
        <v>115</v>
      </c>
      <c r="G110" s="8" t="s">
        <v>2656</v>
      </c>
    </row>
    <row r="111" customFormat="false" ht="15.75" hidden="false" customHeight="true" outlineLevel="0" collapsed="false">
      <c r="A111" s="8" t="s">
        <v>89</v>
      </c>
      <c r="B111" s="8" t="s">
        <v>267</v>
      </c>
      <c r="C111" s="8" t="s">
        <v>2559</v>
      </c>
      <c r="D111" s="8"/>
      <c r="E111" s="8"/>
      <c r="F111" s="8" t="s">
        <v>115</v>
      </c>
      <c r="G111" s="8" t="s">
        <v>2656</v>
      </c>
    </row>
    <row r="112" customFormat="false" ht="15.75" hidden="false" customHeight="true" outlineLevel="0" collapsed="false">
      <c r="A112" s="8" t="s">
        <v>89</v>
      </c>
      <c r="B112" s="8" t="s">
        <v>405</v>
      </c>
      <c r="C112" s="8" t="s">
        <v>2559</v>
      </c>
      <c r="D112" s="8"/>
      <c r="E112" s="8"/>
      <c r="F112" s="8" t="s">
        <v>2657</v>
      </c>
      <c r="G112" s="8" t="s">
        <v>2656</v>
      </c>
    </row>
    <row r="113" customFormat="false" ht="15.75" hidden="false" customHeight="true" outlineLevel="0" collapsed="false">
      <c r="A113" s="8" t="s">
        <v>89</v>
      </c>
      <c r="B113" s="8" t="s">
        <v>448</v>
      </c>
      <c r="C113" s="8" t="s">
        <v>2559</v>
      </c>
      <c r="D113" s="8"/>
      <c r="E113" s="8"/>
      <c r="F113" s="8" t="s">
        <v>2657</v>
      </c>
      <c r="G113" s="8" t="s">
        <v>2656</v>
      </c>
    </row>
    <row r="114" customFormat="false" ht="15.75" hidden="false" customHeight="true" outlineLevel="0" collapsed="false">
      <c r="A114" s="8" t="s">
        <v>89</v>
      </c>
      <c r="B114" s="8" t="s">
        <v>552</v>
      </c>
      <c r="C114" s="8" t="s">
        <v>2559</v>
      </c>
      <c r="D114" s="8"/>
      <c r="E114" s="8"/>
      <c r="F114" s="8" t="s">
        <v>115</v>
      </c>
      <c r="G114" s="8" t="s">
        <v>2656</v>
      </c>
    </row>
    <row r="115" customFormat="false" ht="15.75" hidden="false" customHeight="true" outlineLevel="0" collapsed="false">
      <c r="A115" s="8" t="s">
        <v>89</v>
      </c>
      <c r="B115" s="8" t="s">
        <v>595</v>
      </c>
      <c r="C115" s="8" t="s">
        <v>2559</v>
      </c>
      <c r="D115" s="8"/>
      <c r="E115" s="8"/>
      <c r="F115" s="8" t="s">
        <v>115</v>
      </c>
      <c r="G115" s="8" t="s">
        <v>2656</v>
      </c>
    </row>
    <row r="116" customFormat="false" ht="15.75" hidden="false" customHeight="true" outlineLevel="0" collapsed="false">
      <c r="A116" s="8" t="s">
        <v>89</v>
      </c>
      <c r="B116" s="8" t="s">
        <v>688</v>
      </c>
      <c r="C116" s="8" t="s">
        <v>2559</v>
      </c>
      <c r="D116" s="8"/>
      <c r="E116" s="8"/>
      <c r="F116" s="8" t="s">
        <v>115</v>
      </c>
      <c r="G116" s="8" t="s">
        <v>2656</v>
      </c>
    </row>
    <row r="117" customFormat="false" ht="15.75" hidden="false" customHeight="true" outlineLevel="0" collapsed="false">
      <c r="A117" s="8" t="s">
        <v>89</v>
      </c>
      <c r="B117" s="8" t="s">
        <v>779</v>
      </c>
      <c r="C117" s="8" t="s">
        <v>2559</v>
      </c>
      <c r="D117" s="8"/>
      <c r="E117" s="8"/>
      <c r="F117" s="8" t="s">
        <v>115</v>
      </c>
      <c r="G117" s="8" t="s">
        <v>2656</v>
      </c>
    </row>
    <row r="118" customFormat="false" ht="15.75" hidden="false" customHeight="true" outlineLevel="0" collapsed="false">
      <c r="A118" s="8" t="s">
        <v>89</v>
      </c>
      <c r="B118" s="8" t="s">
        <v>897</v>
      </c>
      <c r="C118" s="8" t="s">
        <v>2559</v>
      </c>
      <c r="D118" s="8"/>
      <c r="E118" s="8"/>
      <c r="F118" s="8" t="s">
        <v>115</v>
      </c>
      <c r="G118" s="8" t="s">
        <v>2656</v>
      </c>
    </row>
    <row r="119" customFormat="false" ht="15.75" hidden="false" customHeight="true" outlineLevel="0" collapsed="false">
      <c r="A119" s="8" t="s">
        <v>89</v>
      </c>
      <c r="B119" s="8" t="s">
        <v>931</v>
      </c>
      <c r="C119" s="8" t="s">
        <v>2559</v>
      </c>
      <c r="D119" s="8"/>
      <c r="E119" s="8"/>
      <c r="F119" s="8" t="s">
        <v>115</v>
      </c>
      <c r="G119" s="8" t="s">
        <v>2656</v>
      </c>
    </row>
    <row r="120" customFormat="false" ht="15.75" hidden="false" customHeight="true" outlineLevel="0" collapsed="false">
      <c r="A120" s="8" t="s">
        <v>89</v>
      </c>
      <c r="B120" s="8" t="s">
        <v>969</v>
      </c>
      <c r="C120" s="8" t="s">
        <v>2559</v>
      </c>
      <c r="D120" s="8"/>
      <c r="E120" s="8"/>
      <c r="F120" s="8" t="s">
        <v>2657</v>
      </c>
      <c r="G120" s="8" t="s">
        <v>2656</v>
      </c>
    </row>
    <row r="121" customFormat="false" ht="15.75" hidden="false" customHeight="true" outlineLevel="0" collapsed="false">
      <c r="A121" s="8" t="s">
        <v>89</v>
      </c>
      <c r="B121" s="8" t="s">
        <v>1004</v>
      </c>
      <c r="C121" s="8" t="s">
        <v>2559</v>
      </c>
      <c r="D121" s="8"/>
      <c r="E121" s="8"/>
      <c r="F121" s="8" t="s">
        <v>2657</v>
      </c>
      <c r="G121" s="8" t="s">
        <v>2656</v>
      </c>
    </row>
    <row r="122" customFormat="false" ht="15.75" hidden="false" customHeight="true" outlineLevel="0" collapsed="false">
      <c r="A122" s="8" t="s">
        <v>89</v>
      </c>
      <c r="B122" s="8" t="s">
        <v>1139</v>
      </c>
      <c r="C122" s="8" t="s">
        <v>2559</v>
      </c>
      <c r="D122" s="8"/>
      <c r="E122" s="8"/>
      <c r="F122" s="8" t="s">
        <v>115</v>
      </c>
      <c r="G122" s="8" t="s">
        <v>2656</v>
      </c>
    </row>
    <row r="123" customFormat="false" ht="15.75" hidden="false" customHeight="true" outlineLevel="0" collapsed="false">
      <c r="A123" s="8" t="s">
        <v>89</v>
      </c>
      <c r="B123" s="8" t="s">
        <v>1176</v>
      </c>
      <c r="C123" s="8" t="s">
        <v>2559</v>
      </c>
      <c r="D123" s="8"/>
      <c r="E123" s="8"/>
      <c r="F123" s="8" t="s">
        <v>2657</v>
      </c>
      <c r="G123" s="8" t="s">
        <v>2656</v>
      </c>
    </row>
    <row r="124" customFormat="false" ht="15.75" hidden="false" customHeight="true" outlineLevel="0" collapsed="false">
      <c r="A124" s="8" t="s">
        <v>89</v>
      </c>
      <c r="B124" s="8" t="s">
        <v>1214</v>
      </c>
      <c r="C124" s="8" t="s">
        <v>2559</v>
      </c>
      <c r="D124" s="8"/>
      <c r="E124" s="8"/>
      <c r="F124" s="8" t="s">
        <v>2657</v>
      </c>
      <c r="G124" s="8" t="s">
        <v>2656</v>
      </c>
    </row>
    <row r="125" customFormat="false" ht="15.75" hidden="false" customHeight="true" outlineLevel="0" collapsed="false">
      <c r="A125" s="8" t="s">
        <v>89</v>
      </c>
      <c r="B125" s="8" t="s">
        <v>1272</v>
      </c>
      <c r="C125" s="8" t="s">
        <v>2559</v>
      </c>
      <c r="D125" s="8"/>
      <c r="E125" s="8"/>
      <c r="F125" s="8" t="s">
        <v>2658</v>
      </c>
      <c r="G125" s="8" t="s">
        <v>2656</v>
      </c>
    </row>
    <row r="126" customFormat="false" ht="15.75" hidden="false" customHeight="true" outlineLevel="0" collapsed="false">
      <c r="A126" s="8" t="s">
        <v>89</v>
      </c>
      <c r="B126" s="8" t="s">
        <v>1292</v>
      </c>
      <c r="C126" s="8" t="s">
        <v>2559</v>
      </c>
      <c r="D126" s="8"/>
      <c r="E126" s="8"/>
      <c r="F126" s="8" t="s">
        <v>115</v>
      </c>
      <c r="G126" s="8" t="s">
        <v>2656</v>
      </c>
    </row>
    <row r="127" customFormat="false" ht="15.75" hidden="false" customHeight="true" outlineLevel="0" collapsed="false">
      <c r="A127" s="8" t="s">
        <v>89</v>
      </c>
      <c r="B127" s="8" t="s">
        <v>1365</v>
      </c>
      <c r="C127" s="8" t="s">
        <v>2559</v>
      </c>
      <c r="D127" s="8"/>
      <c r="E127" s="8"/>
      <c r="F127" s="8" t="s">
        <v>115</v>
      </c>
      <c r="G127" s="8" t="s">
        <v>2656</v>
      </c>
    </row>
    <row r="128" customFormat="false" ht="15.75" hidden="false" customHeight="true" outlineLevel="0" collapsed="false">
      <c r="A128" s="8" t="s">
        <v>89</v>
      </c>
      <c r="B128" s="8" t="s">
        <v>1418</v>
      </c>
      <c r="C128" s="8" t="s">
        <v>2559</v>
      </c>
      <c r="D128" s="8"/>
      <c r="E128" s="8"/>
      <c r="F128" s="8" t="s">
        <v>2657</v>
      </c>
      <c r="G128" s="8" t="s">
        <v>2656</v>
      </c>
    </row>
    <row r="129" customFormat="false" ht="15.75" hidden="false" customHeight="true" outlineLevel="0" collapsed="false">
      <c r="A129" s="8" t="s">
        <v>89</v>
      </c>
      <c r="B129" s="8" t="s">
        <v>1482</v>
      </c>
      <c r="C129" s="8" t="s">
        <v>2559</v>
      </c>
      <c r="D129" s="8"/>
      <c r="E129" s="8"/>
      <c r="F129" s="8" t="s">
        <v>115</v>
      </c>
      <c r="G129" s="8" t="s">
        <v>2656</v>
      </c>
    </row>
    <row r="130" customFormat="false" ht="15.75" hidden="false" customHeight="true" outlineLevel="0" collapsed="false">
      <c r="A130" s="8" t="s">
        <v>89</v>
      </c>
      <c r="B130" s="8" t="s">
        <v>1529</v>
      </c>
      <c r="C130" s="8" t="s">
        <v>2582</v>
      </c>
      <c r="D130" s="8"/>
      <c r="E130" s="8"/>
      <c r="F130" s="8" t="s">
        <v>1683</v>
      </c>
      <c r="G130" s="8" t="s">
        <v>2659</v>
      </c>
    </row>
    <row r="131" customFormat="false" ht="15.75" hidden="false" customHeight="true" outlineLevel="0" collapsed="false">
      <c r="A131" s="8" t="s">
        <v>1566</v>
      </c>
      <c r="B131" s="8" t="s">
        <v>274</v>
      </c>
      <c r="C131" s="8" t="s">
        <v>2559</v>
      </c>
      <c r="D131" s="8"/>
      <c r="E131" s="8"/>
      <c r="F131" s="8" t="s">
        <v>2660</v>
      </c>
      <c r="G131" s="8" t="s">
        <v>2661</v>
      </c>
    </row>
    <row r="132" customFormat="false" ht="15.75" hidden="false" customHeight="true" outlineLevel="0" collapsed="false">
      <c r="A132" s="8" t="s">
        <v>1566</v>
      </c>
      <c r="B132" s="8" t="s">
        <v>696</v>
      </c>
      <c r="C132" s="8" t="s">
        <v>2559</v>
      </c>
      <c r="D132" s="8"/>
      <c r="E132" s="8"/>
      <c r="F132" s="8" t="s">
        <v>2662</v>
      </c>
      <c r="G132" s="8" t="s">
        <v>2661</v>
      </c>
    </row>
    <row r="133" customFormat="false" ht="15.75" hidden="false" customHeight="true" outlineLevel="0" collapsed="false">
      <c r="A133" s="8" t="s">
        <v>1566</v>
      </c>
      <c r="B133" s="8" t="s">
        <v>901</v>
      </c>
      <c r="C133" s="8" t="s">
        <v>2559</v>
      </c>
      <c r="D133" s="8"/>
      <c r="E133" s="8"/>
      <c r="F133" s="8" t="s">
        <v>2663</v>
      </c>
      <c r="G133" s="8" t="s">
        <v>2661</v>
      </c>
    </row>
    <row r="134" customFormat="false" ht="15.75" hidden="false" customHeight="true" outlineLevel="0" collapsed="false">
      <c r="A134" s="8" t="s">
        <v>1566</v>
      </c>
      <c r="B134" s="8" t="s">
        <v>455</v>
      </c>
      <c r="C134" s="8" t="s">
        <v>2559</v>
      </c>
      <c r="D134" s="8"/>
      <c r="E134" s="8"/>
      <c r="F134" s="8" t="s">
        <v>2664</v>
      </c>
      <c r="G134" s="8" t="s">
        <v>2661</v>
      </c>
    </row>
    <row r="135" customFormat="false" ht="15.75" hidden="false" customHeight="true" outlineLevel="0" collapsed="false">
      <c r="A135" s="8" t="s">
        <v>1566</v>
      </c>
      <c r="B135" s="8" t="s">
        <v>603</v>
      </c>
      <c r="C135" s="8" t="s">
        <v>2559</v>
      </c>
      <c r="D135" s="8"/>
      <c r="E135" s="8"/>
      <c r="F135" s="8" t="s">
        <v>1691</v>
      </c>
      <c r="G135" s="8" t="s">
        <v>2661</v>
      </c>
    </row>
    <row r="136" customFormat="false" ht="15.75" hidden="false" customHeight="true" outlineLevel="0" collapsed="false">
      <c r="A136" s="8" t="s">
        <v>1566</v>
      </c>
      <c r="B136" s="8" t="s">
        <v>413</v>
      </c>
      <c r="C136" s="8" t="s">
        <v>2559</v>
      </c>
      <c r="D136" s="8"/>
      <c r="E136" s="8"/>
      <c r="F136" s="8" t="s">
        <v>2662</v>
      </c>
      <c r="G136" s="8" t="s">
        <v>2661</v>
      </c>
    </row>
    <row r="137" customFormat="false" ht="15.75" hidden="false" customHeight="true" outlineLevel="0" collapsed="false">
      <c r="A137" s="8" t="s">
        <v>1566</v>
      </c>
      <c r="B137" s="8" t="s">
        <v>973</v>
      </c>
      <c r="C137" s="8" t="s">
        <v>2559</v>
      </c>
      <c r="D137" s="8"/>
      <c r="E137" s="8"/>
      <c r="F137" s="8" t="s">
        <v>2662</v>
      </c>
      <c r="G137" s="8" t="s">
        <v>2661</v>
      </c>
    </row>
    <row r="138" customFormat="false" ht="15.75" hidden="false" customHeight="true" outlineLevel="0" collapsed="false">
      <c r="A138" s="8" t="s">
        <v>1566</v>
      </c>
      <c r="B138" s="8" t="s">
        <v>939</v>
      </c>
      <c r="C138" s="8" t="s">
        <v>2559</v>
      </c>
      <c r="D138" s="8"/>
      <c r="E138" s="8"/>
      <c r="F138" s="8" t="s">
        <v>2662</v>
      </c>
      <c r="G138" s="8" t="s">
        <v>2661</v>
      </c>
    </row>
    <row r="139" customFormat="false" ht="15.75" hidden="false" customHeight="true" outlineLevel="0" collapsed="false">
      <c r="A139" s="8" t="s">
        <v>1566</v>
      </c>
      <c r="B139" s="8" t="s">
        <v>1147</v>
      </c>
      <c r="C139" s="8" t="s">
        <v>2559</v>
      </c>
      <c r="D139" s="8"/>
      <c r="E139" s="8"/>
      <c r="F139" s="8" t="s">
        <v>2664</v>
      </c>
      <c r="G139" s="8" t="s">
        <v>2661</v>
      </c>
    </row>
    <row r="140" customFormat="false" ht="15.75" hidden="false" customHeight="true" outlineLevel="0" collapsed="false">
      <c r="A140" s="8" t="s">
        <v>1566</v>
      </c>
      <c r="B140" s="8" t="s">
        <v>1222</v>
      </c>
      <c r="C140" s="8" t="s">
        <v>2559</v>
      </c>
      <c r="D140" s="8"/>
      <c r="E140" s="8"/>
      <c r="F140" s="8" t="s">
        <v>2662</v>
      </c>
      <c r="G140" s="8" t="s">
        <v>2661</v>
      </c>
    </row>
    <row r="141" customFormat="false" ht="15.75" hidden="false" customHeight="true" outlineLevel="0" collapsed="false">
      <c r="A141" s="8" t="s">
        <v>1566</v>
      </c>
      <c r="B141" s="8" t="s">
        <v>1276</v>
      </c>
      <c r="C141" s="8" t="s">
        <v>2559</v>
      </c>
      <c r="D141" s="8"/>
      <c r="E141" s="8"/>
      <c r="F141" s="8" t="s">
        <v>2662</v>
      </c>
      <c r="G141" s="8" t="s">
        <v>2661</v>
      </c>
    </row>
    <row r="142" customFormat="false" ht="15.75" hidden="false" customHeight="true" outlineLevel="0" collapsed="false">
      <c r="A142" s="8" t="s">
        <v>1566</v>
      </c>
      <c r="B142" s="8" t="s">
        <v>1300</v>
      </c>
      <c r="C142" s="8" t="s">
        <v>2559</v>
      </c>
      <c r="D142" s="8"/>
      <c r="E142" s="8"/>
      <c r="F142" s="8" t="s">
        <v>2664</v>
      </c>
      <c r="G142" s="8" t="s">
        <v>2661</v>
      </c>
    </row>
    <row r="143" customFormat="false" ht="15.75" hidden="false" customHeight="true" outlineLevel="0" collapsed="false">
      <c r="A143" s="8" t="s">
        <v>1566</v>
      </c>
      <c r="B143" s="8" t="s">
        <v>1490</v>
      </c>
      <c r="C143" s="8" t="s">
        <v>2559</v>
      </c>
      <c r="D143" s="8"/>
      <c r="E143" s="8"/>
      <c r="F143" s="8" t="s">
        <v>2662</v>
      </c>
      <c r="G143" s="8" t="s">
        <v>2661</v>
      </c>
    </row>
    <row r="144" customFormat="false" ht="28.5" hidden="false" customHeight="true" outlineLevel="0" collapsed="false">
      <c r="A144" s="8" t="s">
        <v>1566</v>
      </c>
      <c r="B144" s="8" t="s">
        <v>1537</v>
      </c>
      <c r="C144" s="8" t="s">
        <v>2582</v>
      </c>
      <c r="D144" s="8"/>
      <c r="E144" s="8"/>
      <c r="F144" s="8" t="s">
        <v>2665</v>
      </c>
      <c r="G144" s="8" t="s">
        <v>2666</v>
      </c>
    </row>
    <row r="145" customFormat="false" ht="28.5" hidden="false" customHeight="true" outlineLevel="0" collapsed="false">
      <c r="A145" s="8" t="s">
        <v>2667</v>
      </c>
      <c r="B145" s="8" t="s">
        <v>1853</v>
      </c>
      <c r="C145" s="8" t="s">
        <v>2559</v>
      </c>
      <c r="D145" s="8" t="s">
        <v>73</v>
      </c>
      <c r="E145" s="8" t="s">
        <v>73</v>
      </c>
      <c r="F145" s="8" t="s">
        <v>2668</v>
      </c>
      <c r="G145" s="8" t="s">
        <v>2669</v>
      </c>
    </row>
    <row r="146" customFormat="false" ht="41.25" hidden="false" customHeight="true" outlineLevel="0" collapsed="false">
      <c r="A146" s="8" t="s">
        <v>2667</v>
      </c>
      <c r="B146" s="8" t="s">
        <v>1910</v>
      </c>
      <c r="C146" s="8" t="s">
        <v>2559</v>
      </c>
      <c r="D146" s="8" t="s">
        <v>73</v>
      </c>
      <c r="E146" s="8" t="s">
        <v>73</v>
      </c>
      <c r="F146" s="8" t="s">
        <v>2670</v>
      </c>
      <c r="G146" s="8" t="s">
        <v>2671</v>
      </c>
    </row>
    <row r="147" customFormat="false" ht="28.5" hidden="false" customHeight="true" outlineLevel="0" collapsed="false">
      <c r="A147" s="8" t="s">
        <v>2667</v>
      </c>
      <c r="B147" s="8" t="s">
        <v>1920</v>
      </c>
      <c r="C147" s="8" t="s">
        <v>2559</v>
      </c>
      <c r="D147" s="8" t="s">
        <v>76</v>
      </c>
      <c r="E147" s="8" t="s">
        <v>76</v>
      </c>
      <c r="F147" s="8" t="s">
        <v>2672</v>
      </c>
      <c r="G147" s="8" t="s">
        <v>2673</v>
      </c>
    </row>
    <row r="148" customFormat="false" ht="15.75" hidden="false" customHeight="true" outlineLevel="0" collapsed="false">
      <c r="A148" s="8" t="s">
        <v>2667</v>
      </c>
      <c r="B148" s="8" t="s">
        <v>1929</v>
      </c>
      <c r="C148" s="8" t="s">
        <v>2559</v>
      </c>
      <c r="D148" s="8" t="s">
        <v>76</v>
      </c>
      <c r="E148" s="8" t="s">
        <v>76</v>
      </c>
      <c r="F148" s="8" t="s">
        <v>1847</v>
      </c>
      <c r="G148" s="8" t="s">
        <v>2674</v>
      </c>
    </row>
    <row r="149" customFormat="false" ht="15.75" hidden="false" customHeight="true" outlineLevel="0" collapsed="false">
      <c r="A149" s="8" t="s">
        <v>2667</v>
      </c>
      <c r="B149" s="8" t="s">
        <v>1938</v>
      </c>
      <c r="C149" s="8" t="s">
        <v>2559</v>
      </c>
      <c r="D149" s="8" t="s">
        <v>76</v>
      </c>
      <c r="E149" s="8" t="s">
        <v>76</v>
      </c>
      <c r="F149" s="8" t="s">
        <v>2675</v>
      </c>
      <c r="G149" s="8" t="s">
        <v>2676</v>
      </c>
    </row>
    <row r="150" customFormat="false" ht="28.5" hidden="false" customHeight="true" outlineLevel="0" collapsed="false">
      <c r="A150" s="8" t="s">
        <v>2667</v>
      </c>
      <c r="B150" s="8" t="s">
        <v>1955</v>
      </c>
      <c r="C150" s="8" t="s">
        <v>2559</v>
      </c>
      <c r="D150" s="8" t="s">
        <v>75</v>
      </c>
      <c r="E150" s="8" t="s">
        <v>75</v>
      </c>
      <c r="F150" s="8" t="s">
        <v>2677</v>
      </c>
      <c r="G150" s="8" t="s">
        <v>2678</v>
      </c>
    </row>
    <row r="151" customFormat="false" ht="28.5" hidden="false" customHeight="true" outlineLevel="0" collapsed="false">
      <c r="A151" s="8" t="s">
        <v>2667</v>
      </c>
      <c r="B151" s="8" t="s">
        <v>1963</v>
      </c>
      <c r="C151" s="8" t="s">
        <v>2559</v>
      </c>
      <c r="D151" s="8" t="s">
        <v>76</v>
      </c>
      <c r="E151" s="8" t="s">
        <v>76</v>
      </c>
      <c r="F151" s="8" t="s">
        <v>2672</v>
      </c>
      <c r="G151" s="8" t="s">
        <v>2679</v>
      </c>
    </row>
    <row r="152" customFormat="false" ht="15.75" hidden="false" customHeight="true" outlineLevel="0" collapsed="false">
      <c r="A152" s="8" t="s">
        <v>2667</v>
      </c>
      <c r="B152" s="8" t="s">
        <v>1981</v>
      </c>
      <c r="C152" s="8" t="s">
        <v>2559</v>
      </c>
      <c r="D152" s="8" t="s">
        <v>76</v>
      </c>
      <c r="E152" s="8" t="s">
        <v>76</v>
      </c>
      <c r="F152" s="8" t="s">
        <v>2680</v>
      </c>
      <c r="G152" s="8" t="s">
        <v>2681</v>
      </c>
    </row>
    <row r="153" customFormat="false" ht="28.5" hidden="false" customHeight="true" outlineLevel="0" collapsed="false">
      <c r="A153" s="8" t="s">
        <v>2667</v>
      </c>
      <c r="B153" s="8" t="s">
        <v>1998</v>
      </c>
      <c r="C153" s="8" t="s">
        <v>2559</v>
      </c>
      <c r="D153" s="8" t="s">
        <v>73</v>
      </c>
      <c r="E153" s="8" t="s">
        <v>73</v>
      </c>
      <c r="F153" s="8" t="s">
        <v>2682</v>
      </c>
      <c r="G153" s="8" t="s">
        <v>2683</v>
      </c>
    </row>
    <row r="154" customFormat="false" ht="15.75" hidden="false" customHeight="true" outlineLevel="0" collapsed="false">
      <c r="A154" s="8" t="s">
        <v>2667</v>
      </c>
      <c r="B154" s="8" t="s">
        <v>2015</v>
      </c>
      <c r="C154" s="8" t="s">
        <v>2559</v>
      </c>
      <c r="D154" s="8" t="s">
        <v>75</v>
      </c>
      <c r="E154" s="8" t="s">
        <v>75</v>
      </c>
      <c r="F154" s="8" t="s">
        <v>1847</v>
      </c>
      <c r="G154" s="8" t="s">
        <v>2684</v>
      </c>
    </row>
    <row r="155" customFormat="false" ht="28.5" hidden="false" customHeight="true" outlineLevel="0" collapsed="false">
      <c r="A155" s="8" t="s">
        <v>2667</v>
      </c>
      <c r="B155" s="8" t="s">
        <v>2052</v>
      </c>
      <c r="C155" s="8" t="s">
        <v>2559</v>
      </c>
      <c r="D155" s="8" t="s">
        <v>73</v>
      </c>
      <c r="E155" s="8" t="s">
        <v>73</v>
      </c>
      <c r="F155" s="8" t="s">
        <v>2685</v>
      </c>
      <c r="G155" s="8" t="s">
        <v>2686</v>
      </c>
    </row>
    <row r="156" customFormat="false" ht="15.75" hidden="false" customHeight="true" outlineLevel="0" collapsed="false">
      <c r="A156" s="8" t="s">
        <v>2667</v>
      </c>
      <c r="B156" s="8" t="s">
        <v>2080</v>
      </c>
      <c r="C156" s="8" t="s">
        <v>2559</v>
      </c>
      <c r="D156" s="8" t="s">
        <v>73</v>
      </c>
      <c r="E156" s="8" t="s">
        <v>73</v>
      </c>
      <c r="F156" s="8" t="s">
        <v>1848</v>
      </c>
      <c r="G156" s="8" t="s">
        <v>2687</v>
      </c>
    </row>
    <row r="157" customFormat="false" ht="28.5" hidden="false" customHeight="true" outlineLevel="0" collapsed="false">
      <c r="A157" s="8" t="s">
        <v>2667</v>
      </c>
      <c r="B157" s="8" t="s">
        <v>2090</v>
      </c>
      <c r="C157" s="8" t="s">
        <v>2559</v>
      </c>
      <c r="D157" s="8" t="s">
        <v>73</v>
      </c>
      <c r="E157" s="8" t="s">
        <v>75</v>
      </c>
      <c r="F157" s="8" t="s">
        <v>2688</v>
      </c>
      <c r="G157" s="8" t="s">
        <v>2689</v>
      </c>
    </row>
    <row r="158" customFormat="false" ht="28.5" hidden="false" customHeight="true" outlineLevel="0" collapsed="false">
      <c r="A158" s="8" t="s">
        <v>2667</v>
      </c>
      <c r="B158" s="8" t="s">
        <v>2099</v>
      </c>
      <c r="C158" s="8" t="s">
        <v>2559</v>
      </c>
      <c r="D158" s="8" t="s">
        <v>73</v>
      </c>
      <c r="E158" s="8" t="s">
        <v>73</v>
      </c>
      <c r="F158" s="8" t="s">
        <v>2690</v>
      </c>
      <c r="G158" s="8" t="s">
        <v>2691</v>
      </c>
    </row>
    <row r="159" customFormat="false" ht="28.5" hidden="false" customHeight="true" outlineLevel="0" collapsed="false">
      <c r="A159" s="8" t="s">
        <v>2667</v>
      </c>
      <c r="B159" s="8" t="s">
        <v>2108</v>
      </c>
      <c r="C159" s="8" t="s">
        <v>2559</v>
      </c>
      <c r="D159" s="8" t="s">
        <v>73</v>
      </c>
      <c r="E159" s="8" t="s">
        <v>73</v>
      </c>
      <c r="F159" s="8" t="s">
        <v>2692</v>
      </c>
      <c r="G159" s="8" t="s">
        <v>2691</v>
      </c>
    </row>
    <row r="160" customFormat="false" ht="15.75" hidden="false" customHeight="true" outlineLevel="0" collapsed="false">
      <c r="A160" s="8" t="s">
        <v>2667</v>
      </c>
      <c r="B160" s="8" t="s">
        <v>1586</v>
      </c>
      <c r="C160" s="8" t="s">
        <v>2559</v>
      </c>
      <c r="D160" s="8" t="s">
        <v>73</v>
      </c>
      <c r="E160" s="8" t="s">
        <v>73</v>
      </c>
      <c r="F160" s="8" t="s">
        <v>2693</v>
      </c>
      <c r="G160" s="8" t="s">
        <v>2694</v>
      </c>
    </row>
    <row r="161" customFormat="false" ht="41.25" hidden="false" customHeight="true" outlineLevel="0" collapsed="false">
      <c r="A161" s="8" t="s">
        <v>2667</v>
      </c>
      <c r="B161" s="8" t="s">
        <v>2153</v>
      </c>
      <c r="C161" s="8" t="s">
        <v>2559</v>
      </c>
      <c r="D161" s="8" t="s">
        <v>73</v>
      </c>
      <c r="E161" s="8" t="s">
        <v>73</v>
      </c>
      <c r="F161" s="8" t="s">
        <v>2670</v>
      </c>
      <c r="G161" s="8" t="s">
        <v>2695</v>
      </c>
    </row>
    <row r="162" customFormat="false" ht="15.75" hidden="false" customHeight="true" outlineLevel="0" collapsed="false">
      <c r="A162" s="8" t="s">
        <v>2667</v>
      </c>
      <c r="B162" s="8" t="s">
        <v>2162</v>
      </c>
      <c r="C162" s="8" t="s">
        <v>2559</v>
      </c>
      <c r="D162" s="8" t="s">
        <v>73</v>
      </c>
      <c r="E162" s="8" t="s">
        <v>73</v>
      </c>
      <c r="F162" s="8" t="s">
        <v>2696</v>
      </c>
      <c r="G162" s="8" t="s">
        <v>2697</v>
      </c>
    </row>
    <row r="163" customFormat="false" ht="41.25" hidden="false" customHeight="true" outlineLevel="0" collapsed="false">
      <c r="A163" s="8" t="s">
        <v>2667</v>
      </c>
      <c r="B163" s="8" t="s">
        <v>2178</v>
      </c>
      <c r="C163" s="8" t="s">
        <v>2559</v>
      </c>
      <c r="D163" s="8" t="s">
        <v>73</v>
      </c>
      <c r="E163" s="8" t="s">
        <v>76</v>
      </c>
      <c r="F163" s="8" t="s">
        <v>2698</v>
      </c>
      <c r="G163" s="8" t="s">
        <v>2699</v>
      </c>
    </row>
    <row r="164" customFormat="false" ht="28.5" hidden="false" customHeight="true" outlineLevel="0" collapsed="false">
      <c r="A164" s="8" t="s">
        <v>2667</v>
      </c>
      <c r="B164" s="8" t="s">
        <v>2194</v>
      </c>
      <c r="C164" s="8" t="s">
        <v>2559</v>
      </c>
      <c r="D164" s="8" t="s">
        <v>73</v>
      </c>
      <c r="E164" s="8" t="s">
        <v>73</v>
      </c>
      <c r="F164" s="8" t="s">
        <v>2700</v>
      </c>
      <c r="G164" s="8" t="s">
        <v>2701</v>
      </c>
    </row>
    <row r="165" customFormat="false" ht="41.25" hidden="false" customHeight="true" outlineLevel="0" collapsed="false">
      <c r="A165" s="8" t="s">
        <v>2667</v>
      </c>
      <c r="B165" s="8" t="s">
        <v>2203</v>
      </c>
      <c r="C165" s="8" t="s">
        <v>2559</v>
      </c>
      <c r="D165" s="8" t="s">
        <v>73</v>
      </c>
      <c r="E165" s="8" t="s">
        <v>73</v>
      </c>
      <c r="F165" s="8" t="s">
        <v>2670</v>
      </c>
      <c r="G165" s="8" t="s">
        <v>2702</v>
      </c>
    </row>
    <row r="166" customFormat="false" ht="15.75" hidden="false" customHeight="true" outlineLevel="0" collapsed="false">
      <c r="A166" s="8" t="s">
        <v>2667</v>
      </c>
      <c r="B166" s="8" t="s">
        <v>1682</v>
      </c>
      <c r="C166" s="8" t="s">
        <v>2559</v>
      </c>
      <c r="D166" s="8" t="s">
        <v>73</v>
      </c>
      <c r="E166" s="8" t="s">
        <v>73</v>
      </c>
      <c r="F166" s="8" t="s">
        <v>2696</v>
      </c>
      <c r="G166" s="8" t="s">
        <v>2703</v>
      </c>
    </row>
    <row r="167" customFormat="false" ht="15.75" hidden="false" customHeight="true" outlineLevel="0" collapsed="false">
      <c r="A167" s="8" t="s">
        <v>2667</v>
      </c>
      <c r="B167" s="8" t="s">
        <v>2258</v>
      </c>
      <c r="C167" s="8" t="s">
        <v>2559</v>
      </c>
      <c r="D167" s="8" t="s">
        <v>73</v>
      </c>
      <c r="E167" s="8" t="s">
        <v>73</v>
      </c>
      <c r="F167" s="8" t="s">
        <v>2704</v>
      </c>
      <c r="G167" s="8" t="s">
        <v>2705</v>
      </c>
    </row>
    <row r="168" customFormat="false" ht="41.25" hidden="false" customHeight="true" outlineLevel="0" collapsed="false">
      <c r="A168" s="8" t="s">
        <v>2667</v>
      </c>
      <c r="B168" s="8" t="s">
        <v>2276</v>
      </c>
      <c r="C168" s="8" t="s">
        <v>2582</v>
      </c>
      <c r="D168" s="8"/>
      <c r="E168" s="8" t="s">
        <v>73</v>
      </c>
      <c r="F168" s="8" t="s">
        <v>2706</v>
      </c>
      <c r="G168" s="8" t="s">
        <v>2707</v>
      </c>
    </row>
    <row r="169" customFormat="false" ht="41.25" hidden="false" customHeight="true" outlineLevel="0" collapsed="false">
      <c r="A169" s="8" t="s">
        <v>2667</v>
      </c>
      <c r="B169" s="8" t="s">
        <v>1670</v>
      </c>
      <c r="C169" s="8" t="s">
        <v>2582</v>
      </c>
      <c r="D169" s="8"/>
      <c r="E169" s="8" t="s">
        <v>73</v>
      </c>
      <c r="F169" s="8" t="s">
        <v>2708</v>
      </c>
      <c r="G169" s="8" t="s">
        <v>2707</v>
      </c>
    </row>
    <row r="170" customFormat="false" ht="41.25" hidden="false" customHeight="true" outlineLevel="0" collapsed="false">
      <c r="A170" s="8" t="s">
        <v>2667</v>
      </c>
      <c r="B170" s="8" t="s">
        <v>2293</v>
      </c>
      <c r="C170" s="8" t="s">
        <v>2582</v>
      </c>
      <c r="D170" s="8"/>
      <c r="E170" s="8" t="s">
        <v>73</v>
      </c>
      <c r="F170" s="8" t="s">
        <v>2709</v>
      </c>
      <c r="G170" s="8" t="s">
        <v>2707</v>
      </c>
    </row>
    <row r="171" customFormat="false" ht="41.25" hidden="false" customHeight="true" outlineLevel="0" collapsed="false">
      <c r="A171" s="8" t="s">
        <v>80</v>
      </c>
      <c r="B171" s="8" t="s">
        <v>1853</v>
      </c>
      <c r="C171" s="8" t="s">
        <v>2710</v>
      </c>
      <c r="D171" s="8"/>
      <c r="E171" s="8"/>
      <c r="F171" s="8" t="s">
        <v>2711</v>
      </c>
      <c r="G171" s="8" t="s">
        <v>2712</v>
      </c>
    </row>
    <row r="172" customFormat="false" ht="41.25" hidden="false" customHeight="true" outlineLevel="0" collapsed="false">
      <c r="A172" s="8" t="s">
        <v>80</v>
      </c>
      <c r="B172" s="8" t="s">
        <v>1910</v>
      </c>
      <c r="C172" s="8" t="s">
        <v>2710</v>
      </c>
      <c r="D172" s="8"/>
      <c r="E172" s="8"/>
      <c r="F172" s="8" t="s">
        <v>2713</v>
      </c>
      <c r="G172" s="8" t="s">
        <v>2712</v>
      </c>
    </row>
    <row r="173" customFormat="false" ht="41.25" hidden="false" customHeight="true" outlineLevel="0" collapsed="false">
      <c r="A173" s="8" t="s">
        <v>80</v>
      </c>
      <c r="B173" s="8" t="s">
        <v>1998</v>
      </c>
      <c r="C173" s="8" t="s">
        <v>2710</v>
      </c>
      <c r="D173" s="8"/>
      <c r="E173" s="8"/>
      <c r="F173" s="8" t="s">
        <v>2714</v>
      </c>
      <c r="G173" s="8" t="s">
        <v>2712</v>
      </c>
    </row>
    <row r="174" customFormat="false" ht="41.25" hidden="false" customHeight="true" outlineLevel="0" collapsed="false">
      <c r="A174" s="8" t="s">
        <v>80</v>
      </c>
      <c r="B174" s="8" t="s">
        <v>2052</v>
      </c>
      <c r="C174" s="8" t="s">
        <v>2710</v>
      </c>
      <c r="D174" s="8"/>
      <c r="E174" s="8"/>
      <c r="F174" s="8" t="s">
        <v>2715</v>
      </c>
      <c r="G174" s="8" t="s">
        <v>2712</v>
      </c>
    </row>
    <row r="175" customFormat="false" ht="41.25" hidden="false" customHeight="true" outlineLevel="0" collapsed="false">
      <c r="A175" s="8" t="s">
        <v>80</v>
      </c>
      <c r="B175" s="8" t="s">
        <v>2099</v>
      </c>
      <c r="C175" s="8" t="s">
        <v>2710</v>
      </c>
      <c r="D175" s="8"/>
      <c r="E175" s="8"/>
      <c r="F175" s="8" t="s">
        <v>2716</v>
      </c>
      <c r="G175" s="8" t="s">
        <v>2712</v>
      </c>
    </row>
    <row r="176" customFormat="false" ht="41.25" hidden="false" customHeight="true" outlineLevel="0" collapsed="false">
      <c r="A176" s="8" t="s">
        <v>80</v>
      </c>
      <c r="B176" s="8" t="s">
        <v>2108</v>
      </c>
      <c r="C176" s="8" t="s">
        <v>2710</v>
      </c>
      <c r="D176" s="8"/>
      <c r="E176" s="8"/>
      <c r="F176" s="8" t="s">
        <v>2717</v>
      </c>
      <c r="G176" s="8" t="s">
        <v>2712</v>
      </c>
    </row>
    <row r="177" customFormat="false" ht="41.25" hidden="false" customHeight="true" outlineLevel="0" collapsed="false">
      <c r="A177" s="8" t="s">
        <v>80</v>
      </c>
      <c r="B177" s="8" t="s">
        <v>1586</v>
      </c>
      <c r="C177" s="8" t="s">
        <v>2710</v>
      </c>
      <c r="D177" s="8"/>
      <c r="E177" s="8"/>
      <c r="F177" s="8" t="s">
        <v>2718</v>
      </c>
      <c r="G177" s="8" t="s">
        <v>2712</v>
      </c>
    </row>
    <row r="178" customFormat="false" ht="41.25" hidden="false" customHeight="true" outlineLevel="0" collapsed="false">
      <c r="A178" s="8" t="s">
        <v>80</v>
      </c>
      <c r="B178" s="8" t="s">
        <v>2153</v>
      </c>
      <c r="C178" s="8" t="s">
        <v>2710</v>
      </c>
      <c r="D178" s="8"/>
      <c r="E178" s="8"/>
      <c r="F178" s="8" t="s">
        <v>2719</v>
      </c>
      <c r="G178" s="8" t="s">
        <v>2712</v>
      </c>
    </row>
    <row r="179" customFormat="false" ht="41.25" hidden="false" customHeight="true" outlineLevel="0" collapsed="false">
      <c r="A179" s="8" t="s">
        <v>80</v>
      </c>
      <c r="B179" s="8" t="s">
        <v>2194</v>
      </c>
      <c r="C179" s="8" t="s">
        <v>2710</v>
      </c>
      <c r="D179" s="8"/>
      <c r="E179" s="8"/>
      <c r="F179" s="8" t="s">
        <v>2720</v>
      </c>
      <c r="G179" s="8" t="s">
        <v>2712</v>
      </c>
    </row>
    <row r="180" customFormat="false" ht="41.25" hidden="false" customHeight="true" outlineLevel="0" collapsed="false">
      <c r="A180" s="8" t="s">
        <v>80</v>
      </c>
      <c r="B180" s="8" t="s">
        <v>2203</v>
      </c>
      <c r="C180" s="8" t="s">
        <v>2710</v>
      </c>
      <c r="D180" s="8"/>
      <c r="E180" s="8"/>
      <c r="F180" s="8" t="s">
        <v>2721</v>
      </c>
      <c r="G180" s="8" t="s">
        <v>2712</v>
      </c>
    </row>
    <row r="181" customFormat="false" ht="41.25" hidden="false" customHeight="true" outlineLevel="0" collapsed="false">
      <c r="A181" s="8" t="s">
        <v>80</v>
      </c>
      <c r="B181" s="8" t="s">
        <v>2276</v>
      </c>
      <c r="C181" s="8" t="s">
        <v>2710</v>
      </c>
      <c r="D181" s="8"/>
      <c r="E181" s="8"/>
      <c r="F181" s="8" t="s">
        <v>2722</v>
      </c>
      <c r="G181" s="8" t="s">
        <v>2712</v>
      </c>
    </row>
    <row r="182" customFormat="false" ht="41.25" hidden="false" customHeight="true" outlineLevel="0" collapsed="false">
      <c r="A182" s="8" t="s">
        <v>80</v>
      </c>
      <c r="B182" s="8" t="s">
        <v>1670</v>
      </c>
      <c r="C182" s="8" t="s">
        <v>2710</v>
      </c>
      <c r="D182" s="8"/>
      <c r="E182" s="8"/>
      <c r="F182" s="8" t="s">
        <v>2723</v>
      </c>
      <c r="G182" s="8" t="s">
        <v>2712</v>
      </c>
    </row>
    <row r="183" customFormat="false" ht="41.25" hidden="false" customHeight="true" outlineLevel="0" collapsed="false">
      <c r="A183" s="8" t="s">
        <v>80</v>
      </c>
      <c r="B183" s="8" t="s">
        <v>2293</v>
      </c>
      <c r="C183" s="8" t="s">
        <v>2710</v>
      </c>
      <c r="D183" s="8"/>
      <c r="E183" s="8"/>
      <c r="F183" s="8" t="s">
        <v>2724</v>
      </c>
      <c r="G183" s="8" t="s">
        <v>2712</v>
      </c>
    </row>
    <row r="184" customFormat="false" ht="41.25" hidden="false" customHeight="true" outlineLevel="0" collapsed="false">
      <c r="A184" s="8" t="s">
        <v>80</v>
      </c>
      <c r="B184" s="8" t="s">
        <v>65</v>
      </c>
      <c r="C184" s="8" t="s">
        <v>2710</v>
      </c>
      <c r="D184" s="8"/>
      <c r="E184" s="8"/>
      <c r="F184" s="8" t="s">
        <v>2725</v>
      </c>
      <c r="G184" s="8" t="s">
        <v>2712</v>
      </c>
    </row>
    <row r="185" customFormat="false" ht="41.25" hidden="false" customHeight="true" outlineLevel="0" collapsed="false">
      <c r="A185" s="8" t="s">
        <v>80</v>
      </c>
      <c r="B185" s="8" t="s">
        <v>65</v>
      </c>
      <c r="C185" s="8" t="s">
        <v>2710</v>
      </c>
      <c r="D185" s="8"/>
      <c r="E185" s="8"/>
      <c r="F185" s="8" t="s">
        <v>2726</v>
      </c>
      <c r="G185" s="8" t="s">
        <v>2712</v>
      </c>
    </row>
    <row r="186" customFormat="false" ht="41.25" hidden="false" customHeight="true" outlineLevel="0" collapsed="false">
      <c r="A186" s="8" t="s">
        <v>80</v>
      </c>
      <c r="B186" s="8" t="s">
        <v>65</v>
      </c>
      <c r="C186" s="8" t="s">
        <v>2710</v>
      </c>
      <c r="D186" s="8"/>
      <c r="E186" s="8"/>
      <c r="F186" s="8" t="s">
        <v>2727</v>
      </c>
      <c r="G186" s="8" t="s">
        <v>2712</v>
      </c>
    </row>
    <row r="187" customFormat="false" ht="41.25" hidden="false" customHeight="true" outlineLevel="0" collapsed="false">
      <c r="A187" s="8" t="s">
        <v>80</v>
      </c>
      <c r="B187" s="8" t="s">
        <v>65</v>
      </c>
      <c r="C187" s="8" t="s">
        <v>2710</v>
      </c>
      <c r="D187" s="8"/>
      <c r="E187" s="8"/>
      <c r="F187" s="8" t="s">
        <v>2728</v>
      </c>
      <c r="G187" s="8" t="s">
        <v>2712</v>
      </c>
    </row>
    <row r="188" customFormat="false" ht="41.25" hidden="false" customHeight="true" outlineLevel="0" collapsed="false">
      <c r="A188" s="8" t="s">
        <v>80</v>
      </c>
      <c r="B188" s="8" t="s">
        <v>65</v>
      </c>
      <c r="C188" s="8" t="s">
        <v>2710</v>
      </c>
      <c r="D188" s="8"/>
      <c r="E188" s="8"/>
      <c r="F188" s="8" t="s">
        <v>2729</v>
      </c>
      <c r="G188" s="8" t="s">
        <v>2712</v>
      </c>
    </row>
    <row r="189" customFormat="false" ht="41.25" hidden="false" customHeight="true" outlineLevel="0" collapsed="false">
      <c r="A189" s="8" t="s">
        <v>80</v>
      </c>
      <c r="B189" s="8" t="s">
        <v>65</v>
      </c>
      <c r="C189" s="8" t="s">
        <v>2710</v>
      </c>
      <c r="D189" s="8"/>
      <c r="E189" s="8"/>
      <c r="F189" s="8" t="s">
        <v>2730</v>
      </c>
      <c r="G189" s="8" t="s">
        <v>2712</v>
      </c>
    </row>
    <row r="190" customFormat="false" ht="41.25" hidden="false" customHeight="true" outlineLevel="0" collapsed="false">
      <c r="A190" s="8" t="s">
        <v>80</v>
      </c>
      <c r="B190" s="8" t="s">
        <v>65</v>
      </c>
      <c r="C190" s="8" t="s">
        <v>2710</v>
      </c>
      <c r="D190" s="8"/>
      <c r="E190" s="8"/>
      <c r="F190" s="8" t="s">
        <v>2731</v>
      </c>
      <c r="G190" s="8" t="s">
        <v>2712</v>
      </c>
    </row>
    <row r="191" customFormat="false" ht="41.25" hidden="false" customHeight="true" outlineLevel="0" collapsed="false">
      <c r="A191" s="8" t="s">
        <v>80</v>
      </c>
      <c r="B191" s="8" t="s">
        <v>65</v>
      </c>
      <c r="C191" s="8" t="s">
        <v>2710</v>
      </c>
      <c r="D191" s="8"/>
      <c r="E191" s="8"/>
      <c r="F191" s="8" t="s">
        <v>2732</v>
      </c>
      <c r="G191" s="8" t="s">
        <v>2712</v>
      </c>
    </row>
    <row r="192" customFormat="false" ht="41.25" hidden="false" customHeight="true" outlineLevel="0" collapsed="false">
      <c r="A192" s="8" t="s">
        <v>80</v>
      </c>
      <c r="B192" s="8" t="s">
        <v>65</v>
      </c>
      <c r="C192" s="8" t="s">
        <v>2710</v>
      </c>
      <c r="D192" s="8"/>
      <c r="E192" s="8"/>
      <c r="F192" s="8" t="s">
        <v>2733</v>
      </c>
      <c r="G192" s="8" t="s">
        <v>2712</v>
      </c>
    </row>
    <row r="193" customFormat="false" ht="41.25" hidden="false" customHeight="true" outlineLevel="0" collapsed="false">
      <c r="A193" s="8" t="s">
        <v>80</v>
      </c>
      <c r="B193" s="8" t="s">
        <v>65</v>
      </c>
      <c r="C193" s="8" t="s">
        <v>2710</v>
      </c>
      <c r="D193" s="8"/>
      <c r="E193" s="8"/>
      <c r="F193" s="8" t="s">
        <v>2734</v>
      </c>
      <c r="G193" s="8" t="s">
        <v>2712</v>
      </c>
    </row>
    <row r="194" customFormat="false" ht="41.25" hidden="false" customHeight="true" outlineLevel="0" collapsed="false">
      <c r="A194" s="8" t="s">
        <v>80</v>
      </c>
      <c r="B194" s="8" t="s">
        <v>1853</v>
      </c>
      <c r="C194" s="8" t="s">
        <v>2735</v>
      </c>
      <c r="D194" s="8"/>
      <c r="E194" s="8"/>
      <c r="F194" s="8" t="s">
        <v>2711</v>
      </c>
      <c r="G194" s="8" t="s">
        <v>2736</v>
      </c>
    </row>
    <row r="195" customFormat="false" ht="41.25" hidden="false" customHeight="true" outlineLevel="0" collapsed="false">
      <c r="A195" s="8" t="s">
        <v>80</v>
      </c>
      <c r="B195" s="8" t="s">
        <v>1910</v>
      </c>
      <c r="C195" s="8" t="s">
        <v>2735</v>
      </c>
      <c r="D195" s="8"/>
      <c r="E195" s="8"/>
      <c r="F195" s="8" t="s">
        <v>2737</v>
      </c>
      <c r="G195" s="8" t="s">
        <v>2736</v>
      </c>
    </row>
    <row r="196" customFormat="false" ht="41.25" hidden="false" customHeight="true" outlineLevel="0" collapsed="false">
      <c r="A196" s="8" t="s">
        <v>80</v>
      </c>
      <c r="B196" s="8" t="s">
        <v>1998</v>
      </c>
      <c r="C196" s="8" t="s">
        <v>2735</v>
      </c>
      <c r="D196" s="8"/>
      <c r="E196" s="8"/>
      <c r="F196" s="8" t="s">
        <v>2738</v>
      </c>
      <c r="G196" s="8" t="s">
        <v>2736</v>
      </c>
    </row>
    <row r="197" customFormat="false" ht="41.25" hidden="false" customHeight="true" outlineLevel="0" collapsed="false">
      <c r="A197" s="8" t="s">
        <v>80</v>
      </c>
      <c r="B197" s="8" t="s">
        <v>2052</v>
      </c>
      <c r="C197" s="8" t="s">
        <v>2735</v>
      </c>
      <c r="D197" s="8"/>
      <c r="E197" s="8"/>
      <c r="F197" s="8" t="s">
        <v>2715</v>
      </c>
      <c r="G197" s="8" t="s">
        <v>2736</v>
      </c>
    </row>
    <row r="198" customFormat="false" ht="41.25" hidden="false" customHeight="true" outlineLevel="0" collapsed="false">
      <c r="A198" s="8" t="s">
        <v>80</v>
      </c>
      <c r="B198" s="8" t="s">
        <v>2090</v>
      </c>
      <c r="C198" s="8" t="s">
        <v>2735</v>
      </c>
      <c r="D198" s="8"/>
      <c r="E198" s="8"/>
      <c r="F198" s="8" t="s">
        <v>2739</v>
      </c>
      <c r="G198" s="8" t="s">
        <v>2736</v>
      </c>
    </row>
    <row r="199" customFormat="false" ht="41.25" hidden="false" customHeight="true" outlineLevel="0" collapsed="false">
      <c r="A199" s="8" t="s">
        <v>80</v>
      </c>
      <c r="B199" s="8" t="s">
        <v>2099</v>
      </c>
      <c r="C199" s="8" t="s">
        <v>2735</v>
      </c>
      <c r="D199" s="8"/>
      <c r="E199" s="8"/>
      <c r="F199" s="8" t="s">
        <v>2740</v>
      </c>
      <c r="G199" s="8" t="s">
        <v>2736</v>
      </c>
    </row>
    <row r="200" customFormat="false" ht="41.25" hidden="false" customHeight="true" outlineLevel="0" collapsed="false">
      <c r="A200" s="8" t="s">
        <v>80</v>
      </c>
      <c r="B200" s="8" t="s">
        <v>2108</v>
      </c>
      <c r="C200" s="8" t="s">
        <v>2735</v>
      </c>
      <c r="D200" s="8"/>
      <c r="E200" s="8"/>
      <c r="F200" s="8" t="s">
        <v>2741</v>
      </c>
      <c r="G200" s="8" t="s">
        <v>2736</v>
      </c>
    </row>
    <row r="201" customFormat="false" ht="41.25" hidden="false" customHeight="true" outlineLevel="0" collapsed="false">
      <c r="A201" s="8" t="s">
        <v>80</v>
      </c>
      <c r="B201" s="8" t="s">
        <v>1586</v>
      </c>
      <c r="C201" s="8" t="s">
        <v>2735</v>
      </c>
      <c r="D201" s="8"/>
      <c r="E201" s="8"/>
      <c r="F201" s="8" t="s">
        <v>2742</v>
      </c>
      <c r="G201" s="8" t="s">
        <v>2736</v>
      </c>
    </row>
    <row r="202" customFormat="false" ht="41.25" hidden="false" customHeight="true" outlineLevel="0" collapsed="false">
      <c r="A202" s="8" t="s">
        <v>80</v>
      </c>
      <c r="B202" s="8" t="s">
        <v>2153</v>
      </c>
      <c r="C202" s="8" t="s">
        <v>2735</v>
      </c>
      <c r="D202" s="8"/>
      <c r="E202" s="8"/>
      <c r="F202" s="8" t="s">
        <v>2743</v>
      </c>
      <c r="G202" s="8" t="s">
        <v>2736</v>
      </c>
    </row>
    <row r="203" customFormat="false" ht="41.25" hidden="false" customHeight="true" outlineLevel="0" collapsed="false">
      <c r="A203" s="8" t="s">
        <v>80</v>
      </c>
      <c r="B203" s="8" t="s">
        <v>2178</v>
      </c>
      <c r="C203" s="8" t="s">
        <v>2735</v>
      </c>
      <c r="D203" s="8"/>
      <c r="E203" s="8"/>
      <c r="F203" s="8" t="s">
        <v>2744</v>
      </c>
      <c r="G203" s="8" t="s">
        <v>2736</v>
      </c>
    </row>
    <row r="204" customFormat="false" ht="28.5" hidden="false" customHeight="true" outlineLevel="0" collapsed="false">
      <c r="A204" s="8" t="s">
        <v>80</v>
      </c>
      <c r="B204" s="8" t="s">
        <v>2194</v>
      </c>
      <c r="C204" s="8" t="s">
        <v>2735</v>
      </c>
      <c r="D204" s="8"/>
      <c r="E204" s="8"/>
      <c r="F204" s="8" t="s">
        <v>2745</v>
      </c>
      <c r="G204" s="8" t="s">
        <v>2736</v>
      </c>
    </row>
    <row r="205" customFormat="false" ht="41.25" hidden="false" customHeight="true" outlineLevel="0" collapsed="false">
      <c r="A205" s="8" t="s">
        <v>80</v>
      </c>
      <c r="B205" s="8" t="s">
        <v>2203</v>
      </c>
      <c r="C205" s="8" t="s">
        <v>2735</v>
      </c>
      <c r="D205" s="8"/>
      <c r="E205" s="8"/>
      <c r="F205" s="8" t="s">
        <v>2746</v>
      </c>
      <c r="G205" s="8" t="s">
        <v>2736</v>
      </c>
    </row>
    <row r="206" customFormat="false" ht="41.25" hidden="false" customHeight="true" outlineLevel="0" collapsed="false">
      <c r="A206" s="8" t="s">
        <v>80</v>
      </c>
      <c r="B206" s="8" t="s">
        <v>65</v>
      </c>
      <c r="C206" s="8" t="s">
        <v>2735</v>
      </c>
      <c r="D206" s="8"/>
      <c r="E206" s="8"/>
      <c r="F206" s="8" t="s">
        <v>2747</v>
      </c>
      <c r="G206" s="8" t="s">
        <v>2736</v>
      </c>
    </row>
    <row r="207" customFormat="false" ht="41.25" hidden="false" customHeight="true" outlineLevel="0" collapsed="false">
      <c r="A207" s="8" t="s">
        <v>80</v>
      </c>
      <c r="B207" s="8" t="s">
        <v>65</v>
      </c>
      <c r="C207" s="8" t="s">
        <v>2735</v>
      </c>
      <c r="D207" s="8"/>
      <c r="E207" s="8"/>
      <c r="F207" s="8" t="s">
        <v>2748</v>
      </c>
      <c r="G207" s="8" t="s">
        <v>2736</v>
      </c>
    </row>
    <row r="208" customFormat="false" ht="41.25" hidden="false" customHeight="true" outlineLevel="0" collapsed="false">
      <c r="A208" s="8" t="s">
        <v>80</v>
      </c>
      <c r="B208" s="8" t="s">
        <v>65</v>
      </c>
      <c r="C208" s="8" t="s">
        <v>2735</v>
      </c>
      <c r="D208" s="8"/>
      <c r="E208" s="8"/>
      <c r="F208" s="8" t="s">
        <v>2749</v>
      </c>
      <c r="G208" s="8" t="s">
        <v>2736</v>
      </c>
    </row>
    <row r="209" customFormat="false" ht="41.25" hidden="false" customHeight="true" outlineLevel="0" collapsed="false">
      <c r="A209" s="8" t="s">
        <v>80</v>
      </c>
      <c r="B209" s="8" t="s">
        <v>65</v>
      </c>
      <c r="C209" s="8" t="s">
        <v>2735</v>
      </c>
      <c r="D209" s="8"/>
      <c r="E209" s="8"/>
      <c r="F209" s="8" t="s">
        <v>2750</v>
      </c>
      <c r="G209" s="8" t="s">
        <v>2736</v>
      </c>
    </row>
    <row r="210" customFormat="false" ht="41.25" hidden="false" customHeight="true" outlineLevel="0" collapsed="false">
      <c r="A210" s="8" t="s">
        <v>80</v>
      </c>
      <c r="B210" s="8" t="s">
        <v>65</v>
      </c>
      <c r="C210" s="8" t="s">
        <v>2735</v>
      </c>
      <c r="D210" s="8"/>
      <c r="E210" s="8"/>
      <c r="F210" s="8" t="s">
        <v>2751</v>
      </c>
      <c r="G210" s="8" t="s">
        <v>2736</v>
      </c>
    </row>
    <row r="211" customFormat="false" ht="41.25" hidden="false" customHeight="true" outlineLevel="0" collapsed="false">
      <c r="A211" s="8" t="s">
        <v>80</v>
      </c>
      <c r="B211" s="8" t="s">
        <v>65</v>
      </c>
      <c r="C211" s="8" t="s">
        <v>2735</v>
      </c>
      <c r="D211" s="8"/>
      <c r="E211" s="8"/>
      <c r="F211" s="8" t="s">
        <v>2729</v>
      </c>
      <c r="G211" s="8" t="s">
        <v>2736</v>
      </c>
    </row>
    <row r="212" customFormat="false" ht="15.75" hidden="false" customHeight="true" outlineLevel="0" collapsed="false">
      <c r="A212" s="8" t="s">
        <v>2752</v>
      </c>
      <c r="B212" s="8" t="s">
        <v>2398</v>
      </c>
      <c r="C212" s="8" t="s">
        <v>2582</v>
      </c>
      <c r="D212" s="8"/>
      <c r="E212" s="8"/>
      <c r="F212" s="8" t="s">
        <v>2753</v>
      </c>
      <c r="G212" s="8" t="s">
        <v>2754</v>
      </c>
    </row>
    <row r="213" customFormat="false" ht="15.75" hidden="false" customHeight="true" outlineLevel="0" collapsed="false">
      <c r="A213" s="8" t="s">
        <v>2752</v>
      </c>
      <c r="B213" s="8" t="s">
        <v>2401</v>
      </c>
      <c r="C213" s="8" t="s">
        <v>2582</v>
      </c>
      <c r="D213" s="8"/>
      <c r="E213" s="8"/>
      <c r="F213" s="8" t="s">
        <v>2753</v>
      </c>
      <c r="G213" s="8" t="s">
        <v>2754</v>
      </c>
    </row>
    <row r="214" customFormat="false" ht="15.75" hidden="false" customHeight="true" outlineLevel="0" collapsed="false">
      <c r="A214" s="8" t="s">
        <v>2752</v>
      </c>
      <c r="B214" s="8" t="s">
        <v>2493</v>
      </c>
      <c r="C214" s="8" t="s">
        <v>2582</v>
      </c>
      <c r="D214" s="8"/>
      <c r="E214" s="8"/>
      <c r="F214" s="8" t="s">
        <v>2753</v>
      </c>
      <c r="G214" s="8" t="s">
        <v>2754</v>
      </c>
    </row>
    <row r="215" customFormat="false" ht="15.75" hidden="false" customHeight="true" outlineLevel="0" collapsed="false">
      <c r="A215" s="8" t="s">
        <v>2752</v>
      </c>
      <c r="B215" s="8" t="s">
        <v>2495</v>
      </c>
      <c r="C215" s="8" t="s">
        <v>2582</v>
      </c>
      <c r="D215" s="8"/>
      <c r="E215" s="8"/>
      <c r="F215" s="8" t="s">
        <v>2753</v>
      </c>
      <c r="G215" s="8" t="s">
        <v>2754</v>
      </c>
    </row>
    <row r="216" customFormat="false" ht="15.75" hidden="false" customHeight="true" outlineLevel="0" collapsed="false">
      <c r="A216" s="8" t="s">
        <v>2752</v>
      </c>
      <c r="B216" s="8" t="s">
        <v>2498</v>
      </c>
      <c r="C216" s="8" t="s">
        <v>2582</v>
      </c>
      <c r="D216" s="8"/>
      <c r="E216" s="8"/>
      <c r="F216" s="8" t="s">
        <v>2753</v>
      </c>
      <c r="G216" s="8" t="s">
        <v>2754</v>
      </c>
    </row>
    <row r="217" customFormat="false" ht="15.75" hidden="false" customHeight="true" outlineLevel="0" collapsed="false">
      <c r="A217" s="8" t="s">
        <v>2752</v>
      </c>
      <c r="B217" s="8" t="s">
        <v>2500</v>
      </c>
      <c r="C217" s="8" t="s">
        <v>2582</v>
      </c>
      <c r="D217" s="8"/>
      <c r="E217" s="8"/>
      <c r="F217" s="8" t="s">
        <v>2753</v>
      </c>
      <c r="G217" s="8" t="s">
        <v>2754</v>
      </c>
    </row>
    <row r="218" customFormat="false" ht="15.75" hidden="false" customHeight="true" outlineLevel="0" collapsed="false">
      <c r="A218" s="8" t="s">
        <v>2752</v>
      </c>
      <c r="B218" s="8" t="s">
        <v>2503</v>
      </c>
      <c r="C218" s="8" t="s">
        <v>2582</v>
      </c>
      <c r="D218" s="8"/>
      <c r="E218" s="8"/>
      <c r="F218" s="8" t="s">
        <v>2753</v>
      </c>
      <c r="G218" s="8" t="s">
        <v>2754</v>
      </c>
    </row>
    <row r="219" customFormat="false" ht="15.75" hidden="false" customHeight="true" outlineLevel="0" collapsed="false">
      <c r="A219" s="8" t="s">
        <v>2752</v>
      </c>
      <c r="B219" s="8" t="s">
        <v>2453</v>
      </c>
      <c r="C219" s="8" t="s">
        <v>2582</v>
      </c>
      <c r="D219" s="8"/>
      <c r="E219" s="8"/>
      <c r="F219" s="8" t="s">
        <v>2753</v>
      </c>
      <c r="G219" s="8" t="s">
        <v>2754</v>
      </c>
    </row>
    <row r="220" customFormat="false" ht="15.75" hidden="false" customHeight="true" outlineLevel="0" collapsed="false">
      <c r="A220" s="8" t="s">
        <v>2752</v>
      </c>
      <c r="B220" s="8" t="s">
        <v>2429</v>
      </c>
      <c r="C220" s="8" t="s">
        <v>2582</v>
      </c>
      <c r="D220" s="8"/>
      <c r="E220" s="8"/>
      <c r="F220" s="8" t="s">
        <v>2753</v>
      </c>
      <c r="G220" s="8" t="s">
        <v>2754</v>
      </c>
    </row>
    <row r="221" customFormat="false" ht="15.75" hidden="false" customHeight="true" outlineLevel="0" collapsed="false">
      <c r="A221" s="8" t="s">
        <v>2752</v>
      </c>
      <c r="B221" s="8" t="s">
        <v>2432</v>
      </c>
      <c r="C221" s="8" t="s">
        <v>2582</v>
      </c>
      <c r="D221" s="8"/>
      <c r="E221" s="8"/>
      <c r="F221" s="8" t="s">
        <v>2753</v>
      </c>
      <c r="G221" s="8" t="s">
        <v>2754</v>
      </c>
    </row>
    <row r="222" customFormat="false" ht="15.75" hidden="false" customHeight="true" outlineLevel="0" collapsed="false">
      <c r="A222" s="8" t="s">
        <v>2752</v>
      </c>
      <c r="B222" s="8" t="s">
        <v>2435</v>
      </c>
      <c r="C222" s="8" t="s">
        <v>2582</v>
      </c>
      <c r="D222" s="8"/>
      <c r="E222" s="8"/>
      <c r="F222" s="8" t="s">
        <v>2753</v>
      </c>
      <c r="G222" s="8" t="s">
        <v>2754</v>
      </c>
    </row>
    <row r="223" customFormat="false" ht="15.75" hidden="false" customHeight="true" outlineLevel="0" collapsed="false">
      <c r="A223" s="8" t="s">
        <v>2752</v>
      </c>
      <c r="B223" s="8" t="s">
        <v>2438</v>
      </c>
      <c r="C223" s="8" t="s">
        <v>2582</v>
      </c>
      <c r="D223" s="8"/>
      <c r="E223" s="8"/>
      <c r="F223" s="8" t="s">
        <v>2753</v>
      </c>
      <c r="G223" s="8" t="s">
        <v>2754</v>
      </c>
    </row>
    <row r="224" customFormat="false" ht="15.75" hidden="false" customHeight="true" outlineLevel="0" collapsed="false">
      <c r="A224" s="8" t="s">
        <v>2752</v>
      </c>
      <c r="B224" s="8" t="s">
        <v>2440</v>
      </c>
      <c r="C224" s="8" t="s">
        <v>2582</v>
      </c>
      <c r="D224" s="8"/>
      <c r="E224" s="8"/>
      <c r="F224" s="8" t="s">
        <v>2753</v>
      </c>
      <c r="G224" s="8" t="s">
        <v>2754</v>
      </c>
    </row>
    <row r="225" customFormat="false" ht="15.75" hidden="false" customHeight="true" outlineLevel="0" collapsed="false">
      <c r="A225" s="8" t="s">
        <v>2752</v>
      </c>
      <c r="B225" s="8" t="s">
        <v>2465</v>
      </c>
      <c r="C225" s="8" t="s">
        <v>2582</v>
      </c>
      <c r="D225" s="8"/>
      <c r="E225" s="8"/>
      <c r="F225" s="8" t="s">
        <v>2753</v>
      </c>
      <c r="G225" s="8" t="s">
        <v>2754</v>
      </c>
    </row>
    <row r="226" customFormat="false" ht="15.75" hidden="false" customHeight="true" outlineLevel="0" collapsed="false">
      <c r="A226" s="8" t="s">
        <v>2752</v>
      </c>
      <c r="B226" s="8" t="s">
        <v>2755</v>
      </c>
      <c r="C226" s="8" t="s">
        <v>2756</v>
      </c>
      <c r="D226" s="8"/>
      <c r="E226" s="8"/>
      <c r="F226" s="8" t="s">
        <v>2757</v>
      </c>
      <c r="G226" s="8" t="s">
        <v>2758</v>
      </c>
    </row>
    <row r="227" customFormat="false" ht="15.75" hidden="false" customHeight="true" outlineLevel="0" collapsed="false">
      <c r="A227" s="8" t="s">
        <v>2752</v>
      </c>
      <c r="B227" s="8" t="s">
        <v>2759</v>
      </c>
      <c r="C227" s="8" t="s">
        <v>2756</v>
      </c>
      <c r="D227" s="8"/>
      <c r="E227" s="8"/>
      <c r="F227" s="8" t="s">
        <v>2757</v>
      </c>
      <c r="G227" s="8" t="s">
        <v>2758</v>
      </c>
    </row>
  </sheetData>
  <autoFilter ref="A1:G2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2026-10-14T04:13:06Z</dcterms:created>
  <dc:creator>openpyxl</dc:creator>
  <dc:description/>
  <dc:language>en-US</dc:language>
  <cp:lastModifiedBy>c-Gavin Hong</cp:lastModifiedBy>
  <dcterms:modified xsi:type="dcterms:W3CDTF">2026-10-14T15:15:39Z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