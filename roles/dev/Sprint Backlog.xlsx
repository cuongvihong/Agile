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1" sheetId="1" r:id="rId5"/>
    <sheet state="visible" name="Sprint Backlog 2" sheetId="2" r:id="rId6"/>
    <sheet state="visible" name="Overview Sprint Backlog 2" sheetId="3" r:id="rId7"/>
    <sheet state="visible" name="Kanban Board Sprint 1" sheetId="4" r:id="rId8"/>
  </sheets>
  <definedNames>
    <definedName hidden="1" localSheetId="1" name="_xlnm._FilterDatabase">'Sprint Backlog 2'!$A$1:$K$71</definedName>
  </definedNames>
  <calcPr/>
</workbook>
</file>

<file path=xl/sharedStrings.xml><?xml version="1.0" encoding="utf-8"?>
<sst xmlns="http://schemas.openxmlformats.org/spreadsheetml/2006/main" count="919" uniqueCount="377">
  <si>
    <t xml:space="preserve"> </t>
  </si>
  <si>
    <t>PBI Ref</t>
  </si>
  <si>
    <t>Task ID</t>
  </si>
  <si>
    <t>Category</t>
  </si>
  <si>
    <t>Task Title</t>
  </si>
  <si>
    <t>Description</t>
  </si>
  <si>
    <t>Assignee</t>
  </si>
  <si>
    <t>Estimate (Hours)</t>
  </si>
  <si>
    <t>Priority</t>
  </si>
  <si>
    <t>Status</t>
  </si>
  <si>
    <t>Definition of Done (DoD)</t>
  </si>
  <si>
    <t>R1</t>
  </si>
  <si>
    <t>PB-05</t>
  </si>
  <si>
    <t>TSK-R1-01</t>
  </si>
  <si>
    <t>Documentation</t>
  </si>
  <si>
    <t>Draft Technical Specification Docx for R1 (Education Account Lifecycle)</t>
  </si>
  <si>
    <t>Write detailed .docx specification covering business flows for account creation/activation at age 7 and closing/transfer to CPF at age 16; design account state machine, cron triggers, API specs, and edge cases (citizenship change, leap year birthdays).</t>
  </si>
  <si>
    <t>Kevin,Hugh</t>
  </si>
  <si>
    <t>P1 - High</t>
  </si>
  <si>
    <t>Done</t>
  </si>
  <si>
    <t>Complete .docx file adhering to team standards; includes full Sequence Diagram, State Transition Diagram; reviewed &amp; signed off by BA and Lead.</t>
  </si>
  <si>
    <t>TSK-R1-02</t>
  </si>
  <si>
    <t>Database Refinement</t>
  </si>
  <si>
    <t>Design Data Model &amp; Migrations for Education Account Lifecycle</t>
  </si>
  <si>
    <t>Design data model and database schema for Education Account lifecycle, balance tracking, and status transitions based on technical specification; create migration scripts with rollback support.</t>
  </si>
  <si>
    <t xml:space="preserve"> Hugh</t>
  </si>
  <si>
    <t>Database schema reflects technical specification; ERD and Data Dictionary fully updated; migration and rollback scripts tested successfully without errors.</t>
  </si>
  <si>
    <t>TSK-R1-03</t>
  </si>
  <si>
    <t>Backend Core</t>
  </si>
  <si>
    <t>Build Scheduled Job to automatically create &amp; activate accounts at age 7</t>
  </si>
  <si>
    <t>Implement scheduled background job periodically scanning eligible Singapore citizen students turning 7 based on date of birth; initialize Education Account records with active status and zero balance according to business rules.</t>
  </si>
  <si>
    <t>Kevin</t>
  </si>
  <si>
    <t>P2 - Medium</t>
  </si>
  <si>
    <t>Processing logic accurate by date of birth; idempotent execution (no duplicates on re-run); Unit Test coverage &gt;= 85%; test cases for edge conditions (non-citizen, under 7 years old).</t>
  </si>
  <si>
    <t>PB-16</t>
  </si>
  <si>
    <t>TSK-R1-04</t>
  </si>
  <si>
    <t>Build Scheduled Job to automatically close accounts &amp; transfer settlement to CPF at age 16</t>
  </si>
  <si>
    <t>Implement scheduled job checking accounts turning 16: verify no pending transactions or unsettled debts, transition status to closed, and log settlement transfer to CPF system.</t>
  </si>
  <si>
    <t>Account transitions to closed status, redundant balance sent to CPF; comprehensive audit logging; new transactions blocked on closed accounts</t>
  </si>
  <si>
    <t>TSK-R1-05</t>
  </si>
  <si>
    <t>Backend / API</t>
  </si>
  <si>
    <t>Build Wallet CRUD APIs (create, credit, debit, update status, and get wallet) &amp; Wallet Transaction functionality to handle wallet behavior, including APIs to retrieve and reverse transactions.</t>
  </si>
  <si>
    <t>Implement Wallet APIs to manage wallet lifecycle and balance operations, including creating wallets, crediting and debiting balances, updating wallet status, and retrieving wallet information.
Implement Wallet Transaction functionality to handle wallet-related transactions, ensure proper transaction processing, and provide APIs to retrieve transaction history and reverse transactions when needed.</t>
  </si>
  <si>
    <t>Transactions using the education account must follow business rules; valid Singapore citizen accounts verified; balance deducted accurately with atomic rollback on failure; full transaction logging; Unit Test coverage &gt;= 85%.</t>
  </si>
  <si>
    <t>R3</t>
  </si>
  <si>
    <t>PB-02</t>
  </si>
  <si>
    <t>TSK-R3-01</t>
  </si>
  <si>
    <t>Draft Technical Specification Docx for R3 (Master Data &amp; Fee Management)</t>
  </si>
  <si>
    <t>Write detailed .docx specification covering school hierarchy (School, Level/Cohort, Class, Student), RBAC permissions matrix (MOE HQ vs School User), and fee structure/components (tuition, miscellaneous fees, optional GST).</t>
  </si>
  <si>
    <t>Nito, Tyson</t>
  </si>
  <si>
    <t>Complete .docx document adhering to team standards; includes ER diagrams, role permission matrix, and fee calculation flow; reviewed and approved by PO and Dev Lead.</t>
  </si>
  <si>
    <t>TSK-R3-02</t>
  </si>
  <si>
    <t>Design Data Model &amp; Migrations for School Master Data &amp; Fee Catalog</t>
  </si>
  <si>
    <t>Design data model and database schema for school organization master data and fee catalog based on technical specification; establish composite indexing, constraints, and migration scripts with rollback.</t>
  </si>
  <si>
    <t>Database schema verified against master data and fee requirements; ERD and Data Dictionary finalized; migration and rollback scripts execute smoothly.</t>
  </si>
  <si>
    <t>TSK-R3-03</t>
  </si>
  <si>
    <t>Build Master Data CRUD APIs (School, Level, Class, Student) and RBAC Guard</t>
  </si>
  <si>
    <t>Develop master data management APIs for schools, levels, classes, and students; integrate RBAC guard ensuring MOE HQ has broad management access while School users are restricted to their permitted school scope.</t>
  </si>
  <si>
    <t>100% pass on cross-authorization security tests (School User cannot modify other schools); strict API validation via DTO; code review achieves 2 approvals.</t>
  </si>
  <si>
    <t>PB-12</t>
  </si>
  <si>
    <t>TSK-R3-04</t>
  </si>
  <si>
    <t>Build Fee Type Configuration Module &amp; Student Charge Generation</t>
  </si>
  <si>
    <t>Build backend service allowing configuration of fee types with reusable fee components, and generate payable student charges per cohort/class according to business rules.</t>
  </si>
  <si>
    <t>Total calculation and fee component breakdown logic strictly accurate without rounding discrepancies; supports batch charge insertion; Unit Test coverage &gt;= 85%.</t>
  </si>
  <si>
    <t>PB-03</t>
  </si>
  <si>
    <t>TSK-R3-05</t>
  </si>
  <si>
    <t>Frontend / UI</t>
  </si>
  <si>
    <t>Build School Management &amp; Fee Configuration UI (Admin Portal)</t>
  </si>
  <si>
    <t>Build data table UI for School, Class, Student management and Fee Type configuration forms on Admin Portal; integrate permissions to show/hide action buttons based on HQ / School roles.</t>
  </si>
  <si>
    <t>UI complies with Design System; responsive layout; intuitive error/success feedback; client-side role rendering tests pass.</t>
  </si>
  <si>
    <t>R8</t>
  </si>
  <si>
    <t>PB-06</t>
  </si>
  <si>
    <t>TSK-R8-01</t>
  </si>
  <si>
    <t>Draft Technical Specification Docx for R8 (Singpass Auth &amp; Parent Portal)</t>
  </si>
  <si>
    <t>Write detailed .docx specification covering Singpass OIDC auth flow, Parent-Child Relationship Mapping architecture, PII security/encryption, API specs, and profile update rules.</t>
  </si>
  <si>
    <t>Ryan, Nathan</t>
  </si>
  <si>
    <t>Complete .docx file with OIDC authentication flow and Authorize Access Token sequence; clearly defines editable vs read-only fields; approved by Security and Lead.</t>
  </si>
  <si>
    <t>PB-07</t>
  </si>
  <si>
    <t>TSK-R8-02</t>
  </si>
  <si>
    <t>Design Data Model &amp; Migrations for Parents, Child Linkage, and Audit Log</t>
  </si>
  <si>
    <t>Design data model and database schema for parent profiles, parent-child linkages, and profile change audit logs based on technical specification; apply indexing and encryption on sensitive personal data (PII).</t>
  </si>
  <si>
    <t>Migration script executes flawlessly; sensitive fields equipped with audit log schema; consistent foreign keys and constraints.</t>
  </si>
  <si>
    <t>TSK-R8-03</t>
  </si>
  <si>
    <t>Backend / Auth</t>
  </si>
  <si>
    <t>Integrate Singpass Authentication (Mock/Sandbox) &amp; Parent-Student Authorization</t>
  </si>
  <si>
    <t>Build service handling Singpass Auth callback, issuing Session JWT tokens; implement Parent Authorization middleware ensuring parents can access data only of legitimately linked students.</t>
  </si>
  <si>
    <t>Successful login via sandbox; IDOR vulnerability strictly prevented (no unauthorized access to other parents' children); comprehensive Unit &amp; Integration Tests.</t>
  </si>
  <si>
    <t>PB-08</t>
  </si>
  <si>
    <t>TSK-R8-04</t>
  </si>
  <si>
    <t>Build API for Account Details &amp; Parent Profile Update</t>
  </si>
  <si>
    <t>Build APIs for parents to view linked child Education Account balance and recent transactions, and update authorized personal contact details with change audit logs.</t>
  </si>
  <si>
    <t>API returns correct schema for balance/transaction history; profile update API validates standard Singapore formats; full old_value/new_value stored in audit log.</t>
  </si>
  <si>
    <t>PB-15</t>
  </si>
  <si>
    <t>TSK-R8-05</t>
  </si>
  <si>
    <t>Build e-Service Portal UI: Account Dashboard &amp; Profile Management</t>
  </si>
  <si>
    <t>Develop UI on Parent e-Service Portal: Child selector screen, Education Account balance widget, transaction history table, and profile update on screen with client-side validation.</t>
  </si>
  <si>
    <t>Clean, responsive UI on multiple devices; handles Loading/Empty/Error states seamlessly; successful API integration.</t>
  </si>
  <si>
    <t>R9</t>
  </si>
  <si>
    <t>PB-09</t>
  </si>
  <si>
    <t>TSK-R9-01</t>
  </si>
  <si>
    <t>Draft Technical Specification Docx for R9 (Payment Engine &amp; Outstanding Dues)</t>
  </si>
  <si>
    <t>Write detailed .docx specification covering end-to-end payment flows: Dues lookup; Payment via Education Account (internal balance deduction); Online Payment Gateway (sandbox flow, webhook callbacks, idempotency key).</t>
  </si>
  <si>
    <t>Lucas, Arthur</t>
  </si>
  <si>
    <t>Standardized .docx specification with Sequence Diagrams for both payment methods; payment error code table; network failure rollback scenarios; approved by BA and Lead.</t>
  </si>
  <si>
    <t>PB-10</t>
  </si>
  <si>
    <t>TSK-R9-02</t>
  </si>
  <si>
    <t>Design Data Model &amp; Migrations for Transaction Management &amp; Payment Gateway</t>
  </si>
  <si>
    <t>Design data model and database schema for invoices, invoice line items, and payment transactions based on technical specification; add idempotency keys, transaction locking, and status audit logs.</t>
  </si>
  <si>
    <t>Migration script completed; verified ACID integrity constraints; locking mechanism prevents race conditions during concurrent payments; detailed Data Dictionary.</t>
  </si>
  <si>
    <t>TSK-R9-03</t>
  </si>
  <si>
    <t>Build API for Outstanding Dues &amp; Payment Logic using Education Account</t>
  </si>
  <si>
    <t>API to retrieve outstanding fees by child; implement payment transaction via Education Account: check available balance, deduct balance, update dues status to PAID, and record ledger within a single database transaction.</t>
  </si>
  <si>
    <t>Transactions adhere to ACID and prevent race conditions (Pessimistic Locking); zero instances of balance deducted without invoice update; Unit Test coverage &gt;= 90%.</t>
  </si>
  <si>
    <t>PB-11</t>
  </si>
  <si>
    <t>TSK-R9-04</t>
  </si>
  <si>
    <t>Backend / Integration</t>
  </si>
  <si>
    <t>Integrate Online Payment Gateway (Sandbox Gateway &amp; Webhook)</t>
  </si>
  <si>
    <t>Build service connecting online payment gateway (Sandbox API): initiate payment session, receive &amp; verify webhook callbacks via HMAC signature, and auto-reconcile outstanding dues.</t>
  </si>
  <si>
    <t>Webhook verified with secure signature; webhook retry mechanism handled idempotently without duplicate charges; comprehensive reconciliation logs.</t>
  </si>
  <si>
    <t>TSK-R9-05</t>
  </si>
  <si>
    <t>Build e-Service Portal UI: Outstanding Dues Lookup &amp; Checkout Flow</t>
  </si>
  <si>
    <t>Develop UI displaying outstanding charges, invoice selection, payment method selection (Education Account or Online Gateway), confirmation modal, and payment receipt view.</t>
  </si>
  <si>
    <t>Seamless checkout flow; submit button disabled against double clicks; clear error handling for insufficient funds; printable/downloadable PDF payment receipt.</t>
  </si>
  <si>
    <t>R4</t>
  </si>
  <si>
    <t>PB-25</t>
  </si>
  <si>
    <t>TSK-R4-01</t>
  </si>
  <si>
    <t>AI/ML</t>
  </si>
  <si>
    <t>Research document for rule-based</t>
  </si>
  <si>
    <t>Research in MOE FAS system, identify characteristics in Singapore society including: avg income, minimum expense for living, health care,..</t>
  </si>
  <si>
    <t>Christian</t>
  </si>
  <si>
    <t>P2-Medium</t>
  </si>
  <si>
    <t>Having a static rule-based inspired by society characters</t>
  </si>
  <si>
    <t>TSK-R4-02</t>
  </si>
  <si>
    <t>Build demo static rule-based</t>
  </si>
  <si>
    <t>Building python to test for score outcomes</t>
  </si>
  <si>
    <t xml:space="preserve">Handle unexpected pre-defined secenarios such as fake old, </t>
  </si>
  <si>
    <t xml:space="preserve">R4 </t>
  </si>
  <si>
    <t>TSK-R4-03</t>
  </si>
  <si>
    <t>Synthetic data generate</t>
  </si>
  <si>
    <t>Base-knowledge for simulate income data</t>
  </si>
  <si>
    <t>Build in rules for synthetic data generation and having 100_000 samples</t>
  </si>
  <si>
    <t>Note</t>
  </si>
  <si>
    <t>US-004</t>
  </si>
  <si>
    <t>Backend</t>
  </si>
  <si>
    <t>Create CPF Service simulation</t>
  </si>
  <si>
    <t>Simulate CPF service behaviour to later on can transfer money to this service as a real use case for later on integrated API</t>
  </si>
  <si>
    <t>3h</t>
  </si>
  <si>
    <t>Low</t>
  </si>
  <si>
    <t>Create only nessecary fields and simulation, not breaking the current system workflow.</t>
  </si>
  <si>
    <t>remaining Education Account funds transferred to CPF after closure</t>
  </si>
  <si>
    <t>Transfer the remaing money in the education account to the CPF, set the balance to 0</t>
  </si>
  <si>
    <t>2h</t>
  </si>
  <si>
    <t>No account with deactivate status should have money in the wallet</t>
  </si>
  <si>
    <t>US-010</t>
  </si>
  <si>
    <t>view financial assistance information for my children</t>
  </si>
  <si>
    <t>Lucas, Christian, Nathan, Ryan, Arthur</t>
  </si>
  <si>
    <t>To do</t>
  </si>
  <si>
    <t>US-018</t>
  </si>
  <si>
    <t>Desgin Create/Update Profile APIs, get Profile Detail API</t>
  </si>
  <si>
    <t>Tyson</t>
  </si>
  <si>
    <t>Personal Information thôi, không liên quan đến School</t>
  </si>
  <si>
    <t>Frontend</t>
  </si>
  <si>
    <t>Design Profile Page, handle require update profile when login for the first time</t>
  </si>
  <si>
    <t>Nito</t>
  </si>
  <si>
    <t>US-026</t>
  </si>
  <si>
    <t>Prview and import academic-year, level and class CSV records</t>
  </si>
  <si>
    <t>Implement bulk create classes for SU</t>
  </si>
  <si>
    <t>1h</t>
  </si>
  <si>
    <t>Medium</t>
  </si>
  <si>
    <t>In progress</t>
  </si>
  <si>
    <t>Academic-years, Academic-levels, Class undone</t>
  </si>
  <si>
    <t>Implement bulk create class page, export .xlxs template</t>
  </si>
  <si>
    <t>US-027</t>
  </si>
  <si>
    <t>Import student records with optional class assignments and see per-row processing outcomes</t>
  </si>
  <si>
    <t>Implement bulk create students for SU</t>
  </si>
  <si>
    <t>Implment bulk create students page, export .xlxs template</t>
  </si>
  <si>
    <t>US-028</t>
  </si>
  <si>
    <t>Create API for search content for the eligible education accounts</t>
  </si>
  <si>
    <t>All the education accounts must can be search by the MOE and the filter should point out exactly all the accounts with the suitable account</t>
  </si>
  <si>
    <t>High</t>
  </si>
  <si>
    <t>Search API returns eligible accounts accurately with filter and pagination support.</t>
  </si>
  <si>
    <t xml:space="preserve">Implement frontend for education accounts list MOE User with search function </t>
  </si>
  <si>
    <t>All the education accounts must be display within 1 page with pagination and filters function showed clearly with UI/UX</t>
  </si>
  <si>
    <t>UI displays account list clearly with pagination, filters, and search functions.</t>
  </si>
  <si>
    <t>Create API Top-up for Education Account</t>
  </si>
  <si>
    <t>Create a working API for top-up function for education accounts with the clean code and consistency in the codebase handling adding money to the education accounts</t>
  </si>
  <si>
    <t>Hugh</t>
  </si>
  <si>
    <t>4h</t>
  </si>
  <si>
    <t>Top-up API successfully credits funds, updates balance, and logs errors properly.</t>
  </si>
  <si>
    <t>Create API to get transaction Top-up</t>
  </si>
  <si>
    <t>Create a working API for transaction of the top-up for education accounts with the clean code and consistency in the codebase handling saving whenever there is a transactions</t>
  </si>
  <si>
    <t>API retrieves top-up transactions with accurate filtering and details.</t>
  </si>
  <si>
    <t>Add new UI for the top-up page</t>
  </si>
  <si>
    <t>Create a seperated UI for top-up page with all the function within must be display clear with good UI/UX and the UI components should be consistent.</t>
  </si>
  <si>
    <t>Top-up UI is fully integrated, validates inputs, and matches design specs.</t>
  </si>
  <si>
    <t>Add table to view transaction Top-up history</t>
  </si>
  <si>
    <t>Create a transaction top-up history table for MOE user to auditing all the transaction, helping the users  can easily view and identified the transaction they made.</t>
  </si>
  <si>
    <t>Transaction history table displays records clearly with sorting and pagination.</t>
  </si>
  <si>
    <t>US-029</t>
  </si>
  <si>
    <t>Create API for the bulk top up campaigns configuration</t>
  </si>
  <si>
    <t>Create an API to handle CRUD for the campaigns configuration, helping the MOE to later on can use these settings without setting up again</t>
  </si>
  <si>
    <t>Bulk campaign configuration CRUD APIs are implemented and validated.</t>
  </si>
  <si>
    <t>Implement frontend to config the bulk top up within the top up UI page</t>
  </si>
  <si>
    <t>Display all the configurations were made by the MOE before with good UI/UX</t>
  </si>
  <si>
    <t>Bulk config UI enables creating and managing campaign filters seamlessly.</t>
  </si>
  <si>
    <t>US-030</t>
  </si>
  <si>
    <t>Preview selected acocunt and forecast top up on selected account</t>
  </si>
  <si>
    <t>Create an API to handle showing education accounts with details after choosing the configuration or filtering the wanted criteria, as well as calculate the total top-up for each account.</t>
  </si>
  <si>
    <t>Preview API returns accurate account list and forecasted top-up totals.</t>
  </si>
  <si>
    <t>Implement selected preview modal to identified wrong criteria or spending if occurs</t>
  </si>
  <si>
    <t>Create a UI modal to display the selected accounts after the configurations or the filter, help the MOE to overview what they chose to identify if there is any wrong information they need to change.</t>
  </si>
  <si>
    <t>Preview modal displays selected accounts and total amount with confirmation flow.</t>
  </si>
  <si>
    <t>US-031</t>
  </si>
  <si>
    <t>Create API for executing bulk top up within the configuration</t>
  </si>
  <si>
    <t>Create an API for multiple top-up at once with multiple Nric requested within the configuration or the filter</t>
  </si>
  <si>
    <t>Bulk top-up API processes multiple NRICs reliably with proper transaction records.</t>
  </si>
  <si>
    <t>Implement frontend and handle bulking logic in UI</t>
  </si>
  <si>
    <t>Implement clean UI for handle bulking function, can choose multiple account or the whole list after configuration settings or filtering the needed account.</t>
  </si>
  <si>
    <t>Bulk execution UI handles multi-select and displays progress and outcome alerts.</t>
  </si>
  <si>
    <t>US-032</t>
  </si>
  <si>
    <t>Create transaction history for individual and bulk</t>
  </si>
  <si>
    <t>Create and handle audit logic so that the MOE user can check the consistency of the system after top-up for individuals as well as multiple education accounts</t>
  </si>
  <si>
    <t>Audit history API records and retrieves individual and bulk operations accurately.</t>
  </si>
  <si>
    <t>Implement the transaction history table to audit the funding allocations and processing outcomes</t>
  </si>
  <si>
    <t>Implement transaction history table with clean UI within the page so that the MOE user can check the consistency of the system after top-up for individuals as well as multiple education accounts</t>
  </si>
  <si>
    <t>Audit table displays funding allocations and processing outcomes clearly.</t>
  </si>
  <si>
    <t>US-034</t>
  </si>
  <si>
    <t>[API] Design Core CRUD Endpoints for Fee Types, Components, and Rate Rules</t>
  </si>
  <si>
    <t>Design Core APIs: Establish the base REST API contracts and database schema for FeeTypes, FeeComponents, and FeeRateRules. Ensure standard CRUD operations are documented via Swagger/OpenAPI.</t>
  </si>
  <si>
    <t>4H</t>
  </si>
  <si>
    <t>Critical</t>
  </si>
  <si>
    <t>Design UI to working with fee-types, fee-components, fee-rate-rules</t>
  </si>
  <si>
    <t>US-035</t>
  </si>
  <si>
    <t>[Security] Implement Tenant Isolation and schoolId Authorization for Fee Configurations</t>
  </si>
  <si>
    <t>Implement Multi-tenant RBAC APIs: Create robust authorization handlers to validate schoolId claims. Enforce strict tenant isolation on POST/PUT endpoints to ensure school users can only create or modify fee-types and fee-components within their authorized scope.</t>
  </si>
  <si>
    <t>Implement UI base on user role to meet the requirement</t>
  </si>
  <si>
    <t>School User can Create Fee-types and Fee-components for their own school by sending their schoolId in the API endpoint</t>
  </si>
  <si>
    <t>US-036</t>
  </si>
  <si>
    <t>[Command] Build Bulk Matrix Generation Logic for Fee Rate Rules</t>
  </si>
  <si>
    <t>Implement Bulk Generation Command: Build a dedicated CQRS Command to accept the two matrix criteria as inputs and programmatically cross-join them to generate the specific fee-rate-rule combinations. Optimize the resulting bulk database inserts</t>
  </si>
  <si>
    <t>Implement Fee Rate Rules Config Page for Fee Component</t>
  </si>
  <si>
    <t>The Rate Rules should be in the matrix format, automatically map 2 criteria to generate each fee-rate-rule</t>
  </si>
  <si>
    <t>US-037</t>
  </si>
  <si>
    <t>[API] Create Initialization Endpoint for Fee Publications</t>
  </si>
  <si>
    <t>Implement Fee Publication Creation Endpoint: Create an endpoint to accept publication metadata and the target scope criteria. Validate the payload and initialize the publication record in the database with a "Draft" or "Pending" state.</t>
  </si>
  <si>
    <t>Implement Create Fee Publication Page</t>
  </si>
  <si>
    <t>Users have to submit basic information and the scope for the batch</t>
  </si>
  <si>
    <t>US-038</t>
  </si>
  <si>
    <t>[Query] Implement Paginated Student Scope Evaluation Preview for Publications</t>
  </si>
  <si>
    <t>Implement Publication Scope Preview Query: Build a read-only endpoint that dynamically evaluates the publication scope against the student database, returning a paginated preview of affected students and their estimated calculated charges before final execution.</t>
  </si>
  <si>
    <t>Implement Fee Publication Result Preview Page</t>
  </si>
  <si>
    <t>Planning</t>
  </si>
  <si>
    <t>US-039</t>
  </si>
  <si>
    <t>[Background Job] Build Async Processor and SignalR Hub for Fee Publishing Status</t>
  </si>
  <si>
    <t>Build the publish endpoint to immediately update the database status to "PROCESSING". Offload the heavy charge calculation and distribution logic to a background processor (e.g., Hangfire or an event-driven worker) and configure a SignalR hub to stream progress tracking percentages back to the client.</t>
  </si>
  <si>
    <t>Implement Publish Button for Fee Publications</t>
  </si>
  <si>
    <t>When click the publish button, the status of batch instantly change to "PROCESSING". Planning on implement realtime loading UI to check the progress</t>
  </si>
  <si>
    <t>US-040</t>
  </si>
  <si>
    <t>[Integration] Develop Student Charge Detail API and Sync with Billing Service</t>
  </si>
  <si>
    <t>Implement Charge Detail &amp; Billing Sync: Create an API to aggregate and serve detailed student charge breakdowns. Implement an integration layer to securely communicate with the internal billing microservice (via HTTP client or message bus) to fetch and sync real-time payment statuses.</t>
  </si>
  <si>
    <t>US-40</t>
  </si>
  <si>
    <t>Implement Student Charge Detail Page</t>
  </si>
  <si>
    <t>The Detail Page should show the real amount of money charged. Planning on integrate with the billing service to check the paying status</t>
  </si>
  <si>
    <t>US-041</t>
  </si>
  <si>
    <t>Implement FAS Application Submission API in E-Service</t>
  </si>
  <si>
    <t>As a Parent, I want to submit an FAS Application for a verified EA-linked child using household and income information, so that the child can be assessed for eligible financial assistance.</t>
  </si>
  <si>
    <t>Source Ref: R10</t>
  </si>
  <si>
    <t>Implement FAS Application Submission Form UI in E-service</t>
  </si>
  <si>
    <t>Arthur</t>
  </si>
  <si>
    <t>Integrated APIs and work normally via UI</t>
  </si>
  <si>
    <t>US-042</t>
  </si>
  <si>
    <t>Implement backend service for School-Submitted FAS Applications</t>
  </si>
  <si>
    <t>As a School User, I want to submit FAS Applications received on paper for any student at my school including those without an EA, so that offline applicants enter the same assessment process.</t>
  </si>
  <si>
    <t>Source Ref: R5</t>
  </si>
  <si>
    <t>Implement UI for School-Submitted FAS Application Form</t>
  </si>
  <si>
    <t>US-043</t>
  </si>
  <si>
    <t>Implement AI-Based OCR to Prefill FAS Application Fields</t>
  </si>
  <si>
    <t>As a School User, I want uploaded paper-form images to prefill selected application fields for my review, so that manual entry is faster without granting authority to unverified OCR values.</t>
  </si>
  <si>
    <t>US-044</t>
  </si>
  <si>
    <t>Database</t>
  </si>
  <si>
    <t>Design schemas for MOE FAS management</t>
  </si>
  <si>
    <t>Design all required tables and fields needed to create/update and retrieve MOE FAS scheme records</t>
  </si>
  <si>
    <t>Ryan</t>
  </si>
  <si>
    <t>6h</t>
  </si>
  <si>
    <t>Migration scripts executes successfully on target SQL Server instance; all tables, constraints, indexes, and sequences are created without errors.</t>
  </si>
  <si>
    <t>Init entities/schemas for MOE FAS</t>
  </si>
  <si>
    <t>Create entities, sql script for db project and seed data script (if needed) for MOE FAS scheme</t>
  </si>
  <si>
    <t>Base entity mapped cleanly to all MOE FAS entities</t>
  </si>
  <si>
    <t>Create mock UI for MOE FAS screen</t>
  </si>
  <si>
    <t>Create components, state handling for MOE FAS scheme list screen</t>
  </si>
  <si>
    <t>Nathan</t>
  </si>
  <si>
    <t>5h</t>
  </si>
  <si>
    <t>UI components and state management for MOE FAS screen are implemented with mock data, matching wireframe specifications.</t>
  </si>
  <si>
    <t>Create Get MOE Scheme Details endpoint</t>
  </si>
  <si>
    <t>Develop the API to fetch scheme details by ID: Retrieve data from moe_fas_schemes, nationalities, configured subsidies and budget details</t>
  </si>
  <si>
    <t>API retrieves full scheme details by ID including scheme info, eligible nationalities, subsidies, and budget summary.</t>
  </si>
  <si>
    <t>Create Get All Active Schemes endpoint</t>
  </si>
  <si>
    <t>Develop the API to retrieve all active schemes: Enforce the query filter WHERE is_deleted = false. Support pagination, sort, and provide basic filtering by status. Return core scheme details with budget summary.</t>
  </si>
  <si>
    <t>API returns active schemes (WHERE is_deleted = false) with functional pagination, sorting, and status filtering.</t>
  </si>
  <si>
    <t>UI: Schemes List Page (Get All &amp; Suspend Integration)</t>
  </si>
  <si>
    <t>Build a Data Table displaying schemes from moe schemes. Add a modal action triggering suspend with a confirmation dialog.</t>
  </si>
  <si>
    <t>Data table correctly renders MOE schemes from API; suspend modal action triggers confirmation dialog and successfully calls suspend endpoint.</t>
  </si>
  <si>
    <t>UI: Scheme Details Modal (Get by ID Integration)</t>
  </si>
  <si>
    <t>Build a detailed view for a scheme by id: Display header overview, current status, Eligible Nationalities card, and Subsidies grid/tabs categorized by Primary, Secondary, and Pre-University.</t>
  </si>
  <si>
    <t>Detailed modal displays complete scheme overview, status, eligible nationalities, and subsidy grids categorized by education stage.</t>
  </si>
  <si>
    <t>US-045</t>
  </si>
  <si>
    <t>Implement UI pages for school user to configure SBFAS</t>
  </si>
  <si>
    <t>As a School User, I want to configure and activate school-owned SBFAS Schemes with free-text eligibility descriptions, so that my school can offer tiered assistance subject to manual review.</t>
  </si>
  <si>
    <t>Source Ref: R6</t>
  </si>
  <si>
    <t>Implement BE for school user to configure SBFAS flow</t>
  </si>
  <si>
    <t>Lucas</t>
  </si>
  <si>
    <t>Source Ref: R7</t>
  </si>
  <si>
    <t>US-046</t>
  </si>
  <si>
    <t>Create Suspend Scheme endpoint</t>
  </si>
  <si>
    <t>Develop the API to transition a scheme's status to SUSPEND. Validate allowed source states (e.g., from OPEN_APPLICATION or DRAFT). Update status = 'SUSPEND' and write an audit log entry recording the timestamp and operator.</t>
  </si>
  <si>
    <t>API validates current state, transitions scheme status to SUSPEND, and creates audit log entry with timestamp and operator.</t>
  </si>
  <si>
    <t>Create insert MOE FAS scheme endpoint for MOE user</t>
  </si>
  <si>
    <t>Develop the API to add a new MOE scheme with all related information: general, eligibility criterias and subsidies for fee components of different academic level</t>
  </si>
  <si>
    <t>API successfully creates new MOE FAS scheme with general info, eligibility criteria, and academic level subsidies.</t>
  </si>
  <si>
    <t>UI: Add button to Suspend Scheme that has APPLICATION_OPEN status, apply rule check before submitting to server</t>
  </si>
  <si>
    <t>Build a flow to check scheme status before sending suspend status request to the server</t>
  </si>
  <si>
    <t>Suspend button displays only for schemes with APPLICATION_OPEN status; checks status rule before sending suspend request to server.</t>
  </si>
  <si>
    <t>UI: Scheme Creation Form (Create Scheme Integration)</t>
  </si>
  <si>
    <t>Build a flow integrated with all necessary components to complete the add MOE schemes flow (name, eff_from, eff_to,...)</t>
  </si>
  <si>
    <t>Scheme creation form integrates all required fields (name, effective dates, eligibility criteria), validates inputs, and submits to backend successfully.</t>
  </si>
  <si>
    <t>US-047</t>
  </si>
  <si>
    <t>Create Add Fee Component endpoint</t>
  </si>
  <si>
    <t>Develop the API to configure/add subsidy fee components: Accept education_stage, fee_component_id, and subsidy_percentage. Enforce the business rule: Only allowed when scheme status is DRAFT or SUSPEND. Validate 0 &lt; subsidy_percentage &lt;= 100 and check for duplicate</t>
  </si>
  <si>
    <t>API adds subsidy fee component with valid percentage (0 &lt; % &lt;= 100), enforces DRAFT/SUSPEND scheme status, and prevents duplicates.</t>
  </si>
  <si>
    <t>Service Integration: API Client for 5 Endpoints</t>
  </si>
  <si>
    <t>Define interfaces/types matching the schema (MoeScheme, Nationality, Subsidy, Budget, SchemeStatus). Implement an API service wrapper covering all 5 endpoints</t>
  </si>
  <si>
    <t>API client service interfaces and typed wrappers for all 5 MOE FAS endpoints are implemented and fully unit-tested.</t>
  </si>
  <si>
    <t>UI: Add Fee Component Modal (Add Fee Component Integration)</t>
  </si>
  <si>
    <t>Build an "Add Fee Component" modal: Select Education Stage, select fee_component_id (dropdown), and enter subsidy_percentage . Disable button/action if scheme is not in DRAFT, PUBLISHED or SUSPEND (with tooltip explaining suspension is required first).</t>
  </si>
  <si>
    <t>Modal properly captures education stage, fee component, and subsidy percentage with validation (0 &lt; % &lt;= 100), enforcing status rules with tooltips.</t>
  </si>
  <si>
    <t>Add fee component subsidy addition endpoint for MOE scheme</t>
  </si>
  <si>
    <t>Complete API, finish business rule check before allow to add fee subsidy for existing MOE FAS schemes</t>
  </si>
  <si>
    <t>API validates business rules and active scheme context before saving fee component subsidy configuration cleanly.</t>
  </si>
  <si>
    <t>Add fee component subsidy screen for MOE FAS scheme</t>
  </si>
  <si>
    <t>Add components, MOE FAS fee component subsidy screen and apply frontend validation rule check before submitting the payloat to backend</t>
  </si>
  <si>
    <t>Fee component subsidy UI screen handles user input, applies frontend validation rules, and dispatches payload to backend properly.</t>
  </si>
  <si>
    <t>Implement UI pages for school user to configure percentage or fixed subsidies by Education Stage and Fee Component</t>
  </si>
  <si>
    <t>As an authorized School User, I want to configure percentage or fixed subsidies by Education Stage and Fee Component, so that supported charges receive the correct capped subsidy without affecting unsupported fees.</t>
  </si>
  <si>
    <t>Implement BE services and databases for school user to configure percentage or fixed subsidies by Education Stage and Fee Component</t>
  </si>
  <si>
    <t>US-048</t>
  </si>
  <si>
    <t>Implement Scheme Assessment Round Budget and Deadline Management</t>
  </si>
  <si>
    <t>As an authorized FAS administrator, I want to establish the available budget and application deadline for scheme assessment rounds, so that grants do not commit funds beyond approved limits.</t>
  </si>
  <si>
    <t>US-049</t>
  </si>
  <si>
    <t>Add logic to automatically assess applications match eligibility criterias</t>
  </si>
  <si>
    <t>Add a function to handle application assessment to reject/accept it, and integrate that function to the application submission flow</t>
  </si>
  <si>
    <t>Assessment logic accurately and automatically evaluates applicant criteria against eligibility rules and budget limits to auto approve or reject.</t>
  </si>
  <si>
    <t>US-050</t>
  </si>
  <si>
    <t>Implement UI for School-Based Scheme Application Review</t>
  </si>
  <si>
    <t>As a School User, I want to review applications not granted through MOEFAS and Grant or Reject a school-based scheme, so that school assistance decisions remain under authorized human control.</t>
  </si>
  <si>
    <t>Implement backend service for School-Based Scheme Application Review</t>
  </si>
  <si>
    <t>US-051</t>
  </si>
  <si>
    <t>Implement Subsidy Calculation and Application for Unpaid Charges</t>
  </si>
  <si>
    <t>As an authorized FAS administrator, I want approved subsidies calculated and applied to supported unpaid charges before their due dates, so that parents pay the correct nonnegative Net Payable while Original Amount stays unchanged.</t>
  </si>
  <si>
    <t>US-052</t>
  </si>
  <si>
    <t>Implement AI-Powered SBFAS Scheme Recommendations</t>
  </si>
  <si>
    <t>As a School User, I want optional AI recommendations of applicable SBFAS schemes, so that I can review applications more efficiently while keeping the grant decision under my control.</t>
  </si>
  <si>
    <t>US-053</t>
  </si>
  <si>
    <t>Add status column in database and add params filter and sort</t>
  </si>
  <si>
    <t>As a parent, I want to filter the outstanding fees by their status; when choose Both option, I want to input my desired amount of EA balance to pay</t>
  </si>
  <si>
    <t xml:space="preserve">These are r9 </t>
  </si>
  <si>
    <t>Add status column in UI table and filter dropdown</t>
  </si>
  <si>
    <t xml:space="preserve"> SPRINT PROGRESS KANBAN BOARD</t>
  </si>
  <si>
    <t>TOTAL TASKS</t>
  </si>
  <si>
    <t>TO DO</t>
  </si>
  <si>
    <t>IN PROGRESS</t>
  </si>
  <si>
    <t>DONE</t>
  </si>
  <si>
    <t>COMPLETION RATE</t>
  </si>
  <si>
    <t>TOTAL HOURS</t>
  </si>
  <si>
    <t>100% of sprint scope</t>
  </si>
  <si>
    <t>Target: 100%</t>
  </si>
  <si>
    <t>Estimated hours (h)</t>
  </si>
  <si>
    <t>Estimate (h)</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</si>
</sst>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1.0"/>
      <color rgb="FFFFFFFF"/>
      <name val="Calibri"/>
    </font>
    <font>
      <sz val="10.0"/>
      <color theme="1"/>
      <name val="Calibri"/>
    </font>
    <font>
      <color theme="1"/>
      <name val="Calibri"/>
    </font>
    <font>
      <color theme="1"/>
      <name val="Calibri"/>
      <scheme val="minor"/>
    </font>
    <font/>
    <font>
      <color rgb="FF1E2B39"/>
      <name val="Arial"/>
    </font>
    <font>
      <color rgb="FF1E2B39"/>
      <name val="Aptos"/>
    </font>
    <font>
      <b/>
      <sz val="13.0"/>
      <color rgb="FFFFFFFF"/>
      <name val="Calibri"/>
      <scheme val="minor"/>
    </font>
    <font>
      <b/>
      <sz val="9.0"/>
      <color rgb="FF4C4C4C"/>
      <name val="Calibri"/>
      <scheme val="minor"/>
    </font>
    <font>
      <b/>
      <sz val="18.0"/>
      <color rgb="FF191919"/>
      <name val="Calibri"/>
      <scheme val="minor"/>
    </font>
    <font>
      <sz val="9.0"/>
      <color rgb="FF666666"/>
      <name val="Calibri"/>
      <scheme val="minor"/>
    </font>
    <font>
      <b/>
      <sz val="11.0"/>
      <color rgb="FFFFFFFF"/>
      <name val="Calibri"/>
      <scheme val="minor"/>
    </font>
    <font>
      <b/>
      <sz val="9.0"/>
      <color rgb="FF92400E"/>
      <name val="Calibri"/>
      <scheme val="minor"/>
    </font>
    <font>
      <b/>
      <sz val="9.0"/>
      <color rgb="FF1E40AE"/>
      <name val="Calibri"/>
      <scheme val="minor"/>
    </font>
    <font>
      <b/>
      <sz val="9.0"/>
      <color rgb="FF156434"/>
      <name val="Calibri"/>
      <scheme val="minor"/>
    </font>
    <font>
      <b/>
      <sz val="9.0"/>
      <color theme="1"/>
      <name val="Calibri"/>
      <scheme val="minor"/>
    </font>
    <font>
      <sz val="9.0"/>
      <color rgb="FF262626"/>
      <name val="Calibri"/>
      <scheme val="minor"/>
    </font>
  </fonts>
  <fills count="19">
    <fill>
      <patternFill patternType="none"/>
    </fill>
    <fill>
      <patternFill patternType="lightGray"/>
    </fill>
    <fill>
      <patternFill patternType="solid">
        <fgColor rgb="FF1F497D"/>
        <bgColor rgb="FF1F497D"/>
      </patternFill>
    </fill>
    <fill>
      <patternFill patternType="solid">
        <fgColor rgb="FFF2F5F9"/>
        <bgColor rgb="FFF2F5F9"/>
      </patternFill>
    </fill>
    <fill>
      <patternFill patternType="solid">
        <fgColor rgb="FFFFFFFF"/>
        <bgColor rgb="FFFFFFFF"/>
      </patternFill>
    </fill>
    <fill>
      <patternFill patternType="solid">
        <fgColor rgb="FF193366"/>
        <bgColor rgb="FF193366"/>
      </patternFill>
    </fill>
    <fill>
      <patternFill patternType="solid">
        <fgColor rgb="FFEDF2F9"/>
        <bgColor rgb="FFEDF2F9"/>
      </patternFill>
    </fill>
    <fill>
      <patternFill patternType="solid">
        <fgColor rgb="FFF9F2E5"/>
        <bgColor rgb="FFF9F2E5"/>
      </patternFill>
    </fill>
    <fill>
      <patternFill patternType="solid">
        <fgColor rgb="FFE5F2F9"/>
        <bgColor rgb="FFE5F2F9"/>
      </patternFill>
    </fill>
    <fill>
      <patternFill patternType="solid">
        <fgColor rgb="FFE5F7EA"/>
        <bgColor rgb="FFE5F7EA"/>
      </patternFill>
    </fill>
    <fill>
      <patternFill patternType="solid">
        <fgColor rgb="FFF2EAF9"/>
        <bgColor rgb="FFF2EAF9"/>
      </patternFill>
    </fill>
    <fill>
      <patternFill patternType="solid">
        <fgColor rgb="FFEFF2F9"/>
        <bgColor rgb="FFEFF2F9"/>
      </patternFill>
    </fill>
    <fill>
      <patternFill patternType="solid">
        <fgColor rgb="FFD97706"/>
        <bgColor rgb="FFD97706"/>
      </patternFill>
    </fill>
    <fill>
      <patternFill patternType="solid">
        <fgColor rgb="FF2462EB"/>
        <bgColor rgb="FF2462EB"/>
      </patternFill>
    </fill>
    <fill>
      <patternFill patternType="solid">
        <fgColor rgb="FF15A249"/>
        <bgColor rgb="FF15A249"/>
      </patternFill>
    </fill>
    <fill>
      <patternFill patternType="solid">
        <fgColor rgb="FFFDF3C6"/>
        <bgColor rgb="FFFDF3C6"/>
      </patternFill>
    </fill>
    <fill>
      <patternFill patternType="solid">
        <fgColor rgb="FFDBEAFD"/>
        <bgColor rgb="FFDBEAFD"/>
      </patternFill>
    </fill>
    <fill>
      <patternFill patternType="solid">
        <fgColor rgb="FFDCFBE7"/>
        <bgColor rgb="FFDCFBE7"/>
      </patternFill>
    </fill>
    <fill>
      <patternFill patternType="solid">
        <fgColor rgb="FFF4FCF7"/>
        <bgColor rgb="FFF4FCF7"/>
      </patternFill>
    </fill>
  </fills>
  <borders count="40">
    <border/>
    <border>
      <left/>
      <right/>
      <top/>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D9D9D9"/>
      </right>
      <top style="thin">
        <color rgb="FFD9D9D9"/>
      </top>
      <bottom style="thin">
        <color rgb="FFD9D9D9"/>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CCCCCC"/>
      </left>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right style="thin">
        <color rgb="FFCCCCCC"/>
      </right>
      <bottom style="thin">
        <color rgb="FFCCCCCC"/>
      </bottom>
    </border>
    <border>
      <left style="medium">
        <color rgb="FFD97706"/>
      </left>
      <top style="medium">
        <color rgb="FFD97706"/>
      </top>
      <bottom style="thin">
        <color rgb="FFEDEDED"/>
      </bottom>
    </border>
    <border>
      <top style="medium">
        <color rgb="FFD97706"/>
      </top>
      <bottom style="thin">
        <color rgb="FFEDEDED"/>
      </bottom>
    </border>
    <border>
      <right style="medium">
        <color rgb="FFD97706"/>
      </right>
      <top style="medium">
        <color rgb="FFD97706"/>
      </top>
      <bottom style="thin">
        <color rgb="FFEDEDED"/>
      </bottom>
    </border>
    <border>
      <left style="medium">
        <color rgb="FF2462EB"/>
      </left>
      <top style="medium">
        <color rgb="FF2462EB"/>
      </top>
      <bottom style="thin">
        <color rgb="FFEDEDED"/>
      </bottom>
    </border>
    <border>
      <top style="medium">
        <color rgb="FF2462EB"/>
      </top>
      <bottom style="thin">
        <color rgb="FFEDEDED"/>
      </bottom>
    </border>
    <border>
      <right style="medium">
        <color rgb="FF2462EB"/>
      </right>
      <top style="medium">
        <color rgb="FF2462EB"/>
      </top>
      <bottom style="thin">
        <color rgb="FFEDEDED"/>
      </bottom>
    </border>
    <border>
      <left style="medium">
        <color rgb="FF15A249"/>
      </left>
      <top style="medium">
        <color rgb="FF15A249"/>
      </top>
      <bottom style="thin">
        <color rgb="FFEDEDED"/>
      </bottom>
    </border>
    <border>
      <top style="medium">
        <color rgb="FF15A249"/>
      </top>
      <bottom style="thin">
        <color rgb="FFEDEDED"/>
      </bottom>
    </border>
    <border>
      <right style="medium">
        <color rgb="FF15A249"/>
      </right>
      <top style="medium">
        <color rgb="FF15A249"/>
      </top>
      <bottom style="thin">
        <color rgb="FFEDEDED"/>
      </bottom>
    </border>
    <border>
      <left style="medium">
        <color rgb="FFD97706"/>
      </left>
      <right style="thin">
        <color rgb="FFEDEDED"/>
      </right>
      <top style="thin">
        <color rgb="FFEDEDED"/>
      </top>
      <bottom style="thin">
        <color rgb="FF000000"/>
      </bottom>
    </border>
    <border>
      <left style="thin">
        <color rgb="FFEDEDED"/>
      </left>
      <right style="thin">
        <color rgb="FFEDEDED"/>
      </right>
      <top style="thin">
        <color rgb="FFEDEDED"/>
      </top>
      <bottom style="thin">
        <color rgb="FF000000"/>
      </bottom>
    </border>
    <border>
      <left style="thin">
        <color rgb="FFEDEDED"/>
      </left>
      <top style="thin">
        <color rgb="FFEDEDED"/>
      </top>
      <bottom style="thin">
        <color rgb="FF000000"/>
      </bottom>
    </border>
    <border>
      <left style="medium">
        <color rgb="FF2462EB"/>
      </left>
      <right style="thin">
        <color rgb="FFEDEDED"/>
      </right>
      <top style="thin">
        <color rgb="FFEDEDED"/>
      </top>
      <bottom style="thin">
        <color rgb="FF000000"/>
      </bottom>
    </border>
    <border>
      <left style="medium">
        <color rgb="FF15A249"/>
      </left>
      <right style="thin">
        <color rgb="FFEDEDED"/>
      </right>
      <top style="thin">
        <color rgb="FFEDEDED"/>
      </top>
      <bottom style="thin">
        <color rgb="FFEDEDED"/>
      </bottom>
    </border>
    <border>
      <left style="thin">
        <color rgb="FFEDEDED"/>
      </left>
      <right style="thin">
        <color rgb="FFEDEDED"/>
      </right>
      <top style="thin">
        <color rgb="FFEDEDED"/>
      </top>
      <bottom style="thin">
        <color rgb="FFEDEDED"/>
      </bottom>
    </border>
    <border>
      <left style="thin">
        <color rgb="FFEDEDED"/>
      </left>
      <right style="medium">
        <color rgb="FF15A249"/>
      </right>
      <top style="thin">
        <color rgb="FFEDEDED"/>
      </top>
      <bottom style="thin">
        <color rgb="FFEDEDED"/>
      </bottom>
    </border>
    <border>
      <left style="medium">
        <color rgb="FF15A249"/>
      </left>
      <right style="thin">
        <color rgb="FFEDEDED"/>
      </right>
      <top style="thin">
        <color rgb="FFEDEDED"/>
      </top>
    </border>
    <border>
      <left style="thin">
        <color rgb="FFEDEDED"/>
      </left>
      <right style="thin">
        <color rgb="FFEDEDED"/>
      </right>
      <top style="thin">
        <color rgb="FFEDEDED"/>
      </top>
    </border>
    <border>
      <left style="thin">
        <color rgb="FFEDEDED"/>
      </left>
      <right style="medium">
        <color rgb="FF15A249"/>
      </right>
      <top style="thin">
        <color rgb="FFEDEDED"/>
      </top>
    </border>
    <border>
      <left style="medium">
        <color rgb="FF15A249"/>
      </left>
      <right style="thin">
        <color rgb="FFEDEDED"/>
      </right>
      <bottom style="thin">
        <color rgb="FFEDEDED"/>
      </bottom>
    </border>
    <border>
      <left style="thin">
        <color rgb="FFEDEDED"/>
      </left>
      <right style="thin">
        <color rgb="FFEDEDED"/>
      </right>
      <bottom style="thin">
        <color rgb="FFEDEDED"/>
      </bottom>
    </border>
    <border>
      <left style="thin">
        <color rgb="FFEDEDED"/>
      </left>
      <right style="medium">
        <color rgb="FF15A249"/>
      </right>
      <bottom style="thin">
        <color rgb="FFEDEDED"/>
      </bottom>
    </border>
    <border>
      <left style="medium">
        <color rgb="FF15A249"/>
      </left>
      <right style="thin">
        <color rgb="FFEDEDED"/>
      </right>
      <top style="thin">
        <color rgb="FFEDEDED"/>
      </top>
      <bottom style="thin">
        <color rgb="FF000000"/>
      </bottom>
    </border>
    <border>
      <left style="thin">
        <color rgb="FFEDEDED"/>
      </left>
      <right style="medium">
        <color rgb="FF15A249"/>
      </right>
      <top style="thin">
        <color rgb="FFEDEDED"/>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vertical="top"/>
    </xf>
    <xf borderId="2" fillId="3" fontId="2" numFmtId="0" xfId="0" applyAlignment="1" applyBorder="1" applyFill="1" applyFont="1">
      <alignment horizontal="center" readingOrder="0" vertical="top"/>
    </xf>
    <xf borderId="2" fillId="3" fontId="2" numFmtId="0" xfId="0" applyAlignment="1" applyBorder="1" applyFill="1" applyFont="1">
      <alignment horizontal="left" shrinkToFit="0" vertical="top" wrapText="1"/>
    </xf>
    <xf borderId="2" fillId="3" fontId="2" numFmtId="0" xfId="0" applyAlignment="1" applyBorder="1" applyFill="1" applyFont="1">
      <alignment horizontal="left" readingOrder="0" shrinkToFit="0" vertical="top" wrapText="1"/>
    </xf>
    <xf borderId="2" fillId="3" fontId="2" numFmtId="0" xfId="0" applyAlignment="1" applyBorder="1" applyFill="1" applyFont="1">
      <alignment horizontal="center" readingOrder="0" vertical="center"/>
    </xf>
    <xf borderId="2" fillId="3" fontId="2" numFmtId="0" xfId="0" applyAlignment="1" applyBorder="1" applyFill="1" applyFont="1">
      <alignment horizontal="right" shrinkToFit="0" vertical="top" wrapText="1"/>
    </xf>
    <xf borderId="2" fillId="3" fontId="2" numFmtId="0" xfId="0" applyAlignment="1" applyBorder="1" applyFill="1" applyFont="1">
      <alignment horizontal="center" shrinkToFit="0" vertical="top" wrapText="1"/>
    </xf>
    <xf borderId="2" fillId="3" fontId="2" numFmtId="0" xfId="0" applyAlignment="1" applyBorder="1" applyFill="1" applyFont="1">
      <alignment horizontal="center" shrinkToFit="0" vertical="center" wrapText="1"/>
    </xf>
    <xf borderId="2" fillId="4" fontId="2" numFmtId="0" xfId="0" applyAlignment="1" applyBorder="1" applyFill="1" applyFont="1">
      <alignment horizontal="center" vertical="top"/>
    </xf>
    <xf borderId="2" fillId="4" fontId="2" numFmtId="0" xfId="0" applyAlignment="1" applyBorder="1" applyFill="1" applyFont="1">
      <alignment horizontal="center" readingOrder="0" vertical="top"/>
    </xf>
    <xf borderId="2" fillId="4" fontId="2" numFmtId="0" xfId="0" applyAlignment="1" applyBorder="1" applyFill="1" applyFont="1">
      <alignment horizontal="left" shrinkToFit="0" vertical="top" wrapText="1"/>
    </xf>
    <xf borderId="2" fillId="4" fontId="2" numFmtId="0" xfId="0" applyAlignment="1" applyBorder="1" applyFill="1" applyFont="1">
      <alignment horizontal="left" readingOrder="0" shrinkToFit="0" vertical="top" wrapText="1"/>
    </xf>
    <xf borderId="2" fillId="4" fontId="2" numFmtId="0" xfId="0" applyAlignment="1" applyBorder="1" applyFill="1" applyFont="1">
      <alignment horizontal="center" readingOrder="0" vertical="center"/>
    </xf>
    <xf borderId="0" fillId="0" fontId="3" numFmtId="0" xfId="0" applyAlignment="1" applyFont="1">
      <alignment horizontal="center" readingOrder="0" vertical="top"/>
    </xf>
    <xf borderId="0" fillId="0" fontId="2" numFmtId="0" xfId="0" applyAlignment="1" applyFont="1">
      <alignment horizontal="left" readingOrder="0" shrinkToFit="0" vertical="top" wrapText="1"/>
    </xf>
    <xf borderId="0" fillId="0" fontId="3" numFmtId="0" xfId="0" applyAlignment="1" applyFont="1">
      <alignment horizontal="center" readingOrder="0" vertical="center"/>
    </xf>
    <xf borderId="0" fillId="0" fontId="3" numFmtId="0" xfId="0" applyAlignment="1" applyFont="1">
      <alignment horizontal="left" readingOrder="0" shrinkToFit="0" vertical="top" wrapText="1"/>
    </xf>
    <xf borderId="0" fillId="0" fontId="4" numFmtId="0" xfId="0" applyAlignment="1" applyFont="1">
      <alignment horizontal="center" readingOrder="0" vertical="top"/>
    </xf>
    <xf borderId="0" fillId="0" fontId="4" numFmtId="0" xfId="0" applyAlignment="1" applyFont="1">
      <alignment horizontal="left" readingOrder="0" shrinkToFit="0" vertical="top" wrapText="1"/>
    </xf>
    <xf borderId="0" fillId="0" fontId="4" numFmtId="0" xfId="0" applyAlignment="1" applyFont="1">
      <alignment horizontal="center" readingOrder="0" vertical="center"/>
    </xf>
    <xf borderId="0" fillId="0" fontId="4" numFmtId="0" xfId="0" applyAlignment="1" applyFont="1">
      <alignment shrinkToFit="0" wrapText="1"/>
    </xf>
    <xf borderId="3" fillId="2" fontId="1" numFmtId="0" xfId="0" applyAlignment="1" applyBorder="1" applyFill="1" applyFont="1">
      <alignment horizontal="center" shrinkToFit="0" vertical="center" wrapText="1"/>
    </xf>
    <xf borderId="3" fillId="2" fontId="1" numFmtId="0" xfId="0" applyAlignment="1" applyBorder="1" applyFill="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3" fillId="3" fontId="2" numFmtId="0" xfId="0" applyAlignment="1" applyBorder="1" applyFill="1" applyFont="1">
      <alignment horizontal="center" shrinkToFit="0" vertical="center" wrapText="1"/>
    </xf>
    <xf borderId="3" fillId="3" fontId="2" numFmtId="0" xfId="0" applyAlignment="1" applyBorder="1" applyFill="1" applyFont="1">
      <alignment horizontal="left" readingOrder="0" shrinkToFit="0" vertical="center" wrapText="1"/>
    </xf>
    <xf borderId="3" fillId="3" fontId="4" numFmtId="0" xfId="0" applyAlignment="1" applyBorder="1" applyFill="1" applyFont="1">
      <alignment readingOrder="0" shrinkToFit="0" vertical="center" wrapText="1"/>
    </xf>
    <xf borderId="3" fillId="3" fontId="2" numFmtId="0" xfId="0" applyAlignment="1" applyBorder="1" applyFill="1" applyFont="1">
      <alignment horizontal="center" readingOrder="0" shrinkToFit="0" vertical="center" wrapText="1"/>
    </xf>
    <xf borderId="0" fillId="3" fontId="4" numFmtId="0" xfId="0" applyAlignment="1" applyFill="1" applyFont="1">
      <alignment shrinkToFit="0" wrapText="1"/>
    </xf>
    <xf borderId="5" fillId="0" fontId="5" numFmtId="0" xfId="0" applyBorder="1" applyFont="1"/>
    <xf borderId="3" fillId="3" fontId="2" numFmtId="0" xfId="0" applyAlignment="1" applyBorder="1" applyFill="1" applyFont="1">
      <alignment horizontal="right" shrinkToFit="0" vertical="center" wrapText="1"/>
    </xf>
    <xf borderId="3" fillId="3" fontId="4" numFmtId="0" xfId="0" applyAlignment="1" applyBorder="1" applyFill="1" applyFont="1">
      <alignment shrinkToFit="0" vertical="center" wrapText="1"/>
    </xf>
    <xf borderId="6" fillId="3" fontId="2" numFmtId="0" xfId="0" applyAlignment="1" applyBorder="1" applyFill="1" applyFont="1">
      <alignment horizontal="center" shrinkToFit="0" vertical="top" wrapText="1"/>
    </xf>
    <xf borderId="0" fillId="3" fontId="2" numFmtId="0" xfId="0" applyAlignment="1" applyFill="1" applyFont="1">
      <alignment horizontal="center" shrinkToFit="0" vertical="top" wrapText="1"/>
    </xf>
    <xf borderId="4" fillId="4" fontId="2" numFmtId="0" xfId="0" applyAlignment="1" applyBorder="1" applyFill="1" applyFont="1">
      <alignment horizontal="center" readingOrder="0" shrinkToFit="0" vertical="center" wrapText="1"/>
    </xf>
    <xf borderId="3" fillId="4" fontId="2" numFmtId="0" xfId="0" applyAlignment="1" applyBorder="1" applyFill="1" applyFont="1">
      <alignment horizontal="center" shrinkToFit="0" vertical="center" wrapText="1"/>
    </xf>
    <xf borderId="3" fillId="4" fontId="2" numFmtId="0" xfId="0" applyAlignment="1" applyBorder="1" applyFill="1" applyFont="1">
      <alignment horizontal="left" readingOrder="0" shrinkToFit="0" vertical="center" wrapText="1"/>
    </xf>
    <xf borderId="3" fillId="0" fontId="4" numFmtId="0" xfId="0" applyAlignment="1" applyBorder="1" applyFont="1">
      <alignment readingOrder="0" shrinkToFit="0" vertical="center" wrapText="1"/>
    </xf>
    <xf borderId="3" fillId="4" fontId="2" numFmtId="0" xfId="0" applyAlignment="1" applyBorder="1" applyFill="1" applyFont="1">
      <alignment horizontal="center" readingOrder="0" shrinkToFit="0" vertical="center" wrapText="1"/>
    </xf>
    <xf borderId="7" fillId="0" fontId="5" numFmtId="0" xfId="0" applyBorder="1" applyFont="1"/>
    <xf borderId="3" fillId="4" fontId="2" numFmtId="0" xfId="0" applyAlignment="1" applyBorder="1" applyFill="1" applyFont="1">
      <alignment horizontal="left" readingOrder="0" shrinkToFit="0" vertical="center" wrapText="1"/>
    </xf>
    <xf borderId="3" fillId="4" fontId="4" numFmtId="0" xfId="0" applyAlignment="1" applyBorder="1" applyFill="1" applyFont="1">
      <alignment readingOrder="0" shrinkToFit="0" vertical="center" wrapText="1"/>
    </xf>
    <xf borderId="0" fillId="4" fontId="4" numFmtId="0" xfId="0" applyAlignment="1" applyFill="1" applyFont="1">
      <alignment readingOrder="0" shrinkToFit="0" wrapText="1"/>
    </xf>
    <xf borderId="3" fillId="4" fontId="6" numFmtId="0" xfId="0" applyAlignment="1" applyBorder="1" applyFill="1" applyFont="1">
      <alignment readingOrder="0" shrinkToFit="0" vertical="center" wrapText="1"/>
    </xf>
    <xf borderId="3" fillId="4" fontId="7" numFmtId="0" xfId="0" applyAlignment="1" applyBorder="1" applyFill="1" applyFont="1">
      <alignment shrinkToFit="0" vertical="center" wrapText="1"/>
    </xf>
    <xf borderId="3" fillId="0" fontId="3" numFmtId="0" xfId="0" applyAlignment="1" applyBorder="1" applyFont="1">
      <alignment horizontal="center" readingOrder="0" shrinkToFit="0" vertical="center" wrapText="1"/>
    </xf>
    <xf borderId="3" fillId="0" fontId="2"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8" fillId="0" fontId="4" numFmtId="0" xfId="0" applyAlignment="1" applyBorder="1" applyFont="1">
      <alignment readingOrder="0" vertical="center"/>
    </xf>
    <xf borderId="8" fillId="0" fontId="5" numFmtId="0" xfId="0" applyBorder="1" applyFont="1"/>
    <xf borderId="3" fillId="0" fontId="4" numFmtId="0" xfId="0" applyAlignment="1" applyBorder="1" applyFont="1">
      <alignment horizontal="center" readingOrder="0" shrinkToFit="0" vertical="center" wrapText="1"/>
    </xf>
    <xf borderId="3" fillId="0" fontId="4" numFmtId="0" xfId="0" applyAlignment="1" applyBorder="1" applyFont="1">
      <alignment horizontal="left" readingOrder="0" shrinkToFit="0" vertical="center" wrapText="1"/>
    </xf>
    <xf borderId="9" fillId="0" fontId="5" numFmtId="0" xfId="0" applyBorder="1" applyFont="1"/>
    <xf borderId="3" fillId="0" fontId="4" numFmtId="0" xfId="0" applyAlignment="1" applyBorder="1" applyFont="1">
      <alignment shrinkToFit="0" vertical="center" wrapText="1"/>
    </xf>
    <xf borderId="3"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0" fillId="4" fontId="2" numFmtId="0" xfId="0" applyAlignment="1" applyFill="1" applyFont="1">
      <alignment horizontal="center" readingOrder="0" shrinkToFit="0" vertical="top" wrapText="1"/>
    </xf>
    <xf borderId="2" fillId="3" fontId="2" numFmtId="0" xfId="0" applyAlignment="1" applyBorder="1" applyFill="1" applyFont="1">
      <alignment horizontal="center" readingOrder="0" shrinkToFit="0" vertical="top" wrapText="1"/>
    </xf>
    <xf borderId="2" fillId="3" fontId="2" numFmtId="0" xfId="0" applyAlignment="1" applyBorder="1" applyFill="1" applyFont="1">
      <alignment horizontal="center" readingOrder="0" shrinkToFit="0" vertical="center" wrapText="1"/>
    </xf>
    <xf borderId="0" fillId="4" fontId="2" numFmtId="0" xfId="0" applyAlignment="1" applyFill="1" applyFont="1">
      <alignment horizontal="center" readingOrder="0" vertical="top"/>
    </xf>
    <xf borderId="0" fillId="4" fontId="2" numFmtId="0" xfId="0" applyAlignment="1" applyFill="1" applyFont="1">
      <alignment horizontal="center" vertical="top"/>
    </xf>
    <xf borderId="0" fillId="4" fontId="2" numFmtId="0" xfId="0" applyAlignment="1" applyFill="1" applyFont="1">
      <alignment horizontal="left" shrinkToFit="0" vertical="top" wrapText="1"/>
    </xf>
    <xf borderId="0" fillId="4" fontId="2" numFmtId="0" xfId="0" applyAlignment="1" applyFill="1" applyFont="1">
      <alignment horizontal="left" readingOrder="0" shrinkToFit="0" vertical="top" wrapText="1"/>
    </xf>
    <xf borderId="0" fillId="5" fontId="8" numFmtId="0" xfId="0" applyAlignment="1" applyFill="1" applyFont="1">
      <alignment horizontal="center" readingOrder="0" vertical="center"/>
    </xf>
    <xf borderId="10" fillId="6" fontId="9" numFmtId="0" xfId="0" applyAlignment="1" applyBorder="1" applyFill="1" applyFont="1">
      <alignment horizontal="center" readingOrder="0" vertical="center"/>
    </xf>
    <xf borderId="11" fillId="0" fontId="5" numFmtId="0" xfId="0" applyBorder="1" applyFont="1"/>
    <xf borderId="10" fillId="7" fontId="9" numFmtId="0" xfId="0" applyAlignment="1" applyBorder="1" applyFill="1" applyFont="1">
      <alignment horizontal="center" readingOrder="0" vertical="center"/>
    </xf>
    <xf borderId="10" fillId="8" fontId="9" numFmtId="0" xfId="0" applyAlignment="1" applyBorder="1" applyFill="1" applyFont="1">
      <alignment horizontal="center" readingOrder="0" vertical="center"/>
    </xf>
    <xf borderId="10" fillId="9" fontId="9" numFmtId="0" xfId="0" applyAlignment="1" applyBorder="1" applyFill="1" applyFont="1">
      <alignment horizontal="center" readingOrder="0" vertical="center"/>
    </xf>
    <xf borderId="10" fillId="10" fontId="9" numFmtId="0" xfId="0" applyAlignment="1" applyBorder="1" applyFill="1" applyFont="1">
      <alignment horizontal="center" readingOrder="0" vertical="center"/>
    </xf>
    <xf borderId="10" fillId="11" fontId="9" numFmtId="0" xfId="0" applyAlignment="1" applyBorder="1" applyFill="1" applyFont="1">
      <alignment horizontal="center" readingOrder="0" vertical="center"/>
    </xf>
    <xf borderId="12" fillId="6" fontId="10" numFmtId="0" xfId="0" applyAlignment="1" applyBorder="1" applyFill="1" applyFont="1">
      <alignment horizontal="center" vertical="center"/>
    </xf>
    <xf borderId="13" fillId="0" fontId="5" numFmtId="0" xfId="0" applyBorder="1" applyFont="1"/>
    <xf borderId="12" fillId="7" fontId="10" numFmtId="0" xfId="0" applyAlignment="1" applyBorder="1" applyFill="1" applyFont="1">
      <alignment horizontal="center" vertical="center"/>
    </xf>
    <xf borderId="12" fillId="8" fontId="10" numFmtId="0" xfId="0" applyAlignment="1" applyBorder="1" applyFill="1" applyFont="1">
      <alignment horizontal="center" vertical="center"/>
    </xf>
    <xf borderId="12" fillId="9" fontId="10" numFmtId="0" xfId="0" applyAlignment="1" applyBorder="1" applyFill="1" applyFont="1">
      <alignment horizontal="center" vertical="center"/>
    </xf>
    <xf borderId="12" fillId="10" fontId="10" numFmtId="9" xfId="0" applyAlignment="1" applyBorder="1" applyFill="1" applyFont="1" applyNumberFormat="1">
      <alignment horizontal="center" vertical="center"/>
    </xf>
    <xf borderId="12" fillId="11" fontId="10" numFmtId="0" xfId="0" applyAlignment="1" applyBorder="1" applyFill="1" applyFont="1">
      <alignment horizontal="center" vertical="center"/>
    </xf>
    <xf borderId="14" fillId="6" fontId="11" numFmtId="0" xfId="0" applyAlignment="1" applyBorder="1" applyFill="1" applyFont="1">
      <alignment horizontal="center" readingOrder="0" vertical="center"/>
    </xf>
    <xf borderId="15" fillId="0" fontId="5" numFmtId="0" xfId="0" applyBorder="1" applyFont="1"/>
    <xf borderId="14" fillId="7" fontId="11" numFmtId="0" xfId="0" applyAlignment="1" applyBorder="1" applyFill="1" applyFont="1">
      <alignment horizontal="center" vertical="center"/>
    </xf>
    <xf borderId="14" fillId="8" fontId="11" numFmtId="0" xfId="0" applyAlignment="1" applyBorder="1" applyFill="1" applyFont="1">
      <alignment horizontal="center" vertical="center"/>
    </xf>
    <xf borderId="14" fillId="9" fontId="11" numFmtId="0" xfId="0" applyAlignment="1" applyBorder="1" applyFill="1" applyFont="1">
      <alignment horizontal="center" vertical="center"/>
    </xf>
    <xf borderId="14" fillId="10" fontId="11" numFmtId="0" xfId="0" applyAlignment="1" applyBorder="1" applyFill="1" applyFont="1">
      <alignment horizontal="center" readingOrder="0" vertical="center"/>
    </xf>
    <xf borderId="14" fillId="11" fontId="11" numFmtId="0" xfId="0" applyAlignment="1" applyBorder="1" applyFill="1" applyFont="1">
      <alignment horizontal="center" readingOrder="0" vertical="center"/>
    </xf>
    <xf borderId="16" fillId="12" fontId="12" numFmtId="0" xfId="0" applyAlignment="1" applyBorder="1" applyFill="1" applyFont="1">
      <alignment horizontal="center" vertical="center"/>
    </xf>
    <xf borderId="17" fillId="0" fontId="5" numFmtId="0" xfId="0" applyBorder="1" applyFont="1"/>
    <xf borderId="18" fillId="0" fontId="5" numFmtId="0" xfId="0" applyBorder="1" applyFont="1"/>
    <xf borderId="19" fillId="13" fontId="12" numFmtId="0" xfId="0" applyAlignment="1" applyBorder="1" applyFill="1" applyFont="1">
      <alignment horizontal="center" vertical="center"/>
    </xf>
    <xf borderId="20" fillId="0" fontId="5" numFmtId="0" xfId="0" applyBorder="1" applyFont="1"/>
    <xf borderId="21" fillId="0" fontId="5" numFmtId="0" xfId="0" applyBorder="1" applyFont="1"/>
    <xf borderId="22" fillId="14" fontId="12" numFmtId="0" xfId="0" applyAlignment="1" applyBorder="1" applyFill="1" applyFont="1">
      <alignment horizontal="center" vertical="center"/>
    </xf>
    <xf borderId="23" fillId="0" fontId="5" numFmtId="0" xfId="0" applyBorder="1" applyFont="1"/>
    <xf borderId="24" fillId="0" fontId="5" numFmtId="0" xfId="0" applyBorder="1" applyFont="1"/>
    <xf borderId="25" fillId="15" fontId="13" numFmtId="0" xfId="0" applyAlignment="1" applyBorder="1" applyFill="1" applyFont="1">
      <alignment horizontal="center" readingOrder="0" vertical="center"/>
    </xf>
    <xf borderId="26" fillId="15" fontId="13" numFmtId="0" xfId="0" applyAlignment="1" applyBorder="1" applyFill="1" applyFont="1">
      <alignment horizontal="center" readingOrder="0" vertical="center"/>
    </xf>
    <xf borderId="27" fillId="15" fontId="13" numFmtId="0" xfId="0" applyAlignment="1" applyBorder="1" applyFill="1" applyFont="1">
      <alignment horizontal="center" readingOrder="0" vertical="center"/>
    </xf>
    <xf borderId="28" fillId="16" fontId="14" numFmtId="0" xfId="0" applyAlignment="1" applyBorder="1" applyFill="1" applyFont="1">
      <alignment horizontal="center" readingOrder="0" vertical="center"/>
    </xf>
    <xf borderId="26" fillId="16" fontId="14" numFmtId="0" xfId="0" applyAlignment="1" applyBorder="1" applyFill="1" applyFont="1">
      <alignment horizontal="center" readingOrder="0" vertical="center"/>
    </xf>
    <xf borderId="27" fillId="16" fontId="14" numFmtId="0" xfId="0" applyAlignment="1" applyBorder="1" applyFill="1" applyFont="1">
      <alignment horizontal="center" readingOrder="0" vertical="center"/>
    </xf>
    <xf borderId="29" fillId="17" fontId="15" numFmtId="0" xfId="0" applyAlignment="1" applyBorder="1" applyFill="1" applyFont="1">
      <alignment horizontal="center" readingOrder="0" vertical="center"/>
    </xf>
    <xf borderId="30" fillId="17" fontId="15" numFmtId="0" xfId="0" applyAlignment="1" applyBorder="1" applyFill="1" applyFont="1">
      <alignment horizontal="center" readingOrder="0" vertical="center"/>
    </xf>
    <xf borderId="31" fillId="17" fontId="15" numFmtId="0" xfId="0" applyAlignment="1" applyBorder="1" applyFill="1" applyFont="1">
      <alignment horizontal="center" readingOrder="0" vertical="center"/>
    </xf>
    <xf borderId="0" fillId="0" fontId="16" numFmtId="0" xfId="0" applyAlignment="1" applyFont="1">
      <alignment horizontal="center" vertical="center"/>
    </xf>
    <xf borderId="0" fillId="0" fontId="17" numFmtId="0" xfId="0" applyAlignment="1" applyFont="1">
      <alignment horizontal="left" shrinkToFit="0" vertical="center" wrapText="1"/>
    </xf>
    <xf borderId="0" fillId="0" fontId="17" numFmtId="0" xfId="0" applyAlignment="1" applyFont="1">
      <alignment horizontal="center" vertical="center"/>
    </xf>
    <xf borderId="29" fillId="18" fontId="16" numFmtId="0" xfId="0" applyAlignment="1" applyBorder="1" applyFill="1" applyFont="1">
      <alignment horizontal="center" vertical="center"/>
    </xf>
    <xf borderId="30" fillId="18" fontId="17" numFmtId="0" xfId="0" applyAlignment="1" applyBorder="1" applyFill="1" applyFont="1">
      <alignment horizontal="left" shrinkToFit="0" vertical="center" wrapText="1"/>
    </xf>
    <xf borderId="30" fillId="18" fontId="17" numFmtId="0" xfId="0" applyAlignment="1" applyBorder="1" applyFill="1" applyFont="1">
      <alignment horizontal="center" vertical="center"/>
    </xf>
    <xf borderId="31" fillId="18" fontId="17" numFmtId="0" xfId="0" applyAlignment="1" applyBorder="1" applyFill="1" applyFont="1">
      <alignment horizontal="center" vertical="center"/>
    </xf>
    <xf borderId="32" fillId="18" fontId="16" numFmtId="0" xfId="0" applyAlignment="1" applyBorder="1" applyFill="1" applyFont="1">
      <alignment horizontal="center" vertical="center"/>
    </xf>
    <xf borderId="33" fillId="18" fontId="17" numFmtId="0" xfId="0" applyAlignment="1" applyBorder="1" applyFill="1" applyFont="1">
      <alignment horizontal="left" shrinkToFit="0" vertical="center" wrapText="1"/>
    </xf>
    <xf borderId="33" fillId="18" fontId="17" numFmtId="0" xfId="0" applyAlignment="1" applyBorder="1" applyFill="1" applyFont="1">
      <alignment horizontal="center" vertical="center"/>
    </xf>
    <xf borderId="34" fillId="18" fontId="17" numFmtId="0" xfId="0" applyAlignment="1" applyBorder="1" applyFill="1" applyFont="1">
      <alignment horizontal="center" vertical="center"/>
    </xf>
    <xf borderId="35" fillId="18" fontId="16" numFmtId="0" xfId="0" applyAlignment="1" applyBorder="1" applyFill="1" applyFont="1">
      <alignment horizontal="center" vertical="center"/>
    </xf>
    <xf borderId="36" fillId="18" fontId="17" numFmtId="0" xfId="0" applyAlignment="1" applyBorder="1" applyFill="1" applyFont="1">
      <alignment horizontal="left" shrinkToFit="0" vertical="center" wrapText="1"/>
    </xf>
    <xf borderId="36" fillId="18" fontId="17" numFmtId="0" xfId="0" applyAlignment="1" applyBorder="1" applyFill="1" applyFont="1">
      <alignment horizontal="center" vertical="center"/>
    </xf>
    <xf borderId="37" fillId="18" fontId="17" numFmtId="0" xfId="0" applyAlignment="1" applyBorder="1" applyFill="1" applyFont="1">
      <alignment horizontal="center" vertical="center"/>
    </xf>
    <xf borderId="38" fillId="18" fontId="16" numFmtId="0" xfId="0" applyAlignment="1" applyBorder="1" applyFill="1" applyFont="1">
      <alignment horizontal="center" vertical="center"/>
    </xf>
    <xf borderId="26" fillId="18" fontId="17" numFmtId="0" xfId="0" applyAlignment="1" applyBorder="1" applyFill="1" applyFont="1">
      <alignment horizontal="left" shrinkToFit="0" vertical="center" wrapText="1"/>
    </xf>
    <xf borderId="26" fillId="18" fontId="17" numFmtId="0" xfId="0" applyAlignment="1" applyBorder="1" applyFill="1" applyFont="1">
      <alignment horizontal="center" vertical="center"/>
    </xf>
    <xf borderId="39" fillId="18" fontId="17" numFmtId="0" xfId="0" applyAlignment="1" applyBorder="1" applyFill="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8.0"/>
    <col customWidth="1" min="3" max="3" width="9.71"/>
    <col customWidth="1" min="4" max="4" width="18.86"/>
    <col customWidth="1" min="5" max="5" width="43.29"/>
    <col customWidth="1" min="6" max="6" width="45.43"/>
    <col customWidth="1" min="7" max="7" width="21.71"/>
    <col customWidth="1" min="8" max="8" width="9.71"/>
    <col customWidth="1" min="9" max="9" width="11.43"/>
    <col customWidth="1" min="10" max="10" width="11.71"/>
    <col customWidth="1" min="11" max="11" width="45.14"/>
    <col customWidth="1" min="12" max="26" width="8.71"/>
  </cols>
  <sheetData>
    <row r="1" ht="27.75" customHeight="1">
      <c r="A1" s="1" t="s">
        <v>0</v>
      </c>
      <c r="B1" s="2" t="s">
        <v>1</v>
      </c>
      <c r="C1" s="2" t="s">
        <v>2</v>
      </c>
      <c r="D1" s="1" t="s">
        <v>3</v>
      </c>
      <c r="E1" s="1" t="s">
        <v>4</v>
      </c>
      <c r="F1" s="1" t="s">
        <v>5</v>
      </c>
      <c r="G1" s="1" t="s">
        <v>6</v>
      </c>
      <c r="H1" s="1" t="s">
        <v>7</v>
      </c>
      <c r="I1" s="1" t="s">
        <v>8</v>
      </c>
      <c r="J1" s="1" t="s">
        <v>9</v>
      </c>
      <c r="K1" s="1" t="s">
        <v>10</v>
      </c>
    </row>
    <row r="2">
      <c r="A2" s="3" t="s">
        <v>11</v>
      </c>
      <c r="B2" s="4" t="s">
        <v>12</v>
      </c>
      <c r="C2" s="3" t="s">
        <v>13</v>
      </c>
      <c r="D2" s="5" t="s">
        <v>14</v>
      </c>
      <c r="E2" s="6" t="s">
        <v>15</v>
      </c>
      <c r="F2" s="6" t="s">
        <v>16</v>
      </c>
      <c r="G2" s="7" t="s">
        <v>17</v>
      </c>
      <c r="H2" s="4">
        <v>4.0</v>
      </c>
      <c r="I2" s="3" t="s">
        <v>18</v>
      </c>
      <c r="J2" s="4" t="s">
        <v>19</v>
      </c>
      <c r="K2" s="6" t="s">
        <v>20</v>
      </c>
    </row>
    <row r="3">
      <c r="A3" s="3" t="s">
        <v>11</v>
      </c>
      <c r="B3" s="4" t="s">
        <v>12</v>
      </c>
      <c r="C3" s="3" t="s">
        <v>21</v>
      </c>
      <c r="D3" s="8" t="s">
        <v>22</v>
      </c>
      <c r="E3" s="6" t="s">
        <v>23</v>
      </c>
      <c r="F3" s="6" t="s">
        <v>24</v>
      </c>
      <c r="G3" s="7" t="s">
        <v>25</v>
      </c>
      <c r="H3" s="4">
        <v>5.0</v>
      </c>
      <c r="I3" s="3" t="s">
        <v>18</v>
      </c>
      <c r="J3" s="4" t="s">
        <v>19</v>
      </c>
      <c r="K3" s="6" t="s">
        <v>26</v>
      </c>
    </row>
    <row r="4">
      <c r="A4" s="3" t="s">
        <v>11</v>
      </c>
      <c r="B4" s="4" t="s">
        <v>12</v>
      </c>
      <c r="C4" s="3" t="s">
        <v>27</v>
      </c>
      <c r="D4" s="5" t="s">
        <v>28</v>
      </c>
      <c r="E4" s="6" t="s">
        <v>29</v>
      </c>
      <c r="F4" s="6" t="s">
        <v>30</v>
      </c>
      <c r="G4" s="7" t="s">
        <v>31</v>
      </c>
      <c r="H4" s="4">
        <v>4.0</v>
      </c>
      <c r="I4" s="4" t="s">
        <v>32</v>
      </c>
      <c r="J4" s="4" t="s">
        <v>19</v>
      </c>
      <c r="K4" s="6" t="s">
        <v>33</v>
      </c>
    </row>
    <row r="5">
      <c r="A5" s="3" t="s">
        <v>11</v>
      </c>
      <c r="B5" s="4" t="s">
        <v>34</v>
      </c>
      <c r="C5" s="3" t="s">
        <v>35</v>
      </c>
      <c r="D5" s="5" t="s">
        <v>28</v>
      </c>
      <c r="E5" s="6" t="s">
        <v>36</v>
      </c>
      <c r="F5" s="6" t="s">
        <v>37</v>
      </c>
      <c r="G5" s="7" t="s">
        <v>31</v>
      </c>
      <c r="H5" s="4">
        <v>4.0</v>
      </c>
      <c r="I5" s="3" t="s">
        <v>18</v>
      </c>
      <c r="J5" s="4" t="s">
        <v>19</v>
      </c>
      <c r="K5" s="6" t="s">
        <v>38</v>
      </c>
    </row>
    <row r="6">
      <c r="A6" s="9" t="s">
        <v>11</v>
      </c>
      <c r="B6" s="9" t="s">
        <v>12</v>
      </c>
      <c r="C6" s="9" t="s">
        <v>39</v>
      </c>
      <c r="D6" s="5" t="s">
        <v>40</v>
      </c>
      <c r="E6" s="6" t="s">
        <v>41</v>
      </c>
      <c r="F6" s="6" t="s">
        <v>42</v>
      </c>
      <c r="G6" s="10" t="s">
        <v>25</v>
      </c>
      <c r="H6" s="9">
        <v>8.0</v>
      </c>
      <c r="I6" s="9" t="s">
        <v>18</v>
      </c>
      <c r="J6" s="4" t="s">
        <v>19</v>
      </c>
      <c r="K6" s="9" t="s">
        <v>43</v>
      </c>
      <c r="L6" s="9"/>
      <c r="M6" s="9"/>
      <c r="N6" s="9"/>
      <c r="O6" s="9"/>
      <c r="P6" s="9"/>
      <c r="Q6" s="9"/>
      <c r="R6" s="9"/>
      <c r="S6" s="9"/>
      <c r="T6" s="9"/>
      <c r="U6" s="9"/>
      <c r="V6" s="9"/>
      <c r="W6" s="9"/>
      <c r="X6" s="9"/>
      <c r="Y6" s="9"/>
      <c r="Z6" s="9"/>
    </row>
    <row r="7">
      <c r="A7" s="11" t="s">
        <v>44</v>
      </c>
      <c r="B7" s="12" t="s">
        <v>45</v>
      </c>
      <c r="C7" s="11" t="s">
        <v>46</v>
      </c>
      <c r="D7" s="13" t="s">
        <v>14</v>
      </c>
      <c r="E7" s="14" t="s">
        <v>47</v>
      </c>
      <c r="F7" s="14" t="s">
        <v>48</v>
      </c>
      <c r="G7" s="15" t="s">
        <v>49</v>
      </c>
      <c r="H7" s="11">
        <v>6.0</v>
      </c>
      <c r="I7" s="11" t="s">
        <v>18</v>
      </c>
      <c r="J7" s="4" t="s">
        <v>19</v>
      </c>
      <c r="K7" s="14" t="s">
        <v>50</v>
      </c>
    </row>
    <row r="8">
      <c r="A8" s="11" t="s">
        <v>44</v>
      </c>
      <c r="B8" s="12" t="s">
        <v>45</v>
      </c>
      <c r="C8" s="11" t="s">
        <v>51</v>
      </c>
      <c r="D8" s="13" t="s">
        <v>22</v>
      </c>
      <c r="E8" s="14" t="s">
        <v>52</v>
      </c>
      <c r="F8" s="14" t="s">
        <v>53</v>
      </c>
      <c r="G8" s="15" t="s">
        <v>49</v>
      </c>
      <c r="H8" s="11">
        <v>7.0</v>
      </c>
      <c r="I8" s="11" t="s">
        <v>18</v>
      </c>
      <c r="J8" s="4" t="s">
        <v>19</v>
      </c>
      <c r="K8" s="14" t="s">
        <v>54</v>
      </c>
    </row>
    <row r="9">
      <c r="A9" s="11" t="s">
        <v>44</v>
      </c>
      <c r="B9" s="12" t="s">
        <v>45</v>
      </c>
      <c r="C9" s="11" t="s">
        <v>55</v>
      </c>
      <c r="D9" s="13" t="s">
        <v>28</v>
      </c>
      <c r="E9" s="14" t="s">
        <v>56</v>
      </c>
      <c r="F9" s="14" t="s">
        <v>57</v>
      </c>
      <c r="G9" s="15" t="s">
        <v>49</v>
      </c>
      <c r="H9" s="11">
        <v>8.0</v>
      </c>
      <c r="I9" s="11" t="s">
        <v>18</v>
      </c>
      <c r="J9" s="4" t="s">
        <v>19</v>
      </c>
      <c r="K9" s="14" t="s">
        <v>58</v>
      </c>
    </row>
    <row r="10">
      <c r="A10" s="11" t="s">
        <v>44</v>
      </c>
      <c r="B10" s="12" t="s">
        <v>59</v>
      </c>
      <c r="C10" s="11" t="s">
        <v>60</v>
      </c>
      <c r="D10" s="13" t="s">
        <v>28</v>
      </c>
      <c r="E10" s="14" t="s">
        <v>61</v>
      </c>
      <c r="F10" s="14" t="s">
        <v>62</v>
      </c>
      <c r="G10" s="15" t="s">
        <v>49</v>
      </c>
      <c r="H10" s="11">
        <v>8.0</v>
      </c>
      <c r="I10" s="11" t="s">
        <v>18</v>
      </c>
      <c r="J10" s="4" t="s">
        <v>19</v>
      </c>
      <c r="K10" s="14" t="s">
        <v>63</v>
      </c>
    </row>
    <row r="11">
      <c r="A11" s="11" t="s">
        <v>44</v>
      </c>
      <c r="B11" s="12" t="s">
        <v>64</v>
      </c>
      <c r="C11" s="11" t="s">
        <v>65</v>
      </c>
      <c r="D11" s="13" t="s">
        <v>66</v>
      </c>
      <c r="E11" s="14" t="s">
        <v>67</v>
      </c>
      <c r="F11" s="14" t="s">
        <v>68</v>
      </c>
      <c r="G11" s="15" t="s">
        <v>49</v>
      </c>
      <c r="H11" s="11">
        <v>7.0</v>
      </c>
      <c r="I11" s="11" t="s">
        <v>32</v>
      </c>
      <c r="J11" s="4" t="s">
        <v>19</v>
      </c>
      <c r="K11" s="14" t="s">
        <v>69</v>
      </c>
    </row>
    <row r="12">
      <c r="A12" s="3" t="s">
        <v>70</v>
      </c>
      <c r="B12" s="4" t="s">
        <v>71</v>
      </c>
      <c r="C12" s="3" t="s">
        <v>72</v>
      </c>
      <c r="D12" s="5" t="s">
        <v>14</v>
      </c>
      <c r="E12" s="6" t="s">
        <v>73</v>
      </c>
      <c r="F12" s="6" t="s">
        <v>74</v>
      </c>
      <c r="G12" s="7" t="s">
        <v>75</v>
      </c>
      <c r="H12" s="3">
        <v>6.0</v>
      </c>
      <c r="I12" s="3" t="s">
        <v>18</v>
      </c>
      <c r="J12" s="4" t="s">
        <v>19</v>
      </c>
      <c r="K12" s="6" t="s">
        <v>76</v>
      </c>
    </row>
    <row r="13">
      <c r="A13" s="3" t="s">
        <v>70</v>
      </c>
      <c r="B13" s="4" t="s">
        <v>77</v>
      </c>
      <c r="C13" s="3" t="s">
        <v>78</v>
      </c>
      <c r="D13" s="5" t="s">
        <v>22</v>
      </c>
      <c r="E13" s="6" t="s">
        <v>79</v>
      </c>
      <c r="F13" s="6" t="s">
        <v>80</v>
      </c>
      <c r="G13" s="7" t="s">
        <v>75</v>
      </c>
      <c r="H13" s="3">
        <v>6.0</v>
      </c>
      <c r="I13" s="3" t="s">
        <v>18</v>
      </c>
      <c r="J13" s="4" t="s">
        <v>19</v>
      </c>
      <c r="K13" s="6" t="s">
        <v>81</v>
      </c>
    </row>
    <row r="14">
      <c r="A14" s="3" t="s">
        <v>70</v>
      </c>
      <c r="B14" s="4" t="s">
        <v>71</v>
      </c>
      <c r="C14" s="3" t="s">
        <v>82</v>
      </c>
      <c r="D14" s="5" t="s">
        <v>83</v>
      </c>
      <c r="E14" s="6" t="s">
        <v>84</v>
      </c>
      <c r="F14" s="6" t="s">
        <v>85</v>
      </c>
      <c r="G14" s="7" t="s">
        <v>75</v>
      </c>
      <c r="H14" s="3">
        <v>8.0</v>
      </c>
      <c r="I14" s="3" t="s">
        <v>18</v>
      </c>
      <c r="J14" s="4" t="s">
        <v>19</v>
      </c>
      <c r="K14" s="6" t="s">
        <v>86</v>
      </c>
    </row>
    <row r="15">
      <c r="A15" s="3" t="s">
        <v>70</v>
      </c>
      <c r="B15" s="4" t="s">
        <v>87</v>
      </c>
      <c r="C15" s="3" t="s">
        <v>88</v>
      </c>
      <c r="D15" s="5" t="s">
        <v>40</v>
      </c>
      <c r="E15" s="6" t="s">
        <v>89</v>
      </c>
      <c r="F15" s="6" t="s">
        <v>90</v>
      </c>
      <c r="G15" s="7" t="s">
        <v>75</v>
      </c>
      <c r="H15" s="3">
        <v>7.0</v>
      </c>
      <c r="I15" s="3" t="s">
        <v>18</v>
      </c>
      <c r="J15" s="4" t="s">
        <v>19</v>
      </c>
      <c r="K15" s="6" t="s">
        <v>91</v>
      </c>
    </row>
    <row r="16">
      <c r="A16" s="3" t="s">
        <v>70</v>
      </c>
      <c r="B16" s="4" t="s">
        <v>92</v>
      </c>
      <c r="C16" s="3" t="s">
        <v>93</v>
      </c>
      <c r="D16" s="5" t="s">
        <v>66</v>
      </c>
      <c r="E16" s="6" t="s">
        <v>94</v>
      </c>
      <c r="F16" s="6" t="s">
        <v>95</v>
      </c>
      <c r="G16" s="7" t="s">
        <v>75</v>
      </c>
      <c r="H16" s="3">
        <v>8.0</v>
      </c>
      <c r="I16" s="3" t="s">
        <v>18</v>
      </c>
      <c r="J16" s="4" t="s">
        <v>19</v>
      </c>
      <c r="K16" s="6" t="s">
        <v>96</v>
      </c>
    </row>
    <row r="17">
      <c r="A17" s="11" t="s">
        <v>97</v>
      </c>
      <c r="B17" s="12" t="s">
        <v>98</v>
      </c>
      <c r="C17" s="11" t="s">
        <v>99</v>
      </c>
      <c r="D17" s="13" t="s">
        <v>14</v>
      </c>
      <c r="E17" s="14" t="s">
        <v>100</v>
      </c>
      <c r="F17" s="14" t="s">
        <v>101</v>
      </c>
      <c r="G17" s="15" t="s">
        <v>102</v>
      </c>
      <c r="H17" s="12">
        <v>4.0</v>
      </c>
      <c r="I17" s="11" t="s">
        <v>18</v>
      </c>
      <c r="J17" s="4" t="s">
        <v>19</v>
      </c>
      <c r="K17" s="14" t="s">
        <v>103</v>
      </c>
    </row>
    <row r="18">
      <c r="A18" s="11" t="s">
        <v>97</v>
      </c>
      <c r="B18" s="12" t="s">
        <v>104</v>
      </c>
      <c r="C18" s="11" t="s">
        <v>105</v>
      </c>
      <c r="D18" s="13" t="s">
        <v>22</v>
      </c>
      <c r="E18" s="14" t="s">
        <v>106</v>
      </c>
      <c r="F18" s="14" t="s">
        <v>107</v>
      </c>
      <c r="G18" s="15" t="s">
        <v>102</v>
      </c>
      <c r="H18" s="12">
        <v>5.0</v>
      </c>
      <c r="I18" s="11" t="s">
        <v>18</v>
      </c>
      <c r="J18" s="4" t="s">
        <v>19</v>
      </c>
      <c r="K18" s="14" t="s">
        <v>108</v>
      </c>
    </row>
    <row r="19">
      <c r="A19" s="11" t="s">
        <v>97</v>
      </c>
      <c r="B19" s="12" t="s">
        <v>104</v>
      </c>
      <c r="C19" s="11" t="s">
        <v>109</v>
      </c>
      <c r="D19" s="13" t="s">
        <v>28</v>
      </c>
      <c r="E19" s="14" t="s">
        <v>110</v>
      </c>
      <c r="F19" s="14" t="s">
        <v>111</v>
      </c>
      <c r="G19" s="15" t="s">
        <v>102</v>
      </c>
      <c r="H19" s="12">
        <v>6.0</v>
      </c>
      <c r="I19" s="11" t="s">
        <v>18</v>
      </c>
      <c r="J19" s="4" t="s">
        <v>19</v>
      </c>
      <c r="K19" s="14" t="s">
        <v>112</v>
      </c>
    </row>
    <row r="20">
      <c r="A20" s="11" t="s">
        <v>97</v>
      </c>
      <c r="B20" s="12" t="s">
        <v>113</v>
      </c>
      <c r="C20" s="11" t="s">
        <v>114</v>
      </c>
      <c r="D20" s="13" t="s">
        <v>115</v>
      </c>
      <c r="E20" s="14" t="s">
        <v>116</v>
      </c>
      <c r="F20" s="14" t="s">
        <v>117</v>
      </c>
      <c r="G20" s="15" t="s">
        <v>102</v>
      </c>
      <c r="H20" s="12">
        <v>6.0</v>
      </c>
      <c r="I20" s="11" t="s">
        <v>18</v>
      </c>
      <c r="J20" s="4" t="s">
        <v>19</v>
      </c>
      <c r="K20" s="14" t="s">
        <v>118</v>
      </c>
    </row>
    <row r="21" ht="15.75" customHeight="1">
      <c r="A21" s="11" t="s">
        <v>97</v>
      </c>
      <c r="B21" s="12" t="s">
        <v>98</v>
      </c>
      <c r="C21" s="11" t="s">
        <v>119</v>
      </c>
      <c r="D21" s="13" t="s">
        <v>66</v>
      </c>
      <c r="E21" s="14" t="s">
        <v>120</v>
      </c>
      <c r="F21" s="14" t="s">
        <v>121</v>
      </c>
      <c r="G21" s="15" t="s">
        <v>102</v>
      </c>
      <c r="H21" s="12">
        <v>5.0</v>
      </c>
      <c r="I21" s="11" t="s">
        <v>18</v>
      </c>
      <c r="J21" s="4" t="s">
        <v>19</v>
      </c>
      <c r="K21" s="14" t="s">
        <v>122</v>
      </c>
    </row>
    <row r="22" ht="15.75" customHeight="1">
      <c r="A22" s="16" t="s">
        <v>123</v>
      </c>
      <c r="B22" s="16" t="s">
        <v>124</v>
      </c>
      <c r="C22" s="16" t="s">
        <v>125</v>
      </c>
      <c r="D22" s="16" t="s">
        <v>126</v>
      </c>
      <c r="E22" s="16" t="s">
        <v>127</v>
      </c>
      <c r="F22" s="17" t="s">
        <v>128</v>
      </c>
      <c r="G22" s="18" t="s">
        <v>129</v>
      </c>
      <c r="H22" s="16">
        <v>4.0</v>
      </c>
      <c r="I22" s="16" t="s">
        <v>130</v>
      </c>
      <c r="J22" s="4" t="s">
        <v>19</v>
      </c>
      <c r="K22" s="19" t="s">
        <v>131</v>
      </c>
    </row>
    <row r="23" ht="15.75" customHeight="1">
      <c r="A23" s="16" t="s">
        <v>123</v>
      </c>
      <c r="B23" s="16" t="s">
        <v>124</v>
      </c>
      <c r="C23" s="16" t="s">
        <v>132</v>
      </c>
      <c r="D23" s="16" t="s">
        <v>126</v>
      </c>
      <c r="E23" s="16" t="s">
        <v>133</v>
      </c>
      <c r="F23" s="19" t="s">
        <v>134</v>
      </c>
      <c r="G23" s="18" t="s">
        <v>129</v>
      </c>
      <c r="H23" s="16">
        <v>4.0</v>
      </c>
      <c r="I23" s="16" t="s">
        <v>130</v>
      </c>
      <c r="J23" s="4" t="s">
        <v>19</v>
      </c>
      <c r="K23" s="19" t="s">
        <v>135</v>
      </c>
    </row>
    <row r="24" ht="15.75" customHeight="1">
      <c r="A24" s="20" t="s">
        <v>136</v>
      </c>
      <c r="B24" s="20" t="s">
        <v>124</v>
      </c>
      <c r="C24" s="20" t="s">
        <v>137</v>
      </c>
      <c r="D24" s="20" t="s">
        <v>126</v>
      </c>
      <c r="E24" s="20" t="s">
        <v>138</v>
      </c>
      <c r="F24" s="21" t="s">
        <v>139</v>
      </c>
      <c r="G24" s="22" t="s">
        <v>129</v>
      </c>
      <c r="H24" s="20">
        <v>4.0</v>
      </c>
      <c r="I24" s="20" t="s">
        <v>130</v>
      </c>
      <c r="J24" s="4" t="s">
        <v>19</v>
      </c>
      <c r="K24" s="21" t="s">
        <v>140</v>
      </c>
    </row>
    <row r="25" ht="15.75" customHeight="1">
      <c r="F25" s="23"/>
    </row>
    <row r="26" ht="15.75" customHeight="1">
      <c r="F26" s="23"/>
    </row>
    <row r="27" ht="15.75" customHeight="1">
      <c r="F27" s="23"/>
    </row>
    <row r="28" ht="15.75" customHeight="1">
      <c r="F28" s="23"/>
    </row>
    <row r="29" ht="15.75" customHeight="1">
      <c r="F29" s="23"/>
    </row>
    <row r="30" ht="15.75" customHeight="1">
      <c r="F30" s="23"/>
    </row>
    <row r="31" ht="15.75" customHeight="1">
      <c r="F31" s="23"/>
    </row>
    <row r="32" ht="15.75" customHeight="1">
      <c r="F32" s="23"/>
    </row>
    <row r="33" ht="15.75" customHeight="1">
      <c r="F33" s="23"/>
    </row>
    <row r="34" ht="15.75" customHeight="1">
      <c r="F34" s="23"/>
    </row>
    <row r="35" ht="15.75" customHeight="1">
      <c r="F35" s="23"/>
    </row>
    <row r="36" ht="15.75" customHeight="1">
      <c r="F36" s="23"/>
    </row>
    <row r="37" ht="15.75" customHeight="1">
      <c r="F37" s="23"/>
    </row>
    <row r="38" ht="15.75" customHeight="1">
      <c r="F38" s="23"/>
    </row>
    <row r="39" ht="15.75" customHeight="1">
      <c r="F39" s="23"/>
    </row>
    <row r="40" ht="15.75" customHeight="1">
      <c r="F40" s="23"/>
    </row>
    <row r="41" ht="15.75" customHeight="1">
      <c r="F41" s="23"/>
    </row>
    <row r="42" ht="15.75" customHeight="1">
      <c r="F42" s="23"/>
    </row>
    <row r="43" ht="15.75" customHeight="1">
      <c r="F43" s="23"/>
    </row>
    <row r="44" ht="15.75" customHeight="1">
      <c r="F44" s="23"/>
    </row>
    <row r="45" ht="15.75" customHeight="1">
      <c r="F45" s="23"/>
    </row>
    <row r="46" ht="15.75" customHeight="1">
      <c r="F46" s="23"/>
    </row>
    <row r="47" ht="15.75" customHeight="1">
      <c r="F47" s="23"/>
    </row>
    <row r="48" ht="15.75" customHeight="1">
      <c r="F48" s="23"/>
    </row>
    <row r="49" ht="15.75" customHeight="1">
      <c r="F49" s="23"/>
    </row>
    <row r="50" ht="15.75" customHeight="1">
      <c r="F50" s="23"/>
    </row>
    <row r="51" ht="15.75" customHeight="1">
      <c r="F51" s="23"/>
    </row>
    <row r="52" ht="15.75" customHeight="1">
      <c r="F52" s="23"/>
    </row>
    <row r="53" ht="15.75" customHeight="1">
      <c r="F53" s="23"/>
    </row>
    <row r="54" ht="15.75" customHeight="1">
      <c r="F54" s="23"/>
    </row>
    <row r="55" ht="15.75" customHeight="1">
      <c r="F55" s="23"/>
    </row>
    <row r="56" ht="15.75" customHeight="1">
      <c r="F56" s="23"/>
    </row>
    <row r="57" ht="15.75" customHeight="1">
      <c r="F57" s="23"/>
    </row>
    <row r="58" ht="15.75" customHeight="1">
      <c r="F58" s="23"/>
    </row>
    <row r="59" ht="15.75" customHeight="1">
      <c r="F59" s="23"/>
    </row>
    <row r="60" ht="15.75" customHeight="1">
      <c r="F60" s="23"/>
    </row>
    <row r="61" ht="15.75" customHeight="1">
      <c r="F61" s="23"/>
    </row>
    <row r="62" ht="15.75" customHeight="1">
      <c r="F62" s="23"/>
    </row>
    <row r="63" ht="15.75" customHeight="1">
      <c r="F63" s="23"/>
    </row>
    <row r="64" ht="15.75" customHeight="1">
      <c r="F64" s="23"/>
    </row>
    <row r="65" ht="15.75" customHeight="1">
      <c r="F65" s="23"/>
    </row>
    <row r="66" ht="15.75" customHeight="1">
      <c r="F66" s="23"/>
    </row>
    <row r="67" ht="15.75" customHeight="1">
      <c r="F67" s="23"/>
    </row>
    <row r="68" ht="15.75" customHeight="1">
      <c r="F68" s="23"/>
    </row>
    <row r="69" ht="15.75" customHeight="1">
      <c r="F69" s="23"/>
    </row>
    <row r="70" ht="15.75" customHeight="1">
      <c r="F70" s="23"/>
    </row>
    <row r="71" ht="15.75" customHeight="1">
      <c r="F71" s="23"/>
    </row>
    <row r="72" ht="15.75" customHeight="1">
      <c r="F72" s="23"/>
    </row>
    <row r="73" ht="15.75" customHeight="1">
      <c r="F73" s="23"/>
    </row>
    <row r="74" ht="15.75" customHeight="1">
      <c r="F74" s="23"/>
    </row>
    <row r="75" ht="15.75" customHeight="1">
      <c r="F75" s="23"/>
    </row>
    <row r="76" ht="15.75" customHeight="1">
      <c r="F76" s="23"/>
    </row>
    <row r="77" ht="15.75" customHeight="1">
      <c r="F77" s="23"/>
    </row>
    <row r="78" ht="15.75" customHeight="1">
      <c r="F78" s="23"/>
    </row>
    <row r="79" ht="15.75" customHeight="1">
      <c r="F79" s="23"/>
    </row>
    <row r="80" ht="15.75" customHeight="1">
      <c r="F80" s="23"/>
    </row>
    <row r="81" ht="15.75" customHeight="1">
      <c r="F81" s="23"/>
    </row>
    <row r="82" ht="15.75" customHeight="1">
      <c r="F82" s="23"/>
    </row>
    <row r="83" ht="15.75" customHeight="1">
      <c r="F83" s="23"/>
    </row>
    <row r="84" ht="15.75" customHeight="1">
      <c r="F84" s="23"/>
    </row>
    <row r="85" ht="15.75" customHeight="1">
      <c r="F85" s="23"/>
    </row>
    <row r="86" ht="15.75" customHeight="1">
      <c r="F86" s="23"/>
    </row>
    <row r="87" ht="15.75" customHeight="1">
      <c r="F87" s="23"/>
    </row>
    <row r="88" ht="15.75" customHeight="1">
      <c r="F88" s="23"/>
    </row>
    <row r="89" ht="15.75" customHeight="1">
      <c r="F89" s="23"/>
    </row>
    <row r="90" ht="15.75" customHeight="1">
      <c r="F90" s="23"/>
    </row>
    <row r="91" ht="15.75" customHeight="1">
      <c r="F91" s="23"/>
    </row>
    <row r="92" ht="15.75" customHeight="1">
      <c r="F92" s="23"/>
    </row>
    <row r="93" ht="15.75" customHeight="1">
      <c r="F93" s="23"/>
    </row>
    <row r="94" ht="15.75" customHeight="1">
      <c r="F94" s="23"/>
    </row>
    <row r="95" ht="15.75" customHeight="1">
      <c r="F95" s="23"/>
    </row>
    <row r="96" ht="15.75" customHeight="1">
      <c r="F96" s="23"/>
    </row>
    <row r="97" ht="15.75" customHeight="1">
      <c r="F97" s="23"/>
    </row>
    <row r="98" ht="15.75" customHeight="1">
      <c r="F98" s="23"/>
    </row>
    <row r="99" ht="15.75" customHeight="1">
      <c r="F99" s="23"/>
    </row>
    <row r="100" ht="15.75" customHeight="1">
      <c r="F100" s="23"/>
    </row>
    <row r="101" ht="15.75" customHeight="1">
      <c r="F101" s="23"/>
    </row>
    <row r="102" ht="15.75" customHeight="1">
      <c r="F102" s="23"/>
    </row>
    <row r="103" ht="15.75" customHeight="1">
      <c r="F103" s="23"/>
    </row>
    <row r="104" ht="15.75" customHeight="1">
      <c r="F104" s="23"/>
    </row>
    <row r="105" ht="15.75" customHeight="1">
      <c r="F105" s="23"/>
    </row>
    <row r="106" ht="15.75" customHeight="1">
      <c r="F106" s="23"/>
    </row>
    <row r="107" ht="15.75" customHeight="1">
      <c r="F107" s="23"/>
    </row>
    <row r="108" ht="15.75" customHeight="1">
      <c r="F108" s="23"/>
    </row>
    <row r="109" ht="15.75" customHeight="1">
      <c r="F109" s="23"/>
    </row>
    <row r="110" ht="15.75" customHeight="1">
      <c r="F110" s="23"/>
    </row>
    <row r="111" ht="15.75" customHeight="1">
      <c r="F111" s="23"/>
    </row>
    <row r="112" ht="15.75" customHeight="1">
      <c r="F112" s="23"/>
    </row>
    <row r="113" ht="15.75" customHeight="1">
      <c r="F113" s="23"/>
    </row>
    <row r="114" ht="15.75" customHeight="1">
      <c r="F114" s="23"/>
    </row>
    <row r="115" ht="15.75" customHeight="1">
      <c r="F115" s="23"/>
    </row>
    <row r="116" ht="15.75" customHeight="1">
      <c r="F116" s="23"/>
    </row>
    <row r="117" ht="15.75" customHeight="1">
      <c r="F117" s="23"/>
    </row>
    <row r="118" ht="15.75" customHeight="1">
      <c r="F118" s="23"/>
    </row>
    <row r="119" ht="15.75" customHeight="1">
      <c r="F119" s="23"/>
    </row>
    <row r="120" ht="15.75" customHeight="1">
      <c r="F120" s="23"/>
    </row>
    <row r="121" ht="15.75" customHeight="1">
      <c r="F121" s="23"/>
    </row>
    <row r="122" ht="15.75" customHeight="1">
      <c r="F122" s="23"/>
    </row>
    <row r="123" ht="15.75" customHeight="1">
      <c r="F123" s="23"/>
    </row>
    <row r="124" ht="15.75" customHeight="1">
      <c r="F124" s="23"/>
    </row>
    <row r="125" ht="15.75" customHeight="1">
      <c r="F125" s="23"/>
    </row>
    <row r="126" ht="15.75" customHeight="1">
      <c r="F126" s="23"/>
    </row>
    <row r="127" ht="15.75" customHeight="1">
      <c r="F127" s="23"/>
    </row>
    <row r="128" ht="15.75" customHeight="1">
      <c r="F128" s="23"/>
    </row>
    <row r="129" ht="15.75" customHeight="1">
      <c r="F129" s="23"/>
    </row>
    <row r="130" ht="15.75" customHeight="1">
      <c r="F130" s="23"/>
    </row>
    <row r="131" ht="15.75" customHeight="1">
      <c r="F131" s="23"/>
    </row>
    <row r="132" ht="15.75" customHeight="1">
      <c r="F132" s="23"/>
    </row>
    <row r="133" ht="15.75" customHeight="1">
      <c r="F133" s="23"/>
    </row>
    <row r="134" ht="15.75" customHeight="1">
      <c r="F134" s="23"/>
    </row>
    <row r="135" ht="15.75" customHeight="1">
      <c r="F135" s="23"/>
    </row>
    <row r="136" ht="15.75" customHeight="1">
      <c r="F136" s="23"/>
    </row>
    <row r="137" ht="15.75" customHeight="1">
      <c r="F137" s="23"/>
    </row>
    <row r="138" ht="15.75" customHeight="1">
      <c r="F138" s="23"/>
    </row>
    <row r="139" ht="15.75" customHeight="1">
      <c r="F139" s="23"/>
    </row>
    <row r="140" ht="15.75" customHeight="1">
      <c r="F140" s="23"/>
    </row>
    <row r="141" ht="15.75" customHeight="1">
      <c r="F141" s="23"/>
    </row>
    <row r="142" ht="15.75" customHeight="1">
      <c r="F142" s="23"/>
    </row>
    <row r="143" ht="15.75" customHeight="1">
      <c r="F143" s="23"/>
    </row>
    <row r="144" ht="15.75" customHeight="1">
      <c r="F144" s="23"/>
    </row>
    <row r="145" ht="15.75" customHeight="1">
      <c r="F145" s="23"/>
    </row>
    <row r="146" ht="15.75" customHeight="1">
      <c r="F146" s="23"/>
    </row>
    <row r="147" ht="15.75" customHeight="1">
      <c r="F147" s="23"/>
    </row>
    <row r="148" ht="15.75" customHeight="1">
      <c r="F148" s="23"/>
    </row>
    <row r="149" ht="15.75" customHeight="1">
      <c r="F149" s="23"/>
    </row>
    <row r="150" ht="15.75" customHeight="1">
      <c r="F150" s="23"/>
    </row>
    <row r="151" ht="15.75" customHeight="1">
      <c r="F151" s="23"/>
    </row>
    <row r="152" ht="15.75" customHeight="1">
      <c r="F152" s="23"/>
    </row>
    <row r="153" ht="15.75" customHeight="1">
      <c r="F153" s="23"/>
    </row>
    <row r="154" ht="15.75" customHeight="1">
      <c r="F154" s="23"/>
    </row>
    <row r="155" ht="15.75" customHeight="1">
      <c r="F155" s="23"/>
    </row>
    <row r="156" ht="15.75" customHeight="1">
      <c r="F156" s="23"/>
    </row>
    <row r="157" ht="15.75" customHeight="1">
      <c r="F157" s="23"/>
    </row>
    <row r="158" ht="15.75" customHeight="1">
      <c r="F158" s="23"/>
    </row>
    <row r="159" ht="15.75" customHeight="1">
      <c r="F159" s="23"/>
    </row>
    <row r="160" ht="15.75" customHeight="1">
      <c r="F160" s="23"/>
    </row>
    <row r="161" ht="15.75" customHeight="1">
      <c r="F161" s="23"/>
    </row>
    <row r="162" ht="15.75" customHeight="1">
      <c r="F162" s="23"/>
    </row>
    <row r="163" ht="15.75" customHeight="1">
      <c r="F163" s="23"/>
    </row>
    <row r="164" ht="15.75" customHeight="1">
      <c r="F164" s="23"/>
    </row>
    <row r="165" ht="15.75" customHeight="1">
      <c r="F165" s="23"/>
    </row>
    <row r="166" ht="15.75" customHeight="1">
      <c r="F166" s="23"/>
    </row>
    <row r="167" ht="15.75" customHeight="1">
      <c r="F167" s="23"/>
    </row>
    <row r="168" ht="15.75" customHeight="1">
      <c r="F168" s="23"/>
    </row>
    <row r="169" ht="15.75" customHeight="1">
      <c r="F169" s="23"/>
    </row>
    <row r="170" ht="15.75" customHeight="1">
      <c r="F170" s="23"/>
    </row>
    <row r="171" ht="15.75" customHeight="1">
      <c r="F171" s="23"/>
    </row>
    <row r="172" ht="15.75" customHeight="1">
      <c r="F172" s="23"/>
    </row>
    <row r="173" ht="15.75" customHeight="1">
      <c r="F173" s="23"/>
    </row>
    <row r="174" ht="15.75" customHeight="1">
      <c r="F174" s="23"/>
    </row>
    <row r="175" ht="15.75" customHeight="1">
      <c r="F175" s="23"/>
    </row>
    <row r="176" ht="15.75" customHeight="1">
      <c r="F176" s="23"/>
    </row>
    <row r="177" ht="15.75" customHeight="1">
      <c r="F177" s="23"/>
    </row>
    <row r="178" ht="15.75" customHeight="1">
      <c r="F178" s="23"/>
    </row>
    <row r="179" ht="15.75" customHeight="1">
      <c r="F179" s="23"/>
    </row>
    <row r="180" ht="15.75" customHeight="1">
      <c r="F180" s="23"/>
    </row>
    <row r="181" ht="15.75" customHeight="1">
      <c r="F181" s="23"/>
    </row>
    <row r="182" ht="15.75" customHeight="1">
      <c r="F182" s="23"/>
    </row>
    <row r="183" ht="15.75" customHeight="1">
      <c r="F183" s="23"/>
    </row>
    <row r="184" ht="15.75" customHeight="1">
      <c r="F184" s="23"/>
    </row>
    <row r="185" ht="15.75" customHeight="1">
      <c r="F185" s="23"/>
    </row>
    <row r="186" ht="15.75" customHeight="1">
      <c r="F186" s="23"/>
    </row>
    <row r="187" ht="15.75" customHeight="1">
      <c r="F187" s="23"/>
    </row>
    <row r="188" ht="15.75" customHeight="1">
      <c r="F188" s="23"/>
    </row>
    <row r="189" ht="15.75" customHeight="1">
      <c r="F189" s="23"/>
    </row>
    <row r="190" ht="15.75" customHeight="1">
      <c r="F190" s="23"/>
    </row>
    <row r="191" ht="15.75" customHeight="1">
      <c r="F191" s="23"/>
    </row>
    <row r="192" ht="15.75" customHeight="1">
      <c r="F192" s="23"/>
    </row>
    <row r="193" ht="15.75" customHeight="1">
      <c r="F193" s="23"/>
    </row>
    <row r="194" ht="15.75" customHeight="1">
      <c r="F194" s="23"/>
    </row>
    <row r="195" ht="15.75" customHeight="1">
      <c r="F195" s="23"/>
    </row>
    <row r="196" ht="15.75" customHeight="1">
      <c r="F196" s="23"/>
    </row>
    <row r="197" ht="15.75" customHeight="1">
      <c r="F197" s="23"/>
    </row>
    <row r="198" ht="15.75" customHeight="1">
      <c r="F198" s="23"/>
    </row>
    <row r="199" ht="15.75" customHeight="1">
      <c r="F199" s="23"/>
    </row>
    <row r="200" ht="15.75" customHeight="1">
      <c r="F200" s="23"/>
    </row>
    <row r="201" ht="15.75" customHeight="1">
      <c r="F201" s="23"/>
    </row>
    <row r="202" ht="15.75" customHeight="1">
      <c r="F202" s="23"/>
    </row>
    <row r="203" ht="15.75" customHeight="1">
      <c r="F203" s="23"/>
    </row>
    <row r="204" ht="15.75" customHeight="1">
      <c r="F204" s="23"/>
    </row>
    <row r="205" ht="15.75" customHeight="1">
      <c r="F205" s="23"/>
    </row>
    <row r="206" ht="15.75" customHeight="1">
      <c r="F206" s="23"/>
    </row>
    <row r="207" ht="15.75" customHeight="1">
      <c r="F207" s="23"/>
    </row>
    <row r="208" ht="15.75" customHeight="1">
      <c r="F208" s="23"/>
    </row>
    <row r="209" ht="15.75" customHeight="1">
      <c r="F209" s="23"/>
    </row>
    <row r="210" ht="15.75" customHeight="1">
      <c r="F210" s="23"/>
    </row>
    <row r="211" ht="15.75" customHeight="1">
      <c r="F211" s="23"/>
    </row>
    <row r="212" ht="15.75" customHeight="1">
      <c r="F212" s="23"/>
    </row>
    <row r="213" ht="15.75" customHeight="1">
      <c r="F213" s="23"/>
    </row>
    <row r="214" ht="15.75" customHeight="1">
      <c r="F214" s="23"/>
    </row>
    <row r="215" ht="15.75" customHeight="1">
      <c r="F215" s="23"/>
    </row>
    <row r="216" ht="15.75" customHeight="1">
      <c r="F216" s="23"/>
    </row>
    <row r="217" ht="15.75" customHeight="1">
      <c r="F217" s="23"/>
    </row>
    <row r="218" ht="15.75" customHeight="1">
      <c r="F218" s="23"/>
    </row>
    <row r="219" ht="15.75" customHeight="1">
      <c r="F219" s="23"/>
    </row>
    <row r="220" ht="15.75" customHeight="1">
      <c r="F220" s="23"/>
    </row>
    <row r="221" ht="15.75" customHeight="1">
      <c r="F221" s="23"/>
    </row>
    <row r="222" ht="15.75" customHeight="1">
      <c r="F222" s="23"/>
    </row>
    <row r="223" ht="15.75" customHeight="1">
      <c r="F223" s="23"/>
    </row>
    <row r="224" ht="15.75" customHeight="1">
      <c r="F224" s="23"/>
    </row>
    <row r="225" ht="15.75" customHeight="1">
      <c r="F225" s="23"/>
    </row>
    <row r="226" ht="15.75" customHeight="1">
      <c r="F226" s="23"/>
    </row>
    <row r="227" ht="15.75" customHeight="1">
      <c r="F227" s="23"/>
    </row>
    <row r="228" ht="15.75" customHeight="1">
      <c r="F228" s="23"/>
    </row>
    <row r="229" ht="15.75" customHeight="1">
      <c r="F229" s="23"/>
    </row>
    <row r="230" ht="15.75" customHeight="1">
      <c r="F230" s="23"/>
    </row>
    <row r="231" ht="15.75" customHeight="1">
      <c r="F231" s="23"/>
    </row>
    <row r="232" ht="15.75" customHeight="1">
      <c r="F232" s="23"/>
    </row>
    <row r="233" ht="15.75" customHeight="1">
      <c r="F233" s="23"/>
    </row>
    <row r="234" ht="15.75" customHeight="1">
      <c r="F234" s="23"/>
    </row>
    <row r="235" ht="15.75" customHeight="1">
      <c r="F235" s="23"/>
    </row>
    <row r="236" ht="15.75" customHeight="1">
      <c r="F236" s="23"/>
    </row>
    <row r="237" ht="15.75" customHeight="1">
      <c r="F237" s="23"/>
    </row>
    <row r="238" ht="15.75" customHeight="1">
      <c r="F238" s="23"/>
    </row>
    <row r="239" ht="15.75" customHeight="1">
      <c r="F239" s="23"/>
    </row>
    <row r="240" ht="15.75" customHeight="1">
      <c r="F240" s="23"/>
    </row>
    <row r="241" ht="15.75" customHeight="1">
      <c r="F241" s="23"/>
    </row>
    <row r="242" ht="15.75" customHeight="1">
      <c r="F242" s="23"/>
    </row>
    <row r="243" ht="15.75" customHeight="1">
      <c r="F243" s="23"/>
    </row>
    <row r="244" ht="15.75" customHeight="1">
      <c r="F244" s="23"/>
    </row>
    <row r="245" ht="15.75" customHeight="1">
      <c r="F245" s="23"/>
    </row>
    <row r="246" ht="15.75" customHeight="1">
      <c r="F246" s="23"/>
    </row>
    <row r="247" ht="15.75" customHeight="1">
      <c r="F247" s="23"/>
    </row>
    <row r="248" ht="15.75" customHeight="1">
      <c r="F248" s="23"/>
    </row>
    <row r="249" ht="15.75" customHeight="1">
      <c r="F249" s="23"/>
    </row>
    <row r="250" ht="15.75" customHeight="1">
      <c r="F250" s="23"/>
    </row>
    <row r="251" ht="15.75" customHeight="1">
      <c r="F251" s="23"/>
    </row>
    <row r="252" ht="15.75" customHeight="1">
      <c r="F252" s="23"/>
    </row>
    <row r="253" ht="15.75" customHeight="1">
      <c r="F253" s="23"/>
    </row>
    <row r="254" ht="15.75" customHeight="1">
      <c r="F254" s="23"/>
    </row>
    <row r="255" ht="15.75" customHeight="1">
      <c r="F255" s="23"/>
    </row>
    <row r="256" ht="15.75" customHeight="1">
      <c r="F256" s="23"/>
    </row>
    <row r="257" ht="15.75" customHeight="1">
      <c r="F257" s="23"/>
    </row>
    <row r="258" ht="15.75" customHeight="1">
      <c r="F258" s="23"/>
    </row>
    <row r="259" ht="15.75" customHeight="1">
      <c r="F259" s="23"/>
    </row>
    <row r="260" ht="15.75" customHeight="1">
      <c r="F260" s="23"/>
    </row>
    <row r="261" ht="15.75" customHeight="1">
      <c r="F261" s="23"/>
    </row>
    <row r="262" ht="15.75" customHeight="1">
      <c r="F262" s="23"/>
    </row>
    <row r="263" ht="15.75" customHeight="1">
      <c r="F263" s="23"/>
    </row>
    <row r="264" ht="15.75" customHeight="1">
      <c r="F264" s="23"/>
    </row>
    <row r="265" ht="15.75" customHeight="1">
      <c r="F265" s="23"/>
    </row>
    <row r="266" ht="15.75" customHeight="1">
      <c r="F266" s="23"/>
    </row>
    <row r="267" ht="15.75" customHeight="1">
      <c r="F267" s="23"/>
    </row>
    <row r="268" ht="15.75" customHeight="1">
      <c r="F268" s="23"/>
    </row>
    <row r="269" ht="15.75" customHeight="1">
      <c r="F269" s="23"/>
    </row>
    <row r="270" ht="15.75" customHeight="1">
      <c r="F270" s="23"/>
    </row>
    <row r="271" ht="15.75" customHeight="1">
      <c r="F271" s="23"/>
    </row>
    <row r="272" ht="15.75" customHeight="1">
      <c r="F272" s="23"/>
    </row>
    <row r="273" ht="15.75" customHeight="1">
      <c r="F273" s="23"/>
    </row>
    <row r="274" ht="15.75" customHeight="1">
      <c r="F274" s="23"/>
    </row>
    <row r="275" ht="15.75" customHeight="1">
      <c r="F275" s="23"/>
    </row>
    <row r="276" ht="15.75" customHeight="1">
      <c r="F276" s="23"/>
    </row>
    <row r="277" ht="15.75" customHeight="1">
      <c r="F277" s="23"/>
    </row>
    <row r="278" ht="15.75" customHeight="1">
      <c r="F278" s="23"/>
    </row>
    <row r="279" ht="15.75" customHeight="1">
      <c r="F279" s="23"/>
    </row>
    <row r="280" ht="15.75" customHeight="1">
      <c r="F280" s="23"/>
    </row>
    <row r="281" ht="15.75" customHeight="1">
      <c r="F281" s="23"/>
    </row>
    <row r="282" ht="15.75" customHeight="1">
      <c r="F282" s="23"/>
    </row>
    <row r="283" ht="15.75" customHeight="1">
      <c r="F283" s="23"/>
    </row>
    <row r="284" ht="15.75" customHeight="1">
      <c r="F284" s="23"/>
    </row>
    <row r="285" ht="15.75" customHeight="1">
      <c r="F285" s="23"/>
    </row>
    <row r="286" ht="15.75" customHeight="1">
      <c r="F286" s="23"/>
    </row>
    <row r="287" ht="15.75" customHeight="1">
      <c r="F287" s="23"/>
    </row>
    <row r="288" ht="15.75" customHeight="1">
      <c r="F288" s="23"/>
    </row>
    <row r="289" ht="15.75" customHeight="1">
      <c r="F289" s="23"/>
    </row>
    <row r="290" ht="15.75" customHeight="1">
      <c r="F290" s="23"/>
    </row>
    <row r="291" ht="15.75" customHeight="1">
      <c r="F291" s="23"/>
    </row>
    <row r="292" ht="15.75" customHeight="1">
      <c r="F292" s="23"/>
    </row>
    <row r="293" ht="15.75" customHeight="1">
      <c r="F293" s="23"/>
    </row>
    <row r="294" ht="15.75" customHeight="1">
      <c r="F294" s="23"/>
    </row>
    <row r="295" ht="15.75" customHeight="1">
      <c r="F295" s="23"/>
    </row>
    <row r="296" ht="15.75" customHeight="1">
      <c r="F296" s="23"/>
    </row>
    <row r="297" ht="15.75" customHeight="1">
      <c r="F297" s="23"/>
    </row>
    <row r="298" ht="15.75" customHeight="1">
      <c r="F298" s="23"/>
    </row>
    <row r="299" ht="15.75" customHeight="1">
      <c r="F299" s="23"/>
    </row>
    <row r="300" ht="15.75" customHeight="1">
      <c r="F300" s="23"/>
    </row>
    <row r="301" ht="15.75" customHeight="1">
      <c r="F301" s="23"/>
    </row>
    <row r="302" ht="15.75" customHeight="1">
      <c r="F302" s="23"/>
    </row>
    <row r="303" ht="15.75" customHeight="1">
      <c r="F303" s="23"/>
    </row>
    <row r="304" ht="15.75" customHeight="1">
      <c r="F304" s="23"/>
    </row>
    <row r="305" ht="15.75" customHeight="1">
      <c r="F305" s="23"/>
    </row>
    <row r="306" ht="15.75" customHeight="1">
      <c r="F306" s="23"/>
    </row>
    <row r="307" ht="15.75" customHeight="1">
      <c r="F307" s="23"/>
    </row>
    <row r="308" ht="15.75" customHeight="1">
      <c r="F308" s="23"/>
    </row>
    <row r="309" ht="15.75" customHeight="1">
      <c r="F309" s="23"/>
    </row>
    <row r="310" ht="15.75" customHeight="1">
      <c r="F310" s="23"/>
    </row>
    <row r="311" ht="15.75" customHeight="1">
      <c r="F311" s="23"/>
    </row>
    <row r="312" ht="15.75" customHeight="1">
      <c r="F312" s="23"/>
    </row>
    <row r="313" ht="15.75" customHeight="1">
      <c r="F313" s="23"/>
    </row>
    <row r="314" ht="15.75" customHeight="1">
      <c r="F314" s="23"/>
    </row>
    <row r="315" ht="15.75" customHeight="1">
      <c r="F315" s="23"/>
    </row>
    <row r="316" ht="15.75" customHeight="1">
      <c r="F316" s="23"/>
    </row>
    <row r="317" ht="15.75" customHeight="1">
      <c r="F317" s="23"/>
    </row>
    <row r="318" ht="15.75" customHeight="1">
      <c r="F318" s="23"/>
    </row>
    <row r="319" ht="15.75" customHeight="1">
      <c r="F319" s="23"/>
    </row>
    <row r="320" ht="15.75" customHeight="1">
      <c r="F320" s="23"/>
    </row>
    <row r="321" ht="15.75" customHeight="1">
      <c r="F321" s="23"/>
    </row>
    <row r="322" ht="15.75" customHeight="1">
      <c r="F322" s="23"/>
    </row>
    <row r="323" ht="15.75" customHeight="1">
      <c r="F323" s="23"/>
    </row>
    <row r="324" ht="15.75" customHeight="1">
      <c r="F324" s="23"/>
    </row>
    <row r="325" ht="15.75" customHeight="1">
      <c r="F325" s="23"/>
    </row>
    <row r="326" ht="15.75" customHeight="1">
      <c r="F326" s="23"/>
    </row>
    <row r="327" ht="15.75" customHeight="1">
      <c r="F327" s="23"/>
    </row>
    <row r="328" ht="15.75" customHeight="1">
      <c r="F328" s="23"/>
    </row>
    <row r="329" ht="15.75" customHeight="1">
      <c r="F329" s="23"/>
    </row>
    <row r="330" ht="15.75" customHeight="1">
      <c r="F330" s="23"/>
    </row>
    <row r="331" ht="15.75" customHeight="1">
      <c r="F331" s="23"/>
    </row>
    <row r="332" ht="15.75" customHeight="1">
      <c r="F332" s="23"/>
    </row>
    <row r="333" ht="15.75" customHeight="1">
      <c r="F333" s="23"/>
    </row>
    <row r="334" ht="15.75" customHeight="1">
      <c r="F334" s="23"/>
    </row>
    <row r="335" ht="15.75" customHeight="1">
      <c r="F335" s="23"/>
    </row>
    <row r="336" ht="15.75" customHeight="1">
      <c r="F336" s="23"/>
    </row>
    <row r="337" ht="15.75" customHeight="1">
      <c r="F337" s="23"/>
    </row>
    <row r="338" ht="15.75" customHeight="1">
      <c r="F338" s="23"/>
    </row>
    <row r="339" ht="15.75" customHeight="1">
      <c r="F339" s="23"/>
    </row>
    <row r="340" ht="15.75" customHeight="1">
      <c r="F340" s="23"/>
    </row>
    <row r="341" ht="15.75" customHeight="1">
      <c r="F341" s="23"/>
    </row>
    <row r="342" ht="15.75" customHeight="1">
      <c r="F342" s="23"/>
    </row>
    <row r="343" ht="15.75" customHeight="1">
      <c r="F343" s="23"/>
    </row>
    <row r="344" ht="15.75" customHeight="1">
      <c r="F344" s="23"/>
    </row>
    <row r="345" ht="15.75" customHeight="1">
      <c r="F345" s="23"/>
    </row>
    <row r="346" ht="15.75" customHeight="1">
      <c r="F346" s="23"/>
    </row>
    <row r="347" ht="15.75" customHeight="1">
      <c r="F347" s="23"/>
    </row>
    <row r="348" ht="15.75" customHeight="1">
      <c r="F348" s="23"/>
    </row>
    <row r="349" ht="15.75" customHeight="1">
      <c r="F349" s="23"/>
    </row>
    <row r="350" ht="15.75" customHeight="1">
      <c r="F350" s="23"/>
    </row>
    <row r="351" ht="15.75" customHeight="1">
      <c r="F351" s="23"/>
    </row>
    <row r="352" ht="15.75" customHeight="1">
      <c r="F352" s="23"/>
    </row>
    <row r="353" ht="15.75" customHeight="1">
      <c r="F353" s="23"/>
    </row>
    <row r="354" ht="15.75" customHeight="1">
      <c r="F354" s="23"/>
    </row>
    <row r="355" ht="15.75" customHeight="1">
      <c r="F355" s="23"/>
    </row>
    <row r="356" ht="15.75" customHeight="1">
      <c r="F356" s="23"/>
    </row>
    <row r="357" ht="15.75" customHeight="1">
      <c r="F357" s="23"/>
    </row>
    <row r="358" ht="15.75" customHeight="1">
      <c r="F358" s="23"/>
    </row>
    <row r="359" ht="15.75" customHeight="1">
      <c r="F359" s="23"/>
    </row>
    <row r="360" ht="15.75" customHeight="1">
      <c r="F360" s="23"/>
    </row>
    <row r="361" ht="15.75" customHeight="1">
      <c r="F361" s="23"/>
    </row>
    <row r="362" ht="15.75" customHeight="1">
      <c r="F362" s="23"/>
    </row>
    <row r="363" ht="15.75" customHeight="1">
      <c r="F363" s="23"/>
    </row>
    <row r="364" ht="15.75" customHeight="1">
      <c r="F364" s="23"/>
    </row>
    <row r="365" ht="15.75" customHeight="1">
      <c r="F365" s="23"/>
    </row>
    <row r="366" ht="15.75" customHeight="1">
      <c r="F366" s="23"/>
    </row>
    <row r="367" ht="15.75" customHeight="1">
      <c r="F367" s="23"/>
    </row>
    <row r="368" ht="15.75" customHeight="1">
      <c r="F368" s="23"/>
    </row>
    <row r="369" ht="15.75" customHeight="1">
      <c r="F369" s="23"/>
    </row>
    <row r="370" ht="15.75" customHeight="1">
      <c r="F370" s="23"/>
    </row>
    <row r="371" ht="15.75" customHeight="1">
      <c r="F371" s="23"/>
    </row>
    <row r="372" ht="15.75" customHeight="1">
      <c r="F372" s="23"/>
    </row>
    <row r="373" ht="15.75" customHeight="1">
      <c r="F373" s="23"/>
    </row>
    <row r="374" ht="15.75" customHeight="1">
      <c r="F374" s="23"/>
    </row>
    <row r="375" ht="15.75" customHeight="1">
      <c r="F375" s="23"/>
    </row>
    <row r="376" ht="15.75" customHeight="1">
      <c r="F376" s="23"/>
    </row>
    <row r="377" ht="15.75" customHeight="1">
      <c r="F377" s="23"/>
    </row>
    <row r="378" ht="15.75" customHeight="1">
      <c r="F378" s="23"/>
    </row>
    <row r="379" ht="15.75" customHeight="1">
      <c r="F379" s="23"/>
    </row>
    <row r="380" ht="15.75" customHeight="1">
      <c r="F380" s="23"/>
    </row>
    <row r="381" ht="15.75" customHeight="1">
      <c r="F381" s="23"/>
    </row>
    <row r="382" ht="15.75" customHeight="1">
      <c r="F382" s="23"/>
    </row>
    <row r="383" ht="15.75" customHeight="1">
      <c r="F383" s="23"/>
    </row>
    <row r="384" ht="15.75" customHeight="1">
      <c r="F384" s="23"/>
    </row>
    <row r="385" ht="15.75" customHeight="1">
      <c r="F385" s="23"/>
    </row>
    <row r="386" ht="15.75" customHeight="1">
      <c r="F386" s="23"/>
    </row>
    <row r="387" ht="15.75" customHeight="1">
      <c r="F387" s="23"/>
    </row>
    <row r="388" ht="15.75" customHeight="1">
      <c r="F388" s="23"/>
    </row>
    <row r="389" ht="15.75" customHeight="1">
      <c r="F389" s="23"/>
    </row>
    <row r="390" ht="15.75" customHeight="1">
      <c r="F390" s="23"/>
    </row>
    <row r="391" ht="15.75" customHeight="1">
      <c r="F391" s="23"/>
    </row>
    <row r="392" ht="15.75" customHeight="1">
      <c r="F392" s="23"/>
    </row>
    <row r="393" ht="15.75" customHeight="1">
      <c r="F393" s="23"/>
    </row>
    <row r="394" ht="15.75" customHeight="1">
      <c r="F394" s="23"/>
    </row>
    <row r="395" ht="15.75" customHeight="1">
      <c r="F395" s="23"/>
    </row>
    <row r="396" ht="15.75" customHeight="1">
      <c r="F396" s="23"/>
    </row>
    <row r="397" ht="15.75" customHeight="1">
      <c r="F397" s="23"/>
    </row>
    <row r="398" ht="15.75" customHeight="1">
      <c r="F398" s="23"/>
    </row>
    <row r="399" ht="15.75" customHeight="1">
      <c r="F399" s="23"/>
    </row>
    <row r="400" ht="15.75" customHeight="1">
      <c r="F400" s="23"/>
    </row>
    <row r="401" ht="15.75" customHeight="1">
      <c r="F401" s="23"/>
    </row>
    <row r="402" ht="15.75" customHeight="1">
      <c r="F402" s="23"/>
    </row>
    <row r="403" ht="15.75" customHeight="1">
      <c r="F403" s="23"/>
    </row>
    <row r="404" ht="15.75" customHeight="1">
      <c r="F404" s="23"/>
    </row>
    <row r="405" ht="15.75" customHeight="1">
      <c r="F405" s="23"/>
    </row>
    <row r="406" ht="15.75" customHeight="1">
      <c r="F406" s="23"/>
    </row>
    <row r="407" ht="15.75" customHeight="1">
      <c r="F407" s="23"/>
    </row>
    <row r="408" ht="15.75" customHeight="1">
      <c r="F408" s="23"/>
    </row>
    <row r="409" ht="15.75" customHeight="1">
      <c r="F409" s="23"/>
    </row>
    <row r="410" ht="15.75" customHeight="1">
      <c r="F410" s="23"/>
    </row>
    <row r="411" ht="15.75" customHeight="1">
      <c r="F411" s="23"/>
    </row>
    <row r="412" ht="15.75" customHeight="1">
      <c r="F412" s="23"/>
    </row>
    <row r="413" ht="15.75" customHeight="1">
      <c r="F413" s="23"/>
    </row>
    <row r="414" ht="15.75" customHeight="1">
      <c r="F414" s="23"/>
    </row>
    <row r="415" ht="15.75" customHeight="1">
      <c r="F415" s="23"/>
    </row>
    <row r="416" ht="15.75" customHeight="1">
      <c r="F416" s="23"/>
    </row>
    <row r="417" ht="15.75" customHeight="1">
      <c r="F417" s="23"/>
    </row>
    <row r="418" ht="15.75" customHeight="1">
      <c r="F418" s="23"/>
    </row>
    <row r="419" ht="15.75" customHeight="1">
      <c r="F419" s="23"/>
    </row>
    <row r="420" ht="15.75" customHeight="1">
      <c r="F420" s="23"/>
    </row>
    <row r="421" ht="15.75" customHeight="1">
      <c r="F421" s="23"/>
    </row>
    <row r="422" ht="15.75" customHeight="1">
      <c r="F422" s="23"/>
    </row>
    <row r="423" ht="15.75" customHeight="1">
      <c r="F423" s="23"/>
    </row>
    <row r="424" ht="15.75" customHeight="1">
      <c r="F424" s="23"/>
    </row>
    <row r="425" ht="15.75" customHeight="1">
      <c r="F425" s="23"/>
    </row>
    <row r="426" ht="15.75" customHeight="1">
      <c r="F426" s="23"/>
    </row>
    <row r="427" ht="15.75" customHeight="1">
      <c r="F427" s="23"/>
    </row>
    <row r="428" ht="15.75" customHeight="1">
      <c r="F428" s="23"/>
    </row>
    <row r="429" ht="15.75" customHeight="1">
      <c r="F429" s="23"/>
    </row>
    <row r="430" ht="15.75" customHeight="1">
      <c r="F430" s="23"/>
    </row>
    <row r="431" ht="15.75" customHeight="1">
      <c r="F431" s="23"/>
    </row>
    <row r="432" ht="15.75" customHeight="1">
      <c r="F432" s="23"/>
    </row>
    <row r="433" ht="15.75" customHeight="1">
      <c r="F433" s="23"/>
    </row>
    <row r="434" ht="15.75" customHeight="1">
      <c r="F434" s="23"/>
    </row>
    <row r="435" ht="15.75" customHeight="1">
      <c r="F435" s="23"/>
    </row>
    <row r="436" ht="15.75" customHeight="1">
      <c r="F436" s="23"/>
    </row>
    <row r="437" ht="15.75" customHeight="1">
      <c r="F437" s="23"/>
    </row>
    <row r="438" ht="15.75" customHeight="1">
      <c r="F438" s="23"/>
    </row>
    <row r="439" ht="15.75" customHeight="1">
      <c r="F439" s="23"/>
    </row>
    <row r="440" ht="15.75" customHeight="1">
      <c r="F440" s="23"/>
    </row>
    <row r="441" ht="15.75" customHeight="1">
      <c r="F441" s="23"/>
    </row>
    <row r="442" ht="15.75" customHeight="1">
      <c r="F442" s="23"/>
    </row>
    <row r="443" ht="15.75" customHeight="1">
      <c r="F443" s="23"/>
    </row>
    <row r="444" ht="15.75" customHeight="1">
      <c r="F444" s="23"/>
    </row>
    <row r="445" ht="15.75" customHeight="1">
      <c r="F445" s="23"/>
    </row>
    <row r="446" ht="15.75" customHeight="1">
      <c r="F446" s="23"/>
    </row>
    <row r="447" ht="15.75" customHeight="1">
      <c r="F447" s="23"/>
    </row>
    <row r="448" ht="15.75" customHeight="1">
      <c r="F448" s="23"/>
    </row>
    <row r="449" ht="15.75" customHeight="1">
      <c r="F449" s="23"/>
    </row>
    <row r="450" ht="15.75" customHeight="1">
      <c r="F450" s="23"/>
    </row>
    <row r="451" ht="15.75" customHeight="1">
      <c r="F451" s="23"/>
    </row>
    <row r="452" ht="15.75" customHeight="1">
      <c r="F452" s="23"/>
    </row>
    <row r="453" ht="15.75" customHeight="1">
      <c r="F453" s="23"/>
    </row>
    <row r="454" ht="15.75" customHeight="1">
      <c r="F454" s="23"/>
    </row>
    <row r="455" ht="15.75" customHeight="1">
      <c r="F455" s="23"/>
    </row>
    <row r="456" ht="15.75" customHeight="1">
      <c r="F456" s="23"/>
    </row>
    <row r="457" ht="15.75" customHeight="1">
      <c r="F457" s="23"/>
    </row>
    <row r="458" ht="15.75" customHeight="1">
      <c r="F458" s="23"/>
    </row>
    <row r="459" ht="15.75" customHeight="1">
      <c r="F459" s="23"/>
    </row>
    <row r="460" ht="15.75" customHeight="1">
      <c r="F460" s="23"/>
    </row>
    <row r="461" ht="15.75" customHeight="1">
      <c r="F461" s="23"/>
    </row>
    <row r="462" ht="15.75" customHeight="1">
      <c r="F462" s="23"/>
    </row>
    <row r="463" ht="15.75" customHeight="1">
      <c r="F463" s="23"/>
    </row>
    <row r="464" ht="15.75" customHeight="1">
      <c r="F464" s="23"/>
    </row>
    <row r="465" ht="15.75" customHeight="1">
      <c r="F465" s="23"/>
    </row>
    <row r="466" ht="15.75" customHeight="1">
      <c r="F466" s="23"/>
    </row>
    <row r="467" ht="15.75" customHeight="1">
      <c r="F467" s="23"/>
    </row>
    <row r="468" ht="15.75" customHeight="1">
      <c r="F468" s="23"/>
    </row>
    <row r="469" ht="15.75" customHeight="1">
      <c r="F469" s="23"/>
    </row>
    <row r="470" ht="15.75" customHeight="1">
      <c r="F470" s="23"/>
    </row>
    <row r="471" ht="15.75" customHeight="1">
      <c r="F471" s="23"/>
    </row>
    <row r="472" ht="15.75" customHeight="1">
      <c r="F472" s="23"/>
    </row>
    <row r="473" ht="15.75" customHeight="1">
      <c r="F473" s="23"/>
    </row>
    <row r="474" ht="15.75" customHeight="1">
      <c r="F474" s="23"/>
    </row>
    <row r="475" ht="15.75" customHeight="1">
      <c r="F475" s="23"/>
    </row>
    <row r="476" ht="15.75" customHeight="1">
      <c r="F476" s="23"/>
    </row>
    <row r="477" ht="15.75" customHeight="1">
      <c r="F477" s="23"/>
    </row>
    <row r="478" ht="15.75" customHeight="1">
      <c r="F478" s="23"/>
    </row>
    <row r="479" ht="15.75" customHeight="1">
      <c r="F479" s="23"/>
    </row>
    <row r="480" ht="15.75" customHeight="1">
      <c r="F480" s="23"/>
    </row>
    <row r="481" ht="15.75" customHeight="1">
      <c r="F481" s="23"/>
    </row>
    <row r="482" ht="15.75" customHeight="1">
      <c r="F482" s="23"/>
    </row>
    <row r="483" ht="15.75" customHeight="1">
      <c r="F483" s="23"/>
    </row>
    <row r="484" ht="15.75" customHeight="1">
      <c r="F484" s="23"/>
    </row>
    <row r="485" ht="15.75" customHeight="1">
      <c r="F485" s="23"/>
    </row>
    <row r="486" ht="15.75" customHeight="1">
      <c r="F486" s="23"/>
    </row>
    <row r="487" ht="15.75" customHeight="1">
      <c r="F487" s="23"/>
    </row>
    <row r="488" ht="15.75" customHeight="1">
      <c r="F488" s="23"/>
    </row>
    <row r="489" ht="15.75" customHeight="1">
      <c r="F489" s="23"/>
    </row>
    <row r="490" ht="15.75" customHeight="1">
      <c r="F490" s="23"/>
    </row>
    <row r="491" ht="15.75" customHeight="1">
      <c r="F491" s="23"/>
    </row>
    <row r="492" ht="15.75" customHeight="1">
      <c r="F492" s="23"/>
    </row>
    <row r="493" ht="15.75" customHeight="1">
      <c r="F493" s="23"/>
    </row>
    <row r="494" ht="15.75" customHeight="1">
      <c r="F494" s="23"/>
    </row>
    <row r="495" ht="15.75" customHeight="1">
      <c r="F495" s="23"/>
    </row>
    <row r="496" ht="15.75" customHeight="1">
      <c r="F496" s="23"/>
    </row>
    <row r="497" ht="15.75" customHeight="1">
      <c r="F497" s="23"/>
    </row>
    <row r="498" ht="15.75" customHeight="1">
      <c r="F498" s="23"/>
    </row>
    <row r="499" ht="15.75" customHeight="1">
      <c r="F499" s="23"/>
    </row>
    <row r="500" ht="15.75" customHeight="1">
      <c r="F500" s="23"/>
    </row>
    <row r="501" ht="15.75" customHeight="1">
      <c r="F501" s="23"/>
    </row>
    <row r="502" ht="15.75" customHeight="1">
      <c r="F502" s="23"/>
    </row>
    <row r="503" ht="15.75" customHeight="1">
      <c r="F503" s="23"/>
    </row>
    <row r="504" ht="15.75" customHeight="1">
      <c r="F504" s="23"/>
    </row>
    <row r="505" ht="15.75" customHeight="1">
      <c r="F505" s="23"/>
    </row>
    <row r="506" ht="15.75" customHeight="1">
      <c r="F506" s="23"/>
    </row>
    <row r="507" ht="15.75" customHeight="1">
      <c r="F507" s="23"/>
    </row>
    <row r="508" ht="15.75" customHeight="1">
      <c r="F508" s="23"/>
    </row>
    <row r="509" ht="15.75" customHeight="1">
      <c r="F509" s="23"/>
    </row>
    <row r="510" ht="15.75" customHeight="1">
      <c r="F510" s="23"/>
    </row>
    <row r="511" ht="15.75" customHeight="1">
      <c r="F511" s="23"/>
    </row>
    <row r="512" ht="15.75" customHeight="1">
      <c r="F512" s="23"/>
    </row>
    <row r="513" ht="15.75" customHeight="1">
      <c r="F513" s="23"/>
    </row>
    <row r="514" ht="15.75" customHeight="1">
      <c r="F514" s="23"/>
    </row>
    <row r="515" ht="15.75" customHeight="1">
      <c r="F515" s="23"/>
    </row>
    <row r="516" ht="15.75" customHeight="1">
      <c r="F516" s="23"/>
    </row>
    <row r="517" ht="15.75" customHeight="1">
      <c r="F517" s="23"/>
    </row>
    <row r="518" ht="15.75" customHeight="1">
      <c r="F518" s="23"/>
    </row>
    <row r="519" ht="15.75" customHeight="1">
      <c r="F519" s="23"/>
    </row>
    <row r="520" ht="15.75" customHeight="1">
      <c r="F520" s="23"/>
    </row>
    <row r="521" ht="15.75" customHeight="1">
      <c r="F521" s="23"/>
    </row>
    <row r="522" ht="15.75" customHeight="1">
      <c r="F522" s="23"/>
    </row>
    <row r="523" ht="15.75" customHeight="1">
      <c r="F523" s="23"/>
    </row>
    <row r="524" ht="15.75" customHeight="1">
      <c r="F524" s="23"/>
    </row>
    <row r="525" ht="15.75" customHeight="1">
      <c r="F525" s="23"/>
    </row>
    <row r="526" ht="15.75" customHeight="1">
      <c r="F526" s="23"/>
    </row>
    <row r="527" ht="15.75" customHeight="1">
      <c r="F527" s="23"/>
    </row>
    <row r="528" ht="15.75" customHeight="1">
      <c r="F528" s="23"/>
    </row>
    <row r="529" ht="15.75" customHeight="1">
      <c r="F529" s="23"/>
    </row>
    <row r="530" ht="15.75" customHeight="1">
      <c r="F530" s="23"/>
    </row>
    <row r="531" ht="15.75" customHeight="1">
      <c r="F531" s="23"/>
    </row>
    <row r="532" ht="15.75" customHeight="1">
      <c r="F532" s="23"/>
    </row>
    <row r="533" ht="15.75" customHeight="1">
      <c r="F533" s="23"/>
    </row>
    <row r="534" ht="15.75" customHeight="1">
      <c r="F534" s="23"/>
    </row>
    <row r="535" ht="15.75" customHeight="1">
      <c r="F535" s="23"/>
    </row>
    <row r="536" ht="15.75" customHeight="1">
      <c r="F536" s="23"/>
    </row>
    <row r="537" ht="15.75" customHeight="1">
      <c r="F537" s="23"/>
    </row>
    <row r="538" ht="15.75" customHeight="1">
      <c r="F538" s="23"/>
    </row>
    <row r="539" ht="15.75" customHeight="1">
      <c r="F539" s="23"/>
    </row>
    <row r="540" ht="15.75" customHeight="1">
      <c r="F540" s="23"/>
    </row>
    <row r="541" ht="15.75" customHeight="1">
      <c r="F541" s="23"/>
    </row>
    <row r="542" ht="15.75" customHeight="1">
      <c r="F542" s="23"/>
    </row>
    <row r="543" ht="15.75" customHeight="1">
      <c r="F543" s="23"/>
    </row>
    <row r="544" ht="15.75" customHeight="1">
      <c r="F544" s="23"/>
    </row>
    <row r="545" ht="15.75" customHeight="1">
      <c r="F545" s="23"/>
    </row>
    <row r="546" ht="15.75" customHeight="1">
      <c r="F546" s="23"/>
    </row>
    <row r="547" ht="15.75" customHeight="1">
      <c r="F547" s="23"/>
    </row>
    <row r="548" ht="15.75" customHeight="1">
      <c r="F548" s="23"/>
    </row>
    <row r="549" ht="15.75" customHeight="1">
      <c r="F549" s="23"/>
    </row>
    <row r="550" ht="15.75" customHeight="1">
      <c r="F550" s="23"/>
    </row>
    <row r="551" ht="15.75" customHeight="1">
      <c r="F551" s="23"/>
    </row>
    <row r="552" ht="15.75" customHeight="1">
      <c r="F552" s="23"/>
    </row>
    <row r="553" ht="15.75" customHeight="1">
      <c r="F553" s="23"/>
    </row>
    <row r="554" ht="15.75" customHeight="1">
      <c r="F554" s="23"/>
    </row>
    <row r="555" ht="15.75" customHeight="1">
      <c r="F555" s="23"/>
    </row>
    <row r="556" ht="15.75" customHeight="1">
      <c r="F556" s="23"/>
    </row>
    <row r="557" ht="15.75" customHeight="1">
      <c r="F557" s="23"/>
    </row>
    <row r="558" ht="15.75" customHeight="1">
      <c r="F558" s="23"/>
    </row>
    <row r="559" ht="15.75" customHeight="1">
      <c r="F559" s="23"/>
    </row>
    <row r="560" ht="15.75" customHeight="1">
      <c r="F560" s="23"/>
    </row>
    <row r="561" ht="15.75" customHeight="1">
      <c r="F561" s="23"/>
    </row>
    <row r="562" ht="15.75" customHeight="1">
      <c r="F562" s="23"/>
    </row>
    <row r="563" ht="15.75" customHeight="1">
      <c r="F563" s="23"/>
    </row>
    <row r="564" ht="15.75" customHeight="1">
      <c r="F564" s="23"/>
    </row>
    <row r="565" ht="15.75" customHeight="1">
      <c r="F565" s="23"/>
    </row>
    <row r="566" ht="15.75" customHeight="1">
      <c r="F566" s="23"/>
    </row>
    <row r="567" ht="15.75" customHeight="1">
      <c r="F567" s="23"/>
    </row>
    <row r="568" ht="15.75" customHeight="1">
      <c r="F568" s="23"/>
    </row>
    <row r="569" ht="15.75" customHeight="1">
      <c r="F569" s="23"/>
    </row>
    <row r="570" ht="15.75" customHeight="1">
      <c r="F570" s="23"/>
    </row>
    <row r="571" ht="15.75" customHeight="1">
      <c r="F571" s="23"/>
    </row>
    <row r="572" ht="15.75" customHeight="1">
      <c r="F572" s="23"/>
    </row>
    <row r="573" ht="15.75" customHeight="1">
      <c r="F573" s="23"/>
    </row>
    <row r="574" ht="15.75" customHeight="1">
      <c r="F574" s="23"/>
    </row>
    <row r="575" ht="15.75" customHeight="1">
      <c r="F575" s="23"/>
    </row>
    <row r="576" ht="15.75" customHeight="1">
      <c r="F576" s="23"/>
    </row>
    <row r="577" ht="15.75" customHeight="1">
      <c r="F577" s="23"/>
    </row>
    <row r="578" ht="15.75" customHeight="1">
      <c r="F578" s="23"/>
    </row>
    <row r="579" ht="15.75" customHeight="1">
      <c r="F579" s="23"/>
    </row>
    <row r="580" ht="15.75" customHeight="1">
      <c r="F580" s="23"/>
    </row>
    <row r="581" ht="15.75" customHeight="1">
      <c r="F581" s="23"/>
    </row>
    <row r="582" ht="15.75" customHeight="1">
      <c r="F582" s="23"/>
    </row>
    <row r="583" ht="15.75" customHeight="1">
      <c r="F583" s="23"/>
    </row>
    <row r="584" ht="15.75" customHeight="1">
      <c r="F584" s="23"/>
    </row>
    <row r="585" ht="15.75" customHeight="1">
      <c r="F585" s="23"/>
    </row>
    <row r="586" ht="15.75" customHeight="1">
      <c r="F586" s="23"/>
    </row>
    <row r="587" ht="15.75" customHeight="1">
      <c r="F587" s="23"/>
    </row>
    <row r="588" ht="15.75" customHeight="1">
      <c r="F588" s="23"/>
    </row>
    <row r="589" ht="15.75" customHeight="1">
      <c r="F589" s="23"/>
    </row>
    <row r="590" ht="15.75" customHeight="1">
      <c r="F590" s="23"/>
    </row>
    <row r="591" ht="15.75" customHeight="1">
      <c r="F591" s="23"/>
    </row>
    <row r="592" ht="15.75" customHeight="1">
      <c r="F592" s="23"/>
    </row>
    <row r="593" ht="15.75" customHeight="1">
      <c r="F593" s="23"/>
    </row>
    <row r="594" ht="15.75" customHeight="1">
      <c r="F594" s="23"/>
    </row>
    <row r="595" ht="15.75" customHeight="1">
      <c r="F595" s="23"/>
    </row>
    <row r="596" ht="15.75" customHeight="1">
      <c r="F596" s="23"/>
    </row>
    <row r="597" ht="15.75" customHeight="1">
      <c r="F597" s="23"/>
    </row>
    <row r="598" ht="15.75" customHeight="1">
      <c r="F598" s="23"/>
    </row>
    <row r="599" ht="15.75" customHeight="1">
      <c r="F599" s="23"/>
    </row>
    <row r="600" ht="15.75" customHeight="1">
      <c r="F600" s="23"/>
    </row>
    <row r="601" ht="15.75" customHeight="1">
      <c r="F601" s="23"/>
    </row>
    <row r="602" ht="15.75" customHeight="1">
      <c r="F602" s="23"/>
    </row>
    <row r="603" ht="15.75" customHeight="1">
      <c r="F603" s="23"/>
    </row>
    <row r="604" ht="15.75" customHeight="1">
      <c r="F604" s="23"/>
    </row>
    <row r="605" ht="15.75" customHeight="1">
      <c r="F605" s="23"/>
    </row>
    <row r="606" ht="15.75" customHeight="1">
      <c r="F606" s="23"/>
    </row>
    <row r="607" ht="15.75" customHeight="1">
      <c r="F607" s="23"/>
    </row>
    <row r="608" ht="15.75" customHeight="1">
      <c r="F608" s="23"/>
    </row>
    <row r="609" ht="15.75" customHeight="1">
      <c r="F609" s="23"/>
    </row>
    <row r="610" ht="15.75" customHeight="1">
      <c r="F610" s="23"/>
    </row>
    <row r="611" ht="15.75" customHeight="1">
      <c r="F611" s="23"/>
    </row>
    <row r="612" ht="15.75" customHeight="1">
      <c r="F612" s="23"/>
    </row>
    <row r="613" ht="15.75" customHeight="1">
      <c r="F613" s="23"/>
    </row>
    <row r="614" ht="15.75" customHeight="1">
      <c r="F614" s="23"/>
    </row>
    <row r="615" ht="15.75" customHeight="1">
      <c r="F615" s="23"/>
    </row>
    <row r="616" ht="15.75" customHeight="1">
      <c r="F616" s="23"/>
    </row>
    <row r="617" ht="15.75" customHeight="1">
      <c r="F617" s="23"/>
    </row>
    <row r="618" ht="15.75" customHeight="1">
      <c r="F618" s="23"/>
    </row>
    <row r="619" ht="15.75" customHeight="1">
      <c r="F619" s="23"/>
    </row>
    <row r="620" ht="15.75" customHeight="1">
      <c r="F620" s="23"/>
    </row>
    <row r="621" ht="15.75" customHeight="1">
      <c r="F621" s="23"/>
    </row>
    <row r="622" ht="15.75" customHeight="1">
      <c r="F622" s="23"/>
    </row>
    <row r="623" ht="15.75" customHeight="1">
      <c r="F623" s="23"/>
    </row>
    <row r="624" ht="15.75" customHeight="1">
      <c r="F624" s="23"/>
    </row>
    <row r="625" ht="15.75" customHeight="1">
      <c r="F625" s="23"/>
    </row>
    <row r="626" ht="15.75" customHeight="1">
      <c r="F626" s="23"/>
    </row>
    <row r="627" ht="15.75" customHeight="1">
      <c r="F627" s="23"/>
    </row>
    <row r="628" ht="15.75" customHeight="1">
      <c r="F628" s="23"/>
    </row>
    <row r="629" ht="15.75" customHeight="1">
      <c r="F629" s="23"/>
    </row>
    <row r="630" ht="15.75" customHeight="1">
      <c r="F630" s="23"/>
    </row>
    <row r="631" ht="15.75" customHeight="1">
      <c r="F631" s="23"/>
    </row>
    <row r="632" ht="15.75" customHeight="1">
      <c r="F632" s="23"/>
    </row>
    <row r="633" ht="15.75" customHeight="1">
      <c r="F633" s="23"/>
    </row>
    <row r="634" ht="15.75" customHeight="1">
      <c r="F634" s="23"/>
    </row>
    <row r="635" ht="15.75" customHeight="1">
      <c r="F635" s="23"/>
    </row>
    <row r="636" ht="15.75" customHeight="1">
      <c r="F636" s="23"/>
    </row>
    <row r="637" ht="15.75" customHeight="1">
      <c r="F637" s="23"/>
    </row>
    <row r="638" ht="15.75" customHeight="1">
      <c r="F638" s="23"/>
    </row>
    <row r="639" ht="15.75" customHeight="1">
      <c r="F639" s="23"/>
    </row>
    <row r="640" ht="15.75" customHeight="1">
      <c r="F640" s="23"/>
    </row>
    <row r="641" ht="15.75" customHeight="1">
      <c r="F641" s="23"/>
    </row>
    <row r="642" ht="15.75" customHeight="1">
      <c r="F642" s="23"/>
    </row>
    <row r="643" ht="15.75" customHeight="1">
      <c r="F643" s="23"/>
    </row>
    <row r="644" ht="15.75" customHeight="1">
      <c r="F644" s="23"/>
    </row>
    <row r="645" ht="15.75" customHeight="1">
      <c r="F645" s="23"/>
    </row>
    <row r="646" ht="15.75" customHeight="1">
      <c r="F646" s="23"/>
    </row>
    <row r="647" ht="15.75" customHeight="1">
      <c r="F647" s="23"/>
    </row>
    <row r="648" ht="15.75" customHeight="1">
      <c r="F648" s="23"/>
    </row>
    <row r="649" ht="15.75" customHeight="1">
      <c r="F649" s="23"/>
    </row>
    <row r="650" ht="15.75" customHeight="1">
      <c r="F650" s="23"/>
    </row>
    <row r="651" ht="15.75" customHeight="1">
      <c r="F651" s="23"/>
    </row>
    <row r="652" ht="15.75" customHeight="1">
      <c r="F652" s="23"/>
    </row>
    <row r="653" ht="15.75" customHeight="1">
      <c r="F653" s="23"/>
    </row>
    <row r="654" ht="15.75" customHeight="1">
      <c r="F654" s="23"/>
    </row>
    <row r="655" ht="15.75" customHeight="1">
      <c r="F655" s="23"/>
    </row>
    <row r="656" ht="15.75" customHeight="1">
      <c r="F656" s="23"/>
    </row>
    <row r="657" ht="15.75" customHeight="1">
      <c r="F657" s="23"/>
    </row>
    <row r="658" ht="15.75" customHeight="1">
      <c r="F658" s="23"/>
    </row>
    <row r="659" ht="15.75" customHeight="1">
      <c r="F659" s="23"/>
    </row>
    <row r="660" ht="15.75" customHeight="1">
      <c r="F660" s="23"/>
    </row>
    <row r="661" ht="15.75" customHeight="1">
      <c r="F661" s="23"/>
    </row>
    <row r="662" ht="15.75" customHeight="1">
      <c r="F662" s="23"/>
    </row>
    <row r="663" ht="15.75" customHeight="1">
      <c r="F663" s="23"/>
    </row>
    <row r="664" ht="15.75" customHeight="1">
      <c r="F664" s="23"/>
    </row>
    <row r="665" ht="15.75" customHeight="1">
      <c r="F665" s="23"/>
    </row>
    <row r="666" ht="15.75" customHeight="1">
      <c r="F666" s="23"/>
    </row>
    <row r="667" ht="15.75" customHeight="1">
      <c r="F667" s="23"/>
    </row>
    <row r="668" ht="15.75" customHeight="1">
      <c r="F668" s="23"/>
    </row>
    <row r="669" ht="15.75" customHeight="1">
      <c r="F669" s="23"/>
    </row>
    <row r="670" ht="15.75" customHeight="1">
      <c r="F670" s="23"/>
    </row>
    <row r="671" ht="15.75" customHeight="1">
      <c r="F671" s="23"/>
    </row>
    <row r="672" ht="15.75" customHeight="1">
      <c r="F672" s="23"/>
    </row>
    <row r="673" ht="15.75" customHeight="1">
      <c r="F673" s="23"/>
    </row>
    <row r="674" ht="15.75" customHeight="1">
      <c r="F674" s="23"/>
    </row>
    <row r="675" ht="15.75" customHeight="1">
      <c r="F675" s="23"/>
    </row>
    <row r="676" ht="15.75" customHeight="1">
      <c r="F676" s="23"/>
    </row>
    <row r="677" ht="15.75" customHeight="1">
      <c r="F677" s="23"/>
    </row>
    <row r="678" ht="15.75" customHeight="1">
      <c r="F678" s="23"/>
    </row>
    <row r="679" ht="15.75" customHeight="1">
      <c r="F679" s="23"/>
    </row>
    <row r="680" ht="15.75" customHeight="1">
      <c r="F680" s="23"/>
    </row>
    <row r="681" ht="15.75" customHeight="1">
      <c r="F681" s="23"/>
    </row>
    <row r="682" ht="15.75" customHeight="1">
      <c r="F682" s="23"/>
    </row>
    <row r="683" ht="15.75" customHeight="1">
      <c r="F683" s="23"/>
    </row>
    <row r="684" ht="15.75" customHeight="1">
      <c r="F684" s="23"/>
    </row>
    <row r="685" ht="15.75" customHeight="1">
      <c r="F685" s="23"/>
    </row>
    <row r="686" ht="15.75" customHeight="1">
      <c r="F686" s="23"/>
    </row>
    <row r="687" ht="15.75" customHeight="1">
      <c r="F687" s="23"/>
    </row>
    <row r="688" ht="15.75" customHeight="1">
      <c r="F688" s="23"/>
    </row>
    <row r="689" ht="15.75" customHeight="1">
      <c r="F689" s="23"/>
    </row>
    <row r="690" ht="15.75" customHeight="1">
      <c r="F690" s="23"/>
    </row>
    <row r="691" ht="15.75" customHeight="1">
      <c r="F691" s="23"/>
    </row>
    <row r="692" ht="15.75" customHeight="1">
      <c r="F692" s="23"/>
    </row>
    <row r="693" ht="15.75" customHeight="1">
      <c r="F693" s="23"/>
    </row>
    <row r="694" ht="15.75" customHeight="1">
      <c r="F694" s="23"/>
    </row>
    <row r="695" ht="15.75" customHeight="1">
      <c r="F695" s="23"/>
    </row>
    <row r="696" ht="15.75" customHeight="1">
      <c r="F696" s="23"/>
    </row>
    <row r="697" ht="15.75" customHeight="1">
      <c r="F697" s="23"/>
    </row>
    <row r="698" ht="15.75" customHeight="1">
      <c r="F698" s="23"/>
    </row>
    <row r="699" ht="15.75" customHeight="1">
      <c r="F699" s="23"/>
    </row>
    <row r="700" ht="15.75" customHeight="1">
      <c r="F700" s="23"/>
    </row>
    <row r="701" ht="15.75" customHeight="1">
      <c r="F701" s="23"/>
    </row>
    <row r="702" ht="15.75" customHeight="1">
      <c r="F702" s="23"/>
    </row>
    <row r="703" ht="15.75" customHeight="1">
      <c r="F703" s="23"/>
    </row>
    <row r="704" ht="15.75" customHeight="1">
      <c r="F704" s="23"/>
    </row>
    <row r="705" ht="15.75" customHeight="1">
      <c r="F705" s="23"/>
    </row>
    <row r="706" ht="15.75" customHeight="1">
      <c r="F706" s="23"/>
    </row>
    <row r="707" ht="15.75" customHeight="1">
      <c r="F707" s="23"/>
    </row>
    <row r="708" ht="15.75" customHeight="1">
      <c r="F708" s="23"/>
    </row>
    <row r="709" ht="15.75" customHeight="1">
      <c r="F709" s="23"/>
    </row>
    <row r="710" ht="15.75" customHeight="1">
      <c r="F710" s="23"/>
    </row>
    <row r="711" ht="15.75" customHeight="1">
      <c r="F711" s="23"/>
    </row>
    <row r="712" ht="15.75" customHeight="1">
      <c r="F712" s="23"/>
    </row>
    <row r="713" ht="15.75" customHeight="1">
      <c r="F713" s="23"/>
    </row>
    <row r="714" ht="15.75" customHeight="1">
      <c r="F714" s="23"/>
    </row>
    <row r="715" ht="15.75" customHeight="1">
      <c r="F715" s="23"/>
    </row>
    <row r="716" ht="15.75" customHeight="1">
      <c r="F716" s="23"/>
    </row>
    <row r="717" ht="15.75" customHeight="1">
      <c r="F717" s="23"/>
    </row>
    <row r="718" ht="15.75" customHeight="1">
      <c r="F718" s="23"/>
    </row>
    <row r="719" ht="15.75" customHeight="1">
      <c r="F719" s="23"/>
    </row>
    <row r="720" ht="15.75" customHeight="1">
      <c r="F720" s="23"/>
    </row>
    <row r="721" ht="15.75" customHeight="1">
      <c r="F721" s="23"/>
    </row>
    <row r="722" ht="15.75" customHeight="1">
      <c r="F722" s="23"/>
    </row>
    <row r="723" ht="15.75" customHeight="1">
      <c r="F723" s="23"/>
    </row>
    <row r="724" ht="15.75" customHeight="1">
      <c r="F724" s="23"/>
    </row>
    <row r="725" ht="15.75" customHeight="1">
      <c r="F725" s="23"/>
    </row>
    <row r="726" ht="15.75" customHeight="1">
      <c r="F726" s="23"/>
    </row>
    <row r="727" ht="15.75" customHeight="1">
      <c r="F727" s="23"/>
    </row>
    <row r="728" ht="15.75" customHeight="1">
      <c r="F728" s="23"/>
    </row>
    <row r="729" ht="15.75" customHeight="1">
      <c r="F729" s="23"/>
    </row>
    <row r="730" ht="15.75" customHeight="1">
      <c r="F730" s="23"/>
    </row>
    <row r="731" ht="15.75" customHeight="1">
      <c r="F731" s="23"/>
    </row>
    <row r="732" ht="15.75" customHeight="1">
      <c r="F732" s="23"/>
    </row>
    <row r="733" ht="15.75" customHeight="1">
      <c r="F733" s="23"/>
    </row>
    <row r="734" ht="15.75" customHeight="1">
      <c r="F734" s="23"/>
    </row>
    <row r="735" ht="15.75" customHeight="1">
      <c r="F735" s="23"/>
    </row>
    <row r="736" ht="15.75" customHeight="1">
      <c r="F736" s="23"/>
    </row>
    <row r="737" ht="15.75" customHeight="1">
      <c r="F737" s="23"/>
    </row>
    <row r="738" ht="15.75" customHeight="1">
      <c r="F738" s="23"/>
    </row>
    <row r="739" ht="15.75" customHeight="1">
      <c r="F739" s="23"/>
    </row>
    <row r="740" ht="15.75" customHeight="1">
      <c r="F740" s="23"/>
    </row>
    <row r="741" ht="15.75" customHeight="1">
      <c r="F741" s="23"/>
    </row>
    <row r="742" ht="15.75" customHeight="1">
      <c r="F742" s="23"/>
    </row>
    <row r="743" ht="15.75" customHeight="1">
      <c r="F743" s="23"/>
    </row>
    <row r="744" ht="15.75" customHeight="1">
      <c r="F744" s="23"/>
    </row>
    <row r="745" ht="15.75" customHeight="1">
      <c r="F745" s="23"/>
    </row>
    <row r="746" ht="15.75" customHeight="1">
      <c r="F746" s="23"/>
    </row>
    <row r="747" ht="15.75" customHeight="1">
      <c r="F747" s="23"/>
    </row>
    <row r="748" ht="15.75" customHeight="1">
      <c r="F748" s="23"/>
    </row>
    <row r="749" ht="15.75" customHeight="1">
      <c r="F749" s="23"/>
    </row>
    <row r="750" ht="15.75" customHeight="1">
      <c r="F750" s="23"/>
    </row>
    <row r="751" ht="15.75" customHeight="1">
      <c r="F751" s="23"/>
    </row>
    <row r="752" ht="15.75" customHeight="1">
      <c r="F752" s="23"/>
    </row>
    <row r="753" ht="15.75" customHeight="1">
      <c r="F753" s="23"/>
    </row>
    <row r="754" ht="15.75" customHeight="1">
      <c r="F754" s="23"/>
    </row>
    <row r="755" ht="15.75" customHeight="1">
      <c r="F755" s="23"/>
    </row>
    <row r="756" ht="15.75" customHeight="1">
      <c r="F756" s="23"/>
    </row>
    <row r="757" ht="15.75" customHeight="1">
      <c r="F757" s="23"/>
    </row>
    <row r="758" ht="15.75" customHeight="1">
      <c r="F758" s="23"/>
    </row>
    <row r="759" ht="15.75" customHeight="1">
      <c r="F759" s="23"/>
    </row>
    <row r="760" ht="15.75" customHeight="1">
      <c r="F760" s="23"/>
    </row>
    <row r="761" ht="15.75" customHeight="1">
      <c r="F761" s="23"/>
    </row>
    <row r="762" ht="15.75" customHeight="1">
      <c r="F762" s="23"/>
    </row>
    <row r="763" ht="15.75" customHeight="1">
      <c r="F763" s="23"/>
    </row>
    <row r="764" ht="15.75" customHeight="1">
      <c r="F764" s="23"/>
    </row>
    <row r="765" ht="15.75" customHeight="1">
      <c r="F765" s="23"/>
    </row>
    <row r="766" ht="15.75" customHeight="1">
      <c r="F766" s="23"/>
    </row>
    <row r="767" ht="15.75" customHeight="1">
      <c r="F767" s="23"/>
    </row>
    <row r="768" ht="15.75" customHeight="1">
      <c r="F768" s="23"/>
    </row>
    <row r="769" ht="15.75" customHeight="1">
      <c r="F769" s="23"/>
    </row>
    <row r="770" ht="15.75" customHeight="1">
      <c r="F770" s="23"/>
    </row>
    <row r="771" ht="15.75" customHeight="1">
      <c r="F771" s="23"/>
    </row>
    <row r="772" ht="15.75" customHeight="1">
      <c r="F772" s="23"/>
    </row>
    <row r="773" ht="15.75" customHeight="1">
      <c r="F773" s="23"/>
    </row>
    <row r="774" ht="15.75" customHeight="1">
      <c r="F774" s="23"/>
    </row>
    <row r="775" ht="15.75" customHeight="1">
      <c r="F775" s="23"/>
    </row>
    <row r="776" ht="15.75" customHeight="1">
      <c r="F776" s="23"/>
    </row>
    <row r="777" ht="15.75" customHeight="1">
      <c r="F777" s="23"/>
    </row>
    <row r="778" ht="15.75" customHeight="1">
      <c r="F778" s="23"/>
    </row>
    <row r="779" ht="15.75" customHeight="1">
      <c r="F779" s="23"/>
    </row>
    <row r="780" ht="15.75" customHeight="1">
      <c r="F780" s="23"/>
    </row>
    <row r="781" ht="15.75" customHeight="1">
      <c r="F781" s="23"/>
    </row>
    <row r="782" ht="15.75" customHeight="1">
      <c r="F782" s="23"/>
    </row>
    <row r="783" ht="15.75" customHeight="1">
      <c r="F783" s="23"/>
    </row>
    <row r="784" ht="15.75" customHeight="1">
      <c r="F784" s="23"/>
    </row>
    <row r="785" ht="15.75" customHeight="1">
      <c r="F785" s="23"/>
    </row>
    <row r="786" ht="15.75" customHeight="1">
      <c r="F786" s="23"/>
    </row>
    <row r="787" ht="15.75" customHeight="1">
      <c r="F787" s="23"/>
    </row>
    <row r="788" ht="15.75" customHeight="1">
      <c r="F788" s="23"/>
    </row>
    <row r="789" ht="15.75" customHeight="1">
      <c r="F789" s="23"/>
    </row>
    <row r="790" ht="15.75" customHeight="1">
      <c r="F790" s="23"/>
    </row>
    <row r="791" ht="15.75" customHeight="1">
      <c r="F791" s="23"/>
    </row>
    <row r="792" ht="15.75" customHeight="1">
      <c r="F792" s="23"/>
    </row>
    <row r="793" ht="15.75" customHeight="1">
      <c r="F793" s="23"/>
    </row>
    <row r="794" ht="15.75" customHeight="1">
      <c r="F794" s="23"/>
    </row>
    <row r="795" ht="15.75" customHeight="1">
      <c r="F795" s="23"/>
    </row>
    <row r="796" ht="15.75" customHeight="1">
      <c r="F796" s="23"/>
    </row>
    <row r="797" ht="15.75" customHeight="1">
      <c r="F797" s="23"/>
    </row>
    <row r="798" ht="15.75" customHeight="1">
      <c r="F798" s="23"/>
    </row>
    <row r="799" ht="15.75" customHeight="1">
      <c r="F799" s="23"/>
    </row>
    <row r="800" ht="15.75" customHeight="1">
      <c r="F800" s="23"/>
    </row>
    <row r="801" ht="15.75" customHeight="1">
      <c r="F801" s="23"/>
    </row>
    <row r="802" ht="15.75" customHeight="1">
      <c r="F802" s="23"/>
    </row>
    <row r="803" ht="15.75" customHeight="1">
      <c r="F803" s="23"/>
    </row>
    <row r="804" ht="15.75" customHeight="1">
      <c r="F804" s="23"/>
    </row>
    <row r="805" ht="15.75" customHeight="1">
      <c r="F805" s="23"/>
    </row>
    <row r="806" ht="15.75" customHeight="1">
      <c r="F806" s="23"/>
    </row>
    <row r="807" ht="15.75" customHeight="1">
      <c r="F807" s="23"/>
    </row>
    <row r="808" ht="15.75" customHeight="1">
      <c r="F808" s="23"/>
    </row>
    <row r="809" ht="15.75" customHeight="1">
      <c r="F809" s="23"/>
    </row>
    <row r="810" ht="15.75" customHeight="1">
      <c r="F810" s="23"/>
    </row>
    <row r="811" ht="15.75" customHeight="1">
      <c r="F811" s="23"/>
    </row>
    <row r="812" ht="15.75" customHeight="1">
      <c r="F812" s="23"/>
    </row>
    <row r="813" ht="15.75" customHeight="1">
      <c r="F813" s="23"/>
    </row>
    <row r="814" ht="15.75" customHeight="1">
      <c r="F814" s="23"/>
    </row>
    <row r="815" ht="15.75" customHeight="1">
      <c r="F815" s="23"/>
    </row>
    <row r="816" ht="15.75" customHeight="1">
      <c r="F816" s="23"/>
    </row>
    <row r="817" ht="15.75" customHeight="1">
      <c r="F817" s="23"/>
    </row>
    <row r="818" ht="15.75" customHeight="1">
      <c r="F818" s="23"/>
    </row>
    <row r="819" ht="15.75" customHeight="1">
      <c r="F819" s="23"/>
    </row>
    <row r="820" ht="15.75" customHeight="1">
      <c r="F820" s="23"/>
    </row>
    <row r="821" ht="15.75" customHeight="1">
      <c r="F821" s="23"/>
    </row>
    <row r="822" ht="15.75" customHeight="1">
      <c r="F822" s="23"/>
    </row>
    <row r="823" ht="15.75" customHeight="1">
      <c r="F823" s="23"/>
    </row>
    <row r="824" ht="15.75" customHeight="1">
      <c r="F824" s="23"/>
    </row>
    <row r="825" ht="15.75" customHeight="1">
      <c r="F825" s="23"/>
    </row>
    <row r="826" ht="15.75" customHeight="1">
      <c r="F826" s="23"/>
    </row>
    <row r="827" ht="15.75" customHeight="1">
      <c r="F827" s="23"/>
    </row>
    <row r="828" ht="15.75" customHeight="1">
      <c r="F828" s="23"/>
    </row>
    <row r="829" ht="15.75" customHeight="1">
      <c r="F829" s="23"/>
    </row>
    <row r="830" ht="15.75" customHeight="1">
      <c r="F830" s="23"/>
    </row>
    <row r="831" ht="15.75" customHeight="1">
      <c r="F831" s="23"/>
    </row>
    <row r="832" ht="15.75" customHeight="1">
      <c r="F832" s="23"/>
    </row>
    <row r="833" ht="15.75" customHeight="1">
      <c r="F833" s="23"/>
    </row>
    <row r="834" ht="15.75" customHeight="1">
      <c r="F834" s="23"/>
    </row>
    <row r="835" ht="15.75" customHeight="1">
      <c r="F835" s="23"/>
    </row>
    <row r="836" ht="15.75" customHeight="1">
      <c r="F836" s="23"/>
    </row>
    <row r="837" ht="15.75" customHeight="1">
      <c r="F837" s="23"/>
    </row>
    <row r="838" ht="15.75" customHeight="1">
      <c r="F838" s="23"/>
    </row>
    <row r="839" ht="15.75" customHeight="1">
      <c r="F839" s="23"/>
    </row>
    <row r="840" ht="15.75" customHeight="1">
      <c r="F840" s="23"/>
    </row>
    <row r="841" ht="15.75" customHeight="1">
      <c r="F841" s="23"/>
    </row>
    <row r="842" ht="15.75" customHeight="1">
      <c r="F842" s="23"/>
    </row>
    <row r="843" ht="15.75" customHeight="1">
      <c r="F843" s="23"/>
    </row>
    <row r="844" ht="15.75" customHeight="1">
      <c r="F844" s="23"/>
    </row>
    <row r="845" ht="15.75" customHeight="1">
      <c r="F845" s="23"/>
    </row>
    <row r="846" ht="15.75" customHeight="1">
      <c r="F846" s="23"/>
    </row>
    <row r="847" ht="15.75" customHeight="1">
      <c r="F847" s="23"/>
    </row>
    <row r="848" ht="15.75" customHeight="1">
      <c r="F848" s="23"/>
    </row>
    <row r="849" ht="15.75" customHeight="1">
      <c r="F849" s="23"/>
    </row>
    <row r="850" ht="15.75" customHeight="1">
      <c r="F850" s="23"/>
    </row>
    <row r="851" ht="15.75" customHeight="1">
      <c r="F851" s="23"/>
    </row>
    <row r="852" ht="15.75" customHeight="1">
      <c r="F852" s="23"/>
    </row>
    <row r="853" ht="15.75" customHeight="1">
      <c r="F853" s="23"/>
    </row>
    <row r="854" ht="15.75" customHeight="1">
      <c r="F854" s="23"/>
    </row>
    <row r="855" ht="15.75" customHeight="1">
      <c r="F855" s="23"/>
    </row>
    <row r="856" ht="15.75" customHeight="1">
      <c r="F856" s="23"/>
    </row>
    <row r="857" ht="15.75" customHeight="1">
      <c r="F857" s="23"/>
    </row>
    <row r="858" ht="15.75" customHeight="1">
      <c r="F858" s="23"/>
    </row>
    <row r="859" ht="15.75" customHeight="1">
      <c r="F859" s="23"/>
    </row>
    <row r="860" ht="15.75" customHeight="1">
      <c r="F860" s="23"/>
    </row>
    <row r="861" ht="15.75" customHeight="1">
      <c r="F861" s="23"/>
    </row>
    <row r="862" ht="15.75" customHeight="1">
      <c r="F862" s="23"/>
    </row>
    <row r="863" ht="15.75" customHeight="1">
      <c r="F863" s="23"/>
    </row>
    <row r="864" ht="15.75" customHeight="1">
      <c r="F864" s="23"/>
    </row>
    <row r="865" ht="15.75" customHeight="1">
      <c r="F865" s="23"/>
    </row>
    <row r="866" ht="15.75" customHeight="1">
      <c r="F866" s="23"/>
    </row>
    <row r="867" ht="15.75" customHeight="1">
      <c r="F867" s="23"/>
    </row>
    <row r="868" ht="15.75" customHeight="1">
      <c r="F868" s="23"/>
    </row>
    <row r="869" ht="15.75" customHeight="1">
      <c r="F869" s="23"/>
    </row>
    <row r="870" ht="15.75" customHeight="1">
      <c r="F870" s="23"/>
    </row>
    <row r="871" ht="15.75" customHeight="1">
      <c r="F871" s="23"/>
    </row>
    <row r="872" ht="15.75" customHeight="1">
      <c r="F872" s="23"/>
    </row>
    <row r="873" ht="15.75" customHeight="1">
      <c r="F873" s="23"/>
    </row>
    <row r="874" ht="15.75" customHeight="1">
      <c r="F874" s="23"/>
    </row>
    <row r="875" ht="15.75" customHeight="1">
      <c r="F875" s="23"/>
    </row>
    <row r="876" ht="15.75" customHeight="1">
      <c r="F876" s="23"/>
    </row>
    <row r="877" ht="15.75" customHeight="1">
      <c r="F877" s="23"/>
    </row>
    <row r="878" ht="15.75" customHeight="1">
      <c r="F878" s="23"/>
    </row>
    <row r="879" ht="15.75" customHeight="1">
      <c r="F879" s="23"/>
    </row>
    <row r="880" ht="15.75" customHeight="1">
      <c r="F880" s="23"/>
    </row>
    <row r="881" ht="15.75" customHeight="1">
      <c r="F881" s="23"/>
    </row>
    <row r="882" ht="15.75" customHeight="1">
      <c r="F882" s="23"/>
    </row>
    <row r="883" ht="15.75" customHeight="1">
      <c r="F883" s="23"/>
    </row>
    <row r="884" ht="15.75" customHeight="1">
      <c r="F884" s="23"/>
    </row>
    <row r="885" ht="15.75" customHeight="1">
      <c r="F885" s="23"/>
    </row>
    <row r="886" ht="15.75" customHeight="1">
      <c r="F886" s="23"/>
    </row>
    <row r="887" ht="15.75" customHeight="1">
      <c r="F887" s="23"/>
    </row>
    <row r="888" ht="15.75" customHeight="1">
      <c r="F888" s="23"/>
    </row>
    <row r="889" ht="15.75" customHeight="1">
      <c r="F889" s="23"/>
    </row>
    <row r="890" ht="15.75" customHeight="1">
      <c r="F890" s="23"/>
    </row>
    <row r="891" ht="15.75" customHeight="1">
      <c r="F891" s="23"/>
    </row>
    <row r="892" ht="15.75" customHeight="1">
      <c r="F892" s="23"/>
    </row>
    <row r="893" ht="15.75" customHeight="1">
      <c r="F893" s="23"/>
    </row>
    <row r="894" ht="15.75" customHeight="1">
      <c r="F894" s="23"/>
    </row>
    <row r="895" ht="15.75" customHeight="1">
      <c r="F895" s="23"/>
    </row>
    <row r="896" ht="15.75" customHeight="1">
      <c r="F896" s="23"/>
    </row>
    <row r="897" ht="15.75" customHeight="1">
      <c r="F897" s="23"/>
    </row>
    <row r="898" ht="15.75" customHeight="1">
      <c r="F898" s="23"/>
    </row>
    <row r="899" ht="15.75" customHeight="1">
      <c r="F899" s="23"/>
    </row>
    <row r="900" ht="15.75" customHeight="1">
      <c r="F900" s="23"/>
    </row>
    <row r="901" ht="15.75" customHeight="1">
      <c r="F901" s="23"/>
    </row>
    <row r="902" ht="15.75" customHeight="1">
      <c r="F902" s="23"/>
    </row>
    <row r="903" ht="15.75" customHeight="1">
      <c r="F903" s="23"/>
    </row>
    <row r="904" ht="15.75" customHeight="1">
      <c r="F904" s="23"/>
    </row>
    <row r="905" ht="15.75" customHeight="1">
      <c r="F905" s="23"/>
    </row>
    <row r="906" ht="15.75" customHeight="1">
      <c r="F906" s="23"/>
    </row>
    <row r="907" ht="15.75" customHeight="1">
      <c r="F907" s="23"/>
    </row>
    <row r="908" ht="15.75" customHeight="1">
      <c r="F908" s="23"/>
    </row>
    <row r="909" ht="15.75" customHeight="1">
      <c r="F909" s="23"/>
    </row>
    <row r="910" ht="15.75" customHeight="1">
      <c r="F910" s="23"/>
    </row>
    <row r="911" ht="15.75" customHeight="1">
      <c r="F911" s="23"/>
    </row>
    <row r="912" ht="15.75" customHeight="1">
      <c r="F912" s="23"/>
    </row>
    <row r="913" ht="15.75" customHeight="1">
      <c r="F913" s="23"/>
    </row>
    <row r="914" ht="15.75" customHeight="1">
      <c r="F914" s="23"/>
    </row>
    <row r="915" ht="15.75" customHeight="1">
      <c r="F915" s="23"/>
    </row>
    <row r="916" ht="15.75" customHeight="1">
      <c r="F916" s="23"/>
    </row>
    <row r="917" ht="15.75" customHeight="1">
      <c r="F917" s="23"/>
    </row>
    <row r="918" ht="15.75" customHeight="1">
      <c r="F918" s="23"/>
    </row>
    <row r="919" ht="15.75" customHeight="1">
      <c r="F919" s="23"/>
    </row>
    <row r="920" ht="15.75" customHeight="1">
      <c r="F920" s="23"/>
    </row>
    <row r="921" ht="15.75" customHeight="1">
      <c r="F921" s="23"/>
    </row>
    <row r="922" ht="15.75" customHeight="1">
      <c r="F922" s="23"/>
    </row>
    <row r="923" ht="15.75" customHeight="1">
      <c r="F923" s="23"/>
    </row>
    <row r="924" ht="15.75" customHeight="1">
      <c r="F924" s="23"/>
    </row>
    <row r="925" ht="15.75" customHeight="1">
      <c r="F925" s="23"/>
    </row>
    <row r="926" ht="15.75" customHeight="1">
      <c r="F926" s="23"/>
    </row>
    <row r="927" ht="15.75" customHeight="1">
      <c r="F927" s="23"/>
    </row>
    <row r="928" ht="15.75" customHeight="1">
      <c r="F928" s="23"/>
    </row>
    <row r="929" ht="15.75" customHeight="1">
      <c r="F929" s="23"/>
    </row>
    <row r="930" ht="15.75" customHeight="1">
      <c r="F930" s="23"/>
    </row>
    <row r="931" ht="15.75" customHeight="1">
      <c r="F931" s="23"/>
    </row>
    <row r="932" ht="15.75" customHeight="1">
      <c r="F932" s="23"/>
    </row>
    <row r="933" ht="15.75" customHeight="1">
      <c r="F933" s="23"/>
    </row>
    <row r="934" ht="15.75" customHeight="1">
      <c r="F934" s="23"/>
    </row>
    <row r="935" ht="15.75" customHeight="1">
      <c r="F935" s="23"/>
    </row>
    <row r="936" ht="15.75" customHeight="1">
      <c r="F936" s="23"/>
    </row>
    <row r="937" ht="15.75" customHeight="1">
      <c r="F937" s="23"/>
    </row>
    <row r="938" ht="15.75" customHeight="1">
      <c r="F938" s="23"/>
    </row>
    <row r="939" ht="15.75" customHeight="1">
      <c r="F939" s="23"/>
    </row>
    <row r="940" ht="15.75" customHeight="1">
      <c r="F940" s="23"/>
    </row>
    <row r="941" ht="15.75" customHeight="1">
      <c r="F941" s="23"/>
    </row>
    <row r="942" ht="15.75" customHeight="1">
      <c r="F942" s="23"/>
    </row>
    <row r="943" ht="15.75" customHeight="1">
      <c r="F943" s="23"/>
    </row>
    <row r="944" ht="15.75" customHeight="1">
      <c r="F944" s="23"/>
    </row>
    <row r="945" ht="15.75" customHeight="1">
      <c r="F945" s="23"/>
    </row>
    <row r="946" ht="15.75" customHeight="1">
      <c r="F946" s="23"/>
    </row>
    <row r="947" ht="15.75" customHeight="1">
      <c r="F947" s="23"/>
    </row>
    <row r="948" ht="15.75" customHeight="1">
      <c r="F948" s="23"/>
    </row>
    <row r="949" ht="15.75" customHeight="1">
      <c r="F949" s="23"/>
    </row>
    <row r="950" ht="15.75" customHeight="1">
      <c r="F950" s="23"/>
    </row>
    <row r="951" ht="15.75" customHeight="1">
      <c r="F951" s="23"/>
    </row>
    <row r="952" ht="15.75" customHeight="1">
      <c r="F952" s="23"/>
    </row>
    <row r="953" ht="15.75" customHeight="1">
      <c r="F953" s="23"/>
    </row>
    <row r="954" ht="15.75" customHeight="1">
      <c r="F954" s="23"/>
    </row>
    <row r="955" ht="15.75" customHeight="1">
      <c r="F955" s="23"/>
    </row>
    <row r="956" ht="15.75" customHeight="1">
      <c r="F956" s="23"/>
    </row>
    <row r="957" ht="15.75" customHeight="1">
      <c r="F957" s="23"/>
    </row>
    <row r="958" ht="15.75" customHeight="1">
      <c r="F958" s="23"/>
    </row>
    <row r="959" ht="15.75" customHeight="1">
      <c r="F959" s="23"/>
    </row>
    <row r="960" ht="15.75" customHeight="1">
      <c r="F960" s="23"/>
    </row>
    <row r="961" ht="15.75" customHeight="1">
      <c r="F961" s="23"/>
    </row>
    <row r="962" ht="15.75" customHeight="1">
      <c r="F962" s="23"/>
    </row>
    <row r="963" ht="15.75" customHeight="1">
      <c r="F963" s="23"/>
    </row>
    <row r="964" ht="15.75" customHeight="1">
      <c r="F964" s="23"/>
    </row>
    <row r="965" ht="15.75" customHeight="1">
      <c r="F965" s="23"/>
    </row>
    <row r="966" ht="15.75" customHeight="1">
      <c r="F966" s="23"/>
    </row>
    <row r="967" ht="15.75" customHeight="1">
      <c r="F967" s="23"/>
    </row>
    <row r="968" ht="15.75" customHeight="1">
      <c r="F968" s="23"/>
    </row>
    <row r="969" ht="15.75" customHeight="1">
      <c r="F969" s="23"/>
    </row>
    <row r="970" ht="15.75" customHeight="1">
      <c r="F970" s="23"/>
    </row>
    <row r="971" ht="15.75" customHeight="1">
      <c r="F971" s="23"/>
    </row>
    <row r="972" ht="15.75" customHeight="1">
      <c r="F972" s="23"/>
    </row>
    <row r="973" ht="15.75" customHeight="1">
      <c r="F973" s="23"/>
    </row>
    <row r="974" ht="15.75" customHeight="1">
      <c r="F974" s="23"/>
    </row>
    <row r="975" ht="15.75" customHeight="1">
      <c r="F975" s="23"/>
    </row>
    <row r="976" ht="15.75" customHeight="1">
      <c r="F976" s="23"/>
    </row>
    <row r="977" ht="15.75" customHeight="1">
      <c r="F977" s="23"/>
    </row>
    <row r="978" ht="15.75" customHeight="1">
      <c r="F978" s="23"/>
    </row>
    <row r="979" ht="15.75" customHeight="1">
      <c r="F979" s="23"/>
    </row>
    <row r="980" ht="15.75" customHeight="1">
      <c r="F980" s="23"/>
    </row>
    <row r="981" ht="15.75" customHeight="1">
      <c r="F981" s="23"/>
    </row>
    <row r="982" ht="15.75" customHeight="1">
      <c r="F982" s="23"/>
    </row>
    <row r="983" ht="15.75" customHeight="1">
      <c r="F983" s="23"/>
    </row>
    <row r="984" ht="15.75" customHeight="1">
      <c r="F984" s="23"/>
    </row>
    <row r="985" ht="15.75" customHeight="1">
      <c r="F985" s="23"/>
    </row>
    <row r="986" ht="15.75" customHeight="1">
      <c r="F986" s="23"/>
    </row>
    <row r="987" ht="15.75" customHeight="1">
      <c r="F987" s="23"/>
    </row>
    <row r="988" ht="15.75" customHeight="1">
      <c r="F988" s="23"/>
    </row>
    <row r="989" ht="15.75" customHeight="1">
      <c r="F989" s="23"/>
    </row>
    <row r="990" ht="15.75" customHeight="1">
      <c r="F990" s="23"/>
    </row>
    <row r="991" ht="15.75" customHeight="1">
      <c r="F991" s="23"/>
    </row>
    <row r="992" ht="15.75" customHeight="1">
      <c r="F992" s="23"/>
    </row>
    <row r="993" ht="15.75" customHeight="1">
      <c r="F993" s="23"/>
    </row>
    <row r="994" ht="15.75" customHeight="1">
      <c r="F994" s="23"/>
    </row>
    <row r="995" ht="15.75" customHeight="1">
      <c r="F995" s="23"/>
    </row>
    <row r="996" ht="15.75" customHeight="1">
      <c r="F996" s="23"/>
    </row>
    <row r="997" ht="15.75" customHeight="1">
      <c r="F997" s="23"/>
    </row>
    <row r="998" ht="15.75" customHeight="1">
      <c r="F998" s="23"/>
    </row>
    <row r="999" ht="15.75" customHeight="1">
      <c r="F999" s="23"/>
    </row>
    <row r="1000" ht="15.75" customHeight="1">
      <c r="F1000" s="23"/>
    </row>
  </sheetData>
  <dataValidations>
    <dataValidation type="list" allowBlank="1" showErrorMessage="1" sqref="J2:J24">
      <formula1>"Done,To do,In progress"</formula1>
    </dataValidation>
    <dataValidation type="list" allowBlank="1" showErrorMessage="1" sqref="G2:G24">
      <formula1>"Kevin, Hugh,Lucas,Nito,Tyson,Christian,Ryan,Nathan,Arthur,Lucas, Arthur,Nito, Tyson,Ryan, Nathan,Kevin,Hugh"</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7.29"/>
    <col customWidth="1" min="3" max="3" width="13.71"/>
    <col customWidth="1" min="4" max="4" width="51.14"/>
    <col customWidth="1" min="5" max="5" width="45.43"/>
    <col customWidth="1" min="6" max="6" width="40.29"/>
    <col customWidth="1" min="7" max="7" width="8.71"/>
    <col customWidth="1" min="8" max="8" width="13.0"/>
    <col customWidth="1" min="9" max="9" width="17.71"/>
    <col customWidth="1" min="10" max="10" width="44.57"/>
    <col customWidth="1" min="11" max="11" width="37.86"/>
    <col customWidth="1" min="12" max="25" width="8.71"/>
  </cols>
  <sheetData>
    <row r="1" ht="27.75" customHeight="1">
      <c r="A1" s="24" t="s">
        <v>1</v>
      </c>
      <c r="B1" s="24" t="s">
        <v>2</v>
      </c>
      <c r="C1" s="25" t="s">
        <v>3</v>
      </c>
      <c r="D1" s="25" t="s">
        <v>4</v>
      </c>
      <c r="E1" s="25" t="s">
        <v>5</v>
      </c>
      <c r="F1" s="25" t="s">
        <v>6</v>
      </c>
      <c r="G1" s="25" t="s">
        <v>7</v>
      </c>
      <c r="H1" s="25" t="s">
        <v>8</v>
      </c>
      <c r="I1" s="25" t="s">
        <v>9</v>
      </c>
      <c r="J1" s="25" t="s">
        <v>10</v>
      </c>
      <c r="K1" s="25" t="s">
        <v>141</v>
      </c>
      <c r="L1" s="23"/>
      <c r="M1" s="23"/>
      <c r="N1" s="23"/>
      <c r="O1" s="23"/>
      <c r="P1" s="23"/>
      <c r="Q1" s="23"/>
      <c r="R1" s="23"/>
      <c r="S1" s="23"/>
      <c r="T1" s="23"/>
      <c r="U1" s="23"/>
      <c r="V1" s="23"/>
      <c r="W1" s="23"/>
      <c r="X1" s="23"/>
      <c r="Y1" s="23"/>
    </row>
    <row r="2">
      <c r="A2" s="26" t="s">
        <v>142</v>
      </c>
      <c r="B2" s="27"/>
      <c r="C2" s="28" t="s">
        <v>143</v>
      </c>
      <c r="D2" s="28" t="s">
        <v>144</v>
      </c>
      <c r="E2" s="29" t="s">
        <v>145</v>
      </c>
      <c r="F2" s="30" t="s">
        <v>31</v>
      </c>
      <c r="G2" s="30" t="s">
        <v>146</v>
      </c>
      <c r="H2" s="30" t="s">
        <v>147</v>
      </c>
      <c r="I2" s="30" t="s">
        <v>19</v>
      </c>
      <c r="J2" s="28" t="s">
        <v>148</v>
      </c>
      <c r="K2" s="28"/>
      <c r="L2" s="31"/>
      <c r="M2" s="31"/>
      <c r="N2" s="31"/>
      <c r="O2" s="31"/>
      <c r="P2" s="31"/>
      <c r="Q2" s="31"/>
      <c r="R2" s="31"/>
      <c r="S2" s="31"/>
      <c r="T2" s="31"/>
      <c r="U2" s="31"/>
      <c r="V2" s="31"/>
      <c r="W2" s="31"/>
      <c r="X2" s="31"/>
      <c r="Y2" s="31"/>
    </row>
    <row r="3">
      <c r="A3" s="32"/>
      <c r="B3" s="27"/>
      <c r="C3" s="28" t="s">
        <v>143</v>
      </c>
      <c r="D3" s="28" t="s">
        <v>149</v>
      </c>
      <c r="E3" s="29" t="s">
        <v>150</v>
      </c>
      <c r="F3" s="30" t="s">
        <v>31</v>
      </c>
      <c r="G3" s="30" t="s">
        <v>151</v>
      </c>
      <c r="H3" s="30" t="s">
        <v>147</v>
      </c>
      <c r="I3" s="30" t="s">
        <v>19</v>
      </c>
      <c r="J3" s="28" t="s">
        <v>152</v>
      </c>
      <c r="K3" s="28"/>
      <c r="L3" s="31"/>
      <c r="M3" s="31"/>
      <c r="N3" s="31"/>
      <c r="O3" s="31"/>
      <c r="P3" s="31"/>
      <c r="Q3" s="31"/>
      <c r="R3" s="31"/>
      <c r="S3" s="31"/>
      <c r="T3" s="31"/>
      <c r="U3" s="31"/>
      <c r="V3" s="31"/>
      <c r="W3" s="31"/>
      <c r="X3" s="31"/>
      <c r="Y3" s="31"/>
    </row>
    <row r="4">
      <c r="A4" s="30" t="s">
        <v>153</v>
      </c>
      <c r="B4" s="27"/>
      <c r="C4" s="33"/>
      <c r="D4" s="28" t="s">
        <v>154</v>
      </c>
      <c r="E4" s="34"/>
      <c r="F4" s="30" t="s">
        <v>155</v>
      </c>
      <c r="G4" s="30"/>
      <c r="H4" s="27"/>
      <c r="I4" s="30" t="s">
        <v>156</v>
      </c>
      <c r="J4" s="28"/>
      <c r="K4" s="28"/>
      <c r="L4" s="31"/>
      <c r="M4" s="31"/>
      <c r="N4" s="31"/>
      <c r="O4" s="31"/>
      <c r="P4" s="31"/>
      <c r="Q4" s="31"/>
      <c r="R4" s="31"/>
      <c r="S4" s="31"/>
      <c r="T4" s="31"/>
      <c r="U4" s="31"/>
      <c r="V4" s="31"/>
      <c r="W4" s="31"/>
      <c r="X4" s="31"/>
      <c r="Y4" s="31"/>
    </row>
    <row r="5">
      <c r="A5" s="30" t="s">
        <v>157</v>
      </c>
      <c r="B5" s="27"/>
      <c r="C5" s="28" t="s">
        <v>143</v>
      </c>
      <c r="D5" s="28" t="s">
        <v>158</v>
      </c>
      <c r="E5" s="34"/>
      <c r="F5" s="30" t="s">
        <v>159</v>
      </c>
      <c r="G5" s="30"/>
      <c r="H5" s="30" t="s">
        <v>147</v>
      </c>
      <c r="I5" s="30" t="s">
        <v>19</v>
      </c>
      <c r="J5" s="28"/>
      <c r="K5" s="28" t="s">
        <v>160</v>
      </c>
      <c r="L5" s="31"/>
      <c r="M5" s="31"/>
      <c r="N5" s="31"/>
      <c r="O5" s="31"/>
      <c r="P5" s="31"/>
      <c r="Q5" s="31"/>
      <c r="R5" s="31"/>
      <c r="S5" s="31"/>
      <c r="T5" s="31"/>
      <c r="U5" s="31"/>
      <c r="V5" s="31"/>
      <c r="W5" s="31"/>
      <c r="X5" s="31"/>
      <c r="Y5" s="31"/>
    </row>
    <row r="6">
      <c r="A6" s="30" t="s">
        <v>157</v>
      </c>
      <c r="B6" s="27"/>
      <c r="C6" s="28" t="s">
        <v>161</v>
      </c>
      <c r="D6" s="28" t="s">
        <v>162</v>
      </c>
      <c r="E6" s="34"/>
      <c r="F6" s="30" t="s">
        <v>163</v>
      </c>
      <c r="G6" s="30"/>
      <c r="H6" s="30" t="s">
        <v>147</v>
      </c>
      <c r="I6" s="30" t="s">
        <v>156</v>
      </c>
      <c r="J6" s="28"/>
      <c r="K6" s="28"/>
      <c r="L6" s="31"/>
      <c r="M6" s="31"/>
      <c r="N6" s="31"/>
      <c r="O6" s="31"/>
      <c r="P6" s="31"/>
      <c r="Q6" s="31"/>
      <c r="R6" s="31"/>
      <c r="S6" s="31"/>
      <c r="T6" s="31"/>
      <c r="U6" s="31"/>
      <c r="V6" s="31"/>
      <c r="W6" s="31"/>
      <c r="X6" s="31"/>
      <c r="Y6" s="31"/>
    </row>
    <row r="7">
      <c r="A7" s="30" t="s">
        <v>164</v>
      </c>
      <c r="B7" s="27"/>
      <c r="C7" s="28" t="s">
        <v>143</v>
      </c>
      <c r="D7" s="28" t="s">
        <v>165</v>
      </c>
      <c r="E7" s="29" t="s">
        <v>166</v>
      </c>
      <c r="F7" s="30" t="s">
        <v>163</v>
      </c>
      <c r="G7" s="30" t="s">
        <v>167</v>
      </c>
      <c r="H7" s="30" t="s">
        <v>168</v>
      </c>
      <c r="I7" s="30" t="s">
        <v>169</v>
      </c>
      <c r="J7" s="28"/>
      <c r="K7" s="28" t="s">
        <v>170</v>
      </c>
      <c r="L7" s="31"/>
      <c r="M7" s="31"/>
      <c r="N7" s="31"/>
      <c r="O7" s="31"/>
      <c r="P7" s="31"/>
      <c r="Q7" s="31"/>
      <c r="R7" s="31"/>
      <c r="S7" s="31"/>
      <c r="T7" s="31"/>
      <c r="U7" s="31"/>
      <c r="V7" s="31"/>
      <c r="W7" s="31"/>
      <c r="X7" s="31"/>
      <c r="Y7" s="31"/>
    </row>
    <row r="8">
      <c r="A8" s="30" t="s">
        <v>164</v>
      </c>
      <c r="B8" s="27"/>
      <c r="C8" s="28" t="s">
        <v>161</v>
      </c>
      <c r="D8" s="28" t="s">
        <v>165</v>
      </c>
      <c r="E8" s="29" t="s">
        <v>171</v>
      </c>
      <c r="F8" s="30" t="s">
        <v>163</v>
      </c>
      <c r="G8" s="30" t="s">
        <v>167</v>
      </c>
      <c r="H8" s="30" t="s">
        <v>168</v>
      </c>
      <c r="I8" s="30" t="s">
        <v>169</v>
      </c>
      <c r="J8" s="28"/>
      <c r="K8" s="28"/>
      <c r="L8" s="31"/>
      <c r="M8" s="31"/>
      <c r="N8" s="31"/>
      <c r="O8" s="31"/>
      <c r="P8" s="31"/>
      <c r="Q8" s="31"/>
      <c r="R8" s="31"/>
      <c r="S8" s="31"/>
      <c r="T8" s="31"/>
      <c r="U8" s="31"/>
      <c r="V8" s="31"/>
      <c r="W8" s="31"/>
      <c r="X8" s="31"/>
      <c r="Y8" s="31"/>
    </row>
    <row r="9">
      <c r="A9" s="30" t="s">
        <v>172</v>
      </c>
      <c r="B9" s="27"/>
      <c r="C9" s="28" t="s">
        <v>143</v>
      </c>
      <c r="D9" s="28" t="s">
        <v>173</v>
      </c>
      <c r="E9" s="29" t="s">
        <v>174</v>
      </c>
      <c r="F9" s="30" t="s">
        <v>163</v>
      </c>
      <c r="G9" s="30" t="s">
        <v>167</v>
      </c>
      <c r="H9" s="30" t="s">
        <v>168</v>
      </c>
      <c r="I9" s="30" t="s">
        <v>156</v>
      </c>
      <c r="J9" s="27"/>
      <c r="K9" s="28"/>
      <c r="L9" s="35"/>
      <c r="M9" s="9"/>
      <c r="N9" s="9"/>
      <c r="O9" s="9"/>
      <c r="P9" s="9"/>
      <c r="Q9" s="9"/>
      <c r="R9" s="9"/>
      <c r="S9" s="9"/>
      <c r="T9" s="9"/>
      <c r="U9" s="9"/>
      <c r="V9" s="9"/>
      <c r="W9" s="9"/>
      <c r="X9" s="9"/>
      <c r="Y9" s="9"/>
    </row>
    <row r="10">
      <c r="A10" s="30" t="s">
        <v>172</v>
      </c>
      <c r="B10" s="27"/>
      <c r="C10" s="28" t="s">
        <v>161</v>
      </c>
      <c r="D10" s="28" t="s">
        <v>173</v>
      </c>
      <c r="E10" s="29" t="s">
        <v>175</v>
      </c>
      <c r="F10" s="30" t="s">
        <v>163</v>
      </c>
      <c r="G10" s="30" t="s">
        <v>167</v>
      </c>
      <c r="H10" s="30" t="s">
        <v>168</v>
      </c>
      <c r="I10" s="30" t="s">
        <v>156</v>
      </c>
      <c r="J10" s="27"/>
      <c r="K10" s="28"/>
      <c r="L10" s="36"/>
      <c r="M10" s="36"/>
      <c r="N10" s="36"/>
      <c r="O10" s="36"/>
      <c r="P10" s="36"/>
      <c r="Q10" s="36"/>
      <c r="R10" s="36"/>
      <c r="S10" s="36"/>
      <c r="T10" s="36"/>
      <c r="U10" s="36"/>
      <c r="V10" s="36"/>
      <c r="W10" s="36"/>
      <c r="X10" s="36"/>
      <c r="Y10" s="36"/>
    </row>
    <row r="11">
      <c r="A11" s="37" t="s">
        <v>176</v>
      </c>
      <c r="B11" s="38"/>
      <c r="C11" s="28" t="s">
        <v>143</v>
      </c>
      <c r="D11" s="39" t="s">
        <v>177</v>
      </c>
      <c r="E11" s="40" t="s">
        <v>178</v>
      </c>
      <c r="F11" s="41" t="s">
        <v>31</v>
      </c>
      <c r="G11" s="41" t="s">
        <v>151</v>
      </c>
      <c r="H11" s="41" t="s">
        <v>179</v>
      </c>
      <c r="I11" s="30" t="s">
        <v>19</v>
      </c>
      <c r="J11" s="39" t="s">
        <v>180</v>
      </c>
      <c r="K11" s="39"/>
      <c r="L11" s="23"/>
      <c r="M11" s="23"/>
      <c r="N11" s="23"/>
      <c r="O11" s="23"/>
      <c r="P11" s="23"/>
      <c r="Q11" s="23"/>
      <c r="R11" s="23"/>
      <c r="S11" s="23"/>
      <c r="T11" s="23"/>
      <c r="U11" s="23"/>
      <c r="V11" s="23"/>
      <c r="W11" s="23"/>
      <c r="X11" s="23"/>
      <c r="Y11" s="23"/>
    </row>
    <row r="12">
      <c r="A12" s="42"/>
      <c r="B12" s="38"/>
      <c r="C12" s="43" t="s">
        <v>161</v>
      </c>
      <c r="D12" s="39" t="s">
        <v>181</v>
      </c>
      <c r="E12" s="40" t="s">
        <v>182</v>
      </c>
      <c r="F12" s="41" t="s">
        <v>31</v>
      </c>
      <c r="G12" s="41" t="s">
        <v>167</v>
      </c>
      <c r="H12" s="41" t="s">
        <v>168</v>
      </c>
      <c r="I12" s="30" t="s">
        <v>19</v>
      </c>
      <c r="J12" s="39" t="s">
        <v>183</v>
      </c>
      <c r="K12" s="39"/>
      <c r="L12" s="23"/>
      <c r="M12" s="23"/>
      <c r="N12" s="23"/>
      <c r="O12" s="23"/>
      <c r="P12" s="23"/>
      <c r="Q12" s="23"/>
      <c r="R12" s="23"/>
      <c r="S12" s="23"/>
      <c r="T12" s="23"/>
      <c r="U12" s="23"/>
      <c r="V12" s="23"/>
      <c r="W12" s="23"/>
      <c r="X12" s="23"/>
      <c r="Y12" s="23"/>
    </row>
    <row r="13">
      <c r="A13" s="42"/>
      <c r="B13" s="38"/>
      <c r="C13" s="43" t="s">
        <v>143</v>
      </c>
      <c r="D13" s="39" t="s">
        <v>184</v>
      </c>
      <c r="E13" s="40" t="s">
        <v>185</v>
      </c>
      <c r="F13" s="41" t="s">
        <v>186</v>
      </c>
      <c r="G13" s="41" t="s">
        <v>187</v>
      </c>
      <c r="H13" s="41" t="s">
        <v>179</v>
      </c>
      <c r="I13" s="30" t="s">
        <v>19</v>
      </c>
      <c r="J13" s="39" t="s">
        <v>188</v>
      </c>
      <c r="K13" s="39"/>
      <c r="L13" s="23"/>
      <c r="M13" s="23"/>
      <c r="N13" s="23"/>
      <c r="O13" s="23"/>
      <c r="P13" s="23"/>
      <c r="Q13" s="23"/>
      <c r="R13" s="23"/>
      <c r="S13" s="23"/>
      <c r="T13" s="23"/>
      <c r="U13" s="23"/>
      <c r="V13" s="23"/>
      <c r="W13" s="23"/>
      <c r="X13" s="23"/>
      <c r="Y13" s="23"/>
    </row>
    <row r="14">
      <c r="A14" s="42"/>
      <c r="B14" s="38"/>
      <c r="C14" s="43" t="s">
        <v>143</v>
      </c>
      <c r="D14" s="39" t="s">
        <v>189</v>
      </c>
      <c r="E14" s="40" t="s">
        <v>190</v>
      </c>
      <c r="F14" s="41" t="s">
        <v>186</v>
      </c>
      <c r="G14" s="41" t="s">
        <v>146</v>
      </c>
      <c r="H14" s="41" t="s">
        <v>168</v>
      </c>
      <c r="I14" s="30" t="s">
        <v>19</v>
      </c>
      <c r="J14" s="39" t="s">
        <v>191</v>
      </c>
      <c r="K14" s="39"/>
      <c r="L14" s="23"/>
      <c r="M14" s="23"/>
      <c r="N14" s="23"/>
      <c r="O14" s="23"/>
      <c r="P14" s="23"/>
      <c r="Q14" s="23"/>
      <c r="R14" s="23"/>
      <c r="S14" s="23"/>
      <c r="T14" s="23"/>
      <c r="U14" s="23"/>
      <c r="V14" s="23"/>
      <c r="W14" s="23"/>
      <c r="X14" s="23"/>
      <c r="Y14" s="23"/>
    </row>
    <row r="15">
      <c r="A15" s="42"/>
      <c r="B15" s="38"/>
      <c r="C15" s="43" t="s">
        <v>161</v>
      </c>
      <c r="D15" s="39" t="s">
        <v>192</v>
      </c>
      <c r="E15" s="40" t="s">
        <v>193</v>
      </c>
      <c r="F15" s="41" t="s">
        <v>31</v>
      </c>
      <c r="G15" s="41" t="s">
        <v>151</v>
      </c>
      <c r="H15" s="41" t="s">
        <v>179</v>
      </c>
      <c r="I15" s="30" t="s">
        <v>19</v>
      </c>
      <c r="J15" s="39" t="s">
        <v>194</v>
      </c>
      <c r="K15" s="39"/>
      <c r="L15" s="23"/>
      <c r="M15" s="23"/>
      <c r="N15" s="23"/>
      <c r="O15" s="23"/>
      <c r="P15" s="23"/>
      <c r="Q15" s="23"/>
      <c r="R15" s="23"/>
      <c r="S15" s="23"/>
      <c r="T15" s="23"/>
      <c r="U15" s="23"/>
      <c r="V15" s="23"/>
      <c r="W15" s="23"/>
      <c r="X15" s="23"/>
      <c r="Y15" s="23"/>
    </row>
    <row r="16">
      <c r="A16" s="32"/>
      <c r="B16" s="38"/>
      <c r="C16" s="43" t="s">
        <v>161</v>
      </c>
      <c r="D16" s="39" t="s">
        <v>195</v>
      </c>
      <c r="E16" s="40" t="s">
        <v>196</v>
      </c>
      <c r="F16" s="41" t="s">
        <v>31</v>
      </c>
      <c r="G16" s="41" t="s">
        <v>167</v>
      </c>
      <c r="H16" s="41" t="s">
        <v>168</v>
      </c>
      <c r="I16" s="30" t="s">
        <v>19</v>
      </c>
      <c r="J16" s="39" t="s">
        <v>197</v>
      </c>
      <c r="K16" s="39"/>
      <c r="L16" s="23"/>
      <c r="M16" s="23"/>
      <c r="N16" s="23"/>
      <c r="O16" s="23"/>
      <c r="P16" s="23"/>
      <c r="Q16" s="23"/>
      <c r="R16" s="23"/>
      <c r="S16" s="23"/>
      <c r="T16" s="23"/>
      <c r="U16" s="23"/>
      <c r="V16" s="23"/>
      <c r="W16" s="23"/>
      <c r="X16" s="23"/>
      <c r="Y16" s="23"/>
    </row>
    <row r="17">
      <c r="A17" s="37" t="s">
        <v>198</v>
      </c>
      <c r="B17" s="38"/>
      <c r="C17" s="43" t="s">
        <v>143</v>
      </c>
      <c r="D17" s="39" t="s">
        <v>199</v>
      </c>
      <c r="E17" s="40" t="s">
        <v>200</v>
      </c>
      <c r="F17" s="41" t="s">
        <v>186</v>
      </c>
      <c r="G17" s="41" t="s">
        <v>151</v>
      </c>
      <c r="H17" s="41" t="s">
        <v>179</v>
      </c>
      <c r="I17" s="30" t="s">
        <v>19</v>
      </c>
      <c r="J17" s="39" t="s">
        <v>201</v>
      </c>
      <c r="K17" s="39"/>
      <c r="L17" s="23"/>
      <c r="M17" s="23"/>
      <c r="N17" s="23"/>
      <c r="O17" s="23"/>
      <c r="P17" s="23"/>
      <c r="Q17" s="23"/>
      <c r="R17" s="23"/>
      <c r="S17" s="23"/>
      <c r="T17" s="23"/>
      <c r="U17" s="23"/>
      <c r="V17" s="23"/>
      <c r="W17" s="23"/>
      <c r="X17" s="23"/>
      <c r="Y17" s="23"/>
    </row>
    <row r="18">
      <c r="A18" s="32"/>
      <c r="B18" s="38"/>
      <c r="C18" s="43" t="s">
        <v>161</v>
      </c>
      <c r="D18" s="39" t="s">
        <v>202</v>
      </c>
      <c r="E18" s="40" t="s">
        <v>203</v>
      </c>
      <c r="F18" s="41" t="s">
        <v>31</v>
      </c>
      <c r="G18" s="41" t="s">
        <v>167</v>
      </c>
      <c r="H18" s="41" t="s">
        <v>168</v>
      </c>
      <c r="I18" s="30" t="s">
        <v>19</v>
      </c>
      <c r="J18" s="39" t="s">
        <v>204</v>
      </c>
      <c r="K18" s="39"/>
      <c r="L18" s="23"/>
      <c r="M18" s="23"/>
      <c r="N18" s="23"/>
      <c r="O18" s="23"/>
      <c r="P18" s="23"/>
      <c r="Q18" s="23"/>
      <c r="R18" s="23"/>
      <c r="S18" s="23"/>
      <c r="T18" s="23"/>
      <c r="U18" s="23"/>
      <c r="V18" s="23"/>
      <c r="W18" s="23"/>
      <c r="X18" s="23"/>
      <c r="Y18" s="23"/>
    </row>
    <row r="19">
      <c r="A19" s="37" t="s">
        <v>205</v>
      </c>
      <c r="B19" s="38"/>
      <c r="C19" s="43" t="s">
        <v>143</v>
      </c>
      <c r="D19" s="39" t="s">
        <v>206</v>
      </c>
      <c r="E19" s="40" t="s">
        <v>207</v>
      </c>
      <c r="F19" s="41" t="s">
        <v>186</v>
      </c>
      <c r="G19" s="41" t="s">
        <v>151</v>
      </c>
      <c r="H19" s="41" t="s">
        <v>168</v>
      </c>
      <c r="I19" s="30" t="s">
        <v>19</v>
      </c>
      <c r="J19" s="39" t="s">
        <v>208</v>
      </c>
      <c r="K19" s="39"/>
      <c r="L19" s="23"/>
      <c r="M19" s="23"/>
      <c r="N19" s="23"/>
      <c r="O19" s="23"/>
      <c r="P19" s="23"/>
      <c r="Q19" s="23"/>
      <c r="R19" s="23"/>
      <c r="S19" s="23"/>
      <c r="T19" s="23"/>
      <c r="U19" s="23"/>
      <c r="V19" s="23"/>
      <c r="W19" s="23"/>
      <c r="X19" s="23"/>
      <c r="Y19" s="23"/>
    </row>
    <row r="20">
      <c r="A20" s="32"/>
      <c r="B20" s="38"/>
      <c r="C20" s="43" t="s">
        <v>161</v>
      </c>
      <c r="D20" s="39" t="s">
        <v>209</v>
      </c>
      <c r="E20" s="40" t="s">
        <v>210</v>
      </c>
      <c r="F20" s="41" t="s">
        <v>31</v>
      </c>
      <c r="G20" s="41" t="s">
        <v>167</v>
      </c>
      <c r="H20" s="41" t="s">
        <v>168</v>
      </c>
      <c r="I20" s="30" t="s">
        <v>19</v>
      </c>
      <c r="J20" s="39" t="s">
        <v>211</v>
      </c>
      <c r="K20" s="39"/>
      <c r="L20" s="23"/>
      <c r="M20" s="23"/>
      <c r="N20" s="23"/>
      <c r="O20" s="23"/>
      <c r="P20" s="23"/>
      <c r="Q20" s="23"/>
      <c r="R20" s="23"/>
      <c r="S20" s="23"/>
      <c r="T20" s="23"/>
      <c r="U20" s="23"/>
      <c r="V20" s="23"/>
      <c r="W20" s="23"/>
      <c r="X20" s="23"/>
      <c r="Y20" s="23"/>
    </row>
    <row r="21">
      <c r="A21" s="37" t="s">
        <v>212</v>
      </c>
      <c r="B21" s="38"/>
      <c r="C21" s="43" t="s">
        <v>143</v>
      </c>
      <c r="D21" s="39" t="s">
        <v>213</v>
      </c>
      <c r="E21" s="40" t="s">
        <v>214</v>
      </c>
      <c r="F21" s="41" t="s">
        <v>186</v>
      </c>
      <c r="G21" s="41" t="s">
        <v>151</v>
      </c>
      <c r="H21" s="41" t="s">
        <v>168</v>
      </c>
      <c r="I21" s="30" t="s">
        <v>19</v>
      </c>
      <c r="J21" s="39" t="s">
        <v>215</v>
      </c>
      <c r="K21" s="39"/>
      <c r="L21" s="23"/>
      <c r="M21" s="23"/>
      <c r="N21" s="23"/>
      <c r="O21" s="23"/>
      <c r="P21" s="23"/>
      <c r="Q21" s="23"/>
      <c r="R21" s="23"/>
      <c r="S21" s="23"/>
      <c r="T21" s="23"/>
      <c r="U21" s="23"/>
      <c r="V21" s="23"/>
      <c r="W21" s="23"/>
      <c r="X21" s="23"/>
      <c r="Y21" s="23"/>
    </row>
    <row r="22">
      <c r="A22" s="32"/>
      <c r="B22" s="38"/>
      <c r="C22" s="43" t="s">
        <v>161</v>
      </c>
      <c r="D22" s="39" t="s">
        <v>216</v>
      </c>
      <c r="E22" s="40" t="s">
        <v>217</v>
      </c>
      <c r="F22" s="41" t="s">
        <v>31</v>
      </c>
      <c r="G22" s="41" t="s">
        <v>146</v>
      </c>
      <c r="H22" s="41" t="s">
        <v>168</v>
      </c>
      <c r="I22" s="30" t="s">
        <v>19</v>
      </c>
      <c r="J22" s="39" t="s">
        <v>218</v>
      </c>
      <c r="K22" s="39"/>
      <c r="L22" s="23"/>
      <c r="M22" s="23"/>
      <c r="N22" s="23"/>
      <c r="O22" s="23"/>
      <c r="P22" s="23"/>
      <c r="Q22" s="23"/>
      <c r="R22" s="23"/>
      <c r="S22" s="23"/>
      <c r="T22" s="23"/>
      <c r="U22" s="23"/>
      <c r="V22" s="23"/>
      <c r="W22" s="23"/>
      <c r="X22" s="23"/>
      <c r="Y22" s="23"/>
    </row>
    <row r="23">
      <c r="A23" s="37" t="s">
        <v>219</v>
      </c>
      <c r="B23" s="38"/>
      <c r="C23" s="43" t="s">
        <v>143</v>
      </c>
      <c r="D23" s="39" t="s">
        <v>220</v>
      </c>
      <c r="E23" s="40" t="s">
        <v>221</v>
      </c>
      <c r="F23" s="41" t="s">
        <v>186</v>
      </c>
      <c r="G23" s="41" t="s">
        <v>151</v>
      </c>
      <c r="H23" s="41" t="s">
        <v>147</v>
      </c>
      <c r="I23" s="30" t="s">
        <v>19</v>
      </c>
      <c r="J23" s="39" t="s">
        <v>222</v>
      </c>
      <c r="K23" s="39"/>
      <c r="L23" s="23"/>
      <c r="M23" s="23"/>
      <c r="N23" s="23"/>
      <c r="O23" s="23"/>
      <c r="P23" s="23"/>
      <c r="Q23" s="23"/>
      <c r="R23" s="23"/>
      <c r="S23" s="23"/>
      <c r="T23" s="23"/>
      <c r="U23" s="23"/>
      <c r="V23" s="23"/>
      <c r="W23" s="23"/>
      <c r="X23" s="23"/>
      <c r="Y23" s="23"/>
    </row>
    <row r="24">
      <c r="A24" s="32"/>
      <c r="B24" s="38"/>
      <c r="C24" s="43" t="s">
        <v>161</v>
      </c>
      <c r="D24" s="39" t="s">
        <v>223</v>
      </c>
      <c r="E24" s="40" t="s">
        <v>224</v>
      </c>
      <c r="F24" s="41" t="s">
        <v>31</v>
      </c>
      <c r="G24" s="41" t="s">
        <v>146</v>
      </c>
      <c r="H24" s="41" t="s">
        <v>168</v>
      </c>
      <c r="I24" s="30" t="s">
        <v>19</v>
      </c>
      <c r="J24" s="39" t="s">
        <v>225</v>
      </c>
      <c r="K24" s="39"/>
      <c r="L24" s="23"/>
      <c r="M24" s="23"/>
      <c r="N24" s="23"/>
      <c r="O24" s="23"/>
      <c r="P24" s="23"/>
      <c r="Q24" s="23"/>
      <c r="R24" s="23"/>
      <c r="S24" s="23"/>
      <c r="T24" s="23"/>
      <c r="U24" s="23"/>
      <c r="V24" s="23"/>
      <c r="W24" s="23"/>
      <c r="X24" s="23"/>
      <c r="Y24" s="23"/>
    </row>
    <row r="25">
      <c r="A25" s="30" t="s">
        <v>226</v>
      </c>
      <c r="B25" s="27"/>
      <c r="C25" s="39" t="s">
        <v>143</v>
      </c>
      <c r="D25" s="39" t="s">
        <v>227</v>
      </c>
      <c r="E25" s="44" t="s">
        <v>228</v>
      </c>
      <c r="F25" s="41" t="s">
        <v>159</v>
      </c>
      <c r="G25" s="30" t="s">
        <v>229</v>
      </c>
      <c r="H25" s="30" t="s">
        <v>230</v>
      </c>
      <c r="I25" s="30" t="s">
        <v>19</v>
      </c>
      <c r="J25" s="28"/>
      <c r="K25" s="28"/>
      <c r="L25" s="23"/>
      <c r="M25" s="23"/>
      <c r="N25" s="23"/>
      <c r="O25" s="23"/>
      <c r="P25" s="23"/>
      <c r="Q25" s="23"/>
      <c r="R25" s="23"/>
      <c r="S25" s="23"/>
      <c r="T25" s="23"/>
      <c r="U25" s="23"/>
      <c r="V25" s="23"/>
      <c r="W25" s="23"/>
      <c r="X25" s="23"/>
      <c r="Y25" s="23"/>
    </row>
    <row r="26">
      <c r="A26" s="30" t="s">
        <v>226</v>
      </c>
      <c r="B26" s="27"/>
      <c r="C26" s="28" t="s">
        <v>161</v>
      </c>
      <c r="D26" s="28" t="s">
        <v>231</v>
      </c>
      <c r="E26" s="34"/>
      <c r="F26" s="30" t="s">
        <v>163</v>
      </c>
      <c r="G26" s="27"/>
      <c r="H26" s="30" t="s">
        <v>230</v>
      </c>
      <c r="I26" s="30" t="s">
        <v>19</v>
      </c>
      <c r="J26" s="28"/>
      <c r="K26" s="28"/>
      <c r="L26" s="23"/>
      <c r="M26" s="23"/>
      <c r="N26" s="23"/>
      <c r="O26" s="23"/>
      <c r="P26" s="23"/>
      <c r="Q26" s="23"/>
      <c r="R26" s="23"/>
      <c r="S26" s="23"/>
      <c r="T26" s="23"/>
      <c r="U26" s="23"/>
      <c r="V26" s="23"/>
      <c r="W26" s="23"/>
      <c r="X26" s="23"/>
      <c r="Y26" s="23"/>
    </row>
    <row r="27">
      <c r="A27" s="30" t="s">
        <v>232</v>
      </c>
      <c r="B27" s="27"/>
      <c r="C27" s="39" t="s">
        <v>143</v>
      </c>
      <c r="D27" s="39" t="s">
        <v>233</v>
      </c>
      <c r="E27" s="44" t="s">
        <v>234</v>
      </c>
      <c r="F27" s="41" t="s">
        <v>159</v>
      </c>
      <c r="G27" s="30" t="s">
        <v>229</v>
      </c>
      <c r="H27" s="30" t="s">
        <v>179</v>
      </c>
      <c r="I27" s="30" t="s">
        <v>19</v>
      </c>
      <c r="J27" s="28"/>
      <c r="K27" s="28"/>
      <c r="L27" s="23"/>
      <c r="M27" s="23"/>
      <c r="N27" s="23"/>
      <c r="O27" s="23"/>
      <c r="P27" s="23"/>
      <c r="Q27" s="23"/>
      <c r="R27" s="23"/>
      <c r="S27" s="23"/>
      <c r="T27" s="23"/>
      <c r="U27" s="23"/>
      <c r="V27" s="23"/>
      <c r="W27" s="23"/>
      <c r="X27" s="23"/>
      <c r="Y27" s="23"/>
    </row>
    <row r="28">
      <c r="A28" s="30" t="s">
        <v>232</v>
      </c>
      <c r="B28" s="27"/>
      <c r="C28" s="28" t="s">
        <v>161</v>
      </c>
      <c r="D28" s="28" t="s">
        <v>235</v>
      </c>
      <c r="E28" s="29" t="s">
        <v>236</v>
      </c>
      <c r="F28" s="30" t="s">
        <v>163</v>
      </c>
      <c r="G28" s="27"/>
      <c r="H28" s="30" t="s">
        <v>168</v>
      </c>
      <c r="I28" s="30" t="s">
        <v>19</v>
      </c>
      <c r="J28" s="28"/>
      <c r="K28" s="28"/>
      <c r="L28" s="23"/>
      <c r="M28" s="23"/>
      <c r="N28" s="23"/>
      <c r="O28" s="23"/>
      <c r="P28" s="23"/>
      <c r="Q28" s="23"/>
      <c r="R28" s="23"/>
      <c r="S28" s="23"/>
      <c r="T28" s="23"/>
      <c r="U28" s="23"/>
      <c r="V28" s="23"/>
      <c r="W28" s="23"/>
      <c r="X28" s="23"/>
      <c r="Y28" s="23"/>
    </row>
    <row r="29">
      <c r="A29" s="30" t="s">
        <v>237</v>
      </c>
      <c r="B29" s="27"/>
      <c r="C29" s="39" t="s">
        <v>143</v>
      </c>
      <c r="D29" s="39" t="s">
        <v>238</v>
      </c>
      <c r="E29" s="44" t="s">
        <v>239</v>
      </c>
      <c r="F29" s="41" t="s">
        <v>159</v>
      </c>
      <c r="G29" s="30" t="s">
        <v>229</v>
      </c>
      <c r="H29" s="30" t="s">
        <v>179</v>
      </c>
      <c r="I29" s="30" t="s">
        <v>19</v>
      </c>
      <c r="J29" s="28"/>
      <c r="K29" s="28"/>
      <c r="L29" s="23"/>
      <c r="M29" s="23"/>
      <c r="N29" s="23"/>
      <c r="O29" s="23"/>
      <c r="P29" s="23"/>
      <c r="Q29" s="23"/>
      <c r="R29" s="23"/>
      <c r="S29" s="23"/>
      <c r="T29" s="23"/>
      <c r="U29" s="23"/>
      <c r="V29" s="23"/>
      <c r="W29" s="23"/>
      <c r="X29" s="23"/>
      <c r="Y29" s="23"/>
    </row>
    <row r="30">
      <c r="A30" s="30" t="s">
        <v>237</v>
      </c>
      <c r="B30" s="27"/>
      <c r="C30" s="28" t="s">
        <v>161</v>
      </c>
      <c r="D30" s="28" t="s">
        <v>240</v>
      </c>
      <c r="E30" s="29" t="s">
        <v>241</v>
      </c>
      <c r="F30" s="30" t="s">
        <v>163</v>
      </c>
      <c r="G30" s="27"/>
      <c r="H30" s="30" t="s">
        <v>230</v>
      </c>
      <c r="I30" s="30" t="s">
        <v>19</v>
      </c>
      <c r="J30" s="28"/>
      <c r="K30" s="28"/>
      <c r="L30" s="23"/>
      <c r="M30" s="23"/>
      <c r="N30" s="23"/>
      <c r="O30" s="23"/>
      <c r="P30" s="23"/>
      <c r="Q30" s="23"/>
      <c r="R30" s="23"/>
      <c r="S30" s="23"/>
      <c r="T30" s="23"/>
      <c r="U30" s="23"/>
      <c r="V30" s="23"/>
      <c r="W30" s="23"/>
      <c r="X30" s="23"/>
      <c r="Y30" s="23"/>
    </row>
    <row r="31">
      <c r="A31" s="30" t="s">
        <v>242</v>
      </c>
      <c r="B31" s="27"/>
      <c r="C31" s="39" t="s">
        <v>143</v>
      </c>
      <c r="D31" s="39" t="s">
        <v>243</v>
      </c>
      <c r="E31" s="45" t="s">
        <v>244</v>
      </c>
      <c r="F31" s="41" t="s">
        <v>159</v>
      </c>
      <c r="G31" s="30" t="s">
        <v>229</v>
      </c>
      <c r="H31" s="30" t="s">
        <v>179</v>
      </c>
      <c r="I31" s="30" t="s">
        <v>19</v>
      </c>
      <c r="J31" s="28"/>
      <c r="K31" s="28"/>
      <c r="L31" s="23"/>
      <c r="M31" s="23"/>
      <c r="N31" s="23"/>
      <c r="O31" s="23"/>
      <c r="P31" s="23"/>
      <c r="Q31" s="23"/>
      <c r="R31" s="23"/>
      <c r="S31" s="23"/>
      <c r="T31" s="23"/>
      <c r="U31" s="23"/>
      <c r="V31" s="23"/>
      <c r="W31" s="23"/>
      <c r="X31" s="23"/>
      <c r="Y31" s="23"/>
    </row>
    <row r="32">
      <c r="A32" s="30" t="s">
        <v>242</v>
      </c>
      <c r="B32" s="27"/>
      <c r="C32" s="28" t="s">
        <v>161</v>
      </c>
      <c r="D32" s="28" t="s">
        <v>245</v>
      </c>
      <c r="E32" s="29" t="s">
        <v>246</v>
      </c>
      <c r="F32" s="30" t="s">
        <v>163</v>
      </c>
      <c r="G32" s="27"/>
      <c r="H32" s="30" t="s">
        <v>230</v>
      </c>
      <c r="I32" s="30" t="s">
        <v>19</v>
      </c>
      <c r="J32" s="28"/>
      <c r="K32" s="28"/>
      <c r="L32" s="23"/>
      <c r="M32" s="23"/>
      <c r="N32" s="23"/>
      <c r="O32" s="23"/>
      <c r="P32" s="23"/>
      <c r="Q32" s="23"/>
      <c r="R32" s="23"/>
      <c r="S32" s="23"/>
      <c r="T32" s="23"/>
      <c r="U32" s="23"/>
      <c r="V32" s="23"/>
      <c r="W32" s="23"/>
      <c r="X32" s="23"/>
      <c r="Y32" s="23"/>
    </row>
    <row r="33">
      <c r="A33" s="30" t="s">
        <v>247</v>
      </c>
      <c r="B33" s="27"/>
      <c r="C33" s="39" t="s">
        <v>143</v>
      </c>
      <c r="D33" s="39" t="s">
        <v>248</v>
      </c>
      <c r="E33" s="44" t="s">
        <v>249</v>
      </c>
      <c r="F33" s="41" t="s">
        <v>159</v>
      </c>
      <c r="G33" s="30" t="s">
        <v>229</v>
      </c>
      <c r="H33" s="30" t="s">
        <v>179</v>
      </c>
      <c r="I33" s="30" t="s">
        <v>19</v>
      </c>
      <c r="J33" s="28"/>
      <c r="K33" s="28"/>
      <c r="L33" s="23"/>
      <c r="M33" s="23"/>
      <c r="N33" s="23"/>
      <c r="O33" s="23"/>
      <c r="P33" s="23"/>
      <c r="Q33" s="23"/>
      <c r="R33" s="23"/>
      <c r="S33" s="23"/>
      <c r="T33" s="23"/>
      <c r="U33" s="23"/>
      <c r="V33" s="23"/>
      <c r="W33" s="23"/>
      <c r="X33" s="23"/>
      <c r="Y33" s="23"/>
    </row>
    <row r="34">
      <c r="A34" s="30" t="s">
        <v>247</v>
      </c>
      <c r="B34" s="27"/>
      <c r="C34" s="28" t="s">
        <v>161</v>
      </c>
      <c r="D34" s="28" t="s">
        <v>250</v>
      </c>
      <c r="E34" s="29" t="s">
        <v>251</v>
      </c>
      <c r="F34" s="30" t="s">
        <v>163</v>
      </c>
      <c r="G34" s="27"/>
      <c r="H34" s="30" t="s">
        <v>147</v>
      </c>
      <c r="I34" s="30" t="s">
        <v>19</v>
      </c>
      <c r="J34" s="28"/>
      <c r="K34" s="28"/>
      <c r="L34" s="23"/>
      <c r="M34" s="23"/>
      <c r="N34" s="23"/>
      <c r="O34" s="23"/>
      <c r="P34" s="23"/>
      <c r="Q34" s="23"/>
      <c r="R34" s="23"/>
      <c r="S34" s="23"/>
      <c r="T34" s="23"/>
      <c r="U34" s="23"/>
      <c r="V34" s="23"/>
      <c r="W34" s="23"/>
      <c r="X34" s="23"/>
      <c r="Y34" s="23"/>
    </row>
    <row r="35">
      <c r="A35" s="30" t="s">
        <v>252</v>
      </c>
      <c r="B35" s="38"/>
      <c r="C35" s="39" t="s">
        <v>143</v>
      </c>
      <c r="D35" s="39" t="s">
        <v>253</v>
      </c>
      <c r="E35" s="44" t="s">
        <v>254</v>
      </c>
      <c r="F35" s="41" t="s">
        <v>159</v>
      </c>
      <c r="G35" s="30" t="s">
        <v>229</v>
      </c>
      <c r="H35" s="41" t="s">
        <v>230</v>
      </c>
      <c r="I35" s="30" t="s">
        <v>19</v>
      </c>
      <c r="J35" s="39"/>
      <c r="K35" s="39"/>
      <c r="L35" s="23"/>
      <c r="M35" s="23"/>
      <c r="N35" s="23"/>
      <c r="O35" s="23"/>
      <c r="P35" s="23"/>
      <c r="Q35" s="23"/>
      <c r="R35" s="23"/>
      <c r="S35" s="23"/>
      <c r="T35" s="23"/>
      <c r="U35" s="23"/>
      <c r="V35" s="23"/>
      <c r="W35" s="23"/>
      <c r="X35" s="23"/>
      <c r="Y35" s="23"/>
    </row>
    <row r="36">
      <c r="A36" s="30" t="s">
        <v>252</v>
      </c>
      <c r="B36" s="38"/>
      <c r="C36" s="28" t="s">
        <v>161</v>
      </c>
      <c r="D36" s="39" t="s">
        <v>255</v>
      </c>
      <c r="E36" s="40" t="s">
        <v>256</v>
      </c>
      <c r="F36" s="30" t="s">
        <v>163</v>
      </c>
      <c r="G36" s="41"/>
      <c r="H36" s="41" t="s">
        <v>230</v>
      </c>
      <c r="I36" s="30" t="s">
        <v>19</v>
      </c>
      <c r="J36" s="39"/>
      <c r="K36" s="39"/>
      <c r="L36" s="23"/>
      <c r="M36" s="23"/>
      <c r="N36" s="23"/>
      <c r="O36" s="23"/>
      <c r="P36" s="23"/>
      <c r="Q36" s="23"/>
      <c r="R36" s="23"/>
      <c r="S36" s="23"/>
      <c r="T36" s="23"/>
      <c r="U36" s="23"/>
      <c r="V36" s="23"/>
      <c r="W36" s="23"/>
      <c r="X36" s="23"/>
      <c r="Y36" s="23"/>
    </row>
    <row r="37">
      <c r="A37" s="30" t="s">
        <v>257</v>
      </c>
      <c r="B37" s="38"/>
      <c r="C37" s="39" t="s">
        <v>143</v>
      </c>
      <c r="D37" s="39" t="s">
        <v>258</v>
      </c>
      <c r="E37" s="45" t="s">
        <v>259</v>
      </c>
      <c r="F37" s="41" t="s">
        <v>159</v>
      </c>
      <c r="G37" s="30" t="s">
        <v>229</v>
      </c>
      <c r="H37" s="41" t="s">
        <v>230</v>
      </c>
      <c r="I37" s="30" t="s">
        <v>19</v>
      </c>
      <c r="J37" s="39"/>
      <c r="K37" s="39"/>
      <c r="L37" s="23"/>
      <c r="M37" s="23"/>
      <c r="N37" s="23"/>
      <c r="O37" s="23"/>
      <c r="P37" s="23"/>
      <c r="Q37" s="23"/>
      <c r="R37" s="23"/>
      <c r="S37" s="23"/>
      <c r="T37" s="23"/>
      <c r="U37" s="23"/>
      <c r="V37" s="23"/>
      <c r="W37" s="23"/>
      <c r="X37" s="23"/>
      <c r="Y37" s="23"/>
    </row>
    <row r="38">
      <c r="A38" s="30" t="s">
        <v>260</v>
      </c>
      <c r="B38" s="38"/>
      <c r="C38" s="28" t="s">
        <v>161</v>
      </c>
      <c r="D38" s="39" t="s">
        <v>261</v>
      </c>
      <c r="E38" s="40" t="s">
        <v>262</v>
      </c>
      <c r="F38" s="30" t="s">
        <v>163</v>
      </c>
      <c r="G38" s="41"/>
      <c r="H38" s="41" t="s">
        <v>179</v>
      </c>
      <c r="I38" s="30" t="s">
        <v>156</v>
      </c>
      <c r="J38" s="39"/>
      <c r="K38" s="39"/>
      <c r="L38" s="23"/>
      <c r="M38" s="23"/>
      <c r="N38" s="23"/>
      <c r="O38" s="23"/>
      <c r="P38" s="23"/>
      <c r="Q38" s="23"/>
      <c r="R38" s="23"/>
      <c r="S38" s="23"/>
      <c r="T38" s="23"/>
      <c r="U38" s="23"/>
      <c r="V38" s="23"/>
      <c r="W38" s="23"/>
      <c r="X38" s="23"/>
      <c r="Y38" s="23"/>
    </row>
    <row r="39">
      <c r="A39" s="41" t="s">
        <v>263</v>
      </c>
      <c r="B39" s="38"/>
      <c r="C39" s="28" t="s">
        <v>143</v>
      </c>
      <c r="D39" s="39" t="s">
        <v>264</v>
      </c>
      <c r="E39" s="46" t="s">
        <v>265</v>
      </c>
      <c r="F39" s="41" t="s">
        <v>129</v>
      </c>
      <c r="G39" s="41"/>
      <c r="H39" s="38"/>
      <c r="I39" s="30" t="s">
        <v>169</v>
      </c>
      <c r="J39" s="39"/>
      <c r="K39" s="39" t="s">
        <v>266</v>
      </c>
      <c r="L39" s="23"/>
      <c r="M39" s="23"/>
      <c r="N39" s="23"/>
      <c r="O39" s="23"/>
      <c r="P39" s="23"/>
      <c r="Q39" s="23"/>
      <c r="R39" s="23"/>
      <c r="S39" s="23"/>
      <c r="T39" s="23"/>
      <c r="U39" s="23"/>
      <c r="V39" s="23"/>
      <c r="W39" s="23"/>
      <c r="X39" s="23"/>
      <c r="Y39" s="23"/>
    </row>
    <row r="40">
      <c r="A40" s="41" t="s">
        <v>263</v>
      </c>
      <c r="B40" s="38"/>
      <c r="C40" s="28" t="s">
        <v>161</v>
      </c>
      <c r="D40" s="39" t="s">
        <v>267</v>
      </c>
      <c r="E40" s="46" t="s">
        <v>265</v>
      </c>
      <c r="F40" s="41" t="s">
        <v>268</v>
      </c>
      <c r="G40" s="41"/>
      <c r="H40" s="41" t="s">
        <v>168</v>
      </c>
      <c r="I40" s="30" t="s">
        <v>169</v>
      </c>
      <c r="J40" s="39" t="s">
        <v>269</v>
      </c>
      <c r="K40" s="39"/>
      <c r="L40" s="23"/>
      <c r="M40" s="23"/>
      <c r="N40" s="23"/>
      <c r="O40" s="23"/>
      <c r="P40" s="23"/>
      <c r="Q40" s="23"/>
      <c r="R40" s="23"/>
      <c r="S40" s="23"/>
      <c r="T40" s="23"/>
      <c r="U40" s="23"/>
      <c r="V40" s="23"/>
      <c r="W40" s="23"/>
      <c r="X40" s="23"/>
      <c r="Y40" s="23"/>
    </row>
    <row r="41">
      <c r="A41" s="30" t="s">
        <v>270</v>
      </c>
      <c r="B41" s="38"/>
      <c r="C41" s="43" t="s">
        <v>143</v>
      </c>
      <c r="D41" s="39" t="s">
        <v>271</v>
      </c>
      <c r="E41" s="46" t="s">
        <v>272</v>
      </c>
      <c r="F41" s="41" t="s">
        <v>129</v>
      </c>
      <c r="G41" s="41"/>
      <c r="H41" s="38"/>
      <c r="I41" s="30" t="s">
        <v>169</v>
      </c>
      <c r="J41" s="39"/>
      <c r="K41" s="39" t="s">
        <v>273</v>
      </c>
      <c r="L41" s="23"/>
      <c r="M41" s="23"/>
      <c r="N41" s="23"/>
      <c r="O41" s="23"/>
      <c r="P41" s="23"/>
      <c r="Q41" s="23"/>
      <c r="R41" s="23"/>
      <c r="S41" s="23"/>
      <c r="T41" s="23"/>
      <c r="U41" s="23"/>
      <c r="V41" s="23"/>
      <c r="W41" s="23"/>
      <c r="X41" s="23"/>
      <c r="Y41" s="23"/>
    </row>
    <row r="42">
      <c r="A42" s="30" t="s">
        <v>270</v>
      </c>
      <c r="B42" s="38"/>
      <c r="C42" s="43" t="s">
        <v>161</v>
      </c>
      <c r="D42" s="39" t="s">
        <v>274</v>
      </c>
      <c r="E42" s="47" t="s">
        <v>272</v>
      </c>
      <c r="F42" s="41" t="s">
        <v>268</v>
      </c>
      <c r="G42" s="41"/>
      <c r="H42" s="41" t="s">
        <v>147</v>
      </c>
      <c r="I42" s="30" t="s">
        <v>156</v>
      </c>
      <c r="J42" s="39" t="s">
        <v>269</v>
      </c>
      <c r="K42" s="39"/>
      <c r="L42" s="23"/>
      <c r="M42" s="23"/>
      <c r="N42" s="23"/>
      <c r="O42" s="23"/>
      <c r="P42" s="23"/>
      <c r="Q42" s="23"/>
      <c r="R42" s="23"/>
      <c r="S42" s="23"/>
      <c r="T42" s="23"/>
      <c r="U42" s="23"/>
      <c r="V42" s="23"/>
      <c r="W42" s="23"/>
      <c r="X42" s="23"/>
      <c r="Y42" s="23"/>
    </row>
    <row r="43" ht="15.75" customHeight="1">
      <c r="A43" s="41" t="s">
        <v>275</v>
      </c>
      <c r="B43" s="38"/>
      <c r="C43" s="43" t="s">
        <v>126</v>
      </c>
      <c r="D43" s="39" t="s">
        <v>276</v>
      </c>
      <c r="E43" s="46" t="s">
        <v>277</v>
      </c>
      <c r="F43" s="41" t="s">
        <v>129</v>
      </c>
      <c r="G43" s="41"/>
      <c r="H43" s="38"/>
      <c r="I43" s="30" t="s">
        <v>156</v>
      </c>
      <c r="J43" s="39"/>
      <c r="K43" s="39" t="s">
        <v>273</v>
      </c>
      <c r="L43" s="23"/>
      <c r="M43" s="23"/>
      <c r="N43" s="23"/>
      <c r="O43" s="23"/>
      <c r="P43" s="23"/>
      <c r="Q43" s="23"/>
      <c r="R43" s="23"/>
      <c r="S43" s="23"/>
      <c r="T43" s="23"/>
      <c r="U43" s="23"/>
      <c r="V43" s="23"/>
      <c r="W43" s="23"/>
      <c r="X43" s="23"/>
      <c r="Y43" s="23"/>
    </row>
    <row r="44" ht="15.75" customHeight="1">
      <c r="A44" s="37" t="s">
        <v>278</v>
      </c>
      <c r="B44" s="38"/>
      <c r="C44" s="43" t="s">
        <v>279</v>
      </c>
      <c r="D44" s="39" t="s">
        <v>280</v>
      </c>
      <c r="E44" s="46" t="s">
        <v>281</v>
      </c>
      <c r="F44" s="41" t="s">
        <v>282</v>
      </c>
      <c r="G44" s="41" t="s">
        <v>283</v>
      </c>
      <c r="H44" s="41" t="s">
        <v>230</v>
      </c>
      <c r="I44" s="30" t="s">
        <v>19</v>
      </c>
      <c r="J44" s="39" t="s">
        <v>284</v>
      </c>
      <c r="K44" s="39"/>
      <c r="L44" s="23"/>
      <c r="M44" s="23"/>
      <c r="N44" s="23"/>
      <c r="O44" s="23"/>
      <c r="P44" s="23"/>
      <c r="Q44" s="23"/>
      <c r="R44" s="23"/>
      <c r="S44" s="23"/>
      <c r="T44" s="23"/>
      <c r="U44" s="23"/>
      <c r="V44" s="23"/>
      <c r="W44" s="23"/>
      <c r="X44" s="23"/>
      <c r="Y44" s="23"/>
    </row>
    <row r="45" ht="15.75" customHeight="1">
      <c r="A45" s="42"/>
      <c r="B45" s="38"/>
      <c r="C45" s="43" t="s">
        <v>143</v>
      </c>
      <c r="D45" s="39" t="s">
        <v>285</v>
      </c>
      <c r="E45" s="46" t="s">
        <v>286</v>
      </c>
      <c r="F45" s="41" t="s">
        <v>282</v>
      </c>
      <c r="G45" s="41" t="s">
        <v>187</v>
      </c>
      <c r="H45" s="41" t="s">
        <v>230</v>
      </c>
      <c r="I45" s="30" t="s">
        <v>19</v>
      </c>
      <c r="J45" s="39" t="s">
        <v>287</v>
      </c>
      <c r="K45" s="39"/>
      <c r="L45" s="23"/>
      <c r="M45" s="23"/>
      <c r="N45" s="23"/>
      <c r="O45" s="23"/>
      <c r="P45" s="23"/>
      <c r="Q45" s="23"/>
      <c r="R45" s="23"/>
      <c r="S45" s="23"/>
      <c r="T45" s="23"/>
      <c r="U45" s="23"/>
      <c r="V45" s="23"/>
      <c r="W45" s="23"/>
      <c r="X45" s="23"/>
      <c r="Y45" s="23"/>
    </row>
    <row r="46" ht="15.75" customHeight="1">
      <c r="A46" s="42"/>
      <c r="B46" s="38"/>
      <c r="C46" s="43" t="s">
        <v>161</v>
      </c>
      <c r="D46" s="39" t="s">
        <v>288</v>
      </c>
      <c r="E46" s="46" t="s">
        <v>289</v>
      </c>
      <c r="F46" s="41" t="s">
        <v>290</v>
      </c>
      <c r="G46" s="41" t="s">
        <v>291</v>
      </c>
      <c r="H46" s="41" t="s">
        <v>168</v>
      </c>
      <c r="I46" s="30" t="s">
        <v>19</v>
      </c>
      <c r="J46" s="39" t="s">
        <v>292</v>
      </c>
      <c r="K46" s="39"/>
      <c r="L46" s="23"/>
      <c r="M46" s="23"/>
      <c r="N46" s="23"/>
      <c r="O46" s="23"/>
      <c r="P46" s="23"/>
      <c r="Q46" s="23"/>
      <c r="R46" s="23"/>
      <c r="S46" s="23"/>
      <c r="T46" s="23"/>
      <c r="U46" s="23"/>
      <c r="V46" s="23"/>
      <c r="W46" s="23"/>
      <c r="X46" s="23"/>
      <c r="Y46" s="23"/>
    </row>
    <row r="47" ht="15.75" customHeight="1">
      <c r="A47" s="42"/>
      <c r="B47" s="38"/>
      <c r="C47" s="43" t="s">
        <v>143</v>
      </c>
      <c r="D47" s="39" t="s">
        <v>293</v>
      </c>
      <c r="E47" s="46" t="s">
        <v>294</v>
      </c>
      <c r="F47" s="41" t="s">
        <v>282</v>
      </c>
      <c r="G47" s="41" t="s">
        <v>187</v>
      </c>
      <c r="H47" s="41" t="s">
        <v>168</v>
      </c>
      <c r="I47" s="30" t="s">
        <v>19</v>
      </c>
      <c r="J47" s="39" t="s">
        <v>295</v>
      </c>
      <c r="K47" s="39"/>
      <c r="L47" s="23"/>
      <c r="M47" s="23"/>
      <c r="N47" s="23"/>
      <c r="O47" s="23"/>
      <c r="P47" s="23"/>
      <c r="Q47" s="23"/>
      <c r="R47" s="23"/>
      <c r="S47" s="23"/>
      <c r="T47" s="23"/>
      <c r="U47" s="23"/>
      <c r="V47" s="23"/>
      <c r="W47" s="23"/>
      <c r="X47" s="23"/>
      <c r="Y47" s="23"/>
    </row>
    <row r="48" ht="15.75" customHeight="1">
      <c r="A48" s="42"/>
      <c r="B48" s="38"/>
      <c r="C48" s="43" t="s">
        <v>143</v>
      </c>
      <c r="D48" s="39" t="s">
        <v>296</v>
      </c>
      <c r="E48" s="46" t="s">
        <v>297</v>
      </c>
      <c r="F48" s="41" t="s">
        <v>282</v>
      </c>
      <c r="G48" s="41" t="s">
        <v>187</v>
      </c>
      <c r="H48" s="41" t="s">
        <v>168</v>
      </c>
      <c r="I48" s="30" t="s">
        <v>19</v>
      </c>
      <c r="J48" s="39" t="s">
        <v>298</v>
      </c>
      <c r="K48" s="39"/>
      <c r="L48" s="23"/>
      <c r="M48" s="23"/>
      <c r="N48" s="23"/>
      <c r="O48" s="23"/>
      <c r="P48" s="23"/>
      <c r="Q48" s="23"/>
      <c r="R48" s="23"/>
      <c r="S48" s="23"/>
      <c r="T48" s="23"/>
      <c r="U48" s="23"/>
      <c r="V48" s="23"/>
      <c r="W48" s="23"/>
      <c r="X48" s="23"/>
      <c r="Y48" s="23"/>
    </row>
    <row r="49" ht="15.75" customHeight="1">
      <c r="A49" s="42"/>
      <c r="B49" s="38"/>
      <c r="C49" s="43" t="s">
        <v>161</v>
      </c>
      <c r="D49" s="39" t="s">
        <v>299</v>
      </c>
      <c r="E49" s="46" t="s">
        <v>300</v>
      </c>
      <c r="F49" s="41" t="s">
        <v>290</v>
      </c>
      <c r="G49" s="41" t="s">
        <v>291</v>
      </c>
      <c r="H49" s="41" t="s">
        <v>168</v>
      </c>
      <c r="I49" s="30" t="s">
        <v>19</v>
      </c>
      <c r="J49" s="39" t="s">
        <v>301</v>
      </c>
      <c r="K49" s="39"/>
      <c r="L49" s="23"/>
      <c r="M49" s="23"/>
      <c r="N49" s="23"/>
      <c r="O49" s="23"/>
      <c r="P49" s="23"/>
      <c r="Q49" s="23"/>
      <c r="R49" s="23"/>
      <c r="S49" s="23"/>
      <c r="T49" s="23"/>
      <c r="U49" s="23"/>
      <c r="V49" s="23"/>
      <c r="W49" s="23"/>
      <c r="X49" s="23"/>
      <c r="Y49" s="23"/>
    </row>
    <row r="50" ht="15.75" customHeight="1">
      <c r="A50" s="32"/>
      <c r="B50" s="38"/>
      <c r="C50" s="43" t="s">
        <v>161</v>
      </c>
      <c r="D50" s="39" t="s">
        <v>302</v>
      </c>
      <c r="E50" s="46" t="s">
        <v>303</v>
      </c>
      <c r="F50" s="41" t="s">
        <v>290</v>
      </c>
      <c r="G50" s="41" t="s">
        <v>187</v>
      </c>
      <c r="H50" s="41" t="s">
        <v>168</v>
      </c>
      <c r="I50" s="30" t="s">
        <v>19</v>
      </c>
      <c r="J50" s="39" t="s">
        <v>304</v>
      </c>
      <c r="K50" s="39"/>
      <c r="L50" s="23"/>
      <c r="M50" s="23"/>
      <c r="N50" s="23"/>
      <c r="O50" s="23"/>
      <c r="P50" s="23"/>
      <c r="Q50" s="23"/>
      <c r="R50" s="23"/>
      <c r="S50" s="23"/>
      <c r="T50" s="23"/>
      <c r="U50" s="23"/>
      <c r="V50" s="23"/>
      <c r="W50" s="23"/>
      <c r="X50" s="23"/>
      <c r="Y50" s="23"/>
    </row>
    <row r="51" ht="15.75" customHeight="1">
      <c r="A51" s="37" t="s">
        <v>305</v>
      </c>
      <c r="B51" s="48"/>
      <c r="C51" s="48" t="s">
        <v>161</v>
      </c>
      <c r="D51" s="48" t="s">
        <v>306</v>
      </c>
      <c r="E51" s="46" t="s">
        <v>307</v>
      </c>
      <c r="F51" s="41" t="s">
        <v>268</v>
      </c>
      <c r="G51" s="48"/>
      <c r="H51" s="48" t="s">
        <v>230</v>
      </c>
      <c r="I51" s="30" t="s">
        <v>169</v>
      </c>
      <c r="J51" s="39" t="s">
        <v>269</v>
      </c>
      <c r="K51" s="49" t="s">
        <v>308</v>
      </c>
      <c r="L51" s="23"/>
      <c r="M51" s="23"/>
      <c r="N51" s="23"/>
      <c r="O51" s="23"/>
      <c r="P51" s="23"/>
      <c r="Q51" s="23"/>
      <c r="R51" s="23"/>
      <c r="S51" s="23"/>
      <c r="T51" s="23"/>
      <c r="U51" s="23"/>
      <c r="V51" s="23"/>
      <c r="W51" s="23"/>
      <c r="X51" s="23"/>
      <c r="Y51" s="23"/>
    </row>
    <row r="52" ht="15.75" customHeight="1">
      <c r="A52" s="32"/>
      <c r="B52" s="48"/>
      <c r="C52" s="48" t="s">
        <v>143</v>
      </c>
      <c r="D52" s="48" t="s">
        <v>309</v>
      </c>
      <c r="E52" s="46" t="s">
        <v>307</v>
      </c>
      <c r="F52" s="41" t="s">
        <v>310</v>
      </c>
      <c r="G52" s="48"/>
      <c r="H52" s="48" t="s">
        <v>230</v>
      </c>
      <c r="I52" s="30" t="s">
        <v>169</v>
      </c>
      <c r="J52" s="50"/>
      <c r="K52" s="49" t="s">
        <v>311</v>
      </c>
      <c r="L52" s="23"/>
      <c r="M52" s="23"/>
      <c r="N52" s="23"/>
      <c r="O52" s="23"/>
      <c r="P52" s="23"/>
      <c r="Q52" s="23"/>
      <c r="R52" s="23"/>
      <c r="S52" s="23"/>
      <c r="T52" s="23"/>
      <c r="U52" s="23"/>
      <c r="V52" s="23"/>
      <c r="W52" s="23"/>
      <c r="X52" s="23"/>
      <c r="Y52" s="23"/>
    </row>
    <row r="53" ht="15.75" customHeight="1">
      <c r="A53" s="37" t="s">
        <v>312</v>
      </c>
      <c r="B53" s="38"/>
      <c r="C53" s="43" t="s">
        <v>143</v>
      </c>
      <c r="D53" s="39" t="s">
        <v>313</v>
      </c>
      <c r="E53" s="46" t="s">
        <v>314</v>
      </c>
      <c r="F53" s="41" t="s">
        <v>282</v>
      </c>
      <c r="G53" s="41" t="s">
        <v>187</v>
      </c>
      <c r="H53" s="41" t="s">
        <v>168</v>
      </c>
      <c r="I53" s="30" t="s">
        <v>19</v>
      </c>
      <c r="J53" s="39" t="s">
        <v>315</v>
      </c>
      <c r="K53" s="39"/>
      <c r="L53" s="23"/>
      <c r="M53" s="23"/>
      <c r="N53" s="23"/>
      <c r="O53" s="23"/>
      <c r="P53" s="23"/>
      <c r="Q53" s="23"/>
      <c r="R53" s="23"/>
      <c r="S53" s="23"/>
      <c r="T53" s="23"/>
      <c r="U53" s="23"/>
      <c r="V53" s="23"/>
      <c r="W53" s="23"/>
      <c r="X53" s="23"/>
      <c r="Y53" s="23"/>
    </row>
    <row r="54" ht="15.75" customHeight="1">
      <c r="A54" s="42"/>
      <c r="B54" s="38"/>
      <c r="C54" s="43" t="s">
        <v>143</v>
      </c>
      <c r="D54" s="39" t="s">
        <v>316</v>
      </c>
      <c r="E54" s="46" t="s">
        <v>317</v>
      </c>
      <c r="F54" s="41" t="s">
        <v>282</v>
      </c>
      <c r="G54" s="41" t="s">
        <v>291</v>
      </c>
      <c r="H54" s="41" t="s">
        <v>168</v>
      </c>
      <c r="I54" s="30" t="s">
        <v>19</v>
      </c>
      <c r="J54" s="39" t="s">
        <v>318</v>
      </c>
      <c r="K54" s="39"/>
      <c r="L54" s="23"/>
      <c r="M54" s="23"/>
      <c r="N54" s="23"/>
      <c r="O54" s="23"/>
      <c r="P54" s="23"/>
      <c r="Q54" s="23"/>
      <c r="R54" s="23"/>
      <c r="S54" s="23"/>
      <c r="T54" s="23"/>
      <c r="U54" s="23"/>
      <c r="V54" s="23"/>
      <c r="W54" s="23"/>
      <c r="X54" s="23"/>
      <c r="Y54" s="23"/>
    </row>
    <row r="55" ht="15.75" customHeight="1">
      <c r="A55" s="42"/>
      <c r="B55" s="38"/>
      <c r="C55" s="43" t="s">
        <v>161</v>
      </c>
      <c r="D55" s="39" t="s">
        <v>319</v>
      </c>
      <c r="E55" s="46" t="s">
        <v>320</v>
      </c>
      <c r="F55" s="41" t="s">
        <v>290</v>
      </c>
      <c r="G55" s="41" t="s">
        <v>146</v>
      </c>
      <c r="H55" s="41" t="s">
        <v>168</v>
      </c>
      <c r="I55" s="30" t="s">
        <v>19</v>
      </c>
      <c r="J55" s="39" t="s">
        <v>321</v>
      </c>
      <c r="K55" s="39"/>
      <c r="L55" s="23"/>
      <c r="M55" s="23"/>
      <c r="N55" s="23"/>
      <c r="O55" s="23"/>
      <c r="P55" s="23"/>
      <c r="Q55" s="23"/>
      <c r="R55" s="23"/>
      <c r="S55" s="23"/>
      <c r="T55" s="23"/>
      <c r="U55" s="23"/>
      <c r="V55" s="23"/>
      <c r="W55" s="23"/>
      <c r="X55" s="23"/>
      <c r="Y55" s="23"/>
    </row>
    <row r="56" ht="15.75" customHeight="1">
      <c r="A56" s="32"/>
      <c r="B56" s="38"/>
      <c r="C56" s="43" t="s">
        <v>161</v>
      </c>
      <c r="D56" s="39" t="s">
        <v>322</v>
      </c>
      <c r="E56" s="46" t="s">
        <v>323</v>
      </c>
      <c r="F56" s="41" t="s">
        <v>290</v>
      </c>
      <c r="G56" s="41" t="s">
        <v>291</v>
      </c>
      <c r="H56" s="41" t="s">
        <v>168</v>
      </c>
      <c r="I56" s="30" t="s">
        <v>19</v>
      </c>
      <c r="J56" s="39" t="s">
        <v>324</v>
      </c>
      <c r="K56" s="39"/>
      <c r="L56" s="23"/>
      <c r="M56" s="23"/>
      <c r="N56" s="23"/>
      <c r="O56" s="23"/>
      <c r="P56" s="23"/>
      <c r="Q56" s="23"/>
      <c r="R56" s="23"/>
      <c r="S56" s="23"/>
      <c r="T56" s="23"/>
      <c r="U56" s="23"/>
      <c r="V56" s="23"/>
      <c r="W56" s="23"/>
      <c r="X56" s="23"/>
      <c r="Y56" s="23"/>
    </row>
    <row r="57" ht="15.75" customHeight="1">
      <c r="A57" s="51" t="s">
        <v>325</v>
      </c>
      <c r="B57" s="38"/>
      <c r="C57" s="43" t="s">
        <v>143</v>
      </c>
      <c r="D57" s="39" t="s">
        <v>326</v>
      </c>
      <c r="E57" s="46" t="s">
        <v>327</v>
      </c>
      <c r="F57" s="41" t="s">
        <v>282</v>
      </c>
      <c r="G57" s="41" t="s">
        <v>291</v>
      </c>
      <c r="H57" s="41" t="s">
        <v>168</v>
      </c>
      <c r="I57" s="30" t="s">
        <v>19</v>
      </c>
      <c r="J57" s="39" t="s">
        <v>328</v>
      </c>
      <c r="K57" s="39"/>
      <c r="L57" s="23"/>
      <c r="M57" s="23"/>
      <c r="N57" s="23"/>
      <c r="O57" s="23"/>
      <c r="P57" s="23"/>
      <c r="Q57" s="23"/>
      <c r="R57" s="23"/>
      <c r="S57" s="23"/>
      <c r="T57" s="23"/>
      <c r="U57" s="23"/>
      <c r="V57" s="23"/>
      <c r="W57" s="23"/>
      <c r="X57" s="23"/>
      <c r="Y57" s="23"/>
    </row>
    <row r="58" ht="15.75" customHeight="1">
      <c r="A58" s="52"/>
      <c r="B58" s="38"/>
      <c r="C58" s="43" t="s">
        <v>161</v>
      </c>
      <c r="D58" s="39" t="s">
        <v>329</v>
      </c>
      <c r="E58" s="46" t="s">
        <v>330</v>
      </c>
      <c r="F58" s="41" t="s">
        <v>290</v>
      </c>
      <c r="G58" s="41" t="s">
        <v>291</v>
      </c>
      <c r="H58" s="41" t="s">
        <v>168</v>
      </c>
      <c r="I58" s="30" t="s">
        <v>169</v>
      </c>
      <c r="J58" s="39" t="s">
        <v>331</v>
      </c>
      <c r="K58" s="39"/>
      <c r="L58" s="23"/>
      <c r="M58" s="23"/>
      <c r="N58" s="23"/>
      <c r="O58" s="23"/>
      <c r="P58" s="23"/>
      <c r="Q58" s="23"/>
      <c r="R58" s="23"/>
      <c r="S58" s="23"/>
      <c r="T58" s="23"/>
      <c r="U58" s="23"/>
      <c r="V58" s="23"/>
      <c r="W58" s="23"/>
      <c r="X58" s="23"/>
      <c r="Y58" s="23"/>
    </row>
    <row r="59" ht="15.75" customHeight="1">
      <c r="A59" s="52"/>
      <c r="B59" s="38"/>
      <c r="C59" s="43" t="s">
        <v>161</v>
      </c>
      <c r="D59" s="39" t="s">
        <v>332</v>
      </c>
      <c r="E59" s="46" t="s">
        <v>333</v>
      </c>
      <c r="F59" s="41" t="s">
        <v>290</v>
      </c>
      <c r="G59" s="41" t="s">
        <v>187</v>
      </c>
      <c r="H59" s="41" t="s">
        <v>168</v>
      </c>
      <c r="I59" s="30" t="s">
        <v>19</v>
      </c>
      <c r="J59" s="39" t="s">
        <v>334</v>
      </c>
      <c r="K59" s="39"/>
      <c r="L59" s="23"/>
      <c r="M59" s="23"/>
      <c r="N59" s="23"/>
      <c r="O59" s="23"/>
      <c r="P59" s="23"/>
      <c r="Q59" s="23"/>
      <c r="R59" s="23"/>
      <c r="S59" s="23"/>
      <c r="T59" s="23"/>
      <c r="U59" s="23"/>
      <c r="V59" s="23"/>
      <c r="W59" s="23"/>
      <c r="X59" s="23"/>
      <c r="Y59" s="23"/>
    </row>
    <row r="60" ht="15.75" customHeight="1">
      <c r="A60" s="52"/>
      <c r="B60" s="53"/>
      <c r="C60" s="53" t="s">
        <v>143</v>
      </c>
      <c r="D60" s="53" t="s">
        <v>335</v>
      </c>
      <c r="E60" s="46" t="s">
        <v>336</v>
      </c>
      <c r="F60" s="41" t="s">
        <v>282</v>
      </c>
      <c r="G60" s="53" t="s">
        <v>146</v>
      </c>
      <c r="H60" s="53" t="s">
        <v>168</v>
      </c>
      <c r="I60" s="30" t="s">
        <v>19</v>
      </c>
      <c r="J60" s="54" t="s">
        <v>337</v>
      </c>
      <c r="K60" s="54"/>
      <c r="L60" s="23"/>
      <c r="M60" s="23"/>
      <c r="N60" s="23"/>
      <c r="O60" s="23"/>
      <c r="P60" s="23"/>
      <c r="Q60" s="23"/>
      <c r="R60" s="23"/>
      <c r="S60" s="23"/>
      <c r="T60" s="23"/>
      <c r="U60" s="23"/>
      <c r="V60" s="23"/>
      <c r="W60" s="23"/>
      <c r="X60" s="23"/>
      <c r="Y60" s="23"/>
    </row>
    <row r="61" ht="15.75" customHeight="1">
      <c r="A61" s="52"/>
      <c r="B61" s="53"/>
      <c r="C61" s="53" t="s">
        <v>161</v>
      </c>
      <c r="D61" s="53" t="s">
        <v>338</v>
      </c>
      <c r="E61" s="46" t="s">
        <v>339</v>
      </c>
      <c r="F61" s="41" t="s">
        <v>290</v>
      </c>
      <c r="G61" s="53" t="s">
        <v>187</v>
      </c>
      <c r="H61" s="53" t="s">
        <v>168</v>
      </c>
      <c r="I61" s="30" t="s">
        <v>169</v>
      </c>
      <c r="J61" s="54" t="s">
        <v>340</v>
      </c>
      <c r="K61" s="54"/>
      <c r="L61" s="23"/>
      <c r="M61" s="23"/>
      <c r="N61" s="23"/>
      <c r="O61" s="23"/>
      <c r="P61" s="23"/>
      <c r="Q61" s="23"/>
      <c r="R61" s="23"/>
      <c r="S61" s="23"/>
      <c r="T61" s="23"/>
      <c r="U61" s="23"/>
      <c r="V61" s="23"/>
      <c r="W61" s="23"/>
      <c r="X61" s="23"/>
      <c r="Y61" s="23"/>
    </row>
    <row r="62" ht="15.75" customHeight="1">
      <c r="A62" s="52"/>
      <c r="B62" s="53"/>
      <c r="C62" s="53" t="s">
        <v>161</v>
      </c>
      <c r="D62" s="48" t="s">
        <v>341</v>
      </c>
      <c r="E62" s="46" t="s">
        <v>342</v>
      </c>
      <c r="F62" s="41" t="s">
        <v>268</v>
      </c>
      <c r="G62" s="53"/>
      <c r="H62" s="53" t="s">
        <v>168</v>
      </c>
      <c r="I62" s="30" t="s">
        <v>156</v>
      </c>
      <c r="J62" s="54"/>
      <c r="K62" s="54"/>
      <c r="L62" s="23"/>
      <c r="M62" s="23"/>
      <c r="N62" s="23"/>
      <c r="O62" s="23"/>
      <c r="P62" s="23"/>
      <c r="Q62" s="23"/>
      <c r="R62" s="23"/>
      <c r="S62" s="23"/>
      <c r="T62" s="23"/>
      <c r="U62" s="23"/>
      <c r="V62" s="23"/>
      <c r="W62" s="23"/>
      <c r="X62" s="23"/>
      <c r="Y62" s="23"/>
    </row>
    <row r="63" ht="15.75" customHeight="1">
      <c r="A63" s="55"/>
      <c r="B63" s="53"/>
      <c r="C63" s="53" t="s">
        <v>143</v>
      </c>
      <c r="D63" s="48" t="s">
        <v>343</v>
      </c>
      <c r="E63" s="46" t="s">
        <v>342</v>
      </c>
      <c r="F63" s="41" t="s">
        <v>310</v>
      </c>
      <c r="G63" s="53"/>
      <c r="H63" s="53" t="s">
        <v>168</v>
      </c>
      <c r="I63" s="30" t="s">
        <v>169</v>
      </c>
      <c r="J63" s="54"/>
      <c r="K63" s="54"/>
      <c r="L63" s="23"/>
      <c r="M63" s="23"/>
      <c r="N63" s="23"/>
      <c r="O63" s="23"/>
      <c r="P63" s="23"/>
      <c r="Q63" s="23"/>
      <c r="R63" s="23"/>
      <c r="S63" s="23"/>
      <c r="T63" s="23"/>
      <c r="U63" s="23"/>
      <c r="V63" s="23"/>
      <c r="W63" s="23"/>
      <c r="X63" s="23"/>
      <c r="Y63" s="23"/>
    </row>
    <row r="64" ht="15.75" customHeight="1">
      <c r="A64" s="41" t="s">
        <v>344</v>
      </c>
      <c r="B64" s="56"/>
      <c r="C64" s="57" t="s">
        <v>143</v>
      </c>
      <c r="D64" s="40" t="s">
        <v>345</v>
      </c>
      <c r="E64" s="46" t="s">
        <v>346</v>
      </c>
      <c r="F64" s="41" t="s">
        <v>129</v>
      </c>
      <c r="G64" s="56"/>
      <c r="H64" s="56"/>
      <c r="I64" s="30" t="s">
        <v>156</v>
      </c>
      <c r="J64" s="56"/>
      <c r="K64" s="56"/>
      <c r="L64" s="23"/>
      <c r="M64" s="23"/>
      <c r="N64" s="23"/>
      <c r="O64" s="23"/>
      <c r="P64" s="23"/>
      <c r="Q64" s="23"/>
      <c r="R64" s="23"/>
      <c r="S64" s="23"/>
      <c r="T64" s="23"/>
      <c r="U64" s="23"/>
      <c r="V64" s="23"/>
      <c r="W64" s="23"/>
      <c r="X64" s="23"/>
      <c r="Y64" s="23"/>
    </row>
    <row r="65" ht="15.75" customHeight="1">
      <c r="A65" s="41" t="s">
        <v>347</v>
      </c>
      <c r="B65" s="56"/>
      <c r="C65" s="57" t="s">
        <v>143</v>
      </c>
      <c r="D65" s="40" t="s">
        <v>348</v>
      </c>
      <c r="E65" s="46" t="s">
        <v>349</v>
      </c>
      <c r="F65" s="41" t="s">
        <v>282</v>
      </c>
      <c r="G65" s="40" t="s">
        <v>291</v>
      </c>
      <c r="H65" s="40" t="s">
        <v>168</v>
      </c>
      <c r="I65" s="30" t="s">
        <v>169</v>
      </c>
      <c r="J65" s="40" t="s">
        <v>350</v>
      </c>
      <c r="K65" s="56"/>
      <c r="L65" s="23"/>
      <c r="M65" s="23"/>
      <c r="N65" s="23"/>
      <c r="O65" s="23"/>
      <c r="P65" s="23"/>
      <c r="Q65" s="23"/>
      <c r="R65" s="23"/>
      <c r="S65" s="23"/>
      <c r="T65" s="23"/>
      <c r="U65" s="23"/>
      <c r="V65" s="23"/>
      <c r="W65" s="23"/>
      <c r="X65" s="23"/>
      <c r="Y65" s="23"/>
    </row>
    <row r="66" ht="15.75" customHeight="1">
      <c r="A66" s="41" t="s">
        <v>351</v>
      </c>
      <c r="B66" s="56"/>
      <c r="C66" s="57" t="s">
        <v>161</v>
      </c>
      <c r="D66" s="40" t="s">
        <v>352</v>
      </c>
      <c r="E66" s="46" t="s">
        <v>353</v>
      </c>
      <c r="F66" s="41" t="s">
        <v>268</v>
      </c>
      <c r="G66" s="56"/>
      <c r="H66" s="40" t="s">
        <v>147</v>
      </c>
      <c r="I66" s="30" t="s">
        <v>156</v>
      </c>
      <c r="J66" s="39" t="s">
        <v>269</v>
      </c>
      <c r="K66" s="56"/>
      <c r="L66" s="23"/>
      <c r="M66" s="23"/>
      <c r="N66" s="23"/>
      <c r="O66" s="23"/>
      <c r="P66" s="23"/>
      <c r="Q66" s="23"/>
      <c r="R66" s="23"/>
      <c r="S66" s="23"/>
      <c r="T66" s="23"/>
      <c r="U66" s="23"/>
      <c r="V66" s="23"/>
      <c r="W66" s="23"/>
      <c r="X66" s="23"/>
      <c r="Y66" s="23"/>
    </row>
    <row r="67" ht="15.75" customHeight="1">
      <c r="A67" s="41" t="s">
        <v>351</v>
      </c>
      <c r="B67" s="56"/>
      <c r="C67" s="57" t="s">
        <v>143</v>
      </c>
      <c r="D67" s="40" t="s">
        <v>354</v>
      </c>
      <c r="E67" s="46" t="s">
        <v>353</v>
      </c>
      <c r="F67" s="41" t="s">
        <v>310</v>
      </c>
      <c r="G67" s="56"/>
      <c r="H67" s="56"/>
      <c r="I67" s="30" t="s">
        <v>156</v>
      </c>
      <c r="J67" s="56"/>
      <c r="K67" s="56"/>
      <c r="L67" s="23"/>
      <c r="M67" s="23"/>
      <c r="N67" s="23"/>
      <c r="O67" s="23"/>
      <c r="P67" s="23"/>
      <c r="Q67" s="23"/>
      <c r="R67" s="23"/>
      <c r="S67" s="23"/>
      <c r="T67" s="23"/>
      <c r="U67" s="23"/>
      <c r="V67" s="23"/>
      <c r="W67" s="23"/>
      <c r="X67" s="23"/>
      <c r="Y67" s="23"/>
    </row>
    <row r="68" ht="15.75" customHeight="1">
      <c r="A68" s="41" t="s">
        <v>355</v>
      </c>
      <c r="B68" s="56"/>
      <c r="C68" s="57" t="s">
        <v>143</v>
      </c>
      <c r="D68" s="40" t="s">
        <v>356</v>
      </c>
      <c r="E68" s="46" t="s">
        <v>357</v>
      </c>
      <c r="F68" s="41" t="s">
        <v>129</v>
      </c>
      <c r="G68" s="56"/>
      <c r="H68" s="56"/>
      <c r="I68" s="30" t="s">
        <v>169</v>
      </c>
      <c r="J68" s="56"/>
      <c r="K68" s="56"/>
      <c r="L68" s="23"/>
      <c r="M68" s="23"/>
      <c r="N68" s="23"/>
      <c r="O68" s="23"/>
      <c r="P68" s="23"/>
      <c r="Q68" s="23"/>
      <c r="R68" s="23"/>
      <c r="S68" s="23"/>
      <c r="T68" s="23"/>
      <c r="U68" s="23"/>
      <c r="V68" s="23"/>
      <c r="W68" s="23"/>
      <c r="X68" s="23"/>
      <c r="Y68" s="23"/>
    </row>
    <row r="69" ht="15.75" customHeight="1">
      <c r="A69" s="41" t="s">
        <v>358</v>
      </c>
      <c r="B69" s="56"/>
      <c r="C69" s="57" t="s">
        <v>126</v>
      </c>
      <c r="D69" s="40" t="s">
        <v>359</v>
      </c>
      <c r="E69" s="46" t="s">
        <v>360</v>
      </c>
      <c r="F69" s="41" t="s">
        <v>129</v>
      </c>
      <c r="G69" s="56"/>
      <c r="H69" s="56"/>
      <c r="I69" s="30" t="s">
        <v>156</v>
      </c>
      <c r="J69" s="56"/>
      <c r="K69" s="56"/>
      <c r="L69" s="23"/>
      <c r="M69" s="23"/>
      <c r="N69" s="23"/>
      <c r="O69" s="23"/>
      <c r="P69" s="23"/>
      <c r="Q69" s="23"/>
      <c r="R69" s="23"/>
      <c r="S69" s="23"/>
      <c r="T69" s="23"/>
      <c r="U69" s="23"/>
      <c r="V69" s="23"/>
      <c r="W69" s="23"/>
      <c r="X69" s="23"/>
      <c r="Y69" s="23"/>
    </row>
    <row r="70" ht="15.75" customHeight="1">
      <c r="A70" s="37" t="s">
        <v>361</v>
      </c>
      <c r="B70" s="56"/>
      <c r="C70" s="57" t="s">
        <v>143</v>
      </c>
      <c r="D70" s="40" t="s">
        <v>362</v>
      </c>
      <c r="E70" s="46" t="s">
        <v>363</v>
      </c>
      <c r="F70" s="41" t="s">
        <v>310</v>
      </c>
      <c r="G70" s="56"/>
      <c r="H70" s="40" t="s">
        <v>168</v>
      </c>
      <c r="I70" s="30" t="s">
        <v>19</v>
      </c>
      <c r="J70" s="56"/>
      <c r="K70" s="58" t="s">
        <v>364</v>
      </c>
      <c r="L70" s="23"/>
      <c r="M70" s="23"/>
      <c r="N70" s="23"/>
      <c r="O70" s="23"/>
      <c r="P70" s="23"/>
      <c r="Q70" s="23"/>
      <c r="R70" s="23"/>
      <c r="S70" s="23"/>
      <c r="T70" s="23"/>
      <c r="U70" s="23"/>
      <c r="V70" s="23"/>
      <c r="W70" s="23"/>
      <c r="X70" s="23"/>
      <c r="Y70" s="23"/>
    </row>
    <row r="71" ht="15.75" customHeight="1">
      <c r="A71" s="37" t="s">
        <v>361</v>
      </c>
      <c r="B71" s="56"/>
      <c r="C71" s="57" t="s">
        <v>161</v>
      </c>
      <c r="D71" s="40" t="s">
        <v>365</v>
      </c>
      <c r="E71" s="46" t="s">
        <v>363</v>
      </c>
      <c r="F71" s="41" t="s">
        <v>268</v>
      </c>
      <c r="G71" s="56"/>
      <c r="H71" s="40" t="s">
        <v>168</v>
      </c>
      <c r="I71" s="30" t="s">
        <v>19</v>
      </c>
      <c r="J71" s="39" t="s">
        <v>269</v>
      </c>
      <c r="K71" s="32"/>
      <c r="L71" s="23"/>
      <c r="M71" s="23"/>
      <c r="N71" s="23"/>
      <c r="O71" s="23"/>
      <c r="P71" s="23"/>
      <c r="Q71" s="23"/>
      <c r="R71" s="23"/>
      <c r="S71" s="23"/>
      <c r="T71" s="23"/>
      <c r="U71" s="23"/>
      <c r="V71" s="23"/>
      <c r="W71" s="23"/>
      <c r="X71" s="23"/>
      <c r="Y71" s="23"/>
    </row>
    <row r="72" ht="15.75" customHeight="1">
      <c r="A72" s="59"/>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59"/>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59"/>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row r="1001"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row>
    <row r="100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row>
    <row r="1003"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row>
    <row r="1004"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row>
    <row r="1005" ht="15.7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row>
    <row r="1006" ht="15.7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row>
    <row r="1007" ht="15.7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row>
    <row r="1008" ht="15.7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row>
    <row r="1009" ht="15.7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row>
    <row r="1010" ht="15.7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row>
    <row r="1011" ht="15.7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row>
    <row r="1012" ht="15.7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row>
    <row r="1013" ht="15.7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row>
    <row r="1014" ht="15.7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row>
    <row r="1015" ht="15.7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row>
    <row r="1016" ht="15.7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row>
    <row r="1017" ht="15.7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row>
    <row r="1018" ht="15.7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row>
    <row r="1019" ht="15.7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row>
    <row r="1020" ht="15.7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row>
    <row r="1021" ht="15.7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row>
    <row r="1022" ht="15.7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row>
    <row r="1023" ht="15.7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row>
    <row r="1024" ht="15.7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row>
    <row r="1025" ht="15.7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row>
    <row r="1026" ht="15.7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row>
    <row r="1027" ht="15.7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row>
    <row r="1028" ht="15.7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row>
    <row r="1029" ht="15.7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row>
    <row r="1030" ht="15.7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row>
    <row r="1031" ht="15.7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row>
    <row r="1032" ht="15.7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row>
    <row r="1033" ht="15.7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row>
    <row r="1034" ht="15.7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row>
    <row r="1035" ht="15.7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row>
    <row r="1036" ht="15.7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row>
    <row r="1037" ht="15.75" customHeight="1">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row>
    <row r="1038" ht="15.7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row>
    <row r="1039" ht="15.75" customHeight="1">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row>
    <row r="1040" ht="15.7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row>
    <row r="1041" ht="15.75" customHeight="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row>
  </sheetData>
  <autoFilter ref="$A$1:$K$71"/>
  <mergeCells count="11">
    <mergeCell ref="A57:A63"/>
    <mergeCell ref="A53:A56"/>
    <mergeCell ref="A51:A52"/>
    <mergeCell ref="A44:A50"/>
    <mergeCell ref="A2:A3"/>
    <mergeCell ref="A11:A16"/>
    <mergeCell ref="K70:K71"/>
    <mergeCell ref="A17:A18"/>
    <mergeCell ref="A19:A20"/>
    <mergeCell ref="A21:A22"/>
    <mergeCell ref="A23:A24"/>
  </mergeCells>
  <dataValidations>
    <dataValidation type="list" allowBlank="1" showErrorMessage="1" sqref="F2:F71">
      <formula1>"Kevin, Hugh,Lucas,Nito,Tyson,Christian,Ryan,Nathan,Arthur,Lucas, Arthur,Nito, Tyson,Ryan, Nathan,Kevin,Hugh,Chris, Lucas, Arthur"</formula1>
    </dataValidation>
    <dataValidation type="list" allowBlank="1" showErrorMessage="1" sqref="H2:H71">
      <formula1>"Low,Medium,High,Critical"</formula1>
    </dataValidation>
    <dataValidation type="list" allowBlank="1" showErrorMessage="1" sqref="C2:C71">
      <formula1>"Backend ,Frontend,Database,Docs,AI/ML"</formula1>
    </dataValidation>
    <dataValidation type="list" allowBlank="1" showErrorMessage="1" sqref="I2:I71">
      <formula1>"Done,To do,In progress"</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5.86"/>
    <col customWidth="1" min="3" max="3" width="22.0"/>
    <col customWidth="1" min="4" max="4" width="18.86"/>
    <col customWidth="1" min="5" max="5" width="43.29"/>
    <col customWidth="1" min="6" max="6" width="45.43"/>
    <col customWidth="1" min="7" max="7" width="41.14"/>
    <col customWidth="1" min="8" max="8" width="9.71"/>
    <col customWidth="1" min="9" max="9" width="11.43"/>
    <col customWidth="1" min="10" max="10" width="11.71"/>
    <col customWidth="1" min="11" max="11" width="45.14"/>
    <col customWidth="1" min="12" max="26" width="8.71"/>
  </cols>
  <sheetData>
    <row r="1" ht="27.75" customHeight="1">
      <c r="A1" s="1" t="s">
        <v>0</v>
      </c>
      <c r="B1" s="2" t="s">
        <v>1</v>
      </c>
      <c r="C1" s="2" t="s">
        <v>2</v>
      </c>
      <c r="D1" s="1" t="s">
        <v>3</v>
      </c>
      <c r="E1" s="1" t="s">
        <v>4</v>
      </c>
      <c r="F1" s="1" t="s">
        <v>5</v>
      </c>
      <c r="G1" s="1" t="s">
        <v>6</v>
      </c>
      <c r="H1" s="1" t="s">
        <v>7</v>
      </c>
      <c r="I1" s="1" t="s">
        <v>8</v>
      </c>
      <c r="J1" s="1" t="s">
        <v>9</v>
      </c>
      <c r="K1" s="1" t="s">
        <v>10</v>
      </c>
    </row>
    <row r="2">
      <c r="A2" s="3"/>
      <c r="B2" s="4" t="s">
        <v>142</v>
      </c>
      <c r="C2" s="3"/>
      <c r="D2" s="5"/>
      <c r="E2" s="6"/>
      <c r="F2" s="6"/>
      <c r="G2" s="7" t="s">
        <v>17</v>
      </c>
      <c r="H2" s="4"/>
      <c r="I2" s="3"/>
      <c r="J2" s="4" t="s">
        <v>156</v>
      </c>
      <c r="K2" s="6"/>
    </row>
    <row r="3">
      <c r="A3" s="3"/>
      <c r="B3" s="4" t="s">
        <v>153</v>
      </c>
      <c r="C3" s="3"/>
      <c r="D3" s="8"/>
      <c r="E3" s="6"/>
      <c r="F3" s="6"/>
      <c r="G3" s="15" t="s">
        <v>155</v>
      </c>
      <c r="H3" s="4"/>
      <c r="I3" s="3"/>
      <c r="J3" s="4" t="s">
        <v>156</v>
      </c>
      <c r="K3" s="6"/>
    </row>
    <row r="4">
      <c r="A4" s="3"/>
      <c r="B4" s="4" t="s">
        <v>157</v>
      </c>
      <c r="C4" s="3"/>
      <c r="D4" s="5"/>
      <c r="E4" s="6"/>
      <c r="F4" s="6" t="s">
        <v>160</v>
      </c>
      <c r="G4" s="7" t="s">
        <v>49</v>
      </c>
      <c r="H4" s="4"/>
      <c r="I4" s="4"/>
      <c r="J4" s="4" t="s">
        <v>156</v>
      </c>
      <c r="K4" s="6"/>
    </row>
    <row r="5">
      <c r="A5" s="3"/>
      <c r="B5" s="4" t="s">
        <v>164</v>
      </c>
      <c r="C5" s="3"/>
      <c r="D5" s="5"/>
      <c r="E5" s="6"/>
      <c r="F5" s="6" t="s">
        <v>170</v>
      </c>
      <c r="G5" s="7" t="s">
        <v>49</v>
      </c>
      <c r="H5" s="4"/>
      <c r="I5" s="3"/>
      <c r="J5" s="4" t="s">
        <v>156</v>
      </c>
      <c r="K5" s="6"/>
    </row>
    <row r="6">
      <c r="A6" s="9"/>
      <c r="B6" s="60" t="s">
        <v>172</v>
      </c>
      <c r="C6" s="9"/>
      <c r="D6" s="5"/>
      <c r="E6" s="6"/>
      <c r="F6" s="6"/>
      <c r="G6" s="61" t="s">
        <v>49</v>
      </c>
      <c r="H6" s="9"/>
      <c r="I6" s="9"/>
      <c r="J6" s="4" t="s">
        <v>156</v>
      </c>
      <c r="K6" s="9"/>
      <c r="L6" s="9"/>
      <c r="M6" s="9"/>
      <c r="N6" s="9"/>
      <c r="O6" s="9"/>
      <c r="P6" s="9"/>
      <c r="Q6" s="9"/>
      <c r="R6" s="9"/>
      <c r="S6" s="9"/>
      <c r="T6" s="9"/>
      <c r="U6" s="9"/>
      <c r="V6" s="9"/>
      <c r="W6" s="9"/>
      <c r="X6" s="9"/>
      <c r="Y6" s="9"/>
      <c r="Z6" s="9"/>
    </row>
    <row r="7">
      <c r="A7" s="11"/>
      <c r="B7" s="12" t="s">
        <v>176</v>
      </c>
      <c r="C7" s="11"/>
      <c r="D7" s="13"/>
      <c r="E7" s="14"/>
      <c r="F7" s="14"/>
      <c r="G7" s="15" t="s">
        <v>17</v>
      </c>
      <c r="H7" s="11"/>
      <c r="I7" s="11"/>
      <c r="J7" s="4" t="s">
        <v>156</v>
      </c>
      <c r="K7" s="14"/>
    </row>
    <row r="8">
      <c r="A8" s="11"/>
      <c r="B8" s="12" t="s">
        <v>198</v>
      </c>
      <c r="C8" s="11"/>
      <c r="D8" s="13"/>
      <c r="E8" s="14"/>
      <c r="F8" s="14"/>
      <c r="G8" s="15" t="s">
        <v>17</v>
      </c>
      <c r="H8" s="11"/>
      <c r="I8" s="11"/>
      <c r="J8" s="4" t="s">
        <v>156</v>
      </c>
      <c r="K8" s="14"/>
    </row>
    <row r="9">
      <c r="A9" s="11"/>
      <c r="B9" s="12" t="s">
        <v>205</v>
      </c>
      <c r="C9" s="11"/>
      <c r="D9" s="13"/>
      <c r="E9" s="14"/>
      <c r="F9" s="14"/>
      <c r="G9" s="15" t="s">
        <v>17</v>
      </c>
      <c r="H9" s="11"/>
      <c r="I9" s="11"/>
      <c r="J9" s="4" t="s">
        <v>156</v>
      </c>
      <c r="K9" s="14"/>
    </row>
    <row r="10">
      <c r="A10" s="11"/>
      <c r="B10" s="12" t="s">
        <v>212</v>
      </c>
      <c r="C10" s="11"/>
      <c r="D10" s="13"/>
      <c r="E10" s="14"/>
      <c r="F10" s="14"/>
      <c r="G10" s="15" t="s">
        <v>17</v>
      </c>
      <c r="H10" s="11"/>
      <c r="I10" s="11"/>
      <c r="J10" s="4" t="s">
        <v>156</v>
      </c>
      <c r="K10" s="14"/>
    </row>
    <row r="11">
      <c r="A11" s="11"/>
      <c r="B11" s="12" t="s">
        <v>219</v>
      </c>
      <c r="C11" s="11"/>
      <c r="D11" s="13"/>
      <c r="E11" s="14"/>
      <c r="F11" s="14"/>
      <c r="G11" s="15" t="s">
        <v>17</v>
      </c>
      <c r="H11" s="11"/>
      <c r="I11" s="11"/>
      <c r="J11" s="4" t="s">
        <v>156</v>
      </c>
      <c r="K11" s="14"/>
    </row>
    <row r="12">
      <c r="A12" s="3"/>
      <c r="B12" s="4" t="s">
        <v>226</v>
      </c>
      <c r="C12" s="3"/>
      <c r="D12" s="5"/>
      <c r="E12" s="6"/>
      <c r="F12" s="6"/>
      <c r="G12" s="7" t="s">
        <v>49</v>
      </c>
      <c r="H12" s="3"/>
      <c r="I12" s="3"/>
      <c r="J12" s="4" t="s">
        <v>156</v>
      </c>
      <c r="K12" s="6"/>
    </row>
    <row r="13">
      <c r="A13" s="3"/>
      <c r="B13" s="4" t="s">
        <v>232</v>
      </c>
      <c r="C13" s="3"/>
      <c r="D13" s="5"/>
      <c r="E13" s="6"/>
      <c r="F13" s="6"/>
      <c r="G13" s="7" t="s">
        <v>49</v>
      </c>
      <c r="H13" s="3"/>
      <c r="I13" s="3"/>
      <c r="J13" s="4" t="s">
        <v>156</v>
      </c>
      <c r="K13" s="6"/>
    </row>
    <row r="14">
      <c r="A14" s="3"/>
      <c r="B14" s="4" t="s">
        <v>237</v>
      </c>
      <c r="C14" s="3"/>
      <c r="D14" s="5"/>
      <c r="E14" s="6"/>
      <c r="F14" s="6"/>
      <c r="G14" s="7" t="s">
        <v>49</v>
      </c>
      <c r="H14" s="3"/>
      <c r="I14" s="3"/>
      <c r="J14" s="4" t="s">
        <v>156</v>
      </c>
      <c r="K14" s="6"/>
    </row>
    <row r="15">
      <c r="A15" s="3"/>
      <c r="B15" s="4" t="s">
        <v>242</v>
      </c>
      <c r="C15" s="3"/>
      <c r="D15" s="5"/>
      <c r="E15" s="6"/>
      <c r="F15" s="6"/>
      <c r="G15" s="7" t="s">
        <v>49</v>
      </c>
      <c r="H15" s="3"/>
      <c r="I15" s="3"/>
      <c r="J15" s="4" t="s">
        <v>156</v>
      </c>
      <c r="K15" s="6"/>
    </row>
    <row r="16">
      <c r="A16" s="3"/>
      <c r="B16" s="4" t="s">
        <v>247</v>
      </c>
      <c r="C16" s="3"/>
      <c r="D16" s="5"/>
      <c r="E16" s="6"/>
      <c r="F16" s="6"/>
      <c r="G16" s="7" t="s">
        <v>49</v>
      </c>
      <c r="H16" s="3"/>
      <c r="I16" s="3"/>
      <c r="J16" s="4" t="s">
        <v>156</v>
      </c>
      <c r="K16" s="6"/>
    </row>
    <row r="17">
      <c r="A17" s="11"/>
      <c r="B17" s="4" t="s">
        <v>252</v>
      </c>
      <c r="C17" s="11"/>
      <c r="D17" s="13"/>
      <c r="E17" s="14"/>
      <c r="F17" s="14"/>
      <c r="G17" s="7" t="s">
        <v>49</v>
      </c>
      <c r="H17" s="12"/>
      <c r="I17" s="11"/>
      <c r="J17" s="4" t="s">
        <v>156</v>
      </c>
      <c r="K17" s="14"/>
    </row>
    <row r="18">
      <c r="A18" s="11"/>
      <c r="B18" s="4" t="s">
        <v>257</v>
      </c>
      <c r="C18" s="11"/>
      <c r="D18" s="13"/>
      <c r="E18" s="14"/>
      <c r="F18" s="14"/>
      <c r="G18" s="7" t="s">
        <v>49</v>
      </c>
      <c r="H18" s="12"/>
      <c r="I18" s="11"/>
      <c r="J18" s="4" t="s">
        <v>156</v>
      </c>
      <c r="K18" s="14"/>
    </row>
    <row r="19">
      <c r="A19" s="11"/>
      <c r="B19" s="12" t="s">
        <v>263</v>
      </c>
      <c r="C19" s="11"/>
      <c r="D19" s="13"/>
      <c r="E19" s="14"/>
      <c r="F19" s="14" t="s">
        <v>266</v>
      </c>
      <c r="G19" s="15" t="s">
        <v>155</v>
      </c>
      <c r="H19" s="12"/>
      <c r="I19" s="11"/>
      <c r="J19" s="4" t="s">
        <v>156</v>
      </c>
      <c r="K19" s="14"/>
    </row>
    <row r="20">
      <c r="A20" s="11"/>
      <c r="B20" s="4" t="s">
        <v>270</v>
      </c>
      <c r="C20" s="11"/>
      <c r="D20" s="13"/>
      <c r="E20" s="14"/>
      <c r="F20" s="14" t="s">
        <v>273</v>
      </c>
      <c r="G20" s="15" t="s">
        <v>155</v>
      </c>
      <c r="H20" s="12"/>
      <c r="I20" s="11"/>
      <c r="J20" s="4" t="s">
        <v>156</v>
      </c>
      <c r="K20" s="14"/>
    </row>
    <row r="21" ht="15.75" customHeight="1">
      <c r="A21" s="11"/>
      <c r="B21" s="12" t="s">
        <v>275</v>
      </c>
      <c r="C21" s="11"/>
      <c r="D21" s="13"/>
      <c r="E21" s="14"/>
      <c r="F21" s="14" t="s">
        <v>273</v>
      </c>
      <c r="G21" s="15" t="s">
        <v>155</v>
      </c>
      <c r="H21" s="12"/>
      <c r="I21" s="11"/>
      <c r="J21" s="4" t="s">
        <v>156</v>
      </c>
      <c r="K21" s="14"/>
    </row>
    <row r="22" ht="15.75" customHeight="1">
      <c r="A22" s="62"/>
      <c r="B22" s="62" t="s">
        <v>278</v>
      </c>
      <c r="C22" s="63"/>
      <c r="D22" s="64"/>
      <c r="E22" s="65"/>
      <c r="F22" s="65"/>
      <c r="G22" s="15" t="s">
        <v>155</v>
      </c>
      <c r="H22" s="62"/>
      <c r="I22" s="63"/>
      <c r="J22" s="4" t="s">
        <v>156</v>
      </c>
      <c r="K22" s="65"/>
    </row>
    <row r="23" ht="15.75" customHeight="1">
      <c r="A23" s="16"/>
      <c r="B23" s="62" t="s">
        <v>305</v>
      </c>
      <c r="C23" s="16"/>
      <c r="D23" s="16"/>
      <c r="E23" s="16"/>
      <c r="F23" s="17" t="s">
        <v>308</v>
      </c>
      <c r="G23" s="15" t="s">
        <v>155</v>
      </c>
      <c r="H23" s="16"/>
      <c r="I23" s="16"/>
      <c r="J23" s="4" t="s">
        <v>156</v>
      </c>
      <c r="K23" s="19"/>
    </row>
    <row r="24" ht="15.75" customHeight="1">
      <c r="A24" s="16"/>
      <c r="B24" s="62" t="s">
        <v>312</v>
      </c>
      <c r="C24" s="16"/>
      <c r="D24" s="16"/>
      <c r="E24" s="16"/>
      <c r="F24" s="19"/>
      <c r="G24" s="15" t="s">
        <v>155</v>
      </c>
      <c r="H24" s="16"/>
      <c r="I24" s="16"/>
      <c r="J24" s="4" t="s">
        <v>156</v>
      </c>
      <c r="K24" s="19"/>
    </row>
    <row r="25" ht="15.75" customHeight="1">
      <c r="A25" s="20"/>
      <c r="B25" s="62" t="s">
        <v>325</v>
      </c>
      <c r="C25" s="20"/>
      <c r="D25" s="20"/>
      <c r="E25" s="20"/>
      <c r="F25" s="21"/>
      <c r="G25" s="15" t="s">
        <v>155</v>
      </c>
      <c r="H25" s="20"/>
      <c r="I25" s="20"/>
      <c r="J25" s="4" t="s">
        <v>156</v>
      </c>
      <c r="K25" s="21"/>
    </row>
    <row r="26" ht="15.75" customHeight="1">
      <c r="B26" s="62" t="s">
        <v>344</v>
      </c>
      <c r="F26" s="23"/>
      <c r="G26" s="15" t="s">
        <v>155</v>
      </c>
      <c r="J26" s="4" t="s">
        <v>156</v>
      </c>
    </row>
    <row r="27" ht="15.75" customHeight="1">
      <c r="B27" s="62" t="s">
        <v>347</v>
      </c>
      <c r="F27" s="23"/>
      <c r="G27" s="15" t="s">
        <v>155</v>
      </c>
      <c r="J27" s="4" t="s">
        <v>156</v>
      </c>
    </row>
    <row r="28" ht="15.75" customHeight="1">
      <c r="B28" s="62" t="s">
        <v>351</v>
      </c>
      <c r="F28" s="23"/>
      <c r="G28" s="15" t="s">
        <v>155</v>
      </c>
      <c r="J28" s="4" t="s">
        <v>156</v>
      </c>
    </row>
    <row r="29" ht="15.75" customHeight="1">
      <c r="B29" s="62" t="s">
        <v>355</v>
      </c>
      <c r="F29" s="23"/>
      <c r="G29" s="15" t="s">
        <v>155</v>
      </c>
      <c r="J29" s="4" t="s">
        <v>156</v>
      </c>
    </row>
    <row r="30" ht="15.75" customHeight="1">
      <c r="B30" s="62" t="s">
        <v>358</v>
      </c>
      <c r="F30" s="23"/>
      <c r="G30" s="15" t="s">
        <v>155</v>
      </c>
      <c r="J30" s="4" t="s">
        <v>156</v>
      </c>
    </row>
    <row r="31" ht="15.75" customHeight="1">
      <c r="B31" s="62"/>
      <c r="F31" s="23"/>
    </row>
    <row r="32" ht="15.75" customHeight="1">
      <c r="B32" s="62"/>
      <c r="F32" s="23"/>
    </row>
    <row r="33" ht="15.75" customHeight="1">
      <c r="B33" s="62"/>
      <c r="F33" s="23"/>
    </row>
    <row r="34" ht="15.75" customHeight="1">
      <c r="B34" s="62"/>
      <c r="F34" s="23"/>
    </row>
    <row r="35" ht="15.75" customHeight="1">
      <c r="F35" s="23"/>
    </row>
    <row r="36" ht="15.75" customHeight="1">
      <c r="F36" s="23"/>
    </row>
    <row r="37" ht="15.75" customHeight="1">
      <c r="F37" s="23"/>
    </row>
    <row r="38" ht="15.75" customHeight="1">
      <c r="F38" s="23"/>
    </row>
    <row r="39" ht="15.75" customHeight="1">
      <c r="F39" s="23"/>
    </row>
    <row r="40" ht="15.75" customHeight="1">
      <c r="F40" s="23"/>
    </row>
    <row r="41" ht="15.75" customHeight="1">
      <c r="F41" s="23"/>
    </row>
    <row r="42" ht="15.75" customHeight="1">
      <c r="F42" s="23"/>
    </row>
    <row r="43" ht="15.75" customHeight="1">
      <c r="F43" s="23"/>
    </row>
    <row r="44" ht="15.75" customHeight="1">
      <c r="F44" s="23"/>
    </row>
    <row r="45" ht="15.75" customHeight="1">
      <c r="F45" s="23"/>
    </row>
    <row r="46" ht="15.75" customHeight="1">
      <c r="F46" s="23"/>
    </row>
    <row r="47" ht="15.75" customHeight="1">
      <c r="F47" s="23"/>
    </row>
    <row r="48" ht="15.75" customHeight="1">
      <c r="F48" s="23"/>
    </row>
    <row r="49" ht="15.75" customHeight="1">
      <c r="F49" s="23"/>
    </row>
    <row r="50" ht="15.75" customHeight="1">
      <c r="F50" s="23"/>
    </row>
    <row r="51" ht="15.75" customHeight="1">
      <c r="F51" s="23"/>
    </row>
    <row r="52" ht="15.75" customHeight="1">
      <c r="F52" s="23"/>
    </row>
    <row r="53" ht="15.75" customHeight="1">
      <c r="F53" s="23"/>
    </row>
    <row r="54" ht="15.75" customHeight="1">
      <c r="F54" s="23"/>
    </row>
    <row r="55" ht="15.75" customHeight="1">
      <c r="F55" s="23"/>
    </row>
    <row r="56" ht="15.75" customHeight="1">
      <c r="F56" s="23"/>
    </row>
    <row r="57" ht="15.75" customHeight="1">
      <c r="F57" s="23"/>
    </row>
    <row r="58" ht="15.75" customHeight="1">
      <c r="F58" s="23"/>
    </row>
    <row r="59" ht="15.75" customHeight="1">
      <c r="F59" s="23"/>
    </row>
    <row r="60" ht="15.75" customHeight="1">
      <c r="F60" s="23"/>
    </row>
    <row r="61" ht="15.75" customHeight="1">
      <c r="F61" s="23"/>
    </row>
    <row r="62" ht="15.75" customHeight="1">
      <c r="F62" s="23"/>
    </row>
    <row r="63" ht="15.75" customHeight="1">
      <c r="F63" s="23"/>
    </row>
    <row r="64" ht="15.75" customHeight="1">
      <c r="F64" s="23"/>
    </row>
    <row r="65" ht="15.75" customHeight="1">
      <c r="F65" s="23"/>
    </row>
    <row r="66" ht="15.75" customHeight="1">
      <c r="F66" s="23"/>
    </row>
    <row r="67" ht="15.75" customHeight="1">
      <c r="F67" s="23"/>
    </row>
    <row r="68" ht="15.75" customHeight="1">
      <c r="F68" s="23"/>
    </row>
    <row r="69" ht="15.75" customHeight="1">
      <c r="F69" s="23"/>
    </row>
    <row r="70" ht="15.75" customHeight="1">
      <c r="F70" s="23"/>
    </row>
    <row r="71" ht="15.75" customHeight="1">
      <c r="F71" s="23"/>
    </row>
    <row r="72" ht="15.75" customHeight="1">
      <c r="F72" s="23"/>
    </row>
    <row r="73" ht="15.75" customHeight="1">
      <c r="F73" s="23"/>
    </row>
    <row r="74" ht="15.75" customHeight="1">
      <c r="F74" s="23"/>
    </row>
    <row r="75" ht="15.75" customHeight="1">
      <c r="F75" s="23"/>
    </row>
    <row r="76" ht="15.75" customHeight="1">
      <c r="F76" s="23"/>
    </row>
    <row r="77" ht="15.75" customHeight="1">
      <c r="F77" s="23"/>
    </row>
    <row r="78" ht="15.75" customHeight="1">
      <c r="F78" s="23"/>
    </row>
    <row r="79" ht="15.75" customHeight="1">
      <c r="F79" s="23"/>
    </row>
    <row r="80" ht="15.75" customHeight="1">
      <c r="F80" s="23"/>
    </row>
    <row r="81" ht="15.75" customHeight="1">
      <c r="F81" s="23"/>
    </row>
    <row r="82" ht="15.75" customHeight="1">
      <c r="F82" s="23"/>
    </row>
    <row r="83" ht="15.75" customHeight="1">
      <c r="F83" s="23"/>
    </row>
    <row r="84" ht="15.75" customHeight="1">
      <c r="F84" s="23"/>
    </row>
    <row r="85" ht="15.75" customHeight="1">
      <c r="F85" s="23"/>
    </row>
    <row r="86" ht="15.75" customHeight="1">
      <c r="F86" s="23"/>
    </row>
    <row r="87" ht="15.75" customHeight="1">
      <c r="F87" s="23"/>
    </row>
    <row r="88" ht="15.75" customHeight="1">
      <c r="F88" s="23"/>
    </row>
    <row r="89" ht="15.75" customHeight="1">
      <c r="F89" s="23"/>
    </row>
    <row r="90" ht="15.75" customHeight="1">
      <c r="F90" s="23"/>
    </row>
    <row r="91" ht="15.75" customHeight="1">
      <c r="F91" s="23"/>
    </row>
    <row r="92" ht="15.75" customHeight="1">
      <c r="F92" s="23"/>
    </row>
    <row r="93" ht="15.75" customHeight="1">
      <c r="F93" s="23"/>
    </row>
    <row r="94" ht="15.75" customHeight="1">
      <c r="F94" s="23"/>
    </row>
    <row r="95" ht="15.75" customHeight="1">
      <c r="F95" s="23"/>
    </row>
    <row r="96" ht="15.75" customHeight="1">
      <c r="F96" s="23"/>
    </row>
    <row r="97" ht="15.75" customHeight="1">
      <c r="F97" s="23"/>
    </row>
    <row r="98" ht="15.75" customHeight="1">
      <c r="F98" s="23"/>
    </row>
    <row r="99" ht="15.75" customHeight="1">
      <c r="F99" s="23"/>
    </row>
    <row r="100" ht="15.75" customHeight="1">
      <c r="F100" s="23"/>
    </row>
    <row r="101" ht="15.75" customHeight="1">
      <c r="F101" s="23"/>
    </row>
    <row r="102" ht="15.75" customHeight="1">
      <c r="F102" s="23"/>
    </row>
    <row r="103" ht="15.75" customHeight="1">
      <c r="F103" s="23"/>
    </row>
    <row r="104" ht="15.75" customHeight="1">
      <c r="F104" s="23"/>
    </row>
    <row r="105" ht="15.75" customHeight="1">
      <c r="F105" s="23"/>
    </row>
    <row r="106" ht="15.75" customHeight="1">
      <c r="F106" s="23"/>
    </row>
    <row r="107" ht="15.75" customHeight="1">
      <c r="F107" s="23"/>
    </row>
    <row r="108" ht="15.75" customHeight="1">
      <c r="F108" s="23"/>
    </row>
    <row r="109" ht="15.75" customHeight="1">
      <c r="F109" s="23"/>
    </row>
    <row r="110" ht="15.75" customHeight="1">
      <c r="F110" s="23"/>
    </row>
    <row r="111" ht="15.75" customHeight="1">
      <c r="F111" s="23"/>
    </row>
    <row r="112" ht="15.75" customHeight="1">
      <c r="F112" s="23"/>
    </row>
    <row r="113" ht="15.75" customHeight="1">
      <c r="F113" s="23"/>
    </row>
    <row r="114" ht="15.75" customHeight="1">
      <c r="F114" s="23"/>
    </row>
    <row r="115" ht="15.75" customHeight="1">
      <c r="F115" s="23"/>
    </row>
    <row r="116" ht="15.75" customHeight="1">
      <c r="F116" s="23"/>
    </row>
    <row r="117" ht="15.75" customHeight="1">
      <c r="F117" s="23"/>
    </row>
    <row r="118" ht="15.75" customHeight="1">
      <c r="F118" s="23"/>
    </row>
    <row r="119" ht="15.75" customHeight="1">
      <c r="F119" s="23"/>
    </row>
    <row r="120" ht="15.75" customHeight="1">
      <c r="F120" s="23"/>
    </row>
    <row r="121" ht="15.75" customHeight="1">
      <c r="F121" s="23"/>
    </row>
    <row r="122" ht="15.75" customHeight="1">
      <c r="F122" s="23"/>
    </row>
    <row r="123" ht="15.75" customHeight="1">
      <c r="F123" s="23"/>
    </row>
    <row r="124" ht="15.75" customHeight="1">
      <c r="F124" s="23"/>
    </row>
    <row r="125" ht="15.75" customHeight="1">
      <c r="F125" s="23"/>
    </row>
    <row r="126" ht="15.75" customHeight="1">
      <c r="F126" s="23"/>
    </row>
    <row r="127" ht="15.75" customHeight="1">
      <c r="F127" s="23"/>
    </row>
    <row r="128" ht="15.75" customHeight="1">
      <c r="F128" s="23"/>
    </row>
    <row r="129" ht="15.75" customHeight="1">
      <c r="F129" s="23"/>
    </row>
    <row r="130" ht="15.75" customHeight="1">
      <c r="F130" s="23"/>
    </row>
    <row r="131" ht="15.75" customHeight="1">
      <c r="F131" s="23"/>
    </row>
    <row r="132" ht="15.75" customHeight="1">
      <c r="F132" s="23"/>
    </row>
    <row r="133" ht="15.75" customHeight="1">
      <c r="F133" s="23"/>
    </row>
    <row r="134" ht="15.75" customHeight="1">
      <c r="F134" s="23"/>
    </row>
    <row r="135" ht="15.75" customHeight="1">
      <c r="F135" s="23"/>
    </row>
    <row r="136" ht="15.75" customHeight="1">
      <c r="F136" s="23"/>
    </row>
    <row r="137" ht="15.75" customHeight="1">
      <c r="F137" s="23"/>
    </row>
    <row r="138" ht="15.75" customHeight="1">
      <c r="F138" s="23"/>
    </row>
    <row r="139" ht="15.75" customHeight="1">
      <c r="F139" s="23"/>
    </row>
    <row r="140" ht="15.75" customHeight="1">
      <c r="F140" s="23"/>
    </row>
    <row r="141" ht="15.75" customHeight="1">
      <c r="F141" s="23"/>
    </row>
    <row r="142" ht="15.75" customHeight="1">
      <c r="F142" s="23"/>
    </row>
    <row r="143" ht="15.75" customHeight="1">
      <c r="F143" s="23"/>
    </row>
    <row r="144" ht="15.75" customHeight="1">
      <c r="F144" s="23"/>
    </row>
    <row r="145" ht="15.75" customHeight="1">
      <c r="F145" s="23"/>
    </row>
    <row r="146" ht="15.75" customHeight="1">
      <c r="F146" s="23"/>
    </row>
    <row r="147" ht="15.75" customHeight="1">
      <c r="F147" s="23"/>
    </row>
    <row r="148" ht="15.75" customHeight="1">
      <c r="F148" s="23"/>
    </row>
    <row r="149" ht="15.75" customHeight="1">
      <c r="F149" s="23"/>
    </row>
    <row r="150" ht="15.75" customHeight="1">
      <c r="F150" s="23"/>
    </row>
    <row r="151" ht="15.75" customHeight="1">
      <c r="F151" s="23"/>
    </row>
    <row r="152" ht="15.75" customHeight="1">
      <c r="F152" s="23"/>
    </row>
    <row r="153" ht="15.75" customHeight="1">
      <c r="F153" s="23"/>
    </row>
    <row r="154" ht="15.75" customHeight="1">
      <c r="F154" s="23"/>
    </row>
    <row r="155" ht="15.75" customHeight="1">
      <c r="F155" s="23"/>
    </row>
    <row r="156" ht="15.75" customHeight="1">
      <c r="F156" s="23"/>
    </row>
    <row r="157" ht="15.75" customHeight="1">
      <c r="F157" s="23"/>
    </row>
    <row r="158" ht="15.75" customHeight="1">
      <c r="F158" s="23"/>
    </row>
    <row r="159" ht="15.75" customHeight="1">
      <c r="F159" s="23"/>
    </row>
    <row r="160" ht="15.75" customHeight="1">
      <c r="F160" s="23"/>
    </row>
    <row r="161" ht="15.75" customHeight="1">
      <c r="F161" s="23"/>
    </row>
    <row r="162" ht="15.75" customHeight="1">
      <c r="F162" s="23"/>
    </row>
    <row r="163" ht="15.75" customHeight="1">
      <c r="F163" s="23"/>
    </row>
    <row r="164" ht="15.75" customHeight="1">
      <c r="F164" s="23"/>
    </row>
    <row r="165" ht="15.75" customHeight="1">
      <c r="F165" s="23"/>
    </row>
    <row r="166" ht="15.75" customHeight="1">
      <c r="F166" s="23"/>
    </row>
    <row r="167" ht="15.75" customHeight="1">
      <c r="F167" s="23"/>
    </row>
    <row r="168" ht="15.75" customHeight="1">
      <c r="F168" s="23"/>
    </row>
    <row r="169" ht="15.75" customHeight="1">
      <c r="F169" s="23"/>
    </row>
    <row r="170" ht="15.75" customHeight="1">
      <c r="F170" s="23"/>
    </row>
    <row r="171" ht="15.75" customHeight="1">
      <c r="F171" s="23"/>
    </row>
    <row r="172" ht="15.75" customHeight="1">
      <c r="F172" s="23"/>
    </row>
    <row r="173" ht="15.75" customHeight="1">
      <c r="F173" s="23"/>
    </row>
    <row r="174" ht="15.75" customHeight="1">
      <c r="F174" s="23"/>
    </row>
    <row r="175" ht="15.75" customHeight="1">
      <c r="F175" s="23"/>
    </row>
    <row r="176" ht="15.75" customHeight="1">
      <c r="F176" s="23"/>
    </row>
    <row r="177" ht="15.75" customHeight="1">
      <c r="F177" s="23"/>
    </row>
    <row r="178" ht="15.75" customHeight="1">
      <c r="F178" s="23"/>
    </row>
    <row r="179" ht="15.75" customHeight="1">
      <c r="F179" s="23"/>
    </row>
    <row r="180" ht="15.75" customHeight="1">
      <c r="F180" s="23"/>
    </row>
    <row r="181" ht="15.75" customHeight="1">
      <c r="F181" s="23"/>
    </row>
    <row r="182" ht="15.75" customHeight="1">
      <c r="F182" s="23"/>
    </row>
    <row r="183" ht="15.75" customHeight="1">
      <c r="F183" s="23"/>
    </row>
    <row r="184" ht="15.75" customHeight="1">
      <c r="F184" s="23"/>
    </row>
    <row r="185" ht="15.75" customHeight="1">
      <c r="F185" s="23"/>
    </row>
    <row r="186" ht="15.75" customHeight="1">
      <c r="F186" s="23"/>
    </row>
    <row r="187" ht="15.75" customHeight="1">
      <c r="F187" s="23"/>
    </row>
    <row r="188" ht="15.75" customHeight="1">
      <c r="F188" s="23"/>
    </row>
    <row r="189" ht="15.75" customHeight="1">
      <c r="F189" s="23"/>
    </row>
    <row r="190" ht="15.75" customHeight="1">
      <c r="F190" s="23"/>
    </row>
    <row r="191" ht="15.75" customHeight="1">
      <c r="F191" s="23"/>
    </row>
    <row r="192" ht="15.75" customHeight="1">
      <c r="F192" s="23"/>
    </row>
    <row r="193" ht="15.75" customHeight="1">
      <c r="F193" s="23"/>
    </row>
    <row r="194" ht="15.75" customHeight="1">
      <c r="F194" s="23"/>
    </row>
    <row r="195" ht="15.75" customHeight="1">
      <c r="F195" s="23"/>
    </row>
    <row r="196" ht="15.75" customHeight="1">
      <c r="F196" s="23"/>
    </row>
    <row r="197" ht="15.75" customHeight="1">
      <c r="F197" s="23"/>
    </row>
    <row r="198" ht="15.75" customHeight="1">
      <c r="F198" s="23"/>
    </row>
    <row r="199" ht="15.75" customHeight="1">
      <c r="F199" s="23"/>
    </row>
    <row r="200" ht="15.75" customHeight="1">
      <c r="F200" s="23"/>
    </row>
    <row r="201" ht="15.75" customHeight="1">
      <c r="F201" s="23"/>
    </row>
    <row r="202" ht="15.75" customHeight="1">
      <c r="F202" s="23"/>
    </row>
    <row r="203" ht="15.75" customHeight="1">
      <c r="F203" s="23"/>
    </row>
    <row r="204" ht="15.75" customHeight="1">
      <c r="F204" s="23"/>
    </row>
    <row r="205" ht="15.75" customHeight="1">
      <c r="F205" s="23"/>
    </row>
    <row r="206" ht="15.75" customHeight="1">
      <c r="F206" s="23"/>
    </row>
    <row r="207" ht="15.75" customHeight="1">
      <c r="F207" s="23"/>
    </row>
    <row r="208" ht="15.75" customHeight="1">
      <c r="F208" s="23"/>
    </row>
    <row r="209" ht="15.75" customHeight="1">
      <c r="F209" s="23"/>
    </row>
    <row r="210" ht="15.75" customHeight="1">
      <c r="F210" s="23"/>
    </row>
    <row r="211" ht="15.75" customHeight="1">
      <c r="F211" s="23"/>
    </row>
    <row r="212" ht="15.75" customHeight="1">
      <c r="F212" s="23"/>
    </row>
    <row r="213" ht="15.75" customHeight="1">
      <c r="F213" s="23"/>
    </row>
    <row r="214" ht="15.75" customHeight="1">
      <c r="F214" s="23"/>
    </row>
    <row r="215" ht="15.75" customHeight="1">
      <c r="F215" s="23"/>
    </row>
    <row r="216" ht="15.75" customHeight="1">
      <c r="F216" s="23"/>
    </row>
    <row r="217" ht="15.75" customHeight="1">
      <c r="F217" s="23"/>
    </row>
    <row r="218" ht="15.75" customHeight="1">
      <c r="F218" s="23"/>
    </row>
    <row r="219" ht="15.75" customHeight="1">
      <c r="F219" s="23"/>
    </row>
    <row r="220" ht="15.75" customHeight="1">
      <c r="F220" s="23"/>
    </row>
    <row r="221" ht="15.75" customHeight="1">
      <c r="F221" s="23"/>
    </row>
    <row r="222" ht="15.75" customHeight="1">
      <c r="F222" s="23"/>
    </row>
    <row r="223" ht="15.75" customHeight="1">
      <c r="F223" s="23"/>
    </row>
    <row r="224" ht="15.75" customHeight="1">
      <c r="F224" s="23"/>
    </row>
    <row r="225" ht="15.75" customHeight="1">
      <c r="F225" s="23"/>
    </row>
    <row r="226" ht="15.75" customHeight="1">
      <c r="F226" s="23"/>
    </row>
    <row r="227" ht="15.75" customHeight="1">
      <c r="F227" s="23"/>
    </row>
    <row r="228" ht="15.75" customHeight="1">
      <c r="F228" s="23"/>
    </row>
    <row r="229" ht="15.75" customHeight="1">
      <c r="F229" s="23"/>
    </row>
    <row r="230" ht="15.75" customHeight="1">
      <c r="F230" s="23"/>
    </row>
    <row r="231" ht="15.75" customHeight="1">
      <c r="F231" s="23"/>
    </row>
    <row r="232" ht="15.75" customHeight="1">
      <c r="F232" s="23"/>
    </row>
    <row r="233" ht="15.75" customHeight="1">
      <c r="F233" s="23"/>
    </row>
    <row r="234" ht="15.75" customHeight="1">
      <c r="F234" s="23"/>
    </row>
    <row r="235" ht="15.75" customHeight="1">
      <c r="F235" s="23"/>
    </row>
    <row r="236" ht="15.75" customHeight="1">
      <c r="F236" s="23"/>
    </row>
    <row r="237" ht="15.75" customHeight="1">
      <c r="F237" s="23"/>
    </row>
    <row r="238" ht="15.75" customHeight="1">
      <c r="F238" s="23"/>
    </row>
    <row r="239" ht="15.75" customHeight="1">
      <c r="F239" s="23"/>
    </row>
    <row r="240" ht="15.75" customHeight="1">
      <c r="F240" s="23"/>
    </row>
    <row r="241" ht="15.75" customHeight="1">
      <c r="F241" s="23"/>
    </row>
    <row r="242" ht="15.75" customHeight="1">
      <c r="F242" s="23"/>
    </row>
    <row r="243" ht="15.75" customHeight="1">
      <c r="F243" s="23"/>
    </row>
    <row r="244" ht="15.75" customHeight="1">
      <c r="F244" s="23"/>
    </row>
    <row r="245" ht="15.75" customHeight="1">
      <c r="F245" s="23"/>
    </row>
    <row r="246" ht="15.75" customHeight="1">
      <c r="F246" s="23"/>
    </row>
    <row r="247" ht="15.75" customHeight="1">
      <c r="F247" s="23"/>
    </row>
    <row r="248" ht="15.75" customHeight="1">
      <c r="F248" s="23"/>
    </row>
    <row r="249" ht="15.75" customHeight="1">
      <c r="F249" s="23"/>
    </row>
    <row r="250" ht="15.75" customHeight="1">
      <c r="F250" s="23"/>
    </row>
    <row r="251" ht="15.75" customHeight="1">
      <c r="F251" s="23"/>
    </row>
    <row r="252" ht="15.75" customHeight="1">
      <c r="F252" s="23"/>
    </row>
    <row r="253" ht="15.75" customHeight="1">
      <c r="F253" s="23"/>
    </row>
    <row r="254" ht="15.75" customHeight="1">
      <c r="F254" s="23"/>
    </row>
    <row r="255" ht="15.75" customHeight="1">
      <c r="F255" s="23"/>
    </row>
    <row r="256" ht="15.75" customHeight="1">
      <c r="F256" s="23"/>
    </row>
    <row r="257" ht="15.75" customHeight="1">
      <c r="F257" s="23"/>
    </row>
    <row r="258" ht="15.75" customHeight="1">
      <c r="F258" s="23"/>
    </row>
    <row r="259" ht="15.75" customHeight="1">
      <c r="F259" s="23"/>
    </row>
    <row r="260" ht="15.75" customHeight="1">
      <c r="F260" s="23"/>
    </row>
    <row r="261" ht="15.75" customHeight="1">
      <c r="F261" s="23"/>
    </row>
    <row r="262" ht="15.75" customHeight="1">
      <c r="F262" s="23"/>
    </row>
    <row r="263" ht="15.75" customHeight="1">
      <c r="F263" s="23"/>
    </row>
    <row r="264" ht="15.75" customHeight="1">
      <c r="F264" s="23"/>
    </row>
    <row r="265" ht="15.75" customHeight="1">
      <c r="F265" s="23"/>
    </row>
    <row r="266" ht="15.75" customHeight="1">
      <c r="F266" s="23"/>
    </row>
    <row r="267" ht="15.75" customHeight="1">
      <c r="F267" s="23"/>
    </row>
    <row r="268" ht="15.75" customHeight="1">
      <c r="F268" s="23"/>
    </row>
    <row r="269" ht="15.75" customHeight="1">
      <c r="F269" s="23"/>
    </row>
    <row r="270" ht="15.75" customHeight="1">
      <c r="F270" s="23"/>
    </row>
    <row r="271" ht="15.75" customHeight="1">
      <c r="F271" s="23"/>
    </row>
    <row r="272" ht="15.75" customHeight="1">
      <c r="F272" s="23"/>
    </row>
    <row r="273" ht="15.75" customHeight="1">
      <c r="F273" s="23"/>
    </row>
    <row r="274" ht="15.75" customHeight="1">
      <c r="F274" s="23"/>
    </row>
    <row r="275" ht="15.75" customHeight="1">
      <c r="F275" s="23"/>
    </row>
    <row r="276" ht="15.75" customHeight="1">
      <c r="F276" s="23"/>
    </row>
    <row r="277" ht="15.75" customHeight="1">
      <c r="F277" s="23"/>
    </row>
    <row r="278" ht="15.75" customHeight="1">
      <c r="F278" s="23"/>
    </row>
    <row r="279" ht="15.75" customHeight="1">
      <c r="F279" s="23"/>
    </row>
    <row r="280" ht="15.75" customHeight="1">
      <c r="F280" s="23"/>
    </row>
    <row r="281" ht="15.75" customHeight="1">
      <c r="F281" s="23"/>
    </row>
    <row r="282" ht="15.75" customHeight="1">
      <c r="F282" s="23"/>
    </row>
    <row r="283" ht="15.75" customHeight="1">
      <c r="F283" s="23"/>
    </row>
    <row r="284" ht="15.75" customHeight="1">
      <c r="F284" s="23"/>
    </row>
    <row r="285" ht="15.75" customHeight="1">
      <c r="F285" s="23"/>
    </row>
    <row r="286" ht="15.75" customHeight="1">
      <c r="F286" s="23"/>
    </row>
    <row r="287" ht="15.75" customHeight="1">
      <c r="F287" s="23"/>
    </row>
    <row r="288" ht="15.75" customHeight="1">
      <c r="F288" s="23"/>
    </row>
    <row r="289" ht="15.75" customHeight="1">
      <c r="F289" s="23"/>
    </row>
    <row r="290" ht="15.75" customHeight="1">
      <c r="F290" s="23"/>
    </row>
    <row r="291" ht="15.75" customHeight="1">
      <c r="F291" s="23"/>
    </row>
    <row r="292" ht="15.75" customHeight="1">
      <c r="F292" s="23"/>
    </row>
    <row r="293" ht="15.75" customHeight="1">
      <c r="F293" s="23"/>
    </row>
    <row r="294" ht="15.75" customHeight="1">
      <c r="F294" s="23"/>
    </row>
    <row r="295" ht="15.75" customHeight="1">
      <c r="F295" s="23"/>
    </row>
    <row r="296" ht="15.75" customHeight="1">
      <c r="F296" s="23"/>
    </row>
    <row r="297" ht="15.75" customHeight="1">
      <c r="F297" s="23"/>
    </row>
    <row r="298" ht="15.75" customHeight="1">
      <c r="F298" s="23"/>
    </row>
    <row r="299" ht="15.75" customHeight="1">
      <c r="F299" s="23"/>
    </row>
    <row r="300" ht="15.75" customHeight="1">
      <c r="F300" s="23"/>
    </row>
    <row r="301" ht="15.75" customHeight="1">
      <c r="F301" s="23"/>
    </row>
    <row r="302" ht="15.75" customHeight="1">
      <c r="F302" s="23"/>
    </row>
    <row r="303" ht="15.75" customHeight="1">
      <c r="F303" s="23"/>
    </row>
    <row r="304" ht="15.75" customHeight="1">
      <c r="F304" s="23"/>
    </row>
    <row r="305" ht="15.75" customHeight="1">
      <c r="F305" s="23"/>
    </row>
    <row r="306" ht="15.75" customHeight="1">
      <c r="F306" s="23"/>
    </row>
    <row r="307" ht="15.75" customHeight="1">
      <c r="F307" s="23"/>
    </row>
    <row r="308" ht="15.75" customHeight="1">
      <c r="F308" s="23"/>
    </row>
    <row r="309" ht="15.75" customHeight="1">
      <c r="F309" s="23"/>
    </row>
    <row r="310" ht="15.75" customHeight="1">
      <c r="F310" s="23"/>
    </row>
    <row r="311" ht="15.75" customHeight="1">
      <c r="F311" s="23"/>
    </row>
    <row r="312" ht="15.75" customHeight="1">
      <c r="F312" s="23"/>
    </row>
    <row r="313" ht="15.75" customHeight="1">
      <c r="F313" s="23"/>
    </row>
    <row r="314" ht="15.75" customHeight="1">
      <c r="F314" s="23"/>
    </row>
    <row r="315" ht="15.75" customHeight="1">
      <c r="F315" s="23"/>
    </row>
    <row r="316" ht="15.75" customHeight="1">
      <c r="F316" s="23"/>
    </row>
    <row r="317" ht="15.75" customHeight="1">
      <c r="F317" s="23"/>
    </row>
    <row r="318" ht="15.75" customHeight="1">
      <c r="F318" s="23"/>
    </row>
    <row r="319" ht="15.75" customHeight="1">
      <c r="F319" s="23"/>
    </row>
    <row r="320" ht="15.75" customHeight="1">
      <c r="F320" s="23"/>
    </row>
    <row r="321" ht="15.75" customHeight="1">
      <c r="F321" s="23"/>
    </row>
    <row r="322" ht="15.75" customHeight="1">
      <c r="F322" s="23"/>
    </row>
    <row r="323" ht="15.75" customHeight="1">
      <c r="F323" s="23"/>
    </row>
    <row r="324" ht="15.75" customHeight="1">
      <c r="F324" s="23"/>
    </row>
    <row r="325" ht="15.75" customHeight="1">
      <c r="F325" s="23"/>
    </row>
    <row r="326" ht="15.75" customHeight="1">
      <c r="F326" s="23"/>
    </row>
    <row r="327" ht="15.75" customHeight="1">
      <c r="F327" s="23"/>
    </row>
    <row r="328" ht="15.75" customHeight="1">
      <c r="F328" s="23"/>
    </row>
    <row r="329" ht="15.75" customHeight="1">
      <c r="F329" s="23"/>
    </row>
    <row r="330" ht="15.75" customHeight="1">
      <c r="F330" s="23"/>
    </row>
    <row r="331" ht="15.75" customHeight="1">
      <c r="F331" s="23"/>
    </row>
    <row r="332" ht="15.75" customHeight="1">
      <c r="F332" s="23"/>
    </row>
    <row r="333" ht="15.75" customHeight="1">
      <c r="F333" s="23"/>
    </row>
    <row r="334" ht="15.75" customHeight="1">
      <c r="F334" s="23"/>
    </row>
    <row r="335" ht="15.75" customHeight="1">
      <c r="F335" s="23"/>
    </row>
    <row r="336" ht="15.75" customHeight="1">
      <c r="F336" s="23"/>
    </row>
    <row r="337" ht="15.75" customHeight="1">
      <c r="F337" s="23"/>
    </row>
    <row r="338" ht="15.75" customHeight="1">
      <c r="F338" s="23"/>
    </row>
    <row r="339" ht="15.75" customHeight="1">
      <c r="F339" s="23"/>
    </row>
    <row r="340" ht="15.75" customHeight="1">
      <c r="F340" s="23"/>
    </row>
    <row r="341" ht="15.75" customHeight="1">
      <c r="F341" s="23"/>
    </row>
    <row r="342" ht="15.75" customHeight="1">
      <c r="F342" s="23"/>
    </row>
    <row r="343" ht="15.75" customHeight="1">
      <c r="F343" s="23"/>
    </row>
    <row r="344" ht="15.75" customHeight="1">
      <c r="F344" s="23"/>
    </row>
    <row r="345" ht="15.75" customHeight="1">
      <c r="F345" s="23"/>
    </row>
    <row r="346" ht="15.75" customHeight="1">
      <c r="F346" s="23"/>
    </row>
    <row r="347" ht="15.75" customHeight="1">
      <c r="F347" s="23"/>
    </row>
    <row r="348" ht="15.75" customHeight="1">
      <c r="F348" s="23"/>
    </row>
    <row r="349" ht="15.75" customHeight="1">
      <c r="F349" s="23"/>
    </row>
    <row r="350" ht="15.75" customHeight="1">
      <c r="F350" s="23"/>
    </row>
    <row r="351" ht="15.75" customHeight="1">
      <c r="F351" s="23"/>
    </row>
    <row r="352" ht="15.75" customHeight="1">
      <c r="F352" s="23"/>
    </row>
    <row r="353" ht="15.75" customHeight="1">
      <c r="F353" s="23"/>
    </row>
    <row r="354" ht="15.75" customHeight="1">
      <c r="F354" s="23"/>
    </row>
    <row r="355" ht="15.75" customHeight="1">
      <c r="F355" s="23"/>
    </row>
    <row r="356" ht="15.75" customHeight="1">
      <c r="F356" s="23"/>
    </row>
    <row r="357" ht="15.75" customHeight="1">
      <c r="F357" s="23"/>
    </row>
    <row r="358" ht="15.75" customHeight="1">
      <c r="F358" s="23"/>
    </row>
    <row r="359" ht="15.75" customHeight="1">
      <c r="F359" s="23"/>
    </row>
    <row r="360" ht="15.75" customHeight="1">
      <c r="F360" s="23"/>
    </row>
    <row r="361" ht="15.75" customHeight="1">
      <c r="F361" s="23"/>
    </row>
    <row r="362" ht="15.75" customHeight="1">
      <c r="F362" s="23"/>
    </row>
    <row r="363" ht="15.75" customHeight="1">
      <c r="F363" s="23"/>
    </row>
    <row r="364" ht="15.75" customHeight="1">
      <c r="F364" s="23"/>
    </row>
    <row r="365" ht="15.75" customHeight="1">
      <c r="F365" s="23"/>
    </row>
    <row r="366" ht="15.75" customHeight="1">
      <c r="F366" s="23"/>
    </row>
    <row r="367" ht="15.75" customHeight="1">
      <c r="F367" s="23"/>
    </row>
    <row r="368" ht="15.75" customHeight="1">
      <c r="F368" s="23"/>
    </row>
    <row r="369" ht="15.75" customHeight="1">
      <c r="F369" s="23"/>
    </row>
    <row r="370" ht="15.75" customHeight="1">
      <c r="F370" s="23"/>
    </row>
    <row r="371" ht="15.75" customHeight="1">
      <c r="F371" s="23"/>
    </row>
    <row r="372" ht="15.75" customHeight="1">
      <c r="F372" s="23"/>
    </row>
    <row r="373" ht="15.75" customHeight="1">
      <c r="F373" s="23"/>
    </row>
    <row r="374" ht="15.75" customHeight="1">
      <c r="F374" s="23"/>
    </row>
    <row r="375" ht="15.75" customHeight="1">
      <c r="F375" s="23"/>
    </row>
    <row r="376" ht="15.75" customHeight="1">
      <c r="F376" s="23"/>
    </row>
    <row r="377" ht="15.75" customHeight="1">
      <c r="F377" s="23"/>
    </row>
    <row r="378" ht="15.75" customHeight="1">
      <c r="F378" s="23"/>
    </row>
    <row r="379" ht="15.75" customHeight="1">
      <c r="F379" s="23"/>
    </row>
    <row r="380" ht="15.75" customHeight="1">
      <c r="F380" s="23"/>
    </row>
    <row r="381" ht="15.75" customHeight="1">
      <c r="F381" s="23"/>
    </row>
    <row r="382" ht="15.75" customHeight="1">
      <c r="F382" s="23"/>
    </row>
    <row r="383" ht="15.75" customHeight="1">
      <c r="F383" s="23"/>
    </row>
    <row r="384" ht="15.75" customHeight="1">
      <c r="F384" s="23"/>
    </row>
    <row r="385" ht="15.75" customHeight="1">
      <c r="F385" s="23"/>
    </row>
    <row r="386" ht="15.75" customHeight="1">
      <c r="F386" s="23"/>
    </row>
    <row r="387" ht="15.75" customHeight="1">
      <c r="F387" s="23"/>
    </row>
    <row r="388" ht="15.75" customHeight="1">
      <c r="F388" s="23"/>
    </row>
    <row r="389" ht="15.75" customHeight="1">
      <c r="F389" s="23"/>
    </row>
    <row r="390" ht="15.75" customHeight="1">
      <c r="F390" s="23"/>
    </row>
    <row r="391" ht="15.75" customHeight="1">
      <c r="F391" s="23"/>
    </row>
    <row r="392" ht="15.75" customHeight="1">
      <c r="F392" s="23"/>
    </row>
    <row r="393" ht="15.75" customHeight="1">
      <c r="F393" s="23"/>
    </row>
    <row r="394" ht="15.75" customHeight="1">
      <c r="F394" s="23"/>
    </row>
    <row r="395" ht="15.75" customHeight="1">
      <c r="F395" s="23"/>
    </row>
    <row r="396" ht="15.75" customHeight="1">
      <c r="F396" s="23"/>
    </row>
    <row r="397" ht="15.75" customHeight="1">
      <c r="F397" s="23"/>
    </row>
    <row r="398" ht="15.75" customHeight="1">
      <c r="F398" s="23"/>
    </row>
    <row r="399" ht="15.75" customHeight="1">
      <c r="F399" s="23"/>
    </row>
    <row r="400" ht="15.75" customHeight="1">
      <c r="F400" s="23"/>
    </row>
    <row r="401" ht="15.75" customHeight="1">
      <c r="F401" s="23"/>
    </row>
    <row r="402" ht="15.75" customHeight="1">
      <c r="F402" s="23"/>
    </row>
    <row r="403" ht="15.75" customHeight="1">
      <c r="F403" s="23"/>
    </row>
    <row r="404" ht="15.75" customHeight="1">
      <c r="F404" s="23"/>
    </row>
    <row r="405" ht="15.75" customHeight="1">
      <c r="F405" s="23"/>
    </row>
    <row r="406" ht="15.75" customHeight="1">
      <c r="F406" s="23"/>
    </row>
    <row r="407" ht="15.75" customHeight="1">
      <c r="F407" s="23"/>
    </row>
    <row r="408" ht="15.75" customHeight="1">
      <c r="F408" s="23"/>
    </row>
    <row r="409" ht="15.75" customHeight="1">
      <c r="F409" s="23"/>
    </row>
    <row r="410" ht="15.75" customHeight="1">
      <c r="F410" s="23"/>
    </row>
    <row r="411" ht="15.75" customHeight="1">
      <c r="F411" s="23"/>
    </row>
    <row r="412" ht="15.75" customHeight="1">
      <c r="F412" s="23"/>
    </row>
    <row r="413" ht="15.75" customHeight="1">
      <c r="F413" s="23"/>
    </row>
    <row r="414" ht="15.75" customHeight="1">
      <c r="F414" s="23"/>
    </row>
    <row r="415" ht="15.75" customHeight="1">
      <c r="F415" s="23"/>
    </row>
    <row r="416" ht="15.75" customHeight="1">
      <c r="F416" s="23"/>
    </row>
    <row r="417" ht="15.75" customHeight="1">
      <c r="F417" s="23"/>
    </row>
    <row r="418" ht="15.75" customHeight="1">
      <c r="F418" s="23"/>
    </row>
    <row r="419" ht="15.75" customHeight="1">
      <c r="F419" s="23"/>
    </row>
    <row r="420" ht="15.75" customHeight="1">
      <c r="F420" s="23"/>
    </row>
    <row r="421" ht="15.75" customHeight="1">
      <c r="F421" s="23"/>
    </row>
    <row r="422" ht="15.75" customHeight="1">
      <c r="F422" s="23"/>
    </row>
    <row r="423" ht="15.75" customHeight="1">
      <c r="F423" s="23"/>
    </row>
    <row r="424" ht="15.75" customHeight="1">
      <c r="F424" s="23"/>
    </row>
    <row r="425" ht="15.75" customHeight="1">
      <c r="F425" s="23"/>
    </row>
    <row r="426" ht="15.75" customHeight="1">
      <c r="F426" s="23"/>
    </row>
    <row r="427" ht="15.75" customHeight="1">
      <c r="F427" s="23"/>
    </row>
    <row r="428" ht="15.75" customHeight="1">
      <c r="F428" s="23"/>
    </row>
    <row r="429" ht="15.75" customHeight="1">
      <c r="F429" s="23"/>
    </row>
    <row r="430" ht="15.75" customHeight="1">
      <c r="F430" s="23"/>
    </row>
    <row r="431" ht="15.75" customHeight="1">
      <c r="F431" s="23"/>
    </row>
    <row r="432" ht="15.75" customHeight="1">
      <c r="F432" s="23"/>
    </row>
    <row r="433" ht="15.75" customHeight="1">
      <c r="F433" s="23"/>
    </row>
    <row r="434" ht="15.75" customHeight="1">
      <c r="F434" s="23"/>
    </row>
    <row r="435" ht="15.75" customHeight="1">
      <c r="F435" s="23"/>
    </row>
    <row r="436" ht="15.75" customHeight="1">
      <c r="F436" s="23"/>
    </row>
    <row r="437" ht="15.75" customHeight="1">
      <c r="F437" s="23"/>
    </row>
    <row r="438" ht="15.75" customHeight="1">
      <c r="F438" s="23"/>
    </row>
    <row r="439" ht="15.75" customHeight="1">
      <c r="F439" s="23"/>
    </row>
    <row r="440" ht="15.75" customHeight="1">
      <c r="F440" s="23"/>
    </row>
    <row r="441" ht="15.75" customHeight="1">
      <c r="F441" s="23"/>
    </row>
    <row r="442" ht="15.75" customHeight="1">
      <c r="F442" s="23"/>
    </row>
    <row r="443" ht="15.75" customHeight="1">
      <c r="F443" s="23"/>
    </row>
    <row r="444" ht="15.75" customHeight="1">
      <c r="F444" s="23"/>
    </row>
    <row r="445" ht="15.75" customHeight="1">
      <c r="F445" s="23"/>
    </row>
    <row r="446" ht="15.75" customHeight="1">
      <c r="F446" s="23"/>
    </row>
    <row r="447" ht="15.75" customHeight="1">
      <c r="F447" s="23"/>
    </row>
    <row r="448" ht="15.75" customHeight="1">
      <c r="F448" s="23"/>
    </row>
    <row r="449" ht="15.75" customHeight="1">
      <c r="F449" s="23"/>
    </row>
    <row r="450" ht="15.75" customHeight="1">
      <c r="F450" s="23"/>
    </row>
    <row r="451" ht="15.75" customHeight="1">
      <c r="F451" s="23"/>
    </row>
    <row r="452" ht="15.75" customHeight="1">
      <c r="F452" s="23"/>
    </row>
    <row r="453" ht="15.75" customHeight="1">
      <c r="F453" s="23"/>
    </row>
    <row r="454" ht="15.75" customHeight="1">
      <c r="F454" s="23"/>
    </row>
    <row r="455" ht="15.75" customHeight="1">
      <c r="F455" s="23"/>
    </row>
    <row r="456" ht="15.75" customHeight="1">
      <c r="F456" s="23"/>
    </row>
    <row r="457" ht="15.75" customHeight="1">
      <c r="F457" s="23"/>
    </row>
    <row r="458" ht="15.75" customHeight="1">
      <c r="F458" s="23"/>
    </row>
    <row r="459" ht="15.75" customHeight="1">
      <c r="F459" s="23"/>
    </row>
    <row r="460" ht="15.75" customHeight="1">
      <c r="F460" s="23"/>
    </row>
    <row r="461" ht="15.75" customHeight="1">
      <c r="F461" s="23"/>
    </row>
    <row r="462" ht="15.75" customHeight="1">
      <c r="F462" s="23"/>
    </row>
    <row r="463" ht="15.75" customHeight="1">
      <c r="F463" s="23"/>
    </row>
    <row r="464" ht="15.75" customHeight="1">
      <c r="F464" s="23"/>
    </row>
    <row r="465" ht="15.75" customHeight="1">
      <c r="F465" s="23"/>
    </row>
    <row r="466" ht="15.75" customHeight="1">
      <c r="F466" s="23"/>
    </row>
    <row r="467" ht="15.75" customHeight="1">
      <c r="F467" s="23"/>
    </row>
    <row r="468" ht="15.75" customHeight="1">
      <c r="F468" s="23"/>
    </row>
    <row r="469" ht="15.75" customHeight="1">
      <c r="F469" s="23"/>
    </row>
    <row r="470" ht="15.75" customHeight="1">
      <c r="F470" s="23"/>
    </row>
    <row r="471" ht="15.75" customHeight="1">
      <c r="F471" s="23"/>
    </row>
    <row r="472" ht="15.75" customHeight="1">
      <c r="F472" s="23"/>
    </row>
    <row r="473" ht="15.75" customHeight="1">
      <c r="F473" s="23"/>
    </row>
    <row r="474" ht="15.75" customHeight="1">
      <c r="F474" s="23"/>
    </row>
    <row r="475" ht="15.75" customHeight="1">
      <c r="F475" s="23"/>
    </row>
    <row r="476" ht="15.75" customHeight="1">
      <c r="F476" s="23"/>
    </row>
    <row r="477" ht="15.75" customHeight="1">
      <c r="F477" s="23"/>
    </row>
    <row r="478" ht="15.75" customHeight="1">
      <c r="F478" s="23"/>
    </row>
    <row r="479" ht="15.75" customHeight="1">
      <c r="F479" s="23"/>
    </row>
    <row r="480" ht="15.75" customHeight="1">
      <c r="F480" s="23"/>
    </row>
    <row r="481" ht="15.75" customHeight="1">
      <c r="F481" s="23"/>
    </row>
    <row r="482" ht="15.75" customHeight="1">
      <c r="F482" s="23"/>
    </row>
    <row r="483" ht="15.75" customHeight="1">
      <c r="F483" s="23"/>
    </row>
    <row r="484" ht="15.75" customHeight="1">
      <c r="F484" s="23"/>
    </row>
    <row r="485" ht="15.75" customHeight="1">
      <c r="F485" s="23"/>
    </row>
    <row r="486" ht="15.75" customHeight="1">
      <c r="F486" s="23"/>
    </row>
    <row r="487" ht="15.75" customHeight="1">
      <c r="F487" s="23"/>
    </row>
    <row r="488" ht="15.75" customHeight="1">
      <c r="F488" s="23"/>
    </row>
    <row r="489" ht="15.75" customHeight="1">
      <c r="F489" s="23"/>
    </row>
    <row r="490" ht="15.75" customHeight="1">
      <c r="F490" s="23"/>
    </row>
    <row r="491" ht="15.75" customHeight="1">
      <c r="F491" s="23"/>
    </row>
    <row r="492" ht="15.75" customHeight="1">
      <c r="F492" s="23"/>
    </row>
    <row r="493" ht="15.75" customHeight="1">
      <c r="F493" s="23"/>
    </row>
    <row r="494" ht="15.75" customHeight="1">
      <c r="F494" s="23"/>
    </row>
    <row r="495" ht="15.75" customHeight="1">
      <c r="F495" s="23"/>
    </row>
    <row r="496" ht="15.75" customHeight="1">
      <c r="F496" s="23"/>
    </row>
    <row r="497" ht="15.75" customHeight="1">
      <c r="F497" s="23"/>
    </row>
    <row r="498" ht="15.75" customHeight="1">
      <c r="F498" s="23"/>
    </row>
    <row r="499" ht="15.75" customHeight="1">
      <c r="F499" s="23"/>
    </row>
    <row r="500" ht="15.75" customHeight="1">
      <c r="F500" s="23"/>
    </row>
    <row r="501" ht="15.75" customHeight="1">
      <c r="F501" s="23"/>
    </row>
    <row r="502" ht="15.75" customHeight="1">
      <c r="F502" s="23"/>
    </row>
    <row r="503" ht="15.75" customHeight="1">
      <c r="F503" s="23"/>
    </row>
    <row r="504" ht="15.75" customHeight="1">
      <c r="F504" s="23"/>
    </row>
    <row r="505" ht="15.75" customHeight="1">
      <c r="F505" s="23"/>
    </row>
    <row r="506" ht="15.75" customHeight="1">
      <c r="F506" s="23"/>
    </row>
    <row r="507" ht="15.75" customHeight="1">
      <c r="F507" s="23"/>
    </row>
    <row r="508" ht="15.75" customHeight="1">
      <c r="F508" s="23"/>
    </row>
    <row r="509" ht="15.75" customHeight="1">
      <c r="F509" s="23"/>
    </row>
    <row r="510" ht="15.75" customHeight="1">
      <c r="F510" s="23"/>
    </row>
    <row r="511" ht="15.75" customHeight="1">
      <c r="F511" s="23"/>
    </row>
    <row r="512" ht="15.75" customHeight="1">
      <c r="F512" s="23"/>
    </row>
    <row r="513" ht="15.75" customHeight="1">
      <c r="F513" s="23"/>
    </row>
    <row r="514" ht="15.75" customHeight="1">
      <c r="F514" s="23"/>
    </row>
    <row r="515" ht="15.75" customHeight="1">
      <c r="F515" s="23"/>
    </row>
    <row r="516" ht="15.75" customHeight="1">
      <c r="F516" s="23"/>
    </row>
    <row r="517" ht="15.75" customHeight="1">
      <c r="F517" s="23"/>
    </row>
    <row r="518" ht="15.75" customHeight="1">
      <c r="F518" s="23"/>
    </row>
    <row r="519" ht="15.75" customHeight="1">
      <c r="F519" s="23"/>
    </row>
    <row r="520" ht="15.75" customHeight="1">
      <c r="F520" s="23"/>
    </row>
    <row r="521" ht="15.75" customHeight="1">
      <c r="F521" s="23"/>
    </row>
    <row r="522" ht="15.75" customHeight="1">
      <c r="F522" s="23"/>
    </row>
    <row r="523" ht="15.75" customHeight="1">
      <c r="F523" s="23"/>
    </row>
    <row r="524" ht="15.75" customHeight="1">
      <c r="F524" s="23"/>
    </row>
    <row r="525" ht="15.75" customHeight="1">
      <c r="F525" s="23"/>
    </row>
    <row r="526" ht="15.75" customHeight="1">
      <c r="F526" s="23"/>
    </row>
    <row r="527" ht="15.75" customHeight="1">
      <c r="F527" s="23"/>
    </row>
    <row r="528" ht="15.75" customHeight="1">
      <c r="F528" s="23"/>
    </row>
    <row r="529" ht="15.75" customHeight="1">
      <c r="F529" s="23"/>
    </row>
    <row r="530" ht="15.75" customHeight="1">
      <c r="F530" s="23"/>
    </row>
    <row r="531" ht="15.75" customHeight="1">
      <c r="F531" s="23"/>
    </row>
    <row r="532" ht="15.75" customHeight="1">
      <c r="F532" s="23"/>
    </row>
    <row r="533" ht="15.75" customHeight="1">
      <c r="F533" s="23"/>
    </row>
    <row r="534" ht="15.75" customHeight="1">
      <c r="F534" s="23"/>
    </row>
    <row r="535" ht="15.75" customHeight="1">
      <c r="F535" s="23"/>
    </row>
    <row r="536" ht="15.75" customHeight="1">
      <c r="F536" s="23"/>
    </row>
    <row r="537" ht="15.75" customHeight="1">
      <c r="F537" s="23"/>
    </row>
    <row r="538" ht="15.75" customHeight="1">
      <c r="F538" s="23"/>
    </row>
    <row r="539" ht="15.75" customHeight="1">
      <c r="F539" s="23"/>
    </row>
    <row r="540" ht="15.75" customHeight="1">
      <c r="F540" s="23"/>
    </row>
    <row r="541" ht="15.75" customHeight="1">
      <c r="F541" s="23"/>
    </row>
    <row r="542" ht="15.75" customHeight="1">
      <c r="F542" s="23"/>
    </row>
    <row r="543" ht="15.75" customHeight="1">
      <c r="F543" s="23"/>
    </row>
    <row r="544" ht="15.75" customHeight="1">
      <c r="F544" s="23"/>
    </row>
    <row r="545" ht="15.75" customHeight="1">
      <c r="F545" s="23"/>
    </row>
    <row r="546" ht="15.75" customHeight="1">
      <c r="F546" s="23"/>
    </row>
    <row r="547" ht="15.75" customHeight="1">
      <c r="F547" s="23"/>
    </row>
    <row r="548" ht="15.75" customHeight="1">
      <c r="F548" s="23"/>
    </row>
    <row r="549" ht="15.75" customHeight="1">
      <c r="F549" s="23"/>
    </row>
    <row r="550" ht="15.75" customHeight="1">
      <c r="F550" s="23"/>
    </row>
    <row r="551" ht="15.75" customHeight="1">
      <c r="F551" s="23"/>
    </row>
    <row r="552" ht="15.75" customHeight="1">
      <c r="F552" s="23"/>
    </row>
    <row r="553" ht="15.75" customHeight="1">
      <c r="F553" s="23"/>
    </row>
    <row r="554" ht="15.75" customHeight="1">
      <c r="F554" s="23"/>
    </row>
    <row r="555" ht="15.75" customHeight="1">
      <c r="F555" s="23"/>
    </row>
    <row r="556" ht="15.75" customHeight="1">
      <c r="F556" s="23"/>
    </row>
    <row r="557" ht="15.75" customHeight="1">
      <c r="F557" s="23"/>
    </row>
    <row r="558" ht="15.75" customHeight="1">
      <c r="F558" s="23"/>
    </row>
    <row r="559" ht="15.75" customHeight="1">
      <c r="F559" s="23"/>
    </row>
    <row r="560" ht="15.75" customHeight="1">
      <c r="F560" s="23"/>
    </row>
    <row r="561" ht="15.75" customHeight="1">
      <c r="F561" s="23"/>
    </row>
    <row r="562" ht="15.75" customHeight="1">
      <c r="F562" s="23"/>
    </row>
    <row r="563" ht="15.75" customHeight="1">
      <c r="F563" s="23"/>
    </row>
    <row r="564" ht="15.75" customHeight="1">
      <c r="F564" s="23"/>
    </row>
    <row r="565" ht="15.75" customHeight="1">
      <c r="F565" s="23"/>
    </row>
    <row r="566" ht="15.75" customHeight="1">
      <c r="F566" s="23"/>
    </row>
    <row r="567" ht="15.75" customHeight="1">
      <c r="F567" s="23"/>
    </row>
    <row r="568" ht="15.75" customHeight="1">
      <c r="F568" s="23"/>
    </row>
    <row r="569" ht="15.75" customHeight="1">
      <c r="F569" s="23"/>
    </row>
    <row r="570" ht="15.75" customHeight="1">
      <c r="F570" s="23"/>
    </row>
    <row r="571" ht="15.75" customHeight="1">
      <c r="F571" s="23"/>
    </row>
    <row r="572" ht="15.75" customHeight="1">
      <c r="F572" s="23"/>
    </row>
    <row r="573" ht="15.75" customHeight="1">
      <c r="F573" s="23"/>
    </row>
    <row r="574" ht="15.75" customHeight="1">
      <c r="F574" s="23"/>
    </row>
    <row r="575" ht="15.75" customHeight="1">
      <c r="F575" s="23"/>
    </row>
    <row r="576" ht="15.75" customHeight="1">
      <c r="F576" s="23"/>
    </row>
    <row r="577" ht="15.75" customHeight="1">
      <c r="F577" s="23"/>
    </row>
    <row r="578" ht="15.75" customHeight="1">
      <c r="F578" s="23"/>
    </row>
    <row r="579" ht="15.75" customHeight="1">
      <c r="F579" s="23"/>
    </row>
    <row r="580" ht="15.75" customHeight="1">
      <c r="F580" s="23"/>
    </row>
    <row r="581" ht="15.75" customHeight="1">
      <c r="F581" s="23"/>
    </row>
    <row r="582" ht="15.75" customHeight="1">
      <c r="F582" s="23"/>
    </row>
    <row r="583" ht="15.75" customHeight="1">
      <c r="F583" s="23"/>
    </row>
    <row r="584" ht="15.75" customHeight="1">
      <c r="F584" s="23"/>
    </row>
    <row r="585" ht="15.75" customHeight="1">
      <c r="F585" s="23"/>
    </row>
    <row r="586" ht="15.75" customHeight="1">
      <c r="F586" s="23"/>
    </row>
    <row r="587" ht="15.75" customHeight="1">
      <c r="F587" s="23"/>
    </row>
    <row r="588" ht="15.75" customHeight="1">
      <c r="F588" s="23"/>
    </row>
    <row r="589" ht="15.75" customHeight="1">
      <c r="F589" s="23"/>
    </row>
    <row r="590" ht="15.75" customHeight="1">
      <c r="F590" s="23"/>
    </row>
    <row r="591" ht="15.75" customHeight="1">
      <c r="F591" s="23"/>
    </row>
    <row r="592" ht="15.75" customHeight="1">
      <c r="F592" s="23"/>
    </row>
    <row r="593" ht="15.75" customHeight="1">
      <c r="F593" s="23"/>
    </row>
    <row r="594" ht="15.75" customHeight="1">
      <c r="F594" s="23"/>
    </row>
    <row r="595" ht="15.75" customHeight="1">
      <c r="F595" s="23"/>
    </row>
    <row r="596" ht="15.75" customHeight="1">
      <c r="F596" s="23"/>
    </row>
    <row r="597" ht="15.75" customHeight="1">
      <c r="F597" s="23"/>
    </row>
    <row r="598" ht="15.75" customHeight="1">
      <c r="F598" s="23"/>
    </row>
    <row r="599" ht="15.75" customHeight="1">
      <c r="F599" s="23"/>
    </row>
    <row r="600" ht="15.75" customHeight="1">
      <c r="F600" s="23"/>
    </row>
    <row r="601" ht="15.75" customHeight="1">
      <c r="F601" s="23"/>
    </row>
    <row r="602" ht="15.75" customHeight="1">
      <c r="F602" s="23"/>
    </row>
    <row r="603" ht="15.75" customHeight="1">
      <c r="F603" s="23"/>
    </row>
    <row r="604" ht="15.75" customHeight="1">
      <c r="F604" s="23"/>
    </row>
    <row r="605" ht="15.75" customHeight="1">
      <c r="F605" s="23"/>
    </row>
    <row r="606" ht="15.75" customHeight="1">
      <c r="F606" s="23"/>
    </row>
    <row r="607" ht="15.75" customHeight="1">
      <c r="F607" s="23"/>
    </row>
    <row r="608" ht="15.75" customHeight="1">
      <c r="F608" s="23"/>
    </row>
    <row r="609" ht="15.75" customHeight="1">
      <c r="F609" s="23"/>
    </row>
    <row r="610" ht="15.75" customHeight="1">
      <c r="F610" s="23"/>
    </row>
    <row r="611" ht="15.75" customHeight="1">
      <c r="F611" s="23"/>
    </row>
    <row r="612" ht="15.75" customHeight="1">
      <c r="F612" s="23"/>
    </row>
    <row r="613" ht="15.75" customHeight="1">
      <c r="F613" s="23"/>
    </row>
    <row r="614" ht="15.75" customHeight="1">
      <c r="F614" s="23"/>
    </row>
    <row r="615" ht="15.75" customHeight="1">
      <c r="F615" s="23"/>
    </row>
    <row r="616" ht="15.75" customHeight="1">
      <c r="F616" s="23"/>
    </row>
    <row r="617" ht="15.75" customHeight="1">
      <c r="F617" s="23"/>
    </row>
    <row r="618" ht="15.75" customHeight="1">
      <c r="F618" s="23"/>
    </row>
    <row r="619" ht="15.75" customHeight="1">
      <c r="F619" s="23"/>
    </row>
    <row r="620" ht="15.75" customHeight="1">
      <c r="F620" s="23"/>
    </row>
    <row r="621" ht="15.75" customHeight="1">
      <c r="F621" s="23"/>
    </row>
    <row r="622" ht="15.75" customHeight="1">
      <c r="F622" s="23"/>
    </row>
    <row r="623" ht="15.75" customHeight="1">
      <c r="F623" s="23"/>
    </row>
    <row r="624" ht="15.75" customHeight="1">
      <c r="F624" s="23"/>
    </row>
    <row r="625" ht="15.75" customHeight="1">
      <c r="F625" s="23"/>
    </row>
    <row r="626" ht="15.75" customHeight="1">
      <c r="F626" s="23"/>
    </row>
    <row r="627" ht="15.75" customHeight="1">
      <c r="F627" s="23"/>
    </row>
    <row r="628" ht="15.75" customHeight="1">
      <c r="F628" s="23"/>
    </row>
    <row r="629" ht="15.75" customHeight="1">
      <c r="F629" s="23"/>
    </row>
    <row r="630" ht="15.75" customHeight="1">
      <c r="F630" s="23"/>
    </row>
    <row r="631" ht="15.75" customHeight="1">
      <c r="F631" s="23"/>
    </row>
    <row r="632" ht="15.75" customHeight="1">
      <c r="F632" s="23"/>
    </row>
    <row r="633" ht="15.75" customHeight="1">
      <c r="F633" s="23"/>
    </row>
    <row r="634" ht="15.75" customHeight="1">
      <c r="F634" s="23"/>
    </row>
    <row r="635" ht="15.75" customHeight="1">
      <c r="F635" s="23"/>
    </row>
    <row r="636" ht="15.75" customHeight="1">
      <c r="F636" s="23"/>
    </row>
    <row r="637" ht="15.75" customHeight="1">
      <c r="F637" s="23"/>
    </row>
    <row r="638" ht="15.75" customHeight="1">
      <c r="F638" s="23"/>
    </row>
    <row r="639" ht="15.75" customHeight="1">
      <c r="F639" s="23"/>
    </row>
    <row r="640" ht="15.75" customHeight="1">
      <c r="F640" s="23"/>
    </row>
    <row r="641" ht="15.75" customHeight="1">
      <c r="F641" s="23"/>
    </row>
    <row r="642" ht="15.75" customHeight="1">
      <c r="F642" s="23"/>
    </row>
    <row r="643" ht="15.75" customHeight="1">
      <c r="F643" s="23"/>
    </row>
    <row r="644" ht="15.75" customHeight="1">
      <c r="F644" s="23"/>
    </row>
    <row r="645" ht="15.75" customHeight="1">
      <c r="F645" s="23"/>
    </row>
    <row r="646" ht="15.75" customHeight="1">
      <c r="F646" s="23"/>
    </row>
    <row r="647" ht="15.75" customHeight="1">
      <c r="F647" s="23"/>
    </row>
    <row r="648" ht="15.75" customHeight="1">
      <c r="F648" s="23"/>
    </row>
    <row r="649" ht="15.75" customHeight="1">
      <c r="F649" s="23"/>
    </row>
    <row r="650" ht="15.75" customHeight="1">
      <c r="F650" s="23"/>
    </row>
    <row r="651" ht="15.75" customHeight="1">
      <c r="F651" s="23"/>
    </row>
    <row r="652" ht="15.75" customHeight="1">
      <c r="F652" s="23"/>
    </row>
    <row r="653" ht="15.75" customHeight="1">
      <c r="F653" s="23"/>
    </row>
    <row r="654" ht="15.75" customHeight="1">
      <c r="F654" s="23"/>
    </row>
    <row r="655" ht="15.75" customHeight="1">
      <c r="F655" s="23"/>
    </row>
    <row r="656" ht="15.75" customHeight="1">
      <c r="F656" s="23"/>
    </row>
    <row r="657" ht="15.75" customHeight="1">
      <c r="F657" s="23"/>
    </row>
    <row r="658" ht="15.75" customHeight="1">
      <c r="F658" s="23"/>
    </row>
    <row r="659" ht="15.75" customHeight="1">
      <c r="F659" s="23"/>
    </row>
    <row r="660" ht="15.75" customHeight="1">
      <c r="F660" s="23"/>
    </row>
    <row r="661" ht="15.75" customHeight="1">
      <c r="F661" s="23"/>
    </row>
    <row r="662" ht="15.75" customHeight="1">
      <c r="F662" s="23"/>
    </row>
    <row r="663" ht="15.75" customHeight="1">
      <c r="F663" s="23"/>
    </row>
    <row r="664" ht="15.75" customHeight="1">
      <c r="F664" s="23"/>
    </row>
    <row r="665" ht="15.75" customHeight="1">
      <c r="F665" s="23"/>
    </row>
    <row r="666" ht="15.75" customHeight="1">
      <c r="F666" s="23"/>
    </row>
    <row r="667" ht="15.75" customHeight="1">
      <c r="F667" s="23"/>
    </row>
    <row r="668" ht="15.75" customHeight="1">
      <c r="F668" s="23"/>
    </row>
    <row r="669" ht="15.75" customHeight="1">
      <c r="F669" s="23"/>
    </row>
    <row r="670" ht="15.75" customHeight="1">
      <c r="F670" s="23"/>
    </row>
    <row r="671" ht="15.75" customHeight="1">
      <c r="F671" s="23"/>
    </row>
    <row r="672" ht="15.75" customHeight="1">
      <c r="F672" s="23"/>
    </row>
    <row r="673" ht="15.75" customHeight="1">
      <c r="F673" s="23"/>
    </row>
    <row r="674" ht="15.75" customHeight="1">
      <c r="F674" s="23"/>
    </row>
    <row r="675" ht="15.75" customHeight="1">
      <c r="F675" s="23"/>
    </row>
    <row r="676" ht="15.75" customHeight="1">
      <c r="F676" s="23"/>
    </row>
    <row r="677" ht="15.75" customHeight="1">
      <c r="F677" s="23"/>
    </row>
    <row r="678" ht="15.75" customHeight="1">
      <c r="F678" s="23"/>
    </row>
    <row r="679" ht="15.75" customHeight="1">
      <c r="F679" s="23"/>
    </row>
    <row r="680" ht="15.75" customHeight="1">
      <c r="F680" s="23"/>
    </row>
    <row r="681" ht="15.75" customHeight="1">
      <c r="F681" s="23"/>
    </row>
    <row r="682" ht="15.75" customHeight="1">
      <c r="F682" s="23"/>
    </row>
    <row r="683" ht="15.75" customHeight="1">
      <c r="F683" s="23"/>
    </row>
    <row r="684" ht="15.75" customHeight="1">
      <c r="F684" s="23"/>
    </row>
    <row r="685" ht="15.75" customHeight="1">
      <c r="F685" s="23"/>
    </row>
    <row r="686" ht="15.75" customHeight="1">
      <c r="F686" s="23"/>
    </row>
    <row r="687" ht="15.75" customHeight="1">
      <c r="F687" s="23"/>
    </row>
    <row r="688" ht="15.75" customHeight="1">
      <c r="F688" s="23"/>
    </row>
    <row r="689" ht="15.75" customHeight="1">
      <c r="F689" s="23"/>
    </row>
    <row r="690" ht="15.75" customHeight="1">
      <c r="F690" s="23"/>
    </row>
    <row r="691" ht="15.75" customHeight="1">
      <c r="F691" s="23"/>
    </row>
    <row r="692" ht="15.75" customHeight="1">
      <c r="F692" s="23"/>
    </row>
    <row r="693" ht="15.75" customHeight="1">
      <c r="F693" s="23"/>
    </row>
    <row r="694" ht="15.75" customHeight="1">
      <c r="F694" s="23"/>
    </row>
    <row r="695" ht="15.75" customHeight="1">
      <c r="F695" s="23"/>
    </row>
    <row r="696" ht="15.75" customHeight="1">
      <c r="F696" s="23"/>
    </row>
    <row r="697" ht="15.75" customHeight="1">
      <c r="F697" s="23"/>
    </row>
    <row r="698" ht="15.75" customHeight="1">
      <c r="F698" s="23"/>
    </row>
    <row r="699" ht="15.75" customHeight="1">
      <c r="F699" s="23"/>
    </row>
    <row r="700" ht="15.75" customHeight="1">
      <c r="F700" s="23"/>
    </row>
    <row r="701" ht="15.75" customHeight="1">
      <c r="F701" s="23"/>
    </row>
    <row r="702" ht="15.75" customHeight="1">
      <c r="F702" s="23"/>
    </row>
    <row r="703" ht="15.75" customHeight="1">
      <c r="F703" s="23"/>
    </row>
    <row r="704" ht="15.75" customHeight="1">
      <c r="F704" s="23"/>
    </row>
    <row r="705" ht="15.75" customHeight="1">
      <c r="F705" s="23"/>
    </row>
    <row r="706" ht="15.75" customHeight="1">
      <c r="F706" s="23"/>
    </row>
    <row r="707" ht="15.75" customHeight="1">
      <c r="F707" s="23"/>
    </row>
    <row r="708" ht="15.75" customHeight="1">
      <c r="F708" s="23"/>
    </row>
    <row r="709" ht="15.75" customHeight="1">
      <c r="F709" s="23"/>
    </row>
    <row r="710" ht="15.75" customHeight="1">
      <c r="F710" s="23"/>
    </row>
    <row r="711" ht="15.75" customHeight="1">
      <c r="F711" s="23"/>
    </row>
    <row r="712" ht="15.75" customHeight="1">
      <c r="F712" s="23"/>
    </row>
    <row r="713" ht="15.75" customHeight="1">
      <c r="F713" s="23"/>
    </row>
    <row r="714" ht="15.75" customHeight="1">
      <c r="F714" s="23"/>
    </row>
    <row r="715" ht="15.75" customHeight="1">
      <c r="F715" s="23"/>
    </row>
    <row r="716" ht="15.75" customHeight="1">
      <c r="F716" s="23"/>
    </row>
    <row r="717" ht="15.75" customHeight="1">
      <c r="F717" s="23"/>
    </row>
    <row r="718" ht="15.75" customHeight="1">
      <c r="F718" s="23"/>
    </row>
    <row r="719" ht="15.75" customHeight="1">
      <c r="F719" s="23"/>
    </row>
    <row r="720" ht="15.75" customHeight="1">
      <c r="F720" s="23"/>
    </row>
    <row r="721" ht="15.75" customHeight="1">
      <c r="F721" s="23"/>
    </row>
    <row r="722" ht="15.75" customHeight="1">
      <c r="F722" s="23"/>
    </row>
    <row r="723" ht="15.75" customHeight="1">
      <c r="F723" s="23"/>
    </row>
    <row r="724" ht="15.75" customHeight="1">
      <c r="F724" s="23"/>
    </row>
    <row r="725" ht="15.75" customHeight="1">
      <c r="F725" s="23"/>
    </row>
    <row r="726" ht="15.75" customHeight="1">
      <c r="F726" s="23"/>
    </row>
    <row r="727" ht="15.75" customHeight="1">
      <c r="F727" s="23"/>
    </row>
    <row r="728" ht="15.75" customHeight="1">
      <c r="F728" s="23"/>
    </row>
    <row r="729" ht="15.75" customHeight="1">
      <c r="F729" s="23"/>
    </row>
    <row r="730" ht="15.75" customHeight="1">
      <c r="F730" s="23"/>
    </row>
    <row r="731" ht="15.75" customHeight="1">
      <c r="F731" s="23"/>
    </row>
    <row r="732" ht="15.75" customHeight="1">
      <c r="F732" s="23"/>
    </row>
    <row r="733" ht="15.75" customHeight="1">
      <c r="F733" s="23"/>
    </row>
    <row r="734" ht="15.75" customHeight="1">
      <c r="F734" s="23"/>
    </row>
    <row r="735" ht="15.75" customHeight="1">
      <c r="F735" s="23"/>
    </row>
    <row r="736" ht="15.75" customHeight="1">
      <c r="F736" s="23"/>
    </row>
    <row r="737" ht="15.75" customHeight="1">
      <c r="F737" s="23"/>
    </row>
    <row r="738" ht="15.75" customHeight="1">
      <c r="F738" s="23"/>
    </row>
    <row r="739" ht="15.75" customHeight="1">
      <c r="F739" s="23"/>
    </row>
    <row r="740" ht="15.75" customHeight="1">
      <c r="F740" s="23"/>
    </row>
    <row r="741" ht="15.75" customHeight="1">
      <c r="F741" s="23"/>
    </row>
    <row r="742" ht="15.75" customHeight="1">
      <c r="F742" s="23"/>
    </row>
    <row r="743" ht="15.75" customHeight="1">
      <c r="F743" s="23"/>
    </row>
    <row r="744" ht="15.75" customHeight="1">
      <c r="F744" s="23"/>
    </row>
    <row r="745" ht="15.75" customHeight="1">
      <c r="F745" s="23"/>
    </row>
    <row r="746" ht="15.75" customHeight="1">
      <c r="F746" s="23"/>
    </row>
    <row r="747" ht="15.75" customHeight="1">
      <c r="F747" s="23"/>
    </row>
    <row r="748" ht="15.75" customHeight="1">
      <c r="F748" s="23"/>
    </row>
    <row r="749" ht="15.75" customHeight="1">
      <c r="F749" s="23"/>
    </row>
    <row r="750" ht="15.75" customHeight="1">
      <c r="F750" s="23"/>
    </row>
    <row r="751" ht="15.75" customHeight="1">
      <c r="F751" s="23"/>
    </row>
    <row r="752" ht="15.75" customHeight="1">
      <c r="F752" s="23"/>
    </row>
    <row r="753" ht="15.75" customHeight="1">
      <c r="F753" s="23"/>
    </row>
    <row r="754" ht="15.75" customHeight="1">
      <c r="F754" s="23"/>
    </row>
    <row r="755" ht="15.75" customHeight="1">
      <c r="F755" s="23"/>
    </row>
    <row r="756" ht="15.75" customHeight="1">
      <c r="F756" s="23"/>
    </row>
    <row r="757" ht="15.75" customHeight="1">
      <c r="F757" s="23"/>
    </row>
    <row r="758" ht="15.75" customHeight="1">
      <c r="F758" s="23"/>
    </row>
    <row r="759" ht="15.75" customHeight="1">
      <c r="F759" s="23"/>
    </row>
    <row r="760" ht="15.75" customHeight="1">
      <c r="F760" s="23"/>
    </row>
    <row r="761" ht="15.75" customHeight="1">
      <c r="F761" s="23"/>
    </row>
    <row r="762" ht="15.75" customHeight="1">
      <c r="F762" s="23"/>
    </row>
    <row r="763" ht="15.75" customHeight="1">
      <c r="F763" s="23"/>
    </row>
    <row r="764" ht="15.75" customHeight="1">
      <c r="F764" s="23"/>
    </row>
    <row r="765" ht="15.75" customHeight="1">
      <c r="F765" s="23"/>
    </row>
    <row r="766" ht="15.75" customHeight="1">
      <c r="F766" s="23"/>
    </row>
    <row r="767" ht="15.75" customHeight="1">
      <c r="F767" s="23"/>
    </row>
    <row r="768" ht="15.75" customHeight="1">
      <c r="F768" s="23"/>
    </row>
    <row r="769" ht="15.75" customHeight="1">
      <c r="F769" s="23"/>
    </row>
    <row r="770" ht="15.75" customHeight="1">
      <c r="F770" s="23"/>
    </row>
    <row r="771" ht="15.75" customHeight="1">
      <c r="F771" s="23"/>
    </row>
    <row r="772" ht="15.75" customHeight="1">
      <c r="F772" s="23"/>
    </row>
    <row r="773" ht="15.75" customHeight="1">
      <c r="F773" s="23"/>
    </row>
    <row r="774" ht="15.75" customHeight="1">
      <c r="F774" s="23"/>
    </row>
    <row r="775" ht="15.75" customHeight="1">
      <c r="F775" s="23"/>
    </row>
    <row r="776" ht="15.75" customHeight="1">
      <c r="F776" s="23"/>
    </row>
    <row r="777" ht="15.75" customHeight="1">
      <c r="F777" s="23"/>
    </row>
    <row r="778" ht="15.75" customHeight="1">
      <c r="F778" s="23"/>
    </row>
    <row r="779" ht="15.75" customHeight="1">
      <c r="F779" s="23"/>
    </row>
    <row r="780" ht="15.75" customHeight="1">
      <c r="F780" s="23"/>
    </row>
    <row r="781" ht="15.75" customHeight="1">
      <c r="F781" s="23"/>
    </row>
    <row r="782" ht="15.75" customHeight="1">
      <c r="F782" s="23"/>
    </row>
    <row r="783" ht="15.75" customHeight="1">
      <c r="F783" s="23"/>
    </row>
    <row r="784" ht="15.75" customHeight="1">
      <c r="F784" s="23"/>
    </row>
    <row r="785" ht="15.75" customHeight="1">
      <c r="F785" s="23"/>
    </row>
    <row r="786" ht="15.75" customHeight="1">
      <c r="F786" s="23"/>
    </row>
    <row r="787" ht="15.75" customHeight="1">
      <c r="F787" s="23"/>
    </row>
    <row r="788" ht="15.75" customHeight="1">
      <c r="F788" s="23"/>
    </row>
    <row r="789" ht="15.75" customHeight="1">
      <c r="F789" s="23"/>
    </row>
    <row r="790" ht="15.75" customHeight="1">
      <c r="F790" s="23"/>
    </row>
    <row r="791" ht="15.75" customHeight="1">
      <c r="F791" s="23"/>
    </row>
    <row r="792" ht="15.75" customHeight="1">
      <c r="F792" s="23"/>
    </row>
    <row r="793" ht="15.75" customHeight="1">
      <c r="F793" s="23"/>
    </row>
    <row r="794" ht="15.75" customHeight="1">
      <c r="F794" s="23"/>
    </row>
    <row r="795" ht="15.75" customHeight="1">
      <c r="F795" s="23"/>
    </row>
    <row r="796" ht="15.75" customHeight="1">
      <c r="F796" s="23"/>
    </row>
    <row r="797" ht="15.75" customHeight="1">
      <c r="F797" s="23"/>
    </row>
    <row r="798" ht="15.75" customHeight="1">
      <c r="F798" s="23"/>
    </row>
    <row r="799" ht="15.75" customHeight="1">
      <c r="F799" s="23"/>
    </row>
    <row r="800" ht="15.75" customHeight="1">
      <c r="F800" s="23"/>
    </row>
    <row r="801" ht="15.75" customHeight="1">
      <c r="F801" s="23"/>
    </row>
    <row r="802" ht="15.75" customHeight="1">
      <c r="F802" s="23"/>
    </row>
    <row r="803" ht="15.75" customHeight="1">
      <c r="F803" s="23"/>
    </row>
    <row r="804" ht="15.75" customHeight="1">
      <c r="F804" s="23"/>
    </row>
    <row r="805" ht="15.75" customHeight="1">
      <c r="F805" s="23"/>
    </row>
    <row r="806" ht="15.75" customHeight="1">
      <c r="F806" s="23"/>
    </row>
    <row r="807" ht="15.75" customHeight="1">
      <c r="F807" s="23"/>
    </row>
    <row r="808" ht="15.75" customHeight="1">
      <c r="F808" s="23"/>
    </row>
    <row r="809" ht="15.75" customHeight="1">
      <c r="F809" s="23"/>
    </row>
    <row r="810" ht="15.75" customHeight="1">
      <c r="F810" s="23"/>
    </row>
    <row r="811" ht="15.75" customHeight="1">
      <c r="F811" s="23"/>
    </row>
    <row r="812" ht="15.75" customHeight="1">
      <c r="F812" s="23"/>
    </row>
    <row r="813" ht="15.75" customHeight="1">
      <c r="F813" s="23"/>
    </row>
    <row r="814" ht="15.75" customHeight="1">
      <c r="F814" s="23"/>
    </row>
    <row r="815" ht="15.75" customHeight="1">
      <c r="F815" s="23"/>
    </row>
    <row r="816" ht="15.75" customHeight="1">
      <c r="F816" s="23"/>
    </row>
    <row r="817" ht="15.75" customHeight="1">
      <c r="F817" s="23"/>
    </row>
    <row r="818" ht="15.75" customHeight="1">
      <c r="F818" s="23"/>
    </row>
    <row r="819" ht="15.75" customHeight="1">
      <c r="F819" s="23"/>
    </row>
    <row r="820" ht="15.75" customHeight="1">
      <c r="F820" s="23"/>
    </row>
    <row r="821" ht="15.75" customHeight="1">
      <c r="F821" s="23"/>
    </row>
    <row r="822" ht="15.75" customHeight="1">
      <c r="F822" s="23"/>
    </row>
    <row r="823" ht="15.75" customHeight="1">
      <c r="F823" s="23"/>
    </row>
    <row r="824" ht="15.75" customHeight="1">
      <c r="F824" s="23"/>
    </row>
    <row r="825" ht="15.75" customHeight="1">
      <c r="F825" s="23"/>
    </row>
    <row r="826" ht="15.75" customHeight="1">
      <c r="F826" s="23"/>
    </row>
    <row r="827" ht="15.75" customHeight="1">
      <c r="F827" s="23"/>
    </row>
    <row r="828" ht="15.75" customHeight="1">
      <c r="F828" s="23"/>
    </row>
    <row r="829" ht="15.75" customHeight="1">
      <c r="F829" s="23"/>
    </row>
    <row r="830" ht="15.75" customHeight="1">
      <c r="F830" s="23"/>
    </row>
    <row r="831" ht="15.75" customHeight="1">
      <c r="F831" s="23"/>
    </row>
    <row r="832" ht="15.75" customHeight="1">
      <c r="F832" s="23"/>
    </row>
    <row r="833" ht="15.75" customHeight="1">
      <c r="F833" s="23"/>
    </row>
    <row r="834" ht="15.75" customHeight="1">
      <c r="F834" s="23"/>
    </row>
    <row r="835" ht="15.75" customHeight="1">
      <c r="F835" s="23"/>
    </row>
    <row r="836" ht="15.75" customHeight="1">
      <c r="F836" s="23"/>
    </row>
    <row r="837" ht="15.75" customHeight="1">
      <c r="F837" s="23"/>
    </row>
    <row r="838" ht="15.75" customHeight="1">
      <c r="F838" s="23"/>
    </row>
    <row r="839" ht="15.75" customHeight="1">
      <c r="F839" s="23"/>
    </row>
    <row r="840" ht="15.75" customHeight="1">
      <c r="F840" s="23"/>
    </row>
    <row r="841" ht="15.75" customHeight="1">
      <c r="F841" s="23"/>
    </row>
    <row r="842" ht="15.75" customHeight="1">
      <c r="F842" s="23"/>
    </row>
    <row r="843" ht="15.75" customHeight="1">
      <c r="F843" s="23"/>
    </row>
    <row r="844" ht="15.75" customHeight="1">
      <c r="F844" s="23"/>
    </row>
    <row r="845" ht="15.75" customHeight="1">
      <c r="F845" s="23"/>
    </row>
    <row r="846" ht="15.75" customHeight="1">
      <c r="F846" s="23"/>
    </row>
    <row r="847" ht="15.75" customHeight="1">
      <c r="F847" s="23"/>
    </row>
    <row r="848" ht="15.75" customHeight="1">
      <c r="F848" s="23"/>
    </row>
    <row r="849" ht="15.75" customHeight="1">
      <c r="F849" s="23"/>
    </row>
    <row r="850" ht="15.75" customHeight="1">
      <c r="F850" s="23"/>
    </row>
    <row r="851" ht="15.75" customHeight="1">
      <c r="F851" s="23"/>
    </row>
    <row r="852" ht="15.75" customHeight="1">
      <c r="F852" s="23"/>
    </row>
    <row r="853" ht="15.75" customHeight="1">
      <c r="F853" s="23"/>
    </row>
    <row r="854" ht="15.75" customHeight="1">
      <c r="F854" s="23"/>
    </row>
    <row r="855" ht="15.75" customHeight="1">
      <c r="F855" s="23"/>
    </row>
    <row r="856" ht="15.75" customHeight="1">
      <c r="F856" s="23"/>
    </row>
    <row r="857" ht="15.75" customHeight="1">
      <c r="F857" s="23"/>
    </row>
    <row r="858" ht="15.75" customHeight="1">
      <c r="F858" s="23"/>
    </row>
    <row r="859" ht="15.75" customHeight="1">
      <c r="F859" s="23"/>
    </row>
    <row r="860" ht="15.75" customHeight="1">
      <c r="F860" s="23"/>
    </row>
    <row r="861" ht="15.75" customHeight="1">
      <c r="F861" s="23"/>
    </row>
    <row r="862" ht="15.75" customHeight="1">
      <c r="F862" s="23"/>
    </row>
    <row r="863" ht="15.75" customHeight="1">
      <c r="F863" s="23"/>
    </row>
    <row r="864" ht="15.75" customHeight="1">
      <c r="F864" s="23"/>
    </row>
    <row r="865" ht="15.75" customHeight="1">
      <c r="F865" s="23"/>
    </row>
    <row r="866" ht="15.75" customHeight="1">
      <c r="F866" s="23"/>
    </row>
    <row r="867" ht="15.75" customHeight="1">
      <c r="F867" s="23"/>
    </row>
    <row r="868" ht="15.75" customHeight="1">
      <c r="F868" s="23"/>
    </row>
    <row r="869" ht="15.75" customHeight="1">
      <c r="F869" s="23"/>
    </row>
    <row r="870" ht="15.75" customHeight="1">
      <c r="F870" s="23"/>
    </row>
    <row r="871" ht="15.75" customHeight="1">
      <c r="F871" s="23"/>
    </row>
    <row r="872" ht="15.75" customHeight="1">
      <c r="F872" s="23"/>
    </row>
    <row r="873" ht="15.75" customHeight="1">
      <c r="F873" s="23"/>
    </row>
    <row r="874" ht="15.75" customHeight="1">
      <c r="F874" s="23"/>
    </row>
    <row r="875" ht="15.75" customHeight="1">
      <c r="F875" s="23"/>
    </row>
    <row r="876" ht="15.75" customHeight="1">
      <c r="F876" s="23"/>
    </row>
    <row r="877" ht="15.75" customHeight="1">
      <c r="F877" s="23"/>
    </row>
    <row r="878" ht="15.75" customHeight="1">
      <c r="F878" s="23"/>
    </row>
    <row r="879" ht="15.75" customHeight="1">
      <c r="F879" s="23"/>
    </row>
    <row r="880" ht="15.75" customHeight="1">
      <c r="F880" s="23"/>
    </row>
    <row r="881" ht="15.75" customHeight="1">
      <c r="F881" s="23"/>
    </row>
    <row r="882" ht="15.75" customHeight="1">
      <c r="F882" s="23"/>
    </row>
    <row r="883" ht="15.75" customHeight="1">
      <c r="F883" s="23"/>
    </row>
    <row r="884" ht="15.75" customHeight="1">
      <c r="F884" s="23"/>
    </row>
    <row r="885" ht="15.75" customHeight="1">
      <c r="F885" s="23"/>
    </row>
    <row r="886" ht="15.75" customHeight="1">
      <c r="F886" s="23"/>
    </row>
    <row r="887" ht="15.75" customHeight="1">
      <c r="F887" s="23"/>
    </row>
    <row r="888" ht="15.75" customHeight="1">
      <c r="F888" s="23"/>
    </row>
    <row r="889" ht="15.75" customHeight="1">
      <c r="F889" s="23"/>
    </row>
    <row r="890" ht="15.75" customHeight="1">
      <c r="F890" s="23"/>
    </row>
    <row r="891" ht="15.75" customHeight="1">
      <c r="F891" s="23"/>
    </row>
    <row r="892" ht="15.75" customHeight="1">
      <c r="F892" s="23"/>
    </row>
    <row r="893" ht="15.75" customHeight="1">
      <c r="F893" s="23"/>
    </row>
    <row r="894" ht="15.75" customHeight="1">
      <c r="F894" s="23"/>
    </row>
    <row r="895" ht="15.75" customHeight="1">
      <c r="F895" s="23"/>
    </row>
    <row r="896" ht="15.75" customHeight="1">
      <c r="F896" s="23"/>
    </row>
    <row r="897" ht="15.75" customHeight="1">
      <c r="F897" s="23"/>
    </row>
    <row r="898" ht="15.75" customHeight="1">
      <c r="F898" s="23"/>
    </row>
    <row r="899" ht="15.75" customHeight="1">
      <c r="F899" s="23"/>
    </row>
    <row r="900" ht="15.75" customHeight="1">
      <c r="F900" s="23"/>
    </row>
    <row r="901" ht="15.75" customHeight="1">
      <c r="F901" s="23"/>
    </row>
    <row r="902" ht="15.75" customHeight="1">
      <c r="F902" s="23"/>
    </row>
    <row r="903" ht="15.75" customHeight="1">
      <c r="F903" s="23"/>
    </row>
    <row r="904" ht="15.75" customHeight="1">
      <c r="F904" s="23"/>
    </row>
    <row r="905" ht="15.75" customHeight="1">
      <c r="F905" s="23"/>
    </row>
    <row r="906" ht="15.75" customHeight="1">
      <c r="F906" s="23"/>
    </row>
    <row r="907" ht="15.75" customHeight="1">
      <c r="F907" s="23"/>
    </row>
    <row r="908" ht="15.75" customHeight="1">
      <c r="F908" s="23"/>
    </row>
    <row r="909" ht="15.75" customHeight="1">
      <c r="F909" s="23"/>
    </row>
    <row r="910" ht="15.75" customHeight="1">
      <c r="F910" s="23"/>
    </row>
    <row r="911" ht="15.75" customHeight="1">
      <c r="F911" s="23"/>
    </row>
    <row r="912" ht="15.75" customHeight="1">
      <c r="F912" s="23"/>
    </row>
    <row r="913" ht="15.75" customHeight="1">
      <c r="F913" s="23"/>
    </row>
    <row r="914" ht="15.75" customHeight="1">
      <c r="F914" s="23"/>
    </row>
    <row r="915" ht="15.75" customHeight="1">
      <c r="F915" s="23"/>
    </row>
    <row r="916" ht="15.75" customHeight="1">
      <c r="F916" s="23"/>
    </row>
    <row r="917" ht="15.75" customHeight="1">
      <c r="F917" s="23"/>
    </row>
    <row r="918" ht="15.75" customHeight="1">
      <c r="F918" s="23"/>
    </row>
    <row r="919" ht="15.75" customHeight="1">
      <c r="F919" s="23"/>
    </row>
    <row r="920" ht="15.75" customHeight="1">
      <c r="F920" s="23"/>
    </row>
    <row r="921" ht="15.75" customHeight="1">
      <c r="F921" s="23"/>
    </row>
    <row r="922" ht="15.75" customHeight="1">
      <c r="F922" s="23"/>
    </row>
    <row r="923" ht="15.75" customHeight="1">
      <c r="F923" s="23"/>
    </row>
    <row r="924" ht="15.75" customHeight="1">
      <c r="F924" s="23"/>
    </row>
    <row r="925" ht="15.75" customHeight="1">
      <c r="F925" s="23"/>
    </row>
    <row r="926" ht="15.75" customHeight="1">
      <c r="F926" s="23"/>
    </row>
    <row r="927" ht="15.75" customHeight="1">
      <c r="F927" s="23"/>
    </row>
    <row r="928" ht="15.75" customHeight="1">
      <c r="F928" s="23"/>
    </row>
    <row r="929" ht="15.75" customHeight="1">
      <c r="F929" s="23"/>
    </row>
    <row r="930" ht="15.75" customHeight="1">
      <c r="F930" s="23"/>
    </row>
    <row r="931" ht="15.75" customHeight="1">
      <c r="F931" s="23"/>
    </row>
    <row r="932" ht="15.75" customHeight="1">
      <c r="F932" s="23"/>
    </row>
    <row r="933" ht="15.75" customHeight="1">
      <c r="F933" s="23"/>
    </row>
    <row r="934" ht="15.75" customHeight="1">
      <c r="F934" s="23"/>
    </row>
    <row r="935" ht="15.75" customHeight="1">
      <c r="F935" s="23"/>
    </row>
    <row r="936" ht="15.75" customHeight="1">
      <c r="F936" s="23"/>
    </row>
    <row r="937" ht="15.75" customHeight="1">
      <c r="F937" s="23"/>
    </row>
    <row r="938" ht="15.75" customHeight="1">
      <c r="F938" s="23"/>
    </row>
    <row r="939" ht="15.75" customHeight="1">
      <c r="F939" s="23"/>
    </row>
    <row r="940" ht="15.75" customHeight="1">
      <c r="F940" s="23"/>
    </row>
    <row r="941" ht="15.75" customHeight="1">
      <c r="F941" s="23"/>
    </row>
    <row r="942" ht="15.75" customHeight="1">
      <c r="F942" s="23"/>
    </row>
    <row r="943" ht="15.75" customHeight="1">
      <c r="F943" s="23"/>
    </row>
    <row r="944" ht="15.75" customHeight="1">
      <c r="F944" s="23"/>
    </row>
    <row r="945" ht="15.75" customHeight="1">
      <c r="F945" s="23"/>
    </row>
    <row r="946" ht="15.75" customHeight="1">
      <c r="F946" s="23"/>
    </row>
    <row r="947" ht="15.75" customHeight="1">
      <c r="F947" s="23"/>
    </row>
    <row r="948" ht="15.75" customHeight="1">
      <c r="F948" s="23"/>
    </row>
    <row r="949" ht="15.75" customHeight="1">
      <c r="F949" s="23"/>
    </row>
    <row r="950" ht="15.75" customHeight="1">
      <c r="F950" s="23"/>
    </row>
    <row r="951" ht="15.75" customHeight="1">
      <c r="F951" s="23"/>
    </row>
    <row r="952" ht="15.75" customHeight="1">
      <c r="F952" s="23"/>
    </row>
    <row r="953" ht="15.75" customHeight="1">
      <c r="F953" s="23"/>
    </row>
    <row r="954" ht="15.75" customHeight="1">
      <c r="F954" s="23"/>
    </row>
    <row r="955" ht="15.75" customHeight="1">
      <c r="F955" s="23"/>
    </row>
    <row r="956" ht="15.75" customHeight="1">
      <c r="F956" s="23"/>
    </row>
    <row r="957" ht="15.75" customHeight="1">
      <c r="F957" s="23"/>
    </row>
    <row r="958" ht="15.75" customHeight="1">
      <c r="F958" s="23"/>
    </row>
    <row r="959" ht="15.75" customHeight="1">
      <c r="F959" s="23"/>
    </row>
    <row r="960" ht="15.75" customHeight="1">
      <c r="F960" s="23"/>
    </row>
    <row r="961" ht="15.75" customHeight="1">
      <c r="F961" s="23"/>
    </row>
    <row r="962" ht="15.75" customHeight="1">
      <c r="F962" s="23"/>
    </row>
    <row r="963" ht="15.75" customHeight="1">
      <c r="F963" s="23"/>
    </row>
    <row r="964" ht="15.75" customHeight="1">
      <c r="F964" s="23"/>
    </row>
    <row r="965" ht="15.75" customHeight="1">
      <c r="F965" s="23"/>
    </row>
    <row r="966" ht="15.75" customHeight="1">
      <c r="F966" s="23"/>
    </row>
    <row r="967" ht="15.75" customHeight="1">
      <c r="F967" s="23"/>
    </row>
    <row r="968" ht="15.75" customHeight="1">
      <c r="F968" s="23"/>
    </row>
    <row r="969" ht="15.75" customHeight="1">
      <c r="F969" s="23"/>
    </row>
    <row r="970" ht="15.75" customHeight="1">
      <c r="F970" s="23"/>
    </row>
    <row r="971" ht="15.75" customHeight="1">
      <c r="F971" s="23"/>
    </row>
    <row r="972" ht="15.75" customHeight="1">
      <c r="F972" s="23"/>
    </row>
    <row r="973" ht="15.75" customHeight="1">
      <c r="F973" s="23"/>
    </row>
    <row r="974" ht="15.75" customHeight="1">
      <c r="F974" s="23"/>
    </row>
    <row r="975" ht="15.75" customHeight="1">
      <c r="F975" s="23"/>
    </row>
    <row r="976" ht="15.75" customHeight="1">
      <c r="F976" s="23"/>
    </row>
    <row r="977" ht="15.75" customHeight="1">
      <c r="F977" s="23"/>
    </row>
    <row r="978" ht="15.75" customHeight="1">
      <c r="F978" s="23"/>
    </row>
    <row r="979" ht="15.75" customHeight="1">
      <c r="F979" s="23"/>
    </row>
    <row r="980" ht="15.75" customHeight="1">
      <c r="F980" s="23"/>
    </row>
    <row r="981" ht="15.75" customHeight="1">
      <c r="F981" s="23"/>
    </row>
    <row r="982" ht="15.75" customHeight="1">
      <c r="F982" s="23"/>
    </row>
    <row r="983" ht="15.75" customHeight="1">
      <c r="F983" s="23"/>
    </row>
    <row r="984" ht="15.75" customHeight="1">
      <c r="F984" s="23"/>
    </row>
    <row r="985" ht="15.75" customHeight="1">
      <c r="F985" s="23"/>
    </row>
    <row r="986" ht="15.75" customHeight="1">
      <c r="F986" s="23"/>
    </row>
    <row r="987" ht="15.75" customHeight="1">
      <c r="F987" s="23"/>
    </row>
    <row r="988" ht="15.75" customHeight="1">
      <c r="F988" s="23"/>
    </row>
    <row r="989" ht="15.75" customHeight="1">
      <c r="F989" s="23"/>
    </row>
    <row r="990" ht="15.75" customHeight="1">
      <c r="F990" s="23"/>
    </row>
    <row r="991" ht="15.75" customHeight="1">
      <c r="F991" s="23"/>
    </row>
    <row r="992" ht="15.75" customHeight="1">
      <c r="F992" s="23"/>
    </row>
    <row r="993" ht="15.75" customHeight="1">
      <c r="F993" s="23"/>
    </row>
    <row r="994" ht="15.75" customHeight="1">
      <c r="F994" s="23"/>
    </row>
    <row r="995" ht="15.75" customHeight="1">
      <c r="F995" s="23"/>
    </row>
    <row r="996" ht="15.75" customHeight="1">
      <c r="F996" s="23"/>
    </row>
    <row r="997" ht="15.75" customHeight="1">
      <c r="F997" s="23"/>
    </row>
    <row r="998" ht="15.75" customHeight="1">
      <c r="F998" s="23"/>
    </row>
    <row r="999" ht="15.75" customHeight="1">
      <c r="F999" s="23"/>
    </row>
    <row r="1000" ht="15.75" customHeight="1">
      <c r="F1000" s="23"/>
    </row>
    <row r="1001" ht="15.75" customHeight="1">
      <c r="F1001" s="23"/>
    </row>
  </sheetData>
  <dataValidations>
    <dataValidation type="list" allowBlank="1" showErrorMessage="1" sqref="G2:G30">
      <formula1>"Kevin, Hugh,Lucas,Nito,Tyson,Christian,Ryan,Nathan,Arthur,Lucas, Arthur,Nito, Tyson,Ryan, Nathan,Kevin,Hugh,Chris, Lucas, Arthur"</formula1>
    </dataValidation>
    <dataValidation type="list" allowBlank="1" showErrorMessage="1" sqref="J2:J30">
      <formula1>"Done,To do,In progress"</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13.71"/>
    <col customWidth="1" min="3" max="3" width="34.43"/>
    <col customWidth="1" min="4" max="4" width="15.14"/>
    <col customWidth="1" min="5" max="5" width="10.14"/>
    <col customWidth="1" min="6" max="6" width="13.71"/>
    <col customWidth="1" min="7" max="7" width="34.43"/>
    <col customWidth="1" min="8" max="8" width="15.14"/>
    <col customWidth="1" min="9" max="9" width="10.14"/>
    <col customWidth="1" min="10" max="10" width="13.71"/>
    <col customWidth="1" min="11" max="11" width="34.43"/>
    <col customWidth="1" min="12" max="12" width="15.14"/>
    <col customWidth="1" min="13" max="13" width="10.14"/>
  </cols>
  <sheetData>
    <row r="1" ht="27.0" customHeight="1">
      <c r="B1" s="66" t="s">
        <v>366</v>
      </c>
    </row>
    <row r="2" ht="18.0" customHeight="1">
      <c r="B2" s="67" t="s">
        <v>367</v>
      </c>
      <c r="C2" s="68"/>
      <c r="D2" s="69" t="s">
        <v>368</v>
      </c>
      <c r="E2" s="68"/>
      <c r="F2" s="70" t="s">
        <v>369</v>
      </c>
      <c r="G2" s="68"/>
      <c r="H2" s="71" t="s">
        <v>370</v>
      </c>
      <c r="I2" s="68"/>
      <c r="J2" s="72" t="s">
        <v>371</v>
      </c>
      <c r="K2" s="68"/>
      <c r="L2" s="73" t="s">
        <v>372</v>
      </c>
      <c r="M2" s="68"/>
    </row>
    <row r="3" ht="24.0" customHeight="1">
      <c r="B3" s="74">
        <f>COUNTA('Sprint Backlog 1'!C2:C23)</f>
        <v>22</v>
      </c>
      <c r="C3" s="75"/>
      <c r="D3" s="76">
        <f>COUNTIF('Sprint Backlog 1'!J2:J23, "To Do")</f>
        <v>0</v>
      </c>
      <c r="E3" s="75"/>
      <c r="F3" s="77">
        <f>COUNTIF('Sprint Backlog 1'!J2:J23, "In progress")</f>
        <v>0</v>
      </c>
      <c r="G3" s="75"/>
      <c r="H3" s="78">
        <f>COUNTIF('Sprint Backlog 1'!J2:J23, "Done")</f>
        <v>22</v>
      </c>
      <c r="I3" s="75"/>
      <c r="J3" s="79">
        <f>H3/B3</f>
        <v>1</v>
      </c>
      <c r="K3" s="75"/>
      <c r="L3" s="80">
        <f>SUM('Sprint Backlog 1'!H2:H23)</f>
        <v>130</v>
      </c>
      <c r="M3" s="75"/>
    </row>
    <row r="4" ht="16.5" customHeight="1">
      <c r="B4" s="81" t="s">
        <v>373</v>
      </c>
      <c r="C4" s="82"/>
      <c r="D4" s="83" t="str">
        <f>TEXT(D3/$B$3, "0.0%") &amp; " of total"</f>
        <v>0,0% of total</v>
      </c>
      <c r="E4" s="82"/>
      <c r="F4" s="84" t="str">
        <f>TEXT(F3/$B$3, "0.0%") &amp; " of total"</f>
        <v>0,0% of total</v>
      </c>
      <c r="G4" s="82"/>
      <c r="H4" s="85" t="str">
        <f>TEXT(H3/$B$3, "0.0%") &amp; " of total"</f>
        <v>100,0% of total</v>
      </c>
      <c r="I4" s="82"/>
      <c r="J4" s="86" t="s">
        <v>374</v>
      </c>
      <c r="K4" s="82"/>
      <c r="L4" s="87" t="s">
        <v>375</v>
      </c>
      <c r="M4" s="82"/>
    </row>
    <row r="5" ht="12.0" customHeight="1"/>
    <row r="6" ht="24.0" customHeight="1">
      <c r="B6" s="88" t="str">
        <f>"TO DO (" &amp; D3 &amp; ")"</f>
        <v>TO DO (0)</v>
      </c>
      <c r="C6" s="89"/>
      <c r="D6" s="89"/>
      <c r="E6" s="90"/>
      <c r="F6" s="91" t="str">
        <f>"IN PROGRESS (" &amp; F3 &amp; ")"</f>
        <v>IN PROGRESS (0)</v>
      </c>
      <c r="G6" s="92"/>
      <c r="H6" s="92"/>
      <c r="I6" s="93"/>
      <c r="J6" s="94" t="str">
        <f>" DONE (" &amp; H3 &amp; ")"</f>
        <v> DONE (22)</v>
      </c>
      <c r="K6" s="95"/>
      <c r="L6" s="95"/>
      <c r="M6" s="96"/>
    </row>
    <row r="7" ht="18.0" customHeight="1">
      <c r="B7" s="97" t="s">
        <v>2</v>
      </c>
      <c r="C7" s="98" t="s">
        <v>4</v>
      </c>
      <c r="D7" s="98" t="s">
        <v>6</v>
      </c>
      <c r="E7" s="99" t="s">
        <v>376</v>
      </c>
      <c r="F7" s="100" t="s">
        <v>2</v>
      </c>
      <c r="G7" s="101" t="s">
        <v>4</v>
      </c>
      <c r="H7" s="101" t="s">
        <v>6</v>
      </c>
      <c r="I7" s="102" t="s">
        <v>376</v>
      </c>
      <c r="J7" s="103" t="s">
        <v>2</v>
      </c>
      <c r="K7" s="104" t="s">
        <v>4</v>
      </c>
      <c r="L7" s="104" t="s">
        <v>6</v>
      </c>
      <c r="M7" s="105" t="s">
        <v>376</v>
      </c>
    </row>
    <row r="8" ht="28.5" customHeight="1">
      <c r="B8" s="106"/>
      <c r="C8" s="107"/>
      <c r="D8" s="108"/>
      <c r="E8" s="108"/>
      <c r="F8" s="106"/>
      <c r="G8" s="107"/>
      <c r="H8" s="108"/>
      <c r="I8" s="108"/>
      <c r="J8" s="109" t="str">
        <f>IFERROR(__xludf.DUMMYFUNCTION("IFERROR(CHOOSECOLS(FILTER('Sprint Backlog 1'!$C$2:$H$23, 'Sprint Backlog 1'!$J$2:$J$23 = ""Done""), 1, 3, 5, 6), """")"),"TSK-R1-01")</f>
        <v>TSK-R1-01</v>
      </c>
      <c r="K8" s="110" t="str">
        <f>IFERROR(__xludf.DUMMYFUNCTION("""COMPUTED_VALUE"""),"Draft Technical Specification Docx for R1 (Education Account Lifecycle)")</f>
        <v>Draft Technical Specification Docx for R1 (Education Account Lifecycle)</v>
      </c>
      <c r="L8" s="111" t="str">
        <f>IFERROR(__xludf.DUMMYFUNCTION("""COMPUTED_VALUE"""),"Kevin,Hugh")</f>
        <v>Kevin,Hugh</v>
      </c>
      <c r="M8" s="112">
        <f>IFERROR(__xludf.DUMMYFUNCTION("""COMPUTED_VALUE"""),4.0)</f>
        <v>4</v>
      </c>
    </row>
    <row r="9" ht="28.5" customHeight="1">
      <c r="B9" s="106"/>
      <c r="C9" s="107"/>
      <c r="D9" s="108"/>
      <c r="E9" s="108"/>
      <c r="F9" s="106"/>
      <c r="G9" s="107"/>
      <c r="H9" s="108"/>
      <c r="I9" s="108"/>
      <c r="J9" s="109" t="str">
        <f>IFERROR(__xludf.DUMMYFUNCTION("""COMPUTED_VALUE"""),"TSK-R1-02")</f>
        <v>TSK-R1-02</v>
      </c>
      <c r="K9" s="110" t="str">
        <f>IFERROR(__xludf.DUMMYFUNCTION("""COMPUTED_VALUE"""),"Design Data Model &amp; Migrations for Education Account Lifecycle")</f>
        <v>Design Data Model &amp; Migrations for Education Account Lifecycle</v>
      </c>
      <c r="L9" s="111" t="str">
        <f>IFERROR(__xludf.DUMMYFUNCTION("""COMPUTED_VALUE""")," Hugh")</f>
        <v> Hugh</v>
      </c>
      <c r="M9" s="112">
        <f>IFERROR(__xludf.DUMMYFUNCTION("""COMPUTED_VALUE"""),5.0)</f>
        <v>5</v>
      </c>
    </row>
    <row r="10" ht="28.5" customHeight="1">
      <c r="B10" s="106"/>
      <c r="C10" s="107"/>
      <c r="D10" s="108"/>
      <c r="E10" s="108"/>
      <c r="F10" s="106"/>
      <c r="G10" s="107"/>
      <c r="H10" s="108"/>
      <c r="I10" s="108"/>
      <c r="J10" s="109" t="str">
        <f>IFERROR(__xludf.DUMMYFUNCTION("""COMPUTED_VALUE"""),"TSK-R1-03")</f>
        <v>TSK-R1-03</v>
      </c>
      <c r="K10" s="110" t="str">
        <f>IFERROR(__xludf.DUMMYFUNCTION("""COMPUTED_VALUE"""),"Build Scheduled Job to automatically create &amp; activate accounts at age 7")</f>
        <v>Build Scheduled Job to automatically create &amp; activate accounts at age 7</v>
      </c>
      <c r="L10" s="111" t="str">
        <f>IFERROR(__xludf.DUMMYFUNCTION("""COMPUTED_VALUE"""),"Kevin")</f>
        <v>Kevin</v>
      </c>
      <c r="M10" s="112">
        <f>IFERROR(__xludf.DUMMYFUNCTION("""COMPUTED_VALUE"""),4.0)</f>
        <v>4</v>
      </c>
    </row>
    <row r="11" ht="28.5" customHeight="1">
      <c r="J11" s="109" t="str">
        <f>IFERROR(__xludf.DUMMYFUNCTION("""COMPUTED_VALUE"""),"TSK-R1-04")</f>
        <v>TSK-R1-04</v>
      </c>
      <c r="K11" s="110" t="str">
        <f>IFERROR(__xludf.DUMMYFUNCTION("""COMPUTED_VALUE"""),"Build Scheduled Job to automatically close accounts &amp; transfer settlement to CPF at age 16")</f>
        <v>Build Scheduled Job to automatically close accounts &amp; transfer settlement to CPF at age 16</v>
      </c>
      <c r="L11" s="111" t="str">
        <f>IFERROR(__xludf.DUMMYFUNCTION("""COMPUTED_VALUE"""),"Kevin")</f>
        <v>Kevin</v>
      </c>
      <c r="M11" s="112">
        <f>IFERROR(__xludf.DUMMYFUNCTION("""COMPUTED_VALUE"""),4.0)</f>
        <v>4</v>
      </c>
    </row>
    <row r="12" ht="28.5" customHeight="1">
      <c r="J12" s="113" t="str">
        <f>IFERROR(__xludf.DUMMYFUNCTION("""COMPUTED_VALUE"""),"TSK-R1-05")</f>
        <v>TSK-R1-05</v>
      </c>
      <c r="K12" s="114" t="str">
        <f>IFERROR(__xludf.DUMMYFUNCTION("""COMPUTED_VALUE"""),"Build Wallet CRUD APIs (create, credit, debit, update status, and get wallet) &amp; Wallet Transaction functionality to handle wallet behavior, including APIs to retrieve and reverse transactions.")</f>
        <v>Build Wallet CRUD APIs (create, credit, debit, update status, and get wallet) &amp; Wallet Transaction functionality to handle wallet behavior, including APIs to retrieve and reverse transactions.</v>
      </c>
      <c r="L12" s="115" t="str">
        <f>IFERROR(__xludf.DUMMYFUNCTION("""COMPUTED_VALUE""")," Hugh")</f>
        <v> Hugh</v>
      </c>
      <c r="M12" s="116">
        <f>IFERROR(__xludf.DUMMYFUNCTION("""COMPUTED_VALUE"""),8.0)</f>
        <v>8</v>
      </c>
    </row>
    <row r="13" ht="28.5" customHeight="1">
      <c r="J13" s="113" t="str">
        <f>IFERROR(__xludf.DUMMYFUNCTION("""COMPUTED_VALUE"""),"TSK-R3-01")</f>
        <v>TSK-R3-01</v>
      </c>
      <c r="K13" s="114" t="str">
        <f>IFERROR(__xludf.DUMMYFUNCTION("""COMPUTED_VALUE"""),"Draft Technical Specification Docx for R3 (Master Data &amp; Fee Management)")</f>
        <v>Draft Technical Specification Docx for R3 (Master Data &amp; Fee Management)</v>
      </c>
      <c r="L13" s="115" t="str">
        <f>IFERROR(__xludf.DUMMYFUNCTION("""COMPUTED_VALUE"""),"Nito, Tyson")</f>
        <v>Nito, Tyson</v>
      </c>
      <c r="M13" s="116">
        <f>IFERROR(__xludf.DUMMYFUNCTION("""COMPUTED_VALUE"""),6.0)</f>
        <v>6</v>
      </c>
    </row>
    <row r="14" ht="28.5" customHeight="1">
      <c r="J14" s="117" t="str">
        <f>IFERROR(__xludf.DUMMYFUNCTION("""COMPUTED_VALUE"""),"TSK-R3-02")</f>
        <v>TSK-R3-02</v>
      </c>
      <c r="K14" s="118" t="str">
        <f>IFERROR(__xludf.DUMMYFUNCTION("""COMPUTED_VALUE"""),"Design Data Model &amp; Migrations for School Master Data &amp; Fee Catalog")</f>
        <v>Design Data Model &amp; Migrations for School Master Data &amp; Fee Catalog</v>
      </c>
      <c r="L14" s="119" t="str">
        <f>IFERROR(__xludf.DUMMYFUNCTION("""COMPUTED_VALUE"""),"Nito, Tyson")</f>
        <v>Nito, Tyson</v>
      </c>
      <c r="M14" s="120">
        <f>IFERROR(__xludf.DUMMYFUNCTION("""COMPUTED_VALUE"""),7.0)</f>
        <v>7</v>
      </c>
    </row>
    <row r="15" ht="28.5" customHeight="1">
      <c r="J15" s="109" t="str">
        <f>IFERROR(__xludf.DUMMYFUNCTION("""COMPUTED_VALUE"""),"TSK-R3-03")</f>
        <v>TSK-R3-03</v>
      </c>
      <c r="K15" s="110" t="str">
        <f>IFERROR(__xludf.DUMMYFUNCTION("""COMPUTED_VALUE"""),"Build Master Data CRUD APIs (School, Level, Class, Student) and RBAC Guard")</f>
        <v>Build Master Data CRUD APIs (School, Level, Class, Student) and RBAC Guard</v>
      </c>
      <c r="L15" s="111" t="str">
        <f>IFERROR(__xludf.DUMMYFUNCTION("""COMPUTED_VALUE"""),"Nito, Tyson")</f>
        <v>Nito, Tyson</v>
      </c>
      <c r="M15" s="112">
        <f>IFERROR(__xludf.DUMMYFUNCTION("""COMPUTED_VALUE"""),8.0)</f>
        <v>8</v>
      </c>
    </row>
    <row r="16" ht="28.5" customHeight="1">
      <c r="J16" s="109" t="str">
        <f>IFERROR(__xludf.DUMMYFUNCTION("""COMPUTED_VALUE"""),"TSK-R3-04")</f>
        <v>TSK-R3-04</v>
      </c>
      <c r="K16" s="110" t="str">
        <f>IFERROR(__xludf.DUMMYFUNCTION("""COMPUTED_VALUE"""),"Build Fee Type Configuration Module &amp; Student Charge Generation")</f>
        <v>Build Fee Type Configuration Module &amp; Student Charge Generation</v>
      </c>
      <c r="L16" s="111" t="str">
        <f>IFERROR(__xludf.DUMMYFUNCTION("""COMPUTED_VALUE"""),"Nito, Tyson")</f>
        <v>Nito, Tyson</v>
      </c>
      <c r="M16" s="112">
        <f>IFERROR(__xludf.DUMMYFUNCTION("""COMPUTED_VALUE"""),8.0)</f>
        <v>8</v>
      </c>
    </row>
    <row r="17" ht="28.5" customHeight="1">
      <c r="J17" s="109" t="str">
        <f>IFERROR(__xludf.DUMMYFUNCTION("""COMPUTED_VALUE"""),"TSK-R3-05")</f>
        <v>TSK-R3-05</v>
      </c>
      <c r="K17" s="110" t="str">
        <f>IFERROR(__xludf.DUMMYFUNCTION("""COMPUTED_VALUE"""),"Build School Management &amp; Fee Configuration UI (Admin Portal)")</f>
        <v>Build School Management &amp; Fee Configuration UI (Admin Portal)</v>
      </c>
      <c r="L17" s="111" t="str">
        <f>IFERROR(__xludf.DUMMYFUNCTION("""COMPUTED_VALUE"""),"Nito, Tyson")</f>
        <v>Nito, Tyson</v>
      </c>
      <c r="M17" s="112">
        <f>IFERROR(__xludf.DUMMYFUNCTION("""COMPUTED_VALUE"""),7.0)</f>
        <v>7</v>
      </c>
    </row>
    <row r="18">
      <c r="J18" s="109" t="str">
        <f>IFERROR(__xludf.DUMMYFUNCTION("""COMPUTED_VALUE"""),"TSK-R8-01")</f>
        <v>TSK-R8-01</v>
      </c>
      <c r="K18" s="110" t="str">
        <f>IFERROR(__xludf.DUMMYFUNCTION("""COMPUTED_VALUE"""),"Draft Technical Specification Docx for R8 (Singpass Auth &amp; Parent Portal)")</f>
        <v>Draft Technical Specification Docx for R8 (Singpass Auth &amp; Parent Portal)</v>
      </c>
      <c r="L18" s="111" t="str">
        <f>IFERROR(__xludf.DUMMYFUNCTION("""COMPUTED_VALUE"""),"Ryan, Nathan")</f>
        <v>Ryan, Nathan</v>
      </c>
      <c r="M18" s="112">
        <f>IFERROR(__xludf.DUMMYFUNCTION("""COMPUTED_VALUE"""),6.0)</f>
        <v>6</v>
      </c>
    </row>
    <row r="19">
      <c r="J19" s="109" t="str">
        <f>IFERROR(__xludf.DUMMYFUNCTION("""COMPUTED_VALUE"""),"TSK-R8-02")</f>
        <v>TSK-R8-02</v>
      </c>
      <c r="K19" s="110" t="str">
        <f>IFERROR(__xludf.DUMMYFUNCTION("""COMPUTED_VALUE"""),"Design Data Model &amp; Migrations for Parents, Child Linkage, and Audit Log")</f>
        <v>Design Data Model &amp; Migrations for Parents, Child Linkage, and Audit Log</v>
      </c>
      <c r="L19" s="111" t="str">
        <f>IFERROR(__xludf.DUMMYFUNCTION("""COMPUTED_VALUE"""),"Ryan, Nathan")</f>
        <v>Ryan, Nathan</v>
      </c>
      <c r="M19" s="112">
        <f>IFERROR(__xludf.DUMMYFUNCTION("""COMPUTED_VALUE"""),6.0)</f>
        <v>6</v>
      </c>
    </row>
    <row r="20">
      <c r="J20" s="109" t="str">
        <f>IFERROR(__xludf.DUMMYFUNCTION("""COMPUTED_VALUE"""),"TSK-R8-03")</f>
        <v>TSK-R8-03</v>
      </c>
      <c r="K20" s="110" t="str">
        <f>IFERROR(__xludf.DUMMYFUNCTION("""COMPUTED_VALUE"""),"Integrate Singpass Authentication (Mock/Sandbox) &amp; Parent-Student Authorization")</f>
        <v>Integrate Singpass Authentication (Mock/Sandbox) &amp; Parent-Student Authorization</v>
      </c>
      <c r="L20" s="111" t="str">
        <f>IFERROR(__xludf.DUMMYFUNCTION("""COMPUTED_VALUE"""),"Ryan, Nathan")</f>
        <v>Ryan, Nathan</v>
      </c>
      <c r="M20" s="112">
        <f>IFERROR(__xludf.DUMMYFUNCTION("""COMPUTED_VALUE"""),8.0)</f>
        <v>8</v>
      </c>
    </row>
    <row r="21">
      <c r="J21" s="109" t="str">
        <f>IFERROR(__xludf.DUMMYFUNCTION("""COMPUTED_VALUE"""),"TSK-R8-04")</f>
        <v>TSK-R8-04</v>
      </c>
      <c r="K21" s="110" t="str">
        <f>IFERROR(__xludf.DUMMYFUNCTION("""COMPUTED_VALUE"""),"Build API for Account Details &amp; Parent Profile Update")</f>
        <v>Build API for Account Details &amp; Parent Profile Update</v>
      </c>
      <c r="L21" s="111" t="str">
        <f>IFERROR(__xludf.DUMMYFUNCTION("""COMPUTED_VALUE"""),"Ryan, Nathan")</f>
        <v>Ryan, Nathan</v>
      </c>
      <c r="M21" s="112">
        <f>IFERROR(__xludf.DUMMYFUNCTION("""COMPUTED_VALUE"""),7.0)</f>
        <v>7</v>
      </c>
    </row>
    <row r="22">
      <c r="J22" s="109" t="str">
        <f>IFERROR(__xludf.DUMMYFUNCTION("""COMPUTED_VALUE"""),"TSK-R8-05")</f>
        <v>TSK-R8-05</v>
      </c>
      <c r="K22" s="110" t="str">
        <f>IFERROR(__xludf.DUMMYFUNCTION("""COMPUTED_VALUE"""),"Build e-Service Portal UI: Account Dashboard &amp; Profile Management")</f>
        <v>Build e-Service Portal UI: Account Dashboard &amp; Profile Management</v>
      </c>
      <c r="L22" s="111" t="str">
        <f>IFERROR(__xludf.DUMMYFUNCTION("""COMPUTED_VALUE"""),"Ryan, Nathan")</f>
        <v>Ryan, Nathan</v>
      </c>
      <c r="M22" s="112">
        <f>IFERROR(__xludf.DUMMYFUNCTION("""COMPUTED_VALUE"""),8.0)</f>
        <v>8</v>
      </c>
    </row>
    <row r="23">
      <c r="J23" s="109" t="str">
        <f>IFERROR(__xludf.DUMMYFUNCTION("""COMPUTED_VALUE"""),"TSK-R9-01")</f>
        <v>TSK-R9-01</v>
      </c>
      <c r="K23" s="110" t="str">
        <f>IFERROR(__xludf.DUMMYFUNCTION("""COMPUTED_VALUE"""),"Draft Technical Specification Docx for R9 (Payment Engine &amp; Outstanding Dues)")</f>
        <v>Draft Technical Specification Docx for R9 (Payment Engine &amp; Outstanding Dues)</v>
      </c>
      <c r="L23" s="111" t="str">
        <f>IFERROR(__xludf.DUMMYFUNCTION("""COMPUTED_VALUE"""),"Lucas, Arthur")</f>
        <v>Lucas, Arthur</v>
      </c>
      <c r="M23" s="112">
        <f>IFERROR(__xludf.DUMMYFUNCTION("""COMPUTED_VALUE"""),4.0)</f>
        <v>4</v>
      </c>
    </row>
    <row r="24">
      <c r="J24" s="109" t="str">
        <f>IFERROR(__xludf.DUMMYFUNCTION("""COMPUTED_VALUE"""),"TSK-R9-02")</f>
        <v>TSK-R9-02</v>
      </c>
      <c r="K24" s="110" t="str">
        <f>IFERROR(__xludf.DUMMYFUNCTION("""COMPUTED_VALUE"""),"Design Data Model &amp; Migrations for Transaction Management &amp; Payment Gateway")</f>
        <v>Design Data Model &amp; Migrations for Transaction Management &amp; Payment Gateway</v>
      </c>
      <c r="L24" s="111" t="str">
        <f>IFERROR(__xludf.DUMMYFUNCTION("""COMPUTED_VALUE"""),"Lucas, Arthur")</f>
        <v>Lucas, Arthur</v>
      </c>
      <c r="M24" s="112">
        <f>IFERROR(__xludf.DUMMYFUNCTION("""COMPUTED_VALUE"""),5.0)</f>
        <v>5</v>
      </c>
    </row>
    <row r="25">
      <c r="J25" s="109" t="str">
        <f>IFERROR(__xludf.DUMMYFUNCTION("""COMPUTED_VALUE"""),"TSK-R9-03")</f>
        <v>TSK-R9-03</v>
      </c>
      <c r="K25" s="110" t="str">
        <f>IFERROR(__xludf.DUMMYFUNCTION("""COMPUTED_VALUE"""),"Build API for Outstanding Dues &amp; Payment Logic using Education Account")</f>
        <v>Build API for Outstanding Dues &amp; Payment Logic using Education Account</v>
      </c>
      <c r="L25" s="111" t="str">
        <f>IFERROR(__xludf.DUMMYFUNCTION("""COMPUTED_VALUE"""),"Lucas, Arthur")</f>
        <v>Lucas, Arthur</v>
      </c>
      <c r="M25" s="112">
        <f>IFERROR(__xludf.DUMMYFUNCTION("""COMPUTED_VALUE"""),6.0)</f>
        <v>6</v>
      </c>
    </row>
    <row r="26">
      <c r="J26" s="109" t="str">
        <f>IFERROR(__xludf.DUMMYFUNCTION("""COMPUTED_VALUE"""),"TSK-R9-04")</f>
        <v>TSK-R9-04</v>
      </c>
      <c r="K26" s="110" t="str">
        <f>IFERROR(__xludf.DUMMYFUNCTION("""COMPUTED_VALUE"""),"Integrate Online Payment Gateway (Sandbox Gateway &amp; Webhook)")</f>
        <v>Integrate Online Payment Gateway (Sandbox Gateway &amp; Webhook)</v>
      </c>
      <c r="L26" s="111" t="str">
        <f>IFERROR(__xludf.DUMMYFUNCTION("""COMPUTED_VALUE"""),"Lucas, Arthur")</f>
        <v>Lucas, Arthur</v>
      </c>
      <c r="M26" s="112">
        <f>IFERROR(__xludf.DUMMYFUNCTION("""COMPUTED_VALUE"""),6.0)</f>
        <v>6</v>
      </c>
    </row>
    <row r="27">
      <c r="J27" s="109" t="str">
        <f>IFERROR(__xludf.DUMMYFUNCTION("""COMPUTED_VALUE"""),"TSK-R9-05")</f>
        <v>TSK-R9-05</v>
      </c>
      <c r="K27" s="110" t="str">
        <f>IFERROR(__xludf.DUMMYFUNCTION("""COMPUTED_VALUE"""),"Build e-Service Portal UI: Outstanding Dues Lookup &amp; Checkout Flow")</f>
        <v>Build e-Service Portal UI: Outstanding Dues Lookup &amp; Checkout Flow</v>
      </c>
      <c r="L27" s="111" t="str">
        <f>IFERROR(__xludf.DUMMYFUNCTION("""COMPUTED_VALUE"""),"Lucas, Arthur")</f>
        <v>Lucas, Arthur</v>
      </c>
      <c r="M27" s="112">
        <f>IFERROR(__xludf.DUMMYFUNCTION("""COMPUTED_VALUE"""),5.0)</f>
        <v>5</v>
      </c>
    </row>
    <row r="28">
      <c r="J28" s="109" t="str">
        <f>IFERROR(__xludf.DUMMYFUNCTION("""COMPUTED_VALUE"""),"TSK-R4-01")</f>
        <v>TSK-R4-01</v>
      </c>
      <c r="K28" s="110" t="str">
        <f>IFERROR(__xludf.DUMMYFUNCTION("""COMPUTED_VALUE"""),"Research document for rule-based")</f>
        <v>Research document for rule-based</v>
      </c>
      <c r="L28" s="111" t="str">
        <f>IFERROR(__xludf.DUMMYFUNCTION("""COMPUTED_VALUE"""),"Christian")</f>
        <v>Christian</v>
      </c>
      <c r="M28" s="112">
        <f>IFERROR(__xludf.DUMMYFUNCTION("""COMPUTED_VALUE"""),4.0)</f>
        <v>4</v>
      </c>
    </row>
    <row r="29">
      <c r="J29" s="121" t="str">
        <f>IFERROR(__xludf.DUMMYFUNCTION("""COMPUTED_VALUE"""),"TSK-R4-02")</f>
        <v>TSK-R4-02</v>
      </c>
      <c r="K29" s="122" t="str">
        <f>IFERROR(__xludf.DUMMYFUNCTION("""COMPUTED_VALUE"""),"Build demo static rule-based")</f>
        <v>Build demo static rule-based</v>
      </c>
      <c r="L29" s="123" t="str">
        <f>IFERROR(__xludf.DUMMYFUNCTION("""COMPUTED_VALUE"""),"Christian")</f>
        <v>Christian</v>
      </c>
      <c r="M29" s="124">
        <f>IFERROR(__xludf.DUMMYFUNCTION("""COMPUTED_VALUE"""),4.0)</f>
        <v>4</v>
      </c>
    </row>
  </sheetData>
  <mergeCells count="22">
    <mergeCell ref="B1:M1"/>
    <mergeCell ref="B2:C2"/>
    <mergeCell ref="D2:E2"/>
    <mergeCell ref="F2:G2"/>
    <mergeCell ref="H2:I2"/>
    <mergeCell ref="J2:K2"/>
    <mergeCell ref="L2:M2"/>
    <mergeCell ref="D4:E4"/>
    <mergeCell ref="F4:G4"/>
    <mergeCell ref="B6:E6"/>
    <mergeCell ref="F6:I6"/>
    <mergeCell ref="J6:M6"/>
    <mergeCell ref="H4:I4"/>
    <mergeCell ref="J4:K4"/>
    <mergeCell ref="B3:C3"/>
    <mergeCell ref="D3:E3"/>
    <mergeCell ref="F3:G3"/>
    <mergeCell ref="H3:I3"/>
    <mergeCell ref="J3:K3"/>
    <mergeCell ref="L3:M3"/>
    <mergeCell ref="B4:C4"/>
    <mergeCell ref="L4:M4"/>
  </mergeCells>
  <drawing r:id="rId1"/>
</worksheet>
</file>