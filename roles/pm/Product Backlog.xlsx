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Backlog" sheetId="1" r:id="rId5"/>
    <sheet state="visible" name="Sprint Tracker" sheetId="2" r:id="rId6"/>
    <sheet state="visible" name="Open Questions" sheetId="3" r:id="rId7"/>
    <sheet state="visible" name="Client Decisions" sheetId="4" r:id="rId8"/>
    <sheet state="visible" name="Read Me" sheetId="5" r:id="rId9"/>
  </sheets>
  <definedNames/>
  <calcPr/>
</workbook>
</file>

<file path=xl/sharedStrings.xml><?xml version="1.0" encoding="utf-8"?>
<sst xmlns="http://schemas.openxmlformats.org/spreadsheetml/2006/main" count="673" uniqueCount="457">
  <si>
    <t>SPRINT TRACKER | LIVE BACKLOG STATUS</t>
  </si>
  <si>
    <t>Counts refresh from Product Backlog → Target Sprint (G) and Dev Status (K). Proposed allocation only; Sprint Planning confirms selection.</t>
  </si>
  <si>
    <t>Target Sprint</t>
  </si>
  <si>
    <t>Items</t>
  </si>
  <si>
    <t>Not Started</t>
  </si>
  <si>
    <t>In Progress</t>
  </si>
  <si>
    <t>Blocked</t>
  </si>
  <si>
    <t>In QA</t>
  </si>
  <si>
    <t>Done</t>
  </si>
  <si>
    <t>Completion</t>
  </si>
  <si>
    <t>Sprint 1</t>
  </si>
  <si>
    <t>CLIENT CLARIFICATIONS | OPEN QUESTIONS</t>
  </si>
  <si>
    <t>CLIENT MEETING | CLARIFIED FACTS &amp; CAUTIONS</t>
  </si>
  <si>
    <t>Use Monday's 30-minute session for P1 questions that can cause current Sprint build/test errors. Capture explicit client answers in this sheet.</t>
  </si>
  <si>
    <t>Source is an AI-generated transcript: verify ambiguous wording against client as needed. Not every team statement equals a client decision.</t>
  </si>
  <si>
    <t>ID</t>
  </si>
  <si>
    <t>EDUCATION ACCOUNT | PRODUCT BACKLOG</t>
  </si>
  <si>
    <t>Proposed build order: read Product Backlog top-to-bottom within each Target Sprint. Dev updates Status, Owner, Estimate and Notes; final Sprint scope requires team planning.</t>
  </si>
  <si>
    <t>Urgency</t>
  </si>
  <si>
    <t>Client clarification / evidence</t>
  </si>
  <si>
    <t>R1–R10 traceability in column F; evidence in R; proposed Build Sequence in S. Sprint 1 includes R9 payment flows (gateway/charge-data dependent).</t>
  </si>
  <si>
    <t>For Sprint</t>
  </si>
  <si>
    <t>Implication for Dev / QA</t>
  </si>
  <si>
    <t>Clarification question / missing decision</t>
  </si>
  <si>
    <t>Source</t>
  </si>
  <si>
    <t>Why needed for Dev / QA</t>
  </si>
  <si>
    <t>Confidence</t>
  </si>
  <si>
    <t>Related PBI</t>
  </si>
  <si>
    <t>Suggested owner</t>
  </si>
  <si>
    <t>CD-01</t>
  </si>
  <si>
    <t>Epic</t>
  </si>
  <si>
    <t>Status (update)</t>
  </si>
  <si>
    <t>Feature / User Story</t>
  </si>
  <si>
    <t>Client answer / decision (update)</t>
  </si>
  <si>
    <t>Education Account is a financial/spending account, NOT a user login account; Singapore Citizens can have it. PR/foreign students may attend schools without one.</t>
  </si>
  <si>
    <t>Meeting / requirement source</t>
  </si>
  <si>
    <t>Description / User Story</t>
  </si>
  <si>
    <t>Model education account separately from portal identity; fees exist for students without Education Accounts.</t>
  </si>
  <si>
    <t>OQ-01</t>
  </si>
  <si>
    <t>Portal / Actor</t>
  </si>
  <si>
    <t>Mtg 15:03–16:30</t>
  </si>
  <si>
    <t>Client explicitly clarified</t>
  </si>
  <si>
    <t>Source Requirement(s)</t>
  </si>
  <si>
    <t>Target Sprint (proposed)</t>
  </si>
  <si>
    <t>CD-02</t>
  </si>
  <si>
    <t>Priority</t>
  </si>
  <si>
    <t>P1 - Now</t>
  </si>
  <si>
    <t>Requirement basis</t>
  </si>
  <si>
    <t>Sprint 2</t>
  </si>
  <si>
    <t>Education Account balance should transfer to CPF at closure; the client expects no pending transactions.</t>
  </si>
  <si>
    <t>Readiness</t>
  </si>
  <si>
    <t>Plan closure/CPF workflow; pending transaction handling needs additional design confirmation.</t>
  </si>
  <si>
    <t>What is the authoritative student data source/API, identifier, refresh frequency and data schema?</t>
  </si>
  <si>
    <t>Dev Status (update)</t>
  </si>
  <si>
    <t>Cannot trust account eligibility or link source records.</t>
  </si>
  <si>
    <t>Owner (update)</t>
  </si>
  <si>
    <t>PB-04, PB-05</t>
  </si>
  <si>
    <t>Estimate SP (update)</t>
  </si>
  <si>
    <t>Client / Architect</t>
  </si>
  <si>
    <t>Dependencies</t>
  </si>
  <si>
    <t>Open question / risk</t>
  </si>
  <si>
    <t>Mtg 11:19–12:13</t>
  </si>
  <si>
    <t>Open</t>
  </si>
  <si>
    <t>Acceptance / Demo check</t>
  </si>
  <si>
    <t>Dev Notes / Blocker (update)</t>
  </si>
  <si>
    <t>CD-03</t>
  </si>
  <si>
    <t>Build Sequence (proposed)</t>
  </si>
  <si>
    <t>Mtg 12:13–13:15</t>
  </si>
  <si>
    <t>Student source fields suggested: name, date of birth, citizenship, address where available.</t>
  </si>
  <si>
    <t>OQ-02</t>
  </si>
  <si>
    <t>Use these as candidate integration fields; actual API payload, identifiers and address availability remain open.</t>
  </si>
  <si>
    <t>PB-01</t>
  </si>
  <si>
    <t>Mtg 12:58–13:15</t>
  </si>
  <si>
    <t>Technical Enabler</t>
  </si>
  <si>
    <t>Where do trusted guardian relationships come from, and which parents/guardians may access each child?</t>
  </si>
  <si>
    <t>CD-04</t>
  </si>
  <si>
    <t>Capacity, concurrency and test baseline</t>
  </si>
  <si>
    <t>Security and access-control design must be testable.</t>
  </si>
  <si>
    <t>Level and cohort mean essentially the same thing; class is a separate dimension.</t>
  </si>
  <si>
    <t>Description: Define the performance and capacity baseline for the HQ, School and Parent portals. Propose concurrency targets and QA load-test scenarios from the client-provided user populations and usage periods; population counts are not confirmed concurrent user targets.</t>
  </si>
  <si>
    <t>PB-04, PB-07</t>
  </si>
  <si>
    <t>Avoid creating independent Level and Cohort concepts without a need.</t>
  </si>
  <si>
    <t>Cross-cutting · Dev / QA</t>
  </si>
  <si>
    <t>Mtg 18:06–18:27</t>
  </si>
  <si>
    <t>No direct R# (meeting NFR)</t>
  </si>
  <si>
    <t>Mtg 16:41–17:33</t>
  </si>
  <si>
    <t>CD-05</t>
  </si>
  <si>
    <t>Sprint 3</t>
  </si>
  <si>
    <t>OQ-03</t>
  </si>
  <si>
    <t>MOE HQ should manage all listed records; School users can edit from level down.</t>
  </si>
  <si>
    <t>Start access design with this restriction; precise row-level scope still needs definition.</t>
  </si>
  <si>
    <t>Mtg 18:33–19:03</t>
  </si>
  <si>
    <t>Is SingPass test/sandbox access available, and which identifier maps to a parent?</t>
  </si>
  <si>
    <t>P2 - Medium</t>
  </si>
  <si>
    <t>Parent demo/integration feasibility.</t>
  </si>
  <si>
    <t>CD-06</t>
  </si>
  <si>
    <t>Client estimates + proposed task</t>
  </si>
  <si>
    <t>PB-06, PB-07</t>
  </si>
  <si>
    <t>School enrollment/schooling status and Education Account status are distinct.</t>
  </si>
  <si>
    <t>Needs team estimate</t>
  </si>
  <si>
    <t>Do not automatically open/close the Education Account on school transfer/enrollment status.</t>
  </si>
  <si>
    <t>Mtg 19:03–19:59</t>
  </si>
  <si>
    <t>IR #8; Mtg 16:41</t>
  </si>
  <si>
    <t>CD-07</t>
  </si>
  <si>
    <t>OQ-04</t>
  </si>
  <si>
    <t>Shared GST fee component was welcomed if feasible, rather than strictly required.</t>
  </si>
  <si>
    <t>Treat component reuse as an enhancement/implementation choice, not a mandatory Sprint 2 contract.</t>
  </si>
  <si>
    <t>Mtg 20:17–22:03</t>
  </si>
  <si>
    <t>What is the authoritative source of outstanding charges? For Sprint 1, is a test/imported charge dataset acceptable until full billing flow is confirmed?</t>
  </si>
  <si>
    <t>Client expressed preference</t>
  </si>
  <si>
    <t>Blocks R9 view and either payment path; must avoid treating a fixture as production billing.</t>
  </si>
  <si>
    <t>PB-13, PB-09, PB-10, PB-11</t>
  </si>
  <si>
    <t>CD-08</t>
  </si>
  <si>
    <t>Client / BA</t>
  </si>
  <si>
    <t>Fee examples: school/miscellaneous fees, ad hoc activities and damage charges.</t>
  </si>
  <si>
    <t>Fee data model should support more than one recurring monthly tuition fee.</t>
  </si>
  <si>
    <t>Mtg 22:33–23:53</t>
  </si>
  <si>
    <t>Unscheduled / trade-off</t>
  </si>
  <si>
    <t>Mtg 03:37–04:12</t>
  </si>
  <si>
    <t>Client gave examples</t>
  </si>
  <si>
    <t>OQ-05</t>
  </si>
  <si>
    <t>Architecture + expected usage profile</t>
  </si>
  <si>
    <t>CD-09</t>
  </si>
  <si>
    <t>500 HQ users, 300 schools x ~200 users, ~2M parents are population estimates, NOT concurrency targets.</t>
  </si>
  <si>
    <t>Client estimates ~500 HQ users, ~300 schools, ~200 School users each, ~2M possible parents; these are NOT concurrency numbers.</t>
  </si>
  <si>
    <t>Proposed concurrency/load assumptions documented and reviewed by team/client.</t>
  </si>
  <si>
    <t>Which data/source is authoritative for Education Account balance and transaction history?</t>
  </si>
  <si>
    <t>Dev/QA must propose and validate concurrent load targets rather than treating population as simultaneous sessions.</t>
  </si>
  <si>
    <t>Mtg 24:52–25:38</t>
  </si>
  <si>
    <t>Client estimate only</t>
  </si>
  <si>
    <t>Account balance and transaction source determine whether an Education Account debit can be reliable and testable in Sprint 1.</t>
  </si>
  <si>
    <t>PB-02</t>
  </si>
  <si>
    <t>CD-10</t>
  </si>
  <si>
    <t>PB-05, PB-08, PB-10</t>
  </si>
  <si>
    <t>Core Data</t>
  </si>
  <si>
    <t>HQ/school activity roughly 08:00–19:00; parent portal access around 06:00–02:00; usage may spike around payment dates.</t>
  </si>
  <si>
    <t>Maintain school, level/cohort, class &amp; student records</t>
  </si>
  <si>
    <t>Use for preliminary load profile, not fixed availability/peak SLA.</t>
  </si>
  <si>
    <t>As an authorized MOE HQ or School User, I want to maintain the school, level/cohort, class and student records within my permissions, so that the system has accurate school and student information.</t>
  </si>
  <si>
    <t>Mtg 26:25–27:17</t>
  </si>
  <si>
    <t>Admin · MOE HQ / School</t>
  </si>
  <si>
    <t>IR #1/#8</t>
  </si>
  <si>
    <t>R3</t>
  </si>
  <si>
    <t>OQ-06</t>
  </si>
  <si>
    <t>CD-11</t>
  </si>
  <si>
    <t>P1 - High</t>
  </si>
  <si>
    <t>The client considered the high-level modules broadly present, but said it was too early to confirm detailed design.</t>
  </si>
  <si>
    <t>Initial + client clarified</t>
  </si>
  <si>
    <t>Do not treat overview diagrams or BA assumptions as full sign-off.</t>
  </si>
  <si>
    <t>At age 7, exactly how is account opening triggered? Need backfill / changes to citizenship handling?</t>
  </si>
  <si>
    <t>Eligibility logic and QA edge cases.</t>
  </si>
  <si>
    <t>Mtg 07:39–08:02</t>
  </si>
  <si>
    <t>Needs AC</t>
  </si>
  <si>
    <t>PB-05</t>
  </si>
  <si>
    <t>Explicit non-approval</t>
  </si>
  <si>
    <t>CD-12</t>
  </si>
  <si>
    <t>Team proposed Sprint 1 focus on IR #1/#3/#8/#9; client said this was acceptable while questioning backend availability.</t>
  </si>
  <si>
    <t>IR #1</t>
  </si>
  <si>
    <t>Sprint 1 scope here is a proposal and must still be estimated/selected by Developers.</t>
  </si>
  <si>
    <t>Mtg 08:47–11:15</t>
  </si>
  <si>
    <t>OQ-07</t>
  </si>
  <si>
    <t>PROPOSED INCREMENTAL SPRINT GOALS</t>
  </si>
  <si>
    <t>Proposed scope discussed</t>
  </si>
  <si>
    <t>School/student data model</t>
  </si>
  <si>
    <t>Sprint</t>
  </si>
  <si>
    <t>Exact HQ/School operations and cross-school scope need refinement.</t>
  </si>
  <si>
    <t>Demo / focus</t>
  </si>
  <si>
    <t>Confirm HQ and school user view/edit matrix, including cross-school student records.</t>
  </si>
  <si>
    <t>Authorized users can view/edit permitted records; school users cannot edit school-level master data.</t>
  </si>
  <si>
    <t>Foundation + SingPass + linked-child account view + R9: view charges, Education Account payment and online payment (gateway-dependent).</t>
  </si>
  <si>
    <t>Protects school/student data; affects UI and API.</t>
  </si>
  <si>
    <t>PB-02, PB-03</t>
  </si>
  <si>
    <t>PB-03</t>
  </si>
  <si>
    <t>Access Control</t>
  </si>
  <si>
    <t>Complete fee configuration/billing management, top-ups and profile editing; carry over online gateway only if integration prevents S1 delivery.</t>
  </si>
  <si>
    <t>HQ vs School role-based permissions</t>
  </si>
  <si>
    <t>Mtg 18:46</t>
  </si>
  <si>
    <t>Account closure and a limited FAS end-to-end slice; rest only if team capacity supports it.</t>
  </si>
  <si>
    <t>As an MOE HQ administrator, I want HQ and School Users to have access limited by their roles and authorized records, so that school and student data can only be managed by permitted users.</t>
  </si>
  <si>
    <t>PLANNING RISKS / SCOPE BOUNDARIES</t>
  </si>
  <si>
    <t>OQ-08</t>
  </si>
  <si>
    <t>High risk: Sprint 1 targets all R9 options but charge source/payment gateway, account ledger and business rules remain unresolved. Confirm via Dev estimates and client clarification.</t>
  </si>
  <si>
    <t>R3 (clarified in meeting)</t>
  </si>
  <si>
    <t>For Sprint 1 R9 payment demos, which confirmed charge dataset and account balances may be used, and must online payment be live or sandbox?</t>
  </si>
  <si>
    <t>Unscheduled ≠ cancelled. PB-22–PB-25 remain client-requested capability candidates that require scope/capacity trade-off.</t>
  </si>
  <si>
    <t>Clarifies release/demo acceptance without representing mocked transactions as integrated payments.</t>
  </si>
  <si>
    <t>Sprint 1–3 allocation is PO recommendation; Dev owns capacity / feasibility, and Sprint scope is chosen collaboratively.</t>
  </si>
  <si>
    <t>PB-09, PB-10, PB-11</t>
  </si>
  <si>
    <t>Client clarified</t>
  </si>
  <si>
    <t>HOW TO UPDATE</t>
  </si>
  <si>
    <t>PO / Client / Dev</t>
  </si>
  <si>
    <t>Dev updates backlog columns K (Dev Status), L (Owner), M (Estimate SP), Q (Notes). Change G (Target Sprint) only after team reprioritization.</t>
  </si>
  <si>
    <t>Mtg 09:57–11:15</t>
  </si>
  <si>
    <t>PB-02; user identity/roles</t>
  </si>
  <si>
    <t>OQ-09</t>
  </si>
  <si>
    <t>Clarify school record visibility and finer permission matrix.</t>
  </si>
  <si>
    <t>P2 - Before Sprint 2</t>
  </si>
  <si>
    <t>HQ has broad management access; School role cannot modify unauthorized records.</t>
  </si>
  <si>
    <t>Which parent profile fields are editable and where are edits synchronized?</t>
  </si>
  <si>
    <t>PB-04</t>
  </si>
  <si>
    <t>Scope and permission for profile update.</t>
  </si>
  <si>
    <t>PB-15</t>
  </si>
  <si>
    <t>Obtain student data from external source</t>
  </si>
  <si>
    <t>Description: Retrieve or import student master data from the agreed external source, including name, date of birth, citizenship and address where available. Establish student identifiers and determine how trusted parent/guardian relationships will be sourced; the interface and mapping remain unconfirmed.</t>
  </si>
  <si>
    <t>Backend / Integration</t>
  </si>
  <si>
    <t>IR #8; Mtg 05:07</t>
  </si>
  <si>
    <t>R1, R3, R8 (supporting enabler)</t>
  </si>
  <si>
    <t>OQ-10</t>
  </si>
  <si>
    <t>Which fee types, components and calculation/charging rules are needed? Is shared GST in scope?</t>
  </si>
  <si>
    <t>Proposed implementation</t>
  </si>
  <si>
    <t>Data model and billing rules need examples.</t>
  </si>
  <si>
    <t>Blocked / external</t>
  </si>
  <si>
    <t>PB-12, PB-13</t>
  </si>
  <si>
    <t>Mtg 20:17–23:53</t>
  </si>
  <si>
    <t>OQ-11</t>
  </si>
  <si>
    <t>External source/API, unique identifiers</t>
  </si>
  <si>
    <t>Actual provider, API access, keys, schema, refresh and guardian source not confirmed.</t>
  </si>
  <si>
    <t>Sample student record can be loaded accurately with source and validation documented.</t>
  </si>
  <si>
    <t>For R9 Sprint 1, confirm Education Account payment rules (eligible fees, insufficient/partial balance) and online provider/methods, sandbox/API access, callbacks and settlement behavior.</t>
  </si>
  <si>
    <t>Both R9 payment options target Sprint 1; unconfirmed financial rules/provider may block implementation and QA.</t>
  </si>
  <si>
    <t>PB-10, PB-11</t>
  </si>
  <si>
    <t>Education Account</t>
  </si>
  <si>
    <t>Create and activate Education Account at age 7</t>
  </si>
  <si>
    <t>As an MOE HQ user, I want an Education Account to be created and activated automatically for an eligible Singapore Citizen at age 7, so that the child's education funding can be administered.</t>
  </si>
  <si>
    <t>Backend / Admin</t>
  </si>
  <si>
    <t>IR #3/#9</t>
  </si>
  <si>
    <t>R1</t>
  </si>
  <si>
    <t>OQ-12</t>
  </si>
  <si>
    <t>Exact HQ batch top-up rules, calculation, rerun behavior, authorization and audit?</t>
  </si>
  <si>
    <t>Prevents unintended duplicate credits.</t>
  </si>
  <si>
    <t>PB-14</t>
  </si>
  <si>
    <t>PB-04; account data design</t>
  </si>
  <si>
    <t>IR #2</t>
  </si>
  <si>
    <t>Age-calculation trigger, backfill, citizenship changes and ledger source not confirmed.</t>
  </si>
  <si>
    <t>OQ-13</t>
  </si>
  <si>
    <t>Eligible example has an active account; ineligible example is not auto-created.</t>
  </si>
  <si>
    <t>P2 - Before Sprint 3</t>
  </si>
  <si>
    <t>PB-06</t>
  </si>
  <si>
    <t>CPF transfer API, reconciliation and what happens if a transaction is still pending at closure?</t>
  </si>
  <si>
    <t>Parent Portal</t>
  </si>
  <si>
    <t>Closure implementation cannot be specified fully.</t>
  </si>
  <si>
    <t>Parent authentication via SingPass</t>
  </si>
  <si>
    <t>PB-16</t>
  </si>
  <si>
    <t>As a parent/guardian, I want to sign in to the e-Service Portal through SingPass, so that I can securely access the services available to me.</t>
  </si>
  <si>
    <t>e-Service · Parent</t>
  </si>
  <si>
    <t>R8</t>
  </si>
  <si>
    <t>OQ-14</t>
  </si>
  <si>
    <t>Initial requirement</t>
  </si>
  <si>
    <t>MOEFAS/SBFAS eligibility thresholds, household definition, income API and approval workflow?</t>
  </si>
  <si>
    <t>Major dependency for FAS end-to-end.</t>
  </si>
  <si>
    <t>SingPass environment, test identities</t>
  </si>
  <si>
    <t>PB-17–PB-20</t>
  </si>
  <si>
    <t>Confirm sandbox access and identity attributes required for parent match.</t>
  </si>
  <si>
    <t>Authorized test parent can sign in and sign out; unauthenticated data access is blocked.</t>
  </si>
  <si>
    <t>PB-07</t>
  </si>
  <si>
    <t>IR #4/#10; Mtg 05:28</t>
  </si>
  <si>
    <t>OQ-15</t>
  </si>
  <si>
    <t>Authorize parent/guardian to linked children</t>
  </si>
  <si>
    <t>P3 - Later</t>
  </si>
  <si>
    <t>As a parent/guardian, I want to see only the children I am authorized to represent after signing in, so that I can access their information without seeing other students' records.</t>
  </si>
  <si>
    <t>Budget periods, reporting breakdown, carry-forward and overspend behavior?</t>
  </si>
  <si>
    <t>R8 (supporting access control)</t>
  </si>
  <si>
    <t>Reporting accuracy and permission scopes.</t>
  </si>
  <si>
    <t>PB-21</t>
  </si>
  <si>
    <t>Proposed solution / implied</t>
  </si>
  <si>
    <t>Needs client decision</t>
  </si>
  <si>
    <t>IR #6</t>
  </si>
  <si>
    <t>OQ-16</t>
  </si>
  <si>
    <t>PB-04, PB-06; trusted guardian mapping</t>
  </si>
  <si>
    <t>Guardian data source, access for multiple guardians and revocation not confirmed.</t>
  </si>
  <si>
    <t>Which AI/ML/support functions are genuinely expected within the three-week delivery? What trade-off is acceptable?</t>
  </si>
  <si>
    <t>A parent sees only linked children and cannot request another child's account.</t>
  </si>
  <si>
    <t>Current breadth is high-risk for capacity and demo commitments.</t>
  </si>
  <si>
    <t>PB-22–PB-25</t>
  </si>
  <si>
    <t>PB-08</t>
  </si>
  <si>
    <t>View child account, balance &amp; transactions</t>
  </si>
  <si>
    <t>As a parent/guardian, I want to view my linked child's Education Account details, balance and transaction history, so that I can understand how the education funds have been used.</t>
  </si>
  <si>
    <t>IR #4/#7/#8–#10</t>
  </si>
  <si>
    <t>OQ-17</t>
  </si>
  <si>
    <t>What concurrency targets and response-time thresholds should QA test for each portal?</t>
  </si>
  <si>
    <t>Population estimates are not performance acceptance criteria.</t>
  </si>
  <si>
    <t>Architect / QA / Client</t>
  </si>
  <si>
    <t>Mtg 24:52–27:17</t>
  </si>
  <si>
    <t>PB-05, PB-07; ledger/source</t>
  </si>
  <si>
    <t>Confirm exact fields, source of transaction records and visibility for closed accounts.</t>
  </si>
  <si>
    <t>QUICK START | GOOGLE SHEETS BACKLOG</t>
  </si>
  <si>
    <t>Authorized parent sees correct child, balance, transaction list and empty state.</t>
  </si>
  <si>
    <t>Step</t>
  </si>
  <si>
    <t>Topic</t>
  </si>
  <si>
    <t>Instruction</t>
  </si>
  <si>
    <t>PB-09</t>
  </si>
  <si>
    <t>Reminder</t>
  </si>
  <si>
    <t>1</t>
  </si>
  <si>
    <t>Upload / import</t>
  </si>
  <si>
    <t>In Google Sheets: File → Import → Upload → select this XLSX. Choose a new spreadsheet or insert sheets.</t>
  </si>
  <si>
    <t>Formulas, filters and dropdowns are intended to transfer; verify after import.</t>
  </si>
  <si>
    <t>View outstanding charges</t>
  </si>
  <si>
    <t>2</t>
  </si>
  <si>
    <t>Daily Dev tracking</t>
  </si>
  <si>
    <t>As a parent/guardian, I want to see my linked child's outstanding school charges and the amounts due, so that I know what remains to be paid.</t>
  </si>
  <si>
    <t>Go to Product Backlog; filter by Target Sprint / Priority. Update K=Dev Status, L=Owner, M=Estimate SP, Q=Notes/Blocker.</t>
  </si>
  <si>
    <t>Status dropdown: Not Started, Ready for Dev, In Progress, Blocked, In QA, Done, Deferred.</t>
  </si>
  <si>
    <t>3</t>
  </si>
  <si>
    <t>PO / BA planning</t>
  </si>
  <si>
    <t>Rows are ordered by proposed implementation sequence: Sprint 1 → Sprint 2 → Sprint 3 → Unscheduled. Within each Sprint, dependencies/enablers come before dependent functions.</t>
  </si>
  <si>
    <t>Use column S (Build Sequence) to restore order after sorting in Google Sheets. Sequence reflects planning judgment, not a strict serial dependency or delivery promise.</t>
  </si>
  <si>
    <t>4</t>
  </si>
  <si>
    <t>Clarification</t>
  </si>
  <si>
    <t>Use Open Questions during 30-minute Monday client clarification meeting. Record answers and close each item after explicit confirmation.</t>
  </si>
  <si>
    <t>Do not implement design guesses as confirmed requirements.</t>
  </si>
  <si>
    <t>5</t>
  </si>
  <si>
    <t>Source Requirement traceability</t>
  </si>
  <si>
    <t>Product Backlog col F maps each PBI to R1–R10 from the client requirement image. Col R preserves original initial-requirement references and meeting timestamps.</t>
  </si>
  <si>
    <t>R9</t>
  </si>
  <si>
    <t>Supporting/Proposed/NFR mappings are not confirmed new client requirements. Check col I (Requirement basis) and Open Questions.</t>
  </si>
  <si>
    <t>6</t>
  </si>
  <si>
    <t>Demo convention</t>
  </si>
  <si>
    <t>Demo with sample/test data only when explicitly labelled; Education Account debit must be a testable transaction; an online payment without gateway/sandbox must NOT count as Done.</t>
  </si>
  <si>
    <t>R9 is only fully satisfied when BOTH payment choices and view outstanding charges work to agreed acceptance criteria.</t>
  </si>
  <si>
    <t>7</t>
  </si>
  <si>
    <t>Sprints</t>
  </si>
  <si>
    <t>Sprint 1 targets R9 view and two payment paths after core data/auth; Sprint 2 completes fee configuration/charge creation (PB-12/PB-13); Sprint 3 targets closure/FAS.</t>
  </si>
  <si>
    <t>R9 in Sprint 1 depends on confirmed charge/test data; PB-13 full billing is Sprint 2. Integration gaps may change sequencing following Dev Planning.</t>
  </si>
  <si>
    <t>9</t>
  </si>
  <si>
    <t>Build sequence</t>
  </si>
  <si>
    <t>At risk / dependency</t>
  </si>
  <si>
    <t>Column S stores a stable proposed build sequence (1–25) matching the physical row order, including unscheduled items.</t>
  </si>
  <si>
    <t>Parallel implementation is still possible; build order is not a mandatory waterfall schedule.</t>
  </si>
  <si>
    <t>10</t>
  </si>
  <si>
    <t>Renumbered IDs</t>
  </si>
  <si>
    <t>PBI IDs were reassigned from PB-01 through PB-25 to match proposed Build Sequence (column S). See ID Mapping for old-to-new references.</t>
  </si>
  <si>
    <t>Do not use PB IDs from older exports without consulting the mapping tab.</t>
  </si>
  <si>
    <t>PB-07, charge data / PB-13</t>
  </si>
  <si>
    <t>For Sprint 1, confirm authoritative or demo charge dataset, due/remaining amount, and which child can see each charge. Billing generation is not yet confirmed.</t>
  </si>
  <si>
    <t>Parent sees correct charges only for their linked child, with amounts/status and an empty state; can choose a payable charge for one of the R9 payment paths.</t>
  </si>
  <si>
    <t>PB-10</t>
  </si>
  <si>
    <t>Payments</t>
  </si>
  <si>
    <t>Pay eligible charges using Education Account</t>
  </si>
  <si>
    <t>As a parent/guardian, I want to pay eligible outstanding school charges using the available balance in my child's Education Account, so that I can use those funds toward school fees. Eligibility, partial-payment and insufficient-funds rules remain open.</t>
  </si>
  <si>
    <t>e-Service / Backend</t>
  </si>
  <si>
    <t>R3, R9</t>
  </si>
  <si>
    <t>PB-05, PB-07, PB-08; charge dataset (PB-13 or agreed test fixtures); transactional ledger</t>
  </si>
  <si>
    <t>P1 clarification: eligible charge categories, sufficient/insufficient balance, full vs partial payment, duplicate submission and settlement rules; validate financial ledger feasibility with Dev.</t>
  </si>
  <si>
    <t>Given an eligible unpaid charge and sufficient balance, authorized parent pays once; account balance and amount outstanding both reduce exactly once; failures do not alter balances.</t>
  </si>
  <si>
    <t>PB-11</t>
  </si>
  <si>
    <t>Pay fees via online payment method</t>
  </si>
  <si>
    <t>As a parent/guardian, I want to pay outstanding school charges through an available online payment method, so that I can settle fees electronically. Supported methods and payment provider are not yet confirmed.</t>
  </si>
  <si>
    <t>PB-07, PB-09; charge dataset; selected payment provider/gateway or test sandbox; callbacks</t>
  </si>
  <si>
    <t>PAYMENT GATE: gateway, permitted methods, test credentials, callbacks, payment confirmation, failed/cancelled payments, refund and reconciliation are not yet defined.</t>
  </si>
  <si>
    <t>Parent can select an available online method, complete a successful test payment and see outstanding charge updated; failed/cancelled payment remains outstanding and does not double-collect.</t>
  </si>
  <si>
    <t>PB-12</t>
  </si>
  <si>
    <t>Fee Management</t>
  </si>
  <si>
    <t>Maintain fee types and components</t>
  </si>
  <si>
    <t>As an authorized administrative user, I want to maintain fee types and their components, so that school charges can be defined consistently. Reusable components such as GST are subject to feasibility and scope confirmation.</t>
  </si>
  <si>
    <t>Initial + client examples</t>
  </si>
  <si>
    <t>PB-02; fee/charge data model</t>
  </si>
  <si>
    <t>Fees, attributes, owners, effective dates; GST reuse suggested if feasible, not mandatory.</t>
  </si>
  <si>
    <t>User can configure fee type/component and retrieve valid fee definition.</t>
  </si>
  <si>
    <t>PB-13</t>
  </si>
  <si>
    <t>Create/record payable charges for students</t>
  </si>
  <si>
    <t>Description: Provide an agreed mechanism to create or receive payable charge records for students, including the charge amount, type and outstanding amount/status. The originating system, responsible actor and charging process are NOT yet confirmed; do not assume manual fee assignment.</t>
  </si>
  <si>
    <t>Admin / Backend</t>
  </si>
  <si>
    <t>R3, R9 (proposed billing flow)</t>
  </si>
  <si>
    <t>Gap / proposed solution</t>
  </si>
  <si>
    <t>PB-02, PB-12</t>
  </si>
  <si>
    <t>Client challenged manual fee assignment; confirm bill source, actor and billing process first.</t>
  </si>
  <si>
    <t>A valid charge appears against correct student, with source and status traceable.</t>
  </si>
  <si>
    <t>Top-Up</t>
  </si>
  <si>
    <t>MOE HQ individual &amp; batch Education Account top-up</t>
  </si>
  <si>
    <t>As an MOE HQ user, I want to top up an individual Education Account or a batch of eligible accounts using configurable rules, so that education funding can be allocated efficiently.</t>
  </si>
  <si>
    <t>Admin · MOE HQ</t>
  </si>
  <si>
    <t>R2</t>
  </si>
  <si>
    <t>PB-05; transaction ledger</t>
  </si>
  <si>
    <t>Exact selection rules, run schedules, amount calculation, rerun handling and audit controls needed.</t>
  </si>
  <si>
    <t>Eligible accounts credited once per approved run; ineligible accounts skipped.</t>
  </si>
  <si>
    <t>Update editable personal details</t>
  </si>
  <si>
    <t>As a parent/guardian, I want to update the personal information fields that I am authorized to edit, so that my details remain current. The editable fields and source-of-truth update process need confirmation.</t>
  </si>
  <si>
    <t>Initial; details open</t>
  </si>
  <si>
    <t>PB-06; profile source</t>
  </si>
  <si>
    <t>Which fields are writable? Does system push changes back to source of truth?</t>
  </si>
  <si>
    <t>Editable fields save successfully; protected fields remain read-only.</t>
  </si>
  <si>
    <t>Close Education Account at age 16</t>
  </si>
  <si>
    <t>As an MOE HQ user, I want an Education Account to be closed when the child reaches age 16 and any remaining balance transferred to CPF, so that the account's funds are handled on closure. Pending transactions and transfer processing still need clarification.</t>
  </si>
  <si>
    <t>PB-05; CPF transfer integration</t>
  </si>
  <si>
    <t>Client expects no pending transactions and residual balance to CPF; exact handling/API not agreed.</t>
  </si>
  <si>
    <t>Closure scenario shows correct status; reconciliation/CPF flow tested against agreed design.</t>
  </si>
  <si>
    <t>PB-17</t>
  </si>
  <si>
    <t>FAS</t>
  </si>
  <si>
    <t>Configure FAS schemes, criteria and subsidy tiers</t>
  </si>
  <si>
    <t>As an authorized FAS administrator, I want to configure MOEFAS and SBFAS eligibility criteria and subsidy tiers, so that applications can be assessed using the applicable scheme rules. Detailed thresholds and authority remain to be confirmed.</t>
  </si>
  <si>
    <t>R4</t>
  </si>
  <si>
    <t>Initial; rules open</t>
  </si>
  <si>
    <t>Student/household model; income API</t>
  </si>
  <si>
    <t>Thresholds, tier definitions, scheme authority, eligibility versioning and external income source missing.</t>
  </si>
  <si>
    <t>Admin can define example scheme and evaluate an agreed eligibility test case.</t>
  </si>
  <si>
    <t>PB-18</t>
  </si>
  <si>
    <t>Online FAS application by family unit</t>
  </si>
  <si>
    <t>As a parent/guardian, I want to submit an online FAS application for my family unit, so that my family can request financial assistance for education costs.</t>
  </si>
  <si>
    <t>R10</t>
  </si>
  <si>
    <t>PB-06, PB-17; household data model</t>
  </si>
  <si>
    <t>Define family-unit members, required evidence, consent and submission rules.</t>
  </si>
  <si>
    <t>Parent submits a family application; submission can be retrieved for review.</t>
  </si>
  <si>
    <t>PB-19</t>
  </si>
  <si>
    <t>Assess FAS and apply approved subsidies</t>
  </si>
  <si>
    <t>Description: Assess MOEFAS eligibility according to agreed rules, support school-level decisions for SBFAS, and reflect approved assistance in eligible school charges. Assessment criteria, approvals, overlaps and fee application rules need clarification.</t>
  </si>
  <si>
    <t>PB-13, PB-17, PB-18</t>
  </si>
  <si>
    <t>Approval roles/states, precedence between schemes, income lookup and recalculation rules missing.</t>
  </si>
  <si>
    <t>Approved subsidy changes payable fee correctly; rejected cases do not get subsidy.</t>
  </si>
  <si>
    <t>PB-20</t>
  </si>
  <si>
    <t>School entry of offline FAS applications</t>
  </si>
  <si>
    <t>As a School User, I want to enter an FAS application received on paper, so that families who cannot apply through the e-Service Portal can still request assistance.</t>
  </si>
  <si>
    <t>Admin · School</t>
  </si>
  <si>
    <t>R5</t>
  </si>
  <si>
    <t>PB-17, PB-18</t>
  </si>
  <si>
    <t>Identity/consent checks, evidence capture, deduplication and workflow need clarification.</t>
  </si>
  <si>
    <t>School can enter an offline application that follows agreed assessment flow.</t>
  </si>
  <si>
    <t>FAS / Reporting</t>
  </si>
  <si>
    <t>Set and track MOEFAS / SBFAS budgets</t>
  </si>
  <si>
    <t>As an authorized MOE HQ or School User, I want to track scheme budgets and subsidy statistics within my responsibility, so that I can monitor financial assistance allocations and usage.</t>
  </si>
  <si>
    <t>R6</t>
  </si>
  <si>
    <t>PB-19; subsidy award data</t>
  </si>
  <si>
    <t>Budget period, overspend rules, approval trail, calculations and reporting breakdown missing.</t>
  </si>
  <si>
    <t>Award totals and remaining budget match agreed calculations per scope.</t>
  </si>
  <si>
    <t>PB-22</t>
  </si>
  <si>
    <t>Support</t>
  </si>
  <si>
    <t>Simulate school/parent view for support</t>
  </si>
  <si>
    <t>As an authorized MOE HQ support user, I want to view the portal experience of a School User or Parent, so that I can investigate reported issues. Simulation permissions, privacy, read-only behavior and audit requirements remain to be confirmed.</t>
  </si>
  <si>
    <t>R7</t>
  </si>
  <si>
    <t>P3 - Low</t>
  </si>
  <si>
    <t>PB-03, PB-06, PB-08</t>
  </si>
  <si>
    <t>Read-only vs impersonation, privacy, audit and consent requirements not defined.</t>
  </si>
  <si>
    <t>Support role can inspect authorized user experience with recorded audit trail.</t>
  </si>
  <si>
    <t>PB-23</t>
  </si>
  <si>
    <t>AI</t>
  </si>
  <si>
    <t>AI conversational help for e-Service users</t>
  </si>
  <si>
    <t>As a parent/guardian, I want an AI assistant to answer questions about using the e-Service Portal and ask follow-up questions when needed, so that I can get help completing supported tasks.</t>
  </si>
  <si>
    <t>R8, R9 (AI Feature)</t>
  </si>
  <si>
    <t>Initial AI feature</t>
  </si>
  <si>
    <t>Product help content, security and AI service</t>
  </si>
  <si>
    <t>Approved knowledge source, model/provider, privacy and expected quality need definition.</t>
  </si>
  <si>
    <t>Assistant addresses supported portal-use question and handles unknowns safely.</t>
  </si>
  <si>
    <t>PB-24</t>
  </si>
  <si>
    <t>AI-assisted FAS application prefill</t>
  </si>
  <si>
    <t>As a parent/guardian, I want a draft FAS application to be prefilled with permitted existing information or answers I provide through the AI assistant, so that I can review it before submission.</t>
  </si>
  <si>
    <t>R10 (AI Feature)</t>
  </si>
  <si>
    <t>PB-18, PB-23</t>
  </si>
  <si>
    <t>Consent, field mapping, verification of generated values and privacy unknown.</t>
  </si>
  <si>
    <t>Prefilled draft shown for confirmation; no unapproved submission.</t>
  </si>
  <si>
    <t>PB-25</t>
  </si>
  <si>
    <t>AI / ML</t>
  </si>
  <si>
    <t>Predict financial difficulty risk tiers</t>
  </si>
  <si>
    <t>Description: Develop an ML-based financial difficulty prediction capability that groups cases into Low, Medium and High risk and suggests an assistance tier, subject to an agreed dataset, evaluation approach and human decision responsibilities.</t>
  </si>
  <si>
    <t>R4 (AI Feature)</t>
  </si>
  <si>
    <t>Blocked / feasibility</t>
  </si>
  <si>
    <t>Historical labeled data, PB-17, ML approach</t>
  </si>
  <si>
    <t>Training dataset, outcome labels, explainability, bias evaluation and decision authority missing.</t>
  </si>
  <si>
    <t>Demonstrable validated prediction on agreed test set if feasible.</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</si>
</sst>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rgb="FF000000"/>
      <name val="Carlito"/>
      <scheme val="minor"/>
    </font>
    <font>
      <b/>
      <sz val="16.0"/>
      <color rgb="FFFFFFFF"/>
      <name val="Carlito"/>
    </font>
    <font>
      <sz val="10.0"/>
      <color rgb="FF24384A"/>
      <name val="Carlito"/>
    </font>
    <font>
      <sz val="9.0"/>
      <color rgb="FF52677B"/>
      <name val="Carlito"/>
    </font>
    <font>
      <b/>
      <sz val="10.0"/>
      <color rgb="FFFFFFFF"/>
      <name val="Carlito"/>
    </font>
    <font>
      <b/>
      <sz val="11.0"/>
      <color rgb="FF1C577A"/>
      <name val="Carlito"/>
    </font>
    <font>
      <sz val="11.0"/>
      <color rgb="FF24384A"/>
      <name val="Carlito"/>
    </font>
    <font>
      <b/>
      <sz val="11.0"/>
      <color rgb="FFFFFFFF"/>
      <name val="Carlito"/>
    </font>
    <font>
      <sz val="11.0"/>
      <color theme="1"/>
      <name val="Carlito"/>
    </font>
    <font>
      <b/>
      <sz val="11.0"/>
      <color rgb="FF132D46"/>
      <name val="Carlito"/>
    </font>
    <font>
      <color theme="1"/>
      <name val="Carlito"/>
      <scheme val="minor"/>
    </font>
  </fonts>
  <fills count="21">
    <fill>
      <patternFill patternType="none"/>
    </fill>
    <fill>
      <patternFill patternType="lightGray"/>
    </fill>
    <fill>
      <patternFill patternType="solid">
        <fgColor rgb="FF132D46"/>
        <bgColor rgb="FF132D46"/>
      </patternFill>
    </fill>
    <fill>
      <patternFill patternType="solid">
        <fgColor rgb="FFEAF3F8"/>
        <bgColor rgb="FFEAF3F8"/>
      </patternFill>
    </fill>
    <fill>
      <patternFill patternType="solid">
        <fgColor rgb="FF1C577A"/>
        <bgColor rgb="FF1C577A"/>
      </patternFill>
    </fill>
    <fill>
      <patternFill patternType="solid">
        <fgColor rgb="FFF5F8FB"/>
        <bgColor rgb="FFF5F8FB"/>
      </patternFill>
    </fill>
    <fill>
      <patternFill patternType="solid">
        <fgColor rgb="FFEAF8F5"/>
        <bgColor rgb="FFEAF8F5"/>
      </patternFill>
    </fill>
    <fill>
      <patternFill patternType="solid">
        <fgColor rgb="FF17324D"/>
        <bgColor rgb="FF17324D"/>
      </patternFill>
    </fill>
    <fill>
      <patternFill patternType="solid">
        <fgColor rgb="FFEDF8F6"/>
        <bgColor rgb="FFEDF8F6"/>
      </patternFill>
    </fill>
    <fill>
      <patternFill patternType="solid">
        <fgColor rgb="FFDCEAFE"/>
        <bgColor rgb="FFDCEAFE"/>
      </patternFill>
    </fill>
    <fill>
      <patternFill patternType="solid">
        <fgColor rgb="FFF5F9FC"/>
        <bgColor rgb="FFF5F9FC"/>
      </patternFill>
    </fill>
    <fill>
      <patternFill patternType="solid">
        <fgColor rgb="FFFFF3DE"/>
        <bgColor rgb="FFFFF3DE"/>
      </patternFill>
    </fill>
    <fill>
      <patternFill patternType="solid">
        <fgColor rgb="FFFFF4E0"/>
        <bgColor rgb="FFFFF4E0"/>
      </patternFill>
    </fill>
    <fill>
      <patternFill patternType="solid">
        <fgColor rgb="FFE6F5F1"/>
        <bgColor rgb="FFE6F5F1"/>
      </patternFill>
    </fill>
    <fill>
      <patternFill patternType="solid">
        <fgColor rgb="FFFFF0DD"/>
        <bgColor rgb="FFFFF0DD"/>
      </patternFill>
    </fill>
    <fill>
      <patternFill patternType="solid">
        <fgColor rgb="FFF4F0E7"/>
        <bgColor rgb="FFF4F0E7"/>
      </patternFill>
    </fill>
    <fill>
      <patternFill patternType="solid">
        <fgColor rgb="FFDBEAFE"/>
        <bgColor rgb="FFDBEAFE"/>
      </patternFill>
    </fill>
    <fill>
      <patternFill patternType="solid">
        <fgColor rgb="FFE1F4E9"/>
        <bgColor rgb="FFE1F4E9"/>
      </patternFill>
    </fill>
    <fill>
      <patternFill patternType="solid">
        <fgColor rgb="FFFEF3C7"/>
        <bgColor rgb="FFFEF3C7"/>
      </patternFill>
    </fill>
    <fill>
      <patternFill patternType="solid">
        <fgColor rgb="FFFFF0D6"/>
        <bgColor rgb="FFFFF0D6"/>
      </patternFill>
    </fill>
    <fill>
      <patternFill patternType="solid">
        <fgColor rgb="FFF1F0F5"/>
        <bgColor rgb="FFF1F0F5"/>
      </patternFill>
    </fill>
  </fills>
  <borders count="1">
    <border/>
  </borders>
  <cellStyleXfs count="1">
    <xf borderId="0" fillId="0" fontId="0" numFmtId="0" applyAlignment="1" applyFont="1"/>
  </cellStyleXfs>
  <cellXfs count="43">
    <xf borderId="0" fillId="0" fontId="0" numFmtId="0" xfId="0" applyAlignment="1" applyFont="1">
      <alignment readingOrder="0" shrinkToFit="0" vertical="bottom" wrapText="0"/>
    </xf>
    <xf borderId="0" fillId="2" fontId="1" numFmtId="0" xfId="0" applyAlignment="1" applyFill="1" applyFont="1">
      <alignment vertical="center"/>
    </xf>
    <xf borderId="0" fillId="3" fontId="2" numFmtId="0" xfId="0" applyAlignment="1" applyFill="1" applyFont="1">
      <alignment shrinkToFit="0" vertical="center" wrapText="1"/>
    </xf>
    <xf borderId="0" fillId="0" fontId="3" numFmtId="0" xfId="0" applyAlignment="1" applyFont="1">
      <alignment shrinkToFit="0" vertical="center" wrapText="1"/>
    </xf>
    <xf borderId="0" fillId="4" fontId="4" numFmtId="0" xfId="0" applyAlignment="1" applyFill="1" applyFont="1">
      <alignment shrinkToFit="0" vertical="center" wrapText="1"/>
    </xf>
    <xf borderId="0" fillId="0" fontId="5" numFmtId="0" xfId="0" applyAlignment="1" applyFont="1">
      <alignment vertical="center"/>
    </xf>
    <xf borderId="0" fillId="0" fontId="6" numFmtId="0" xfId="0" applyAlignment="1" applyFont="1">
      <alignment horizontal="center" vertical="center"/>
    </xf>
    <xf borderId="0" fillId="4" fontId="4" numFmtId="0" xfId="0" applyAlignment="1" applyFill="1" applyFont="1">
      <alignment horizontal="left" readingOrder="0" shrinkToFit="0" vertical="center" wrapText="1"/>
    </xf>
    <xf borderId="0" fillId="0" fontId="2" numFmtId="0" xfId="0" applyAlignment="1" applyFont="1">
      <alignment shrinkToFit="0" vertical="top" wrapText="1"/>
    </xf>
    <xf borderId="0" fillId="0" fontId="6" numFmtId="9" xfId="0" applyAlignment="1" applyFont="1" applyNumberFormat="1">
      <alignment horizontal="center" vertical="center"/>
    </xf>
    <xf borderId="0" fillId="5" fontId="2" numFmtId="0" xfId="0" applyAlignment="1" applyFill="1" applyFont="1">
      <alignment shrinkToFit="0" vertical="top" wrapText="1"/>
    </xf>
    <xf borderId="0" fillId="5" fontId="5" numFmtId="0" xfId="0" applyAlignment="1" applyFill="1" applyFont="1">
      <alignment vertical="center"/>
    </xf>
    <xf borderId="0" fillId="5" fontId="6" numFmtId="0" xfId="0" applyAlignment="1" applyFill="1" applyFont="1">
      <alignment horizontal="center" vertical="center"/>
    </xf>
    <xf borderId="0" fillId="6" fontId="2" numFmtId="0" xfId="0" applyAlignment="1" applyFill="1" applyFont="1">
      <alignment shrinkToFit="0" vertical="top" wrapText="1"/>
    </xf>
    <xf borderId="0" fillId="7" fontId="7" numFmtId="0" xfId="0" applyAlignment="1" applyFill="1" applyFont="1">
      <alignment horizontal="center" shrinkToFit="0" vertical="center" wrapText="1"/>
    </xf>
    <xf borderId="0" fillId="0" fontId="2" numFmtId="0" xfId="0" applyAlignment="1" applyFont="1">
      <alignment readingOrder="0" shrinkToFit="0" vertical="top" wrapText="1"/>
    </xf>
    <xf borderId="0" fillId="5" fontId="6" numFmtId="9" xfId="0" applyAlignment="1" applyFill="1" applyFont="1" applyNumberFormat="1">
      <alignment horizontal="center" vertical="center"/>
    </xf>
    <xf borderId="0" fillId="8" fontId="2" numFmtId="0" xfId="0" applyAlignment="1" applyFill="1" applyFont="1">
      <alignment shrinkToFit="0" vertical="top" wrapText="1"/>
    </xf>
    <xf borderId="0" fillId="8" fontId="2" numFmtId="1" xfId="0" applyAlignment="1" applyFill="1" applyFont="1" applyNumberFormat="1">
      <alignment shrinkToFit="0" vertical="top" wrapText="1"/>
    </xf>
    <xf borderId="0" fillId="9" fontId="8" numFmtId="1" xfId="0" applyAlignment="1" applyFill="1" applyFont="1" applyNumberFormat="1">
      <alignment horizontal="center" vertical="center"/>
    </xf>
    <xf borderId="0" fillId="10" fontId="2" numFmtId="0" xfId="0" applyAlignment="1" applyFill="1" applyFont="1">
      <alignment shrinkToFit="0" vertical="top" wrapText="1"/>
    </xf>
    <xf borderId="0" fillId="11" fontId="2" numFmtId="0" xfId="0" applyAlignment="1" applyFill="1" applyFont="1">
      <alignment shrinkToFit="0" vertical="top" wrapText="1"/>
    </xf>
    <xf borderId="0" fillId="12" fontId="2" numFmtId="0" xfId="0" applyAlignment="1" applyFill="1" applyFont="1">
      <alignment shrinkToFit="0" vertical="top" wrapText="1"/>
    </xf>
    <xf borderId="0" fillId="13" fontId="2" numFmtId="0" xfId="0" applyAlignment="1" applyFill="1" applyFont="1">
      <alignment shrinkToFit="0" vertical="top" wrapText="1"/>
    </xf>
    <xf borderId="0" fillId="4" fontId="7" numFmtId="0" xfId="0" applyFill="1" applyFont="1"/>
    <xf borderId="0" fillId="13" fontId="2" numFmtId="1" xfId="0" applyAlignment="1" applyFill="1" applyFont="1" applyNumberFormat="1">
      <alignment shrinkToFit="0" vertical="top" wrapText="1"/>
    </xf>
    <xf borderId="0" fillId="3" fontId="5" numFmtId="0" xfId="0" applyFill="1" applyFont="1"/>
    <xf borderId="0" fillId="0" fontId="9" numFmtId="0" xfId="0" applyAlignment="1" applyFont="1">
      <alignment shrinkToFit="0" vertical="center" wrapText="1"/>
    </xf>
    <xf borderId="0" fillId="0" fontId="8" numFmtId="0" xfId="0" applyAlignment="1" applyFont="1">
      <alignment shrinkToFit="0" vertical="center" wrapText="1"/>
    </xf>
    <xf borderId="0" fillId="14" fontId="2" numFmtId="0" xfId="0" applyAlignment="1" applyFill="1" applyFont="1">
      <alignment shrinkToFit="0" vertical="center" wrapText="1"/>
    </xf>
    <xf borderId="0" fillId="15" fontId="2" numFmtId="0" xfId="0" applyAlignment="1" applyFill="1" applyFont="1">
      <alignment shrinkToFit="0" vertical="center" wrapText="1"/>
    </xf>
    <xf borderId="0" fillId="0" fontId="2" numFmtId="0" xfId="0" applyAlignment="1" applyFont="1">
      <alignment shrinkToFit="0" vertical="center" wrapText="1"/>
    </xf>
    <xf borderId="0" fillId="10" fontId="2" numFmtId="0" xfId="0" applyAlignment="1" applyFill="1" applyFont="1">
      <alignment readingOrder="0" shrinkToFit="0" vertical="top" wrapText="1"/>
    </xf>
    <xf borderId="0" fillId="0" fontId="10" numFmtId="0" xfId="0" applyFont="1"/>
    <xf borderId="0" fillId="0" fontId="6" numFmtId="0" xfId="0" applyAlignment="1" applyFont="1">
      <alignment shrinkToFit="0" vertical="center" wrapText="1"/>
    </xf>
    <xf borderId="0" fillId="5" fontId="6" numFmtId="0" xfId="0" applyAlignment="1" applyFill="1" applyFont="1">
      <alignment shrinkToFit="0" vertical="center" wrapText="1"/>
    </xf>
    <xf borderId="0" fillId="0" fontId="8" numFmtId="0" xfId="0" applyAlignment="1" applyFont="1">
      <alignment shrinkToFit="0" wrapText="1"/>
    </xf>
    <xf borderId="0" fillId="16" fontId="2" numFmtId="0" xfId="0" applyAlignment="1" applyFill="1" applyFont="1">
      <alignment shrinkToFit="0" vertical="top" wrapText="1"/>
    </xf>
    <xf borderId="0" fillId="17" fontId="8" numFmtId="1" xfId="0" applyAlignment="1" applyFill="1" applyFont="1" applyNumberFormat="1">
      <alignment horizontal="center" vertical="center"/>
    </xf>
    <xf borderId="0" fillId="18" fontId="2" numFmtId="0" xfId="0" applyAlignment="1" applyFill="1" applyFont="1">
      <alignment shrinkToFit="0" vertical="top" wrapText="1"/>
    </xf>
    <xf borderId="0" fillId="19" fontId="8" numFmtId="1" xfId="0" applyAlignment="1" applyFill="1" applyFont="1" applyNumberFormat="1">
      <alignment horizontal="center" vertical="center"/>
    </xf>
    <xf borderId="0" fillId="20" fontId="8" numFmtId="1" xfId="0" applyAlignment="1" applyFill="1" applyFont="1" applyNumberFormat="1">
      <alignment horizontal="center" vertical="center"/>
    </xf>
    <xf borderId="0" fillId="0" fontId="8" numFmtId="1" xfId="0" applyFont="1" applyNumberFormat="1"/>
  </cellXfs>
  <cellStyles count="1">
    <cellStyle xfId="0" name="Normal" builtinId="0"/>
  </cellStyles>
  <dxfs count="15">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
      <font/>
      <fill>
        <patternFill patternType="solid">
          <fgColor rgb="FFD9F3DF"/>
          <bgColor rgb="FFD9F3DF"/>
        </patternFill>
      </fill>
      <border/>
    </dxf>
    <dxf>
      <font/>
      <fill>
        <patternFill patternType="solid">
          <fgColor rgb="FFFFF3DE"/>
          <bgColor rgb="FFFFF3DE"/>
        </patternFill>
      </fill>
      <border/>
    </dxf>
    <dxf>
      <font/>
      <fill>
        <patternFill patternType="solid">
          <fgColor rgb="FFDFF1FF"/>
          <bgColor rgb="FFDFF1FF"/>
        </patternFill>
      </fill>
      <border/>
    </dxf>
    <dxf>
      <font/>
      <fill>
        <patternFill patternType="solid">
          <fgColor rgb="FFFCE6E3"/>
          <bgColor rgb="FFFCE6E3"/>
        </patternFill>
      </fill>
      <border/>
    </dxf>
    <dxf>
      <font/>
      <fill>
        <patternFill patternType="solid">
          <fgColor rgb="FFEDE6FF"/>
          <bgColor rgb="FFEDE6FF"/>
        </patternFill>
      </fill>
      <border/>
    </dxf>
    <dxf>
      <font/>
      <fill>
        <patternFill patternType="solid">
          <fgColor rgb="FFE7F7F4"/>
          <bgColor rgb="FFE7F7F4"/>
        </patternFill>
      </fill>
      <border/>
    </dxf>
    <dxf>
      <font/>
      <fill>
        <patternFill patternType="solid">
          <fgColor rgb="FFF4E8EB"/>
          <bgColor rgb="FFF4E8EB"/>
        </patternFill>
      </fill>
      <border/>
    </dxf>
    <dxf>
      <font/>
      <fill>
        <patternFill patternType="solid">
          <fgColor rgb="FFFEE8E8"/>
          <bgColor rgb="FFFEE8E8"/>
        </patternFill>
      </fill>
      <border/>
    </dxf>
    <dxf>
      <font/>
      <fill>
        <patternFill patternType="solid">
          <fgColor rgb="FFFFF1D9"/>
          <bgColor rgb="FFFFF1D9"/>
        </patternFill>
      </fill>
      <border/>
    </dxf>
    <dxf>
      <font/>
      <fill>
        <patternFill patternType="solid">
          <fgColor rgb="FFE9F0F8"/>
          <bgColor rgb="FFE9F0F8"/>
        </patternFill>
      </fill>
      <border/>
    </dxf>
  </dxfs>
  <tableStyles count="3">
    <tableStyle count="4" pivot="0" name="Open Questions-style">
      <tableStyleElement dxfId="1" type="headerRow"/>
      <tableStyleElement dxfId="2" type="firstRowStripe"/>
      <tableStyleElement dxfId="3" type="secondRowStripe"/>
      <tableStyleElement dxfId="4" size="0" type="wholeTable"/>
    </tableStyle>
    <tableStyle count="4" pivot="0" name="Client Decisions-style">
      <tableStyleElement dxfId="1" type="headerRow"/>
      <tableStyleElement dxfId="2" type="firstRowStripe"/>
      <tableStyleElement dxfId="3" type="secondRowStripe"/>
      <tableStyleElement dxfId="4" size="0" type="wholeTable"/>
    </tableStyle>
    <tableStyle count="4" pivot="0" name="Product Backlog-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5:Q30" displayName="EducationBacklog" name="EducationBacklog" id="3">
  <tableColumns count="17">
    <tableColumn name="ID" id="1"/>
    <tableColumn name="Epic" id="2"/>
    <tableColumn name="Feature / User Story" id="3"/>
    <tableColumn name="Description / User Story" id="4"/>
    <tableColumn name="Portal / Actor" id="5"/>
    <tableColumn name="Source Requirement(s)" id="6"/>
    <tableColumn name="Target Sprint (proposed)" id="7"/>
    <tableColumn name="Priority" id="8"/>
    <tableColumn name="Requirement basis" id="9"/>
    <tableColumn name="Readiness" id="10"/>
    <tableColumn name="Dev Status (update)" id="11"/>
    <tableColumn name="Owner (update)" id="12"/>
    <tableColumn name="Estimate SP (update)" id="13"/>
    <tableColumn name="Dependencies" id="14"/>
    <tableColumn name="Open question / risk" id="15"/>
    <tableColumn name="Acceptance / Demo check" id="16"/>
    <tableColumn name="Dev Notes / Blocker (update)" id="17"/>
  </tableColumns>
  <tableStyleInfo name="Product Backlog-style" showColumnStripes="0" showFirstColumn="1" showLastColumn="1" showRowStripes="1"/>
</table>
</file>

<file path=xl/tables/table2.xml><?xml version="1.0" encoding="utf-8"?>
<table xmlns="http://schemas.openxmlformats.org/spreadsheetml/2006/main" ref="A5:J22" displayName="ClarificationQuestions" name="ClarificationQuestions" id="1">
  <tableColumns count="10">
    <tableColumn name="ID" id="1"/>
    <tableColumn name="Urgency" id="2"/>
    <tableColumn name="For Sprint" id="3"/>
    <tableColumn name="Clarification question / missing decision" id="4"/>
    <tableColumn name="Why needed for Dev / QA" id="5"/>
    <tableColumn name="Related PBI" id="6"/>
    <tableColumn name="Suggested owner" id="7"/>
    <tableColumn name="Status (update)" id="8"/>
    <tableColumn name="Client answer / decision (update)" id="9"/>
    <tableColumn name="Meeting / requirement source" id="10"/>
  </tableColumns>
  <tableStyleInfo name="Open Questions-style" showColumnStripes="0" showFirstColumn="1" showLastColumn="1" showRowStripes="1"/>
</table>
</file>

<file path=xl/tables/table3.xml><?xml version="1.0" encoding="utf-8"?>
<table xmlns="http://schemas.openxmlformats.org/spreadsheetml/2006/main" ref="A5:E17" displayName="ClientClarifications" name="ClientClarifications" id="2">
  <tableColumns count="5">
    <tableColumn name="ID" id="1"/>
    <tableColumn name="Client clarification / evidence" id="2"/>
    <tableColumn name="Implication for Dev / QA" id="3"/>
    <tableColumn name="Source" id="4"/>
    <tableColumn name="Confidence" id="5"/>
  </tableColumns>
  <tableStyleInfo name="Client Decision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2.63" defaultRowHeight="15.0"/>
  <cols>
    <col customWidth="1" min="1" max="1" width="12.0"/>
    <col customWidth="1" min="2" max="2" width="18.0"/>
    <col customWidth="1" min="3" max="3" width="33.0"/>
    <col customWidth="1" min="4" max="4" width="57.0"/>
    <col customWidth="1" min="5" max="5" width="25.0"/>
    <col customWidth="1" min="6" max="6" width="29.0"/>
    <col customWidth="1" min="7" max="7" width="22.0"/>
    <col customWidth="1" min="8" max="8" width="17.0"/>
    <col customWidth="1" min="9" max="9" width="24.0"/>
    <col customWidth="1" min="10" max="10" width="21.0"/>
    <col customWidth="1" min="11" max="11" width="20.0"/>
    <col customWidth="1" min="12" max="12" width="19.0"/>
    <col customWidth="1" min="13" max="13" width="16.0"/>
    <col customWidth="1" min="14" max="14" width="28.0"/>
    <col customWidth="1" min="15" max="15" width="52.0"/>
    <col customWidth="1" min="16" max="16" width="54.0"/>
    <col customWidth="1" min="17" max="17" width="30.0"/>
    <col customWidth="1" min="18" max="18" width="19.0"/>
    <col customWidth="1" min="19" max="25" width="8.63"/>
  </cols>
  <sheetData>
    <row r="1" ht="31.5" customHeight="1">
      <c r="A1" s="1" t="s">
        <v>16</v>
      </c>
    </row>
    <row r="2" ht="27.0" customHeight="1">
      <c r="A2" s="2" t="s">
        <v>17</v>
      </c>
    </row>
    <row r="3" ht="24.0" customHeight="1">
      <c r="A3" s="3" t="s">
        <v>20</v>
      </c>
    </row>
    <row r="5" ht="30.0" customHeight="1">
      <c r="A5" s="7" t="s">
        <v>15</v>
      </c>
      <c r="B5" s="7" t="s">
        <v>30</v>
      </c>
      <c r="C5" s="7" t="s">
        <v>32</v>
      </c>
      <c r="D5" s="7" t="s">
        <v>36</v>
      </c>
      <c r="E5" s="7" t="s">
        <v>39</v>
      </c>
      <c r="F5" s="7" t="s">
        <v>42</v>
      </c>
      <c r="G5" s="7" t="s">
        <v>43</v>
      </c>
      <c r="H5" s="7" t="s">
        <v>45</v>
      </c>
      <c r="I5" s="7" t="s">
        <v>47</v>
      </c>
      <c r="J5" s="7" t="s">
        <v>50</v>
      </c>
      <c r="K5" s="7" t="s">
        <v>53</v>
      </c>
      <c r="L5" s="7" t="s">
        <v>55</v>
      </c>
      <c r="M5" s="7" t="s">
        <v>57</v>
      </c>
      <c r="N5" s="7" t="s">
        <v>59</v>
      </c>
      <c r="O5" s="7" t="s">
        <v>60</v>
      </c>
      <c r="P5" s="7" t="s">
        <v>63</v>
      </c>
      <c r="Q5" s="7" t="s">
        <v>64</v>
      </c>
      <c r="R5" s="14" t="s">
        <v>66</v>
      </c>
    </row>
    <row r="6" ht="75.75" customHeight="1">
      <c r="A6" s="15" t="s">
        <v>71</v>
      </c>
      <c r="B6" s="8" t="s">
        <v>73</v>
      </c>
      <c r="C6" s="8" t="s">
        <v>76</v>
      </c>
      <c r="D6" s="8" t="s">
        <v>79</v>
      </c>
      <c r="E6" s="8" t="s">
        <v>82</v>
      </c>
      <c r="F6" s="8" t="s">
        <v>84</v>
      </c>
      <c r="G6" s="8" t="s">
        <v>10</v>
      </c>
      <c r="H6" s="8" t="s">
        <v>93</v>
      </c>
      <c r="I6" s="8" t="s">
        <v>96</v>
      </c>
      <c r="J6" s="8" t="s">
        <v>99</v>
      </c>
      <c r="K6" s="17" t="s">
        <v>4</v>
      </c>
      <c r="L6" s="17"/>
      <c r="M6" s="18"/>
      <c r="N6" s="8" t="s">
        <v>121</v>
      </c>
      <c r="O6" s="8" t="s">
        <v>123</v>
      </c>
      <c r="P6" s="8" t="s">
        <v>125</v>
      </c>
      <c r="Q6" s="17"/>
      <c r="R6" s="19">
        <v>1.0</v>
      </c>
    </row>
    <row r="7" ht="75.75" customHeight="1">
      <c r="A7" s="20" t="s">
        <v>131</v>
      </c>
      <c r="B7" s="20" t="s">
        <v>134</v>
      </c>
      <c r="C7" s="20" t="s">
        <v>136</v>
      </c>
      <c r="D7" s="20" t="s">
        <v>138</v>
      </c>
      <c r="E7" s="20" t="s">
        <v>140</v>
      </c>
      <c r="F7" s="20" t="s">
        <v>142</v>
      </c>
      <c r="G7" s="20" t="s">
        <v>10</v>
      </c>
      <c r="H7" s="20" t="s">
        <v>145</v>
      </c>
      <c r="I7" s="21" t="s">
        <v>147</v>
      </c>
      <c r="J7" s="22" t="s">
        <v>152</v>
      </c>
      <c r="K7" s="23" t="s">
        <v>4</v>
      </c>
      <c r="L7" s="23"/>
      <c r="M7" s="25"/>
      <c r="N7" s="20" t="s">
        <v>163</v>
      </c>
      <c r="O7" s="20" t="s">
        <v>165</v>
      </c>
      <c r="P7" s="20" t="s">
        <v>168</v>
      </c>
      <c r="Q7" s="23"/>
      <c r="R7" s="19">
        <v>2.0</v>
      </c>
    </row>
    <row r="8" ht="75.75" customHeight="1">
      <c r="A8" s="8" t="s">
        <v>172</v>
      </c>
      <c r="B8" s="8" t="s">
        <v>173</v>
      </c>
      <c r="C8" s="8" t="s">
        <v>175</v>
      </c>
      <c r="D8" s="8" t="s">
        <v>178</v>
      </c>
      <c r="E8" s="8" t="s">
        <v>140</v>
      </c>
      <c r="F8" s="8" t="s">
        <v>182</v>
      </c>
      <c r="G8" s="8" t="s">
        <v>10</v>
      </c>
      <c r="H8" s="8" t="s">
        <v>145</v>
      </c>
      <c r="I8" s="8" t="s">
        <v>188</v>
      </c>
      <c r="J8" s="8" t="s">
        <v>152</v>
      </c>
      <c r="K8" s="17" t="s">
        <v>4</v>
      </c>
      <c r="L8" s="17"/>
      <c r="M8" s="18"/>
      <c r="N8" s="8" t="s">
        <v>193</v>
      </c>
      <c r="O8" s="8" t="s">
        <v>195</v>
      </c>
      <c r="P8" s="8" t="s">
        <v>197</v>
      </c>
      <c r="Q8" s="17"/>
      <c r="R8" s="19">
        <v>3.0</v>
      </c>
    </row>
    <row r="9" ht="75.75" customHeight="1">
      <c r="A9" s="32" t="s">
        <v>199</v>
      </c>
      <c r="B9" s="20" t="s">
        <v>134</v>
      </c>
      <c r="C9" s="20" t="s">
        <v>202</v>
      </c>
      <c r="D9" s="20" t="s">
        <v>203</v>
      </c>
      <c r="E9" s="20" t="s">
        <v>204</v>
      </c>
      <c r="F9" s="20" t="s">
        <v>206</v>
      </c>
      <c r="G9" s="20" t="s">
        <v>10</v>
      </c>
      <c r="H9" s="20" t="s">
        <v>145</v>
      </c>
      <c r="I9" s="20" t="s">
        <v>209</v>
      </c>
      <c r="J9" s="22" t="s">
        <v>211</v>
      </c>
      <c r="K9" s="23" t="s">
        <v>4</v>
      </c>
      <c r="L9" s="23"/>
      <c r="M9" s="25"/>
      <c r="N9" s="20" t="s">
        <v>215</v>
      </c>
      <c r="O9" s="20" t="s">
        <v>216</v>
      </c>
      <c r="P9" s="20" t="s">
        <v>217</v>
      </c>
      <c r="Q9" s="23"/>
      <c r="R9" s="19">
        <v>4.0</v>
      </c>
    </row>
    <row r="10" ht="75.75" customHeight="1">
      <c r="A10" s="8" t="s">
        <v>153</v>
      </c>
      <c r="B10" s="8" t="s">
        <v>221</v>
      </c>
      <c r="C10" s="8" t="s">
        <v>222</v>
      </c>
      <c r="D10" s="8" t="s">
        <v>223</v>
      </c>
      <c r="E10" s="8" t="s">
        <v>224</v>
      </c>
      <c r="F10" s="8" t="s">
        <v>226</v>
      </c>
      <c r="G10" s="8" t="s">
        <v>10</v>
      </c>
      <c r="H10" s="8" t="s">
        <v>145</v>
      </c>
      <c r="I10" s="8" t="s">
        <v>147</v>
      </c>
      <c r="J10" s="8" t="s">
        <v>152</v>
      </c>
      <c r="K10" s="17" t="s">
        <v>4</v>
      </c>
      <c r="L10" s="17"/>
      <c r="M10" s="18"/>
      <c r="N10" s="8" t="s">
        <v>231</v>
      </c>
      <c r="O10" s="8" t="s">
        <v>233</v>
      </c>
      <c r="P10" s="8" t="s">
        <v>235</v>
      </c>
      <c r="Q10" s="17"/>
      <c r="R10" s="19">
        <v>5.0</v>
      </c>
    </row>
    <row r="11" ht="75.75" customHeight="1">
      <c r="A11" s="20" t="s">
        <v>237</v>
      </c>
      <c r="B11" s="20" t="s">
        <v>239</v>
      </c>
      <c r="C11" s="20" t="s">
        <v>241</v>
      </c>
      <c r="D11" s="20" t="s">
        <v>243</v>
      </c>
      <c r="E11" s="20" t="s">
        <v>244</v>
      </c>
      <c r="F11" s="20" t="s">
        <v>245</v>
      </c>
      <c r="G11" s="20" t="s">
        <v>10</v>
      </c>
      <c r="H11" s="20" t="s">
        <v>145</v>
      </c>
      <c r="I11" s="20" t="s">
        <v>247</v>
      </c>
      <c r="J11" s="22" t="s">
        <v>211</v>
      </c>
      <c r="K11" s="23" t="s">
        <v>4</v>
      </c>
      <c r="L11" s="23"/>
      <c r="M11" s="25"/>
      <c r="N11" s="20" t="s">
        <v>250</v>
      </c>
      <c r="O11" s="20" t="s">
        <v>252</v>
      </c>
      <c r="P11" s="20" t="s">
        <v>253</v>
      </c>
      <c r="Q11" s="23"/>
      <c r="R11" s="19">
        <v>6.0</v>
      </c>
    </row>
    <row r="12" ht="75.75" customHeight="1">
      <c r="A12" s="8" t="s">
        <v>254</v>
      </c>
      <c r="B12" s="8" t="s">
        <v>239</v>
      </c>
      <c r="C12" s="8" t="s">
        <v>257</v>
      </c>
      <c r="D12" s="8" t="s">
        <v>259</v>
      </c>
      <c r="E12" s="8" t="s">
        <v>244</v>
      </c>
      <c r="F12" s="8" t="s">
        <v>261</v>
      </c>
      <c r="G12" s="8" t="s">
        <v>10</v>
      </c>
      <c r="H12" s="8" t="s">
        <v>145</v>
      </c>
      <c r="I12" s="21" t="s">
        <v>264</v>
      </c>
      <c r="J12" s="22" t="s">
        <v>265</v>
      </c>
      <c r="K12" s="17" t="s">
        <v>4</v>
      </c>
      <c r="L12" s="17"/>
      <c r="M12" s="18"/>
      <c r="N12" s="8" t="s">
        <v>268</v>
      </c>
      <c r="O12" s="8" t="s">
        <v>269</v>
      </c>
      <c r="P12" s="8" t="s">
        <v>271</v>
      </c>
      <c r="Q12" s="17"/>
      <c r="R12" s="19">
        <v>7.0</v>
      </c>
    </row>
    <row r="13" ht="75.75" customHeight="1">
      <c r="A13" s="20" t="s">
        <v>274</v>
      </c>
      <c r="B13" s="20" t="s">
        <v>239</v>
      </c>
      <c r="C13" s="20" t="s">
        <v>275</v>
      </c>
      <c r="D13" s="20" t="s">
        <v>276</v>
      </c>
      <c r="E13" s="20" t="s">
        <v>244</v>
      </c>
      <c r="F13" s="20" t="s">
        <v>245</v>
      </c>
      <c r="G13" s="20" t="s">
        <v>10</v>
      </c>
      <c r="H13" s="20" t="s">
        <v>145</v>
      </c>
      <c r="I13" s="20" t="s">
        <v>247</v>
      </c>
      <c r="J13" s="20" t="s">
        <v>152</v>
      </c>
      <c r="K13" s="23" t="s">
        <v>4</v>
      </c>
      <c r="L13" s="23"/>
      <c r="M13" s="25"/>
      <c r="N13" s="20" t="s">
        <v>283</v>
      </c>
      <c r="O13" s="20" t="s">
        <v>284</v>
      </c>
      <c r="P13" s="20" t="s">
        <v>286</v>
      </c>
      <c r="Q13" s="23"/>
      <c r="R13" s="19">
        <v>8.0</v>
      </c>
    </row>
    <row r="14" ht="75.75" customHeight="1">
      <c r="A14" s="8" t="s">
        <v>290</v>
      </c>
      <c r="B14" s="8" t="s">
        <v>239</v>
      </c>
      <c r="C14" s="8" t="s">
        <v>296</v>
      </c>
      <c r="D14" s="8" t="s">
        <v>299</v>
      </c>
      <c r="E14" s="8" t="s">
        <v>244</v>
      </c>
      <c r="F14" s="8" t="s">
        <v>313</v>
      </c>
      <c r="G14" s="8" t="s">
        <v>10</v>
      </c>
      <c r="H14" s="8" t="s">
        <v>145</v>
      </c>
      <c r="I14" s="8" t="s">
        <v>247</v>
      </c>
      <c r="J14" s="22" t="s">
        <v>325</v>
      </c>
      <c r="K14" s="17" t="s">
        <v>4</v>
      </c>
      <c r="L14" s="17"/>
      <c r="M14" s="18"/>
      <c r="N14" s="8" t="s">
        <v>332</v>
      </c>
      <c r="O14" s="8" t="s">
        <v>333</v>
      </c>
      <c r="P14" s="8" t="s">
        <v>334</v>
      </c>
      <c r="Q14" s="17"/>
      <c r="R14" s="19">
        <v>9.0</v>
      </c>
    </row>
    <row r="15" ht="75.75" customHeight="1">
      <c r="A15" s="20" t="s">
        <v>335</v>
      </c>
      <c r="B15" s="20" t="s">
        <v>336</v>
      </c>
      <c r="C15" s="20" t="s">
        <v>337</v>
      </c>
      <c r="D15" s="20" t="s">
        <v>338</v>
      </c>
      <c r="E15" s="20" t="s">
        <v>339</v>
      </c>
      <c r="F15" s="20" t="s">
        <v>340</v>
      </c>
      <c r="G15" s="20" t="s">
        <v>10</v>
      </c>
      <c r="H15" s="20" t="s">
        <v>145</v>
      </c>
      <c r="I15" s="20" t="s">
        <v>247</v>
      </c>
      <c r="J15" s="20" t="s">
        <v>325</v>
      </c>
      <c r="K15" s="23" t="s">
        <v>4</v>
      </c>
      <c r="L15" s="23"/>
      <c r="M15" s="25"/>
      <c r="N15" s="20" t="s">
        <v>341</v>
      </c>
      <c r="O15" s="20" t="s">
        <v>342</v>
      </c>
      <c r="P15" s="20" t="s">
        <v>343</v>
      </c>
      <c r="Q15" s="23"/>
      <c r="R15" s="19">
        <v>10.0</v>
      </c>
    </row>
    <row r="16" ht="75.75" customHeight="1">
      <c r="A16" s="8" t="s">
        <v>344</v>
      </c>
      <c r="B16" s="8" t="s">
        <v>336</v>
      </c>
      <c r="C16" s="8" t="s">
        <v>345</v>
      </c>
      <c r="D16" s="8" t="s">
        <v>346</v>
      </c>
      <c r="E16" s="8" t="s">
        <v>244</v>
      </c>
      <c r="F16" s="8" t="s">
        <v>313</v>
      </c>
      <c r="G16" s="8" t="s">
        <v>10</v>
      </c>
      <c r="H16" s="8" t="s">
        <v>145</v>
      </c>
      <c r="I16" s="21" t="s">
        <v>247</v>
      </c>
      <c r="J16" s="22" t="s">
        <v>211</v>
      </c>
      <c r="K16" s="17" t="s">
        <v>4</v>
      </c>
      <c r="L16" s="17"/>
      <c r="M16" s="18"/>
      <c r="N16" s="8" t="s">
        <v>347</v>
      </c>
      <c r="O16" s="8" t="s">
        <v>348</v>
      </c>
      <c r="P16" s="8" t="s">
        <v>349</v>
      </c>
      <c r="Q16" s="17"/>
      <c r="R16" s="19">
        <v>11.0</v>
      </c>
    </row>
    <row r="17" ht="75.75" customHeight="1">
      <c r="A17" s="20" t="s">
        <v>350</v>
      </c>
      <c r="B17" s="20" t="s">
        <v>351</v>
      </c>
      <c r="C17" s="20" t="s">
        <v>352</v>
      </c>
      <c r="D17" s="20" t="s">
        <v>353</v>
      </c>
      <c r="E17" s="20" t="s">
        <v>140</v>
      </c>
      <c r="F17" s="20" t="s">
        <v>142</v>
      </c>
      <c r="G17" s="37" t="s">
        <v>48</v>
      </c>
      <c r="H17" s="20" t="s">
        <v>145</v>
      </c>
      <c r="I17" s="20" t="s">
        <v>354</v>
      </c>
      <c r="J17" s="20" t="s">
        <v>152</v>
      </c>
      <c r="K17" s="23" t="s">
        <v>4</v>
      </c>
      <c r="L17" s="23"/>
      <c r="M17" s="25"/>
      <c r="N17" s="20" t="s">
        <v>355</v>
      </c>
      <c r="O17" s="20" t="s">
        <v>356</v>
      </c>
      <c r="P17" s="20" t="s">
        <v>357</v>
      </c>
      <c r="Q17" s="23"/>
      <c r="R17" s="38">
        <v>12.0</v>
      </c>
    </row>
    <row r="18" ht="75.75" customHeight="1">
      <c r="A18" s="8" t="s">
        <v>358</v>
      </c>
      <c r="B18" s="8" t="s">
        <v>351</v>
      </c>
      <c r="C18" s="8" t="s">
        <v>359</v>
      </c>
      <c r="D18" s="8" t="s">
        <v>360</v>
      </c>
      <c r="E18" s="8" t="s">
        <v>361</v>
      </c>
      <c r="F18" s="8" t="s">
        <v>362</v>
      </c>
      <c r="G18" s="37" t="s">
        <v>48</v>
      </c>
      <c r="H18" s="8" t="s">
        <v>145</v>
      </c>
      <c r="I18" s="8" t="s">
        <v>363</v>
      </c>
      <c r="J18" s="39" t="s">
        <v>265</v>
      </c>
      <c r="K18" s="17" t="s">
        <v>4</v>
      </c>
      <c r="L18" s="17"/>
      <c r="M18" s="18"/>
      <c r="N18" s="8" t="s">
        <v>364</v>
      </c>
      <c r="O18" s="8" t="s">
        <v>365</v>
      </c>
      <c r="P18" s="8" t="s">
        <v>366</v>
      </c>
      <c r="Q18" s="17"/>
      <c r="R18" s="38">
        <v>13.0</v>
      </c>
    </row>
    <row r="19" ht="75.75" customHeight="1">
      <c r="A19" s="20" t="s">
        <v>230</v>
      </c>
      <c r="B19" s="20" t="s">
        <v>367</v>
      </c>
      <c r="C19" s="20" t="s">
        <v>368</v>
      </c>
      <c r="D19" s="20" t="s">
        <v>369</v>
      </c>
      <c r="E19" s="20" t="s">
        <v>370</v>
      </c>
      <c r="F19" s="20" t="s">
        <v>371</v>
      </c>
      <c r="G19" s="37" t="s">
        <v>48</v>
      </c>
      <c r="H19" s="20" t="s">
        <v>145</v>
      </c>
      <c r="I19" s="20" t="s">
        <v>247</v>
      </c>
      <c r="J19" s="39" t="s">
        <v>265</v>
      </c>
      <c r="K19" s="23" t="s">
        <v>4</v>
      </c>
      <c r="L19" s="23"/>
      <c r="M19" s="25"/>
      <c r="N19" s="20" t="s">
        <v>372</v>
      </c>
      <c r="O19" s="20" t="s">
        <v>373</v>
      </c>
      <c r="P19" s="20" t="s">
        <v>374</v>
      </c>
      <c r="Q19" s="23"/>
      <c r="R19" s="38">
        <v>14.0</v>
      </c>
    </row>
    <row r="20" ht="75.75" customHeight="1">
      <c r="A20" s="8" t="s">
        <v>201</v>
      </c>
      <c r="B20" s="8" t="s">
        <v>239</v>
      </c>
      <c r="C20" s="8" t="s">
        <v>375</v>
      </c>
      <c r="D20" s="8" t="s">
        <v>376</v>
      </c>
      <c r="E20" s="8" t="s">
        <v>244</v>
      </c>
      <c r="F20" s="8" t="s">
        <v>245</v>
      </c>
      <c r="G20" s="8" t="s">
        <v>48</v>
      </c>
      <c r="H20" s="8" t="s">
        <v>93</v>
      </c>
      <c r="I20" s="8" t="s">
        <v>377</v>
      </c>
      <c r="J20" s="22" t="s">
        <v>265</v>
      </c>
      <c r="K20" s="17" t="s">
        <v>4</v>
      </c>
      <c r="L20" s="17"/>
      <c r="M20" s="18"/>
      <c r="N20" s="8" t="s">
        <v>378</v>
      </c>
      <c r="O20" s="8" t="s">
        <v>379</v>
      </c>
      <c r="P20" s="8" t="s">
        <v>380</v>
      </c>
      <c r="Q20" s="17"/>
      <c r="R20" s="38">
        <v>15.0</v>
      </c>
    </row>
    <row r="21" ht="75.75" customHeight="1">
      <c r="A21" s="20" t="s">
        <v>242</v>
      </c>
      <c r="B21" s="20" t="s">
        <v>221</v>
      </c>
      <c r="C21" s="20" t="s">
        <v>381</v>
      </c>
      <c r="D21" s="20" t="s">
        <v>382</v>
      </c>
      <c r="E21" s="20" t="s">
        <v>224</v>
      </c>
      <c r="F21" s="20" t="s">
        <v>226</v>
      </c>
      <c r="G21" s="20" t="s">
        <v>87</v>
      </c>
      <c r="H21" s="20" t="s">
        <v>145</v>
      </c>
      <c r="I21" s="20" t="s">
        <v>147</v>
      </c>
      <c r="J21" s="22" t="s">
        <v>211</v>
      </c>
      <c r="K21" s="23" t="s">
        <v>4</v>
      </c>
      <c r="L21" s="23"/>
      <c r="M21" s="25"/>
      <c r="N21" s="20" t="s">
        <v>383</v>
      </c>
      <c r="O21" s="20" t="s">
        <v>384</v>
      </c>
      <c r="P21" s="20" t="s">
        <v>385</v>
      </c>
      <c r="Q21" s="23"/>
      <c r="R21" s="40">
        <v>16.0</v>
      </c>
    </row>
    <row r="22" ht="75.75" customHeight="1">
      <c r="A22" s="8" t="s">
        <v>386</v>
      </c>
      <c r="B22" s="8" t="s">
        <v>387</v>
      </c>
      <c r="C22" s="8" t="s">
        <v>388</v>
      </c>
      <c r="D22" s="8" t="s">
        <v>389</v>
      </c>
      <c r="E22" s="8" t="s">
        <v>140</v>
      </c>
      <c r="F22" s="8" t="s">
        <v>390</v>
      </c>
      <c r="G22" s="8" t="s">
        <v>87</v>
      </c>
      <c r="H22" s="8" t="s">
        <v>145</v>
      </c>
      <c r="I22" s="8" t="s">
        <v>391</v>
      </c>
      <c r="J22" s="22" t="s">
        <v>265</v>
      </c>
      <c r="K22" s="17" t="s">
        <v>4</v>
      </c>
      <c r="L22" s="17"/>
      <c r="M22" s="18"/>
      <c r="N22" s="8" t="s">
        <v>392</v>
      </c>
      <c r="O22" s="8" t="s">
        <v>393</v>
      </c>
      <c r="P22" s="8" t="s">
        <v>394</v>
      </c>
      <c r="Q22" s="17"/>
      <c r="R22" s="40">
        <v>17.0</v>
      </c>
    </row>
    <row r="23" ht="75.75" customHeight="1">
      <c r="A23" s="20" t="s">
        <v>395</v>
      </c>
      <c r="B23" s="20" t="s">
        <v>387</v>
      </c>
      <c r="C23" s="20" t="s">
        <v>396</v>
      </c>
      <c r="D23" s="20" t="s">
        <v>397</v>
      </c>
      <c r="E23" s="20" t="s">
        <v>244</v>
      </c>
      <c r="F23" s="20" t="s">
        <v>398</v>
      </c>
      <c r="G23" s="20" t="s">
        <v>87</v>
      </c>
      <c r="H23" s="20" t="s">
        <v>145</v>
      </c>
      <c r="I23" s="20" t="s">
        <v>247</v>
      </c>
      <c r="J23" s="20" t="s">
        <v>265</v>
      </c>
      <c r="K23" s="23" t="s">
        <v>4</v>
      </c>
      <c r="L23" s="23"/>
      <c r="M23" s="25"/>
      <c r="N23" s="20" t="s">
        <v>399</v>
      </c>
      <c r="O23" s="20" t="s">
        <v>400</v>
      </c>
      <c r="P23" s="20" t="s">
        <v>401</v>
      </c>
      <c r="Q23" s="23"/>
      <c r="R23" s="40">
        <v>18.0</v>
      </c>
    </row>
    <row r="24" ht="75.75" customHeight="1">
      <c r="A24" s="8" t="s">
        <v>402</v>
      </c>
      <c r="B24" s="8" t="s">
        <v>387</v>
      </c>
      <c r="C24" s="8" t="s">
        <v>403</v>
      </c>
      <c r="D24" s="8" t="s">
        <v>404</v>
      </c>
      <c r="E24" s="8" t="s">
        <v>361</v>
      </c>
      <c r="F24" s="8" t="s">
        <v>390</v>
      </c>
      <c r="G24" s="8" t="s">
        <v>87</v>
      </c>
      <c r="H24" s="8" t="s">
        <v>145</v>
      </c>
      <c r="I24" s="8" t="s">
        <v>391</v>
      </c>
      <c r="J24" s="22" t="s">
        <v>265</v>
      </c>
      <c r="K24" s="17" t="s">
        <v>4</v>
      </c>
      <c r="L24" s="17"/>
      <c r="M24" s="18"/>
      <c r="N24" s="8" t="s">
        <v>405</v>
      </c>
      <c r="O24" s="8" t="s">
        <v>406</v>
      </c>
      <c r="P24" s="8" t="s">
        <v>407</v>
      </c>
      <c r="Q24" s="17"/>
      <c r="R24" s="40">
        <v>19.0</v>
      </c>
    </row>
    <row r="25" ht="75.75" customHeight="1">
      <c r="A25" s="20" t="s">
        <v>408</v>
      </c>
      <c r="B25" s="20" t="s">
        <v>387</v>
      </c>
      <c r="C25" s="20" t="s">
        <v>409</v>
      </c>
      <c r="D25" s="20" t="s">
        <v>410</v>
      </c>
      <c r="E25" s="20" t="s">
        <v>411</v>
      </c>
      <c r="F25" s="20" t="s">
        <v>412</v>
      </c>
      <c r="G25" s="20" t="s">
        <v>87</v>
      </c>
      <c r="H25" s="20" t="s">
        <v>93</v>
      </c>
      <c r="I25" s="20" t="s">
        <v>247</v>
      </c>
      <c r="J25" s="20" t="s">
        <v>152</v>
      </c>
      <c r="K25" s="23" t="s">
        <v>4</v>
      </c>
      <c r="L25" s="23"/>
      <c r="M25" s="25"/>
      <c r="N25" s="20" t="s">
        <v>413</v>
      </c>
      <c r="O25" s="20" t="s">
        <v>414</v>
      </c>
      <c r="P25" s="20" t="s">
        <v>415</v>
      </c>
      <c r="Q25" s="23"/>
      <c r="R25" s="40">
        <v>20.0</v>
      </c>
    </row>
    <row r="26" ht="75.75" customHeight="1">
      <c r="A26" s="8" t="s">
        <v>263</v>
      </c>
      <c r="B26" s="8" t="s">
        <v>416</v>
      </c>
      <c r="C26" s="8" t="s">
        <v>417</v>
      </c>
      <c r="D26" s="8" t="s">
        <v>418</v>
      </c>
      <c r="E26" s="8" t="s">
        <v>140</v>
      </c>
      <c r="F26" s="8" t="s">
        <v>419</v>
      </c>
      <c r="G26" s="8" t="s">
        <v>87</v>
      </c>
      <c r="H26" s="8" t="s">
        <v>93</v>
      </c>
      <c r="I26" s="8" t="s">
        <v>247</v>
      </c>
      <c r="J26" s="22" t="s">
        <v>152</v>
      </c>
      <c r="K26" s="17" t="s">
        <v>4</v>
      </c>
      <c r="L26" s="17"/>
      <c r="M26" s="18"/>
      <c r="N26" s="8" t="s">
        <v>420</v>
      </c>
      <c r="O26" s="8" t="s">
        <v>421</v>
      </c>
      <c r="P26" s="8" t="s">
        <v>422</v>
      </c>
      <c r="Q26" s="17"/>
      <c r="R26" s="40">
        <v>21.0</v>
      </c>
    </row>
    <row r="27" ht="75.75" customHeight="1">
      <c r="A27" s="20" t="s">
        <v>423</v>
      </c>
      <c r="B27" s="20" t="s">
        <v>424</v>
      </c>
      <c r="C27" s="20" t="s">
        <v>425</v>
      </c>
      <c r="D27" s="20" t="s">
        <v>426</v>
      </c>
      <c r="E27" s="20" t="s">
        <v>370</v>
      </c>
      <c r="F27" s="20" t="s">
        <v>427</v>
      </c>
      <c r="G27" s="20" t="s">
        <v>117</v>
      </c>
      <c r="H27" s="20" t="s">
        <v>428</v>
      </c>
      <c r="I27" s="20" t="s">
        <v>247</v>
      </c>
      <c r="J27" s="22" t="s">
        <v>265</v>
      </c>
      <c r="K27" s="23" t="s">
        <v>4</v>
      </c>
      <c r="L27" s="23"/>
      <c r="M27" s="25"/>
      <c r="N27" s="20" t="s">
        <v>429</v>
      </c>
      <c r="O27" s="20" t="s">
        <v>430</v>
      </c>
      <c r="P27" s="20" t="s">
        <v>431</v>
      </c>
      <c r="Q27" s="23"/>
      <c r="R27" s="41">
        <v>22.0</v>
      </c>
    </row>
    <row r="28" ht="75.75" customHeight="1">
      <c r="A28" s="8" t="s">
        <v>432</v>
      </c>
      <c r="B28" s="8" t="s">
        <v>433</v>
      </c>
      <c r="C28" s="8" t="s">
        <v>434</v>
      </c>
      <c r="D28" s="8" t="s">
        <v>435</v>
      </c>
      <c r="E28" s="8" t="s">
        <v>244</v>
      </c>
      <c r="F28" s="8" t="s">
        <v>436</v>
      </c>
      <c r="G28" s="8" t="s">
        <v>117</v>
      </c>
      <c r="H28" s="8" t="s">
        <v>428</v>
      </c>
      <c r="I28" s="8" t="s">
        <v>437</v>
      </c>
      <c r="J28" s="22" t="s">
        <v>265</v>
      </c>
      <c r="K28" s="17" t="s">
        <v>4</v>
      </c>
      <c r="L28" s="17"/>
      <c r="M28" s="18"/>
      <c r="N28" s="8" t="s">
        <v>438</v>
      </c>
      <c r="O28" s="8" t="s">
        <v>439</v>
      </c>
      <c r="P28" s="8" t="s">
        <v>440</v>
      </c>
      <c r="Q28" s="17"/>
      <c r="R28" s="41">
        <v>23.0</v>
      </c>
    </row>
    <row r="29" ht="75.75" customHeight="1">
      <c r="A29" s="20" t="s">
        <v>441</v>
      </c>
      <c r="B29" s="20" t="s">
        <v>433</v>
      </c>
      <c r="C29" s="20" t="s">
        <v>442</v>
      </c>
      <c r="D29" s="20" t="s">
        <v>443</v>
      </c>
      <c r="E29" s="20" t="s">
        <v>244</v>
      </c>
      <c r="F29" s="20" t="s">
        <v>444</v>
      </c>
      <c r="G29" s="20" t="s">
        <v>117</v>
      </c>
      <c r="H29" s="20" t="s">
        <v>428</v>
      </c>
      <c r="I29" s="20" t="s">
        <v>437</v>
      </c>
      <c r="J29" s="22" t="s">
        <v>265</v>
      </c>
      <c r="K29" s="23" t="s">
        <v>4</v>
      </c>
      <c r="L29" s="23"/>
      <c r="M29" s="25"/>
      <c r="N29" s="20" t="s">
        <v>445</v>
      </c>
      <c r="O29" s="20" t="s">
        <v>446</v>
      </c>
      <c r="P29" s="20" t="s">
        <v>447</v>
      </c>
      <c r="Q29" s="23"/>
      <c r="R29" s="41">
        <v>24.0</v>
      </c>
    </row>
    <row r="30" ht="75.75" customHeight="1">
      <c r="A30" s="8" t="s">
        <v>448</v>
      </c>
      <c r="B30" s="8" t="s">
        <v>449</v>
      </c>
      <c r="C30" s="8" t="s">
        <v>450</v>
      </c>
      <c r="D30" s="8" t="s">
        <v>451</v>
      </c>
      <c r="E30" s="8" t="s">
        <v>361</v>
      </c>
      <c r="F30" s="8" t="s">
        <v>452</v>
      </c>
      <c r="G30" s="8" t="s">
        <v>117</v>
      </c>
      <c r="H30" s="8" t="s">
        <v>428</v>
      </c>
      <c r="I30" s="21" t="s">
        <v>437</v>
      </c>
      <c r="J30" s="8" t="s">
        <v>453</v>
      </c>
      <c r="K30" s="17" t="s">
        <v>4</v>
      </c>
      <c r="L30" s="17"/>
      <c r="M30" s="18"/>
      <c r="N30" s="8" t="s">
        <v>454</v>
      </c>
      <c r="O30" s="8" t="s">
        <v>455</v>
      </c>
      <c r="P30" s="8" t="s">
        <v>456</v>
      </c>
      <c r="Q30" s="17"/>
      <c r="R30" s="41">
        <v>25.0</v>
      </c>
    </row>
    <row r="31" ht="15.75" customHeight="1">
      <c r="G31" s="33"/>
      <c r="H31" s="33"/>
      <c r="K31" s="33"/>
      <c r="M31" s="42"/>
    </row>
    <row r="32" ht="15.75" customHeight="1">
      <c r="G32" s="33"/>
      <c r="H32" s="33"/>
      <c r="K32" s="33"/>
      <c r="M32" s="42"/>
    </row>
    <row r="33" ht="15.75" customHeight="1">
      <c r="G33" s="33"/>
      <c r="H33" s="33"/>
      <c r="K33" s="33"/>
      <c r="M33" s="42"/>
    </row>
    <row r="34" ht="15.75" customHeight="1">
      <c r="G34" s="33"/>
      <c r="H34" s="33"/>
      <c r="K34" s="33"/>
      <c r="M34" s="42"/>
    </row>
    <row r="35" ht="15.75" customHeight="1">
      <c r="G35" s="33"/>
      <c r="H35" s="33"/>
      <c r="K35" s="33"/>
      <c r="M35" s="42"/>
    </row>
    <row r="36" ht="15.75" customHeight="1">
      <c r="G36" s="33"/>
      <c r="H36" s="33"/>
      <c r="K36" s="33"/>
      <c r="M36" s="42"/>
    </row>
    <row r="37" ht="15.75" customHeight="1">
      <c r="G37" s="33"/>
      <c r="H37" s="33"/>
      <c r="K37" s="33"/>
      <c r="M37" s="42"/>
    </row>
    <row r="38" ht="15.75" customHeight="1">
      <c r="G38" s="33"/>
      <c r="H38" s="33"/>
      <c r="K38" s="33"/>
      <c r="M38" s="42"/>
    </row>
    <row r="39" ht="15.75" customHeight="1">
      <c r="G39" s="33"/>
      <c r="H39" s="33"/>
      <c r="K39" s="33"/>
      <c r="M39" s="42"/>
    </row>
    <row r="40" ht="15.75" customHeight="1">
      <c r="G40" s="33"/>
      <c r="H40" s="33"/>
      <c r="K40" s="33"/>
      <c r="M40" s="42"/>
    </row>
    <row r="41" ht="15.75" customHeight="1">
      <c r="G41" s="33"/>
      <c r="H41" s="33"/>
      <c r="K41" s="33"/>
      <c r="M41" s="42"/>
    </row>
    <row r="42" ht="15.75" customHeight="1">
      <c r="G42" s="33"/>
      <c r="H42" s="33"/>
      <c r="K42" s="33"/>
      <c r="M42" s="42"/>
    </row>
    <row r="43" ht="15.75" customHeight="1">
      <c r="G43" s="33"/>
      <c r="H43" s="33"/>
      <c r="K43" s="33"/>
      <c r="M43" s="42"/>
    </row>
    <row r="44" ht="15.75" customHeight="1">
      <c r="G44" s="33"/>
      <c r="H44" s="33"/>
      <c r="K44" s="33"/>
      <c r="M44" s="42"/>
    </row>
    <row r="45" ht="15.75" customHeight="1">
      <c r="G45" s="33"/>
      <c r="H45" s="33"/>
      <c r="K45" s="33"/>
      <c r="M45" s="42"/>
    </row>
    <row r="46" ht="15.75" customHeight="1">
      <c r="G46" s="33"/>
      <c r="H46" s="33"/>
      <c r="K46" s="33"/>
      <c r="M46" s="42"/>
    </row>
    <row r="47" ht="15.75" customHeight="1">
      <c r="G47" s="33"/>
      <c r="H47" s="33"/>
      <c r="K47" s="33"/>
      <c r="M47" s="42"/>
    </row>
    <row r="48" ht="15.75" customHeight="1">
      <c r="G48" s="33"/>
      <c r="H48" s="33"/>
      <c r="K48" s="33"/>
      <c r="M48" s="42"/>
    </row>
    <row r="49" ht="15.75" customHeight="1">
      <c r="G49" s="33"/>
      <c r="H49" s="33"/>
      <c r="K49" s="33"/>
      <c r="M49" s="42"/>
    </row>
    <row r="50" ht="15.75" customHeight="1">
      <c r="G50" s="33"/>
      <c r="H50" s="33"/>
      <c r="K50" s="33"/>
      <c r="M50" s="42"/>
    </row>
    <row r="51" ht="15.75" customHeight="1">
      <c r="G51" s="33"/>
      <c r="H51" s="33"/>
      <c r="K51" s="33"/>
      <c r="M51" s="42"/>
    </row>
    <row r="52" ht="15.75" customHeight="1">
      <c r="G52" s="33"/>
      <c r="H52" s="33"/>
      <c r="K52" s="33"/>
      <c r="M52" s="42"/>
    </row>
    <row r="53" ht="15.75" customHeight="1">
      <c r="G53" s="33"/>
      <c r="H53" s="33"/>
      <c r="K53" s="33"/>
      <c r="M53" s="42"/>
    </row>
    <row r="54" ht="15.75" customHeight="1">
      <c r="G54" s="33"/>
      <c r="H54" s="33"/>
      <c r="K54" s="33"/>
      <c r="M54" s="42"/>
    </row>
    <row r="55" ht="15.75" customHeight="1">
      <c r="G55" s="33"/>
      <c r="H55" s="33"/>
      <c r="K55" s="33"/>
      <c r="M55" s="42"/>
    </row>
    <row r="56" ht="15.75" customHeight="1">
      <c r="G56" s="33"/>
      <c r="H56" s="33"/>
      <c r="K56" s="33"/>
      <c r="M56" s="42"/>
    </row>
    <row r="57" ht="15.75" customHeight="1">
      <c r="G57" s="33"/>
      <c r="H57" s="33"/>
      <c r="K57" s="33"/>
      <c r="M57" s="42"/>
    </row>
    <row r="58" ht="15.75" customHeight="1">
      <c r="G58" s="33"/>
      <c r="H58" s="33"/>
      <c r="K58" s="33"/>
      <c r="M58" s="42"/>
    </row>
    <row r="59" ht="15.75" customHeight="1">
      <c r="G59" s="33"/>
      <c r="H59" s="33"/>
      <c r="K59" s="33"/>
      <c r="M59" s="42"/>
    </row>
    <row r="60" ht="15.75" customHeight="1">
      <c r="G60" s="33"/>
      <c r="H60" s="33"/>
      <c r="K60" s="33"/>
      <c r="M60" s="42"/>
    </row>
    <row r="61" ht="15.75" customHeight="1">
      <c r="G61" s="33"/>
      <c r="H61" s="33"/>
      <c r="K61" s="33"/>
      <c r="M61" s="42"/>
    </row>
    <row r="62" ht="15.75" customHeight="1">
      <c r="G62" s="33"/>
      <c r="H62" s="33"/>
      <c r="K62" s="33"/>
      <c r="M62" s="42"/>
    </row>
    <row r="63" ht="15.75" customHeight="1">
      <c r="G63" s="33"/>
      <c r="H63" s="33"/>
      <c r="K63" s="33"/>
      <c r="M63" s="42"/>
    </row>
    <row r="64" ht="15.75" customHeight="1">
      <c r="G64" s="33"/>
      <c r="H64" s="33"/>
      <c r="K64" s="33"/>
      <c r="M64" s="42"/>
    </row>
    <row r="65" ht="15.75" customHeight="1">
      <c r="G65" s="33"/>
      <c r="H65" s="33"/>
      <c r="K65" s="33"/>
      <c r="M65" s="42"/>
    </row>
    <row r="66" ht="15.75" customHeight="1">
      <c r="G66" s="33"/>
      <c r="H66" s="33"/>
      <c r="K66" s="33"/>
      <c r="M66" s="42"/>
    </row>
    <row r="67" ht="15.75" customHeight="1">
      <c r="G67" s="33"/>
      <c r="H67" s="33"/>
      <c r="K67" s="33"/>
      <c r="M67" s="42"/>
    </row>
    <row r="68" ht="15.75" customHeight="1">
      <c r="G68" s="33"/>
      <c r="H68" s="33"/>
      <c r="K68" s="33"/>
      <c r="M68" s="42"/>
    </row>
    <row r="69" ht="15.75" customHeight="1">
      <c r="G69" s="33"/>
      <c r="H69" s="33"/>
      <c r="K69" s="33"/>
      <c r="M69" s="42"/>
    </row>
    <row r="70" ht="15.75" customHeight="1">
      <c r="G70" s="33"/>
      <c r="H70" s="33"/>
      <c r="K70" s="33"/>
      <c r="M70" s="42"/>
    </row>
    <row r="71" ht="15.75" customHeight="1">
      <c r="G71" s="33"/>
      <c r="H71" s="33"/>
      <c r="K71" s="33"/>
      <c r="M71" s="42"/>
    </row>
    <row r="72" ht="15.75" customHeight="1">
      <c r="G72" s="33"/>
      <c r="H72" s="33"/>
      <c r="K72" s="33"/>
      <c r="M72" s="42"/>
    </row>
    <row r="73" ht="15.75" customHeight="1">
      <c r="G73" s="33"/>
      <c r="H73" s="33"/>
      <c r="K73" s="33"/>
      <c r="M73" s="42"/>
    </row>
    <row r="74" ht="15.75" customHeight="1">
      <c r="G74" s="33"/>
      <c r="H74" s="33"/>
      <c r="K74" s="33"/>
      <c r="M74" s="42"/>
    </row>
    <row r="75" ht="15.75" customHeight="1">
      <c r="G75" s="33"/>
      <c r="H75" s="33"/>
      <c r="K75" s="33"/>
      <c r="M75" s="42"/>
    </row>
    <row r="76" ht="15.75" customHeight="1">
      <c r="G76" s="33"/>
      <c r="H76" s="33"/>
      <c r="K76" s="33"/>
      <c r="M76" s="42"/>
    </row>
    <row r="77" ht="15.75" customHeight="1">
      <c r="G77" s="33"/>
      <c r="H77" s="33"/>
      <c r="K77" s="33"/>
      <c r="M77" s="42"/>
    </row>
    <row r="78" ht="15.75" customHeight="1">
      <c r="G78" s="33"/>
      <c r="H78" s="33"/>
      <c r="K78" s="33"/>
      <c r="M78" s="42"/>
    </row>
    <row r="79" ht="15.75" customHeight="1">
      <c r="G79" s="33"/>
      <c r="H79" s="33"/>
      <c r="K79" s="33"/>
      <c r="M79" s="42"/>
    </row>
    <row r="80" ht="15.75" customHeight="1">
      <c r="G80" s="33"/>
      <c r="H80" s="33"/>
      <c r="K80" s="33"/>
      <c r="M80" s="42"/>
    </row>
    <row r="81" ht="15.75" customHeight="1">
      <c r="G81" s="33"/>
      <c r="H81" s="33"/>
      <c r="K81" s="33"/>
      <c r="M81" s="42"/>
    </row>
    <row r="82" ht="15.75" customHeight="1">
      <c r="G82" s="33"/>
      <c r="H82" s="33"/>
      <c r="K82" s="33"/>
      <c r="M82" s="42"/>
    </row>
    <row r="83" ht="15.75" customHeight="1">
      <c r="G83" s="33"/>
      <c r="H83" s="33"/>
      <c r="K83" s="33"/>
      <c r="M83" s="42"/>
    </row>
    <row r="84" ht="15.75" customHeight="1">
      <c r="G84" s="33"/>
      <c r="H84" s="33"/>
      <c r="K84" s="33"/>
      <c r="M84" s="42"/>
    </row>
    <row r="85" ht="15.75" customHeight="1">
      <c r="G85" s="33"/>
      <c r="H85" s="33"/>
      <c r="K85" s="33"/>
      <c r="M85" s="42"/>
    </row>
    <row r="86" ht="15.75" customHeight="1">
      <c r="G86" s="33"/>
      <c r="H86" s="33"/>
      <c r="K86" s="33"/>
      <c r="M86" s="42"/>
    </row>
    <row r="87" ht="15.75" customHeight="1">
      <c r="G87" s="33"/>
      <c r="H87" s="33"/>
      <c r="K87" s="33"/>
      <c r="M87" s="42"/>
    </row>
    <row r="88" ht="15.75" customHeight="1">
      <c r="G88" s="33"/>
      <c r="H88" s="33"/>
      <c r="K88" s="33"/>
      <c r="M88" s="42"/>
    </row>
    <row r="89" ht="15.75" customHeight="1">
      <c r="G89" s="33"/>
      <c r="H89" s="33"/>
      <c r="K89" s="33"/>
      <c r="M89" s="42"/>
    </row>
    <row r="90" ht="15.75" customHeight="1">
      <c r="G90" s="33"/>
      <c r="H90" s="33"/>
      <c r="K90" s="33"/>
      <c r="M90" s="42"/>
    </row>
    <row r="91" ht="15.75" customHeight="1">
      <c r="G91" s="33"/>
      <c r="H91" s="33"/>
      <c r="K91" s="33"/>
      <c r="M91" s="42"/>
    </row>
    <row r="92" ht="15.75" customHeight="1">
      <c r="G92" s="33"/>
      <c r="H92" s="33"/>
      <c r="K92" s="33"/>
      <c r="M92" s="42"/>
    </row>
    <row r="93" ht="15.75" customHeight="1">
      <c r="G93" s="33"/>
      <c r="H93" s="33"/>
      <c r="K93" s="33"/>
      <c r="M93" s="42"/>
    </row>
    <row r="94" ht="15.75" customHeight="1">
      <c r="G94" s="33"/>
      <c r="H94" s="33"/>
      <c r="K94" s="33"/>
      <c r="M94" s="42"/>
    </row>
    <row r="95" ht="15.75" customHeight="1">
      <c r="G95" s="33"/>
      <c r="H95" s="33"/>
      <c r="K95" s="33"/>
      <c r="M95" s="42"/>
    </row>
    <row r="96" ht="15.75" customHeight="1">
      <c r="G96" s="33"/>
      <c r="H96" s="33"/>
      <c r="K96" s="33"/>
      <c r="M96" s="42"/>
    </row>
    <row r="97" ht="15.75" customHeight="1">
      <c r="G97" s="33"/>
      <c r="H97" s="33"/>
      <c r="K97" s="33"/>
      <c r="M97" s="42"/>
    </row>
    <row r="98" ht="15.75" customHeight="1">
      <c r="G98" s="33"/>
      <c r="H98" s="33"/>
      <c r="K98" s="33"/>
      <c r="M98" s="42"/>
    </row>
    <row r="99" ht="15.75" customHeight="1">
      <c r="G99" s="33"/>
      <c r="H99" s="33"/>
      <c r="K99" s="33"/>
      <c r="M99" s="42"/>
    </row>
    <row r="100" ht="15.75" customHeight="1">
      <c r="G100" s="33"/>
      <c r="H100" s="33"/>
      <c r="K100" s="33"/>
      <c r="M100" s="42"/>
    </row>
    <row r="101" ht="15.75" customHeight="1">
      <c r="G101" s="33"/>
      <c r="H101" s="33"/>
      <c r="K101" s="33"/>
      <c r="M101" s="42"/>
    </row>
    <row r="102" ht="15.75" customHeight="1">
      <c r="G102" s="33"/>
      <c r="H102" s="33"/>
      <c r="K102" s="33"/>
      <c r="M102" s="42"/>
    </row>
    <row r="103" ht="15.75" customHeight="1">
      <c r="G103" s="33"/>
      <c r="H103" s="33"/>
      <c r="K103" s="33"/>
      <c r="M103" s="42"/>
    </row>
    <row r="104" ht="15.75" customHeight="1">
      <c r="G104" s="33"/>
      <c r="H104" s="33"/>
      <c r="K104" s="33"/>
      <c r="M104" s="42"/>
    </row>
    <row r="105" ht="15.75" customHeight="1">
      <c r="G105" s="33"/>
      <c r="H105" s="33"/>
      <c r="K105" s="33"/>
      <c r="M105" s="42"/>
    </row>
    <row r="106" ht="15.75" customHeight="1">
      <c r="G106" s="33"/>
      <c r="H106" s="33"/>
      <c r="K106" s="33"/>
      <c r="M106" s="42"/>
    </row>
    <row r="107" ht="15.75" customHeight="1">
      <c r="G107" s="33"/>
      <c r="H107" s="33"/>
      <c r="K107" s="33"/>
      <c r="M107" s="42"/>
    </row>
    <row r="108" ht="15.75" customHeight="1">
      <c r="G108" s="33"/>
      <c r="H108" s="33"/>
      <c r="K108" s="33"/>
      <c r="M108" s="42"/>
    </row>
    <row r="109" ht="15.75" customHeight="1">
      <c r="G109" s="33"/>
      <c r="H109" s="33"/>
      <c r="K109" s="33"/>
      <c r="M109" s="42"/>
    </row>
    <row r="110" ht="15.75" customHeight="1">
      <c r="G110" s="33"/>
      <c r="H110" s="33"/>
      <c r="K110" s="33"/>
      <c r="M110" s="42"/>
    </row>
    <row r="111" ht="15.75" customHeight="1">
      <c r="G111" s="33"/>
      <c r="H111" s="33"/>
      <c r="K111" s="33"/>
      <c r="M111" s="42"/>
    </row>
    <row r="112" ht="15.75" customHeight="1">
      <c r="G112" s="33"/>
      <c r="H112" s="33"/>
      <c r="K112" s="33"/>
      <c r="M112" s="42"/>
    </row>
    <row r="113" ht="15.75" customHeight="1">
      <c r="G113" s="33"/>
      <c r="H113" s="33"/>
      <c r="K113" s="33"/>
      <c r="M113" s="42"/>
    </row>
    <row r="114" ht="15.75" customHeight="1">
      <c r="G114" s="33"/>
      <c r="H114" s="33"/>
      <c r="K114" s="33"/>
      <c r="M114" s="42"/>
    </row>
    <row r="115" ht="15.75" customHeight="1">
      <c r="G115" s="33"/>
      <c r="H115" s="33"/>
      <c r="K115" s="33"/>
      <c r="M115" s="42"/>
    </row>
    <row r="116" ht="15.75" customHeight="1">
      <c r="G116" s="33"/>
      <c r="H116" s="33"/>
      <c r="K116" s="33"/>
      <c r="M116" s="42"/>
    </row>
    <row r="117" ht="15.75" customHeight="1">
      <c r="G117" s="33"/>
      <c r="H117" s="33"/>
      <c r="K117" s="33"/>
      <c r="M117" s="42"/>
    </row>
    <row r="118" ht="15.75" customHeight="1">
      <c r="G118" s="33"/>
      <c r="H118" s="33"/>
      <c r="K118" s="33"/>
      <c r="M118" s="42"/>
    </row>
    <row r="119" ht="15.75" customHeight="1">
      <c r="G119" s="33"/>
      <c r="H119" s="33"/>
      <c r="K119" s="33"/>
      <c r="M119" s="42"/>
    </row>
    <row r="120" ht="15.75" customHeight="1">
      <c r="G120" s="33"/>
      <c r="H120" s="33"/>
      <c r="K120" s="33"/>
      <c r="M120" s="42"/>
    </row>
    <row r="121" ht="15.75" customHeight="1">
      <c r="G121" s="33"/>
      <c r="H121" s="33"/>
      <c r="K121" s="33"/>
      <c r="M121" s="42"/>
    </row>
    <row r="122" ht="15.75" customHeight="1">
      <c r="G122" s="33"/>
      <c r="H122" s="33"/>
      <c r="K122" s="33"/>
      <c r="M122" s="42"/>
    </row>
    <row r="123" ht="15.75" customHeight="1">
      <c r="G123" s="33"/>
      <c r="H123" s="33"/>
      <c r="K123" s="33"/>
      <c r="M123" s="42"/>
    </row>
    <row r="124" ht="15.75" customHeight="1">
      <c r="G124" s="33"/>
      <c r="H124" s="33"/>
      <c r="K124" s="33"/>
      <c r="M124" s="42"/>
    </row>
    <row r="125" ht="15.75" customHeight="1">
      <c r="G125" s="33"/>
      <c r="H125" s="33"/>
      <c r="K125" s="33"/>
      <c r="M125" s="42"/>
    </row>
    <row r="126" ht="15.75" customHeight="1">
      <c r="G126" s="33"/>
      <c r="H126" s="33"/>
      <c r="K126" s="33"/>
      <c r="M126" s="42"/>
    </row>
    <row r="127" ht="15.75" customHeight="1">
      <c r="G127" s="33"/>
      <c r="H127" s="33"/>
      <c r="K127" s="33"/>
      <c r="M127" s="42"/>
    </row>
    <row r="128" ht="15.75" customHeight="1">
      <c r="G128" s="33"/>
      <c r="H128" s="33"/>
      <c r="K128" s="33"/>
      <c r="M128" s="42"/>
    </row>
    <row r="129" ht="15.75" customHeight="1">
      <c r="G129" s="33"/>
      <c r="H129" s="33"/>
      <c r="K129" s="33"/>
      <c r="M129" s="42"/>
    </row>
    <row r="130" ht="15.75" customHeight="1">
      <c r="G130" s="33"/>
      <c r="H130" s="33"/>
      <c r="K130" s="33"/>
      <c r="M130" s="42"/>
    </row>
    <row r="131" ht="15.75" customHeight="1">
      <c r="G131" s="33"/>
      <c r="H131" s="33"/>
      <c r="K131" s="33"/>
      <c r="M131" s="42"/>
    </row>
    <row r="132" ht="15.75" customHeight="1">
      <c r="G132" s="33"/>
      <c r="H132" s="33"/>
      <c r="K132" s="33"/>
      <c r="M132" s="42"/>
    </row>
    <row r="133" ht="15.75" customHeight="1">
      <c r="G133" s="33"/>
      <c r="H133" s="33"/>
      <c r="K133" s="33"/>
      <c r="M133" s="42"/>
    </row>
    <row r="134" ht="15.75" customHeight="1">
      <c r="G134" s="33"/>
      <c r="H134" s="33"/>
      <c r="K134" s="33"/>
      <c r="M134" s="42"/>
    </row>
    <row r="135" ht="15.75" customHeight="1">
      <c r="G135" s="33"/>
      <c r="H135" s="33"/>
      <c r="K135" s="33"/>
      <c r="M135" s="42"/>
    </row>
    <row r="136" ht="15.75" customHeight="1">
      <c r="G136" s="33"/>
      <c r="H136" s="33"/>
      <c r="K136" s="33"/>
      <c r="M136" s="42"/>
    </row>
    <row r="137" ht="15.75" customHeight="1">
      <c r="G137" s="33"/>
      <c r="H137" s="33"/>
      <c r="K137" s="33"/>
      <c r="M137" s="42"/>
    </row>
    <row r="138" ht="15.75" customHeight="1">
      <c r="G138" s="33"/>
      <c r="H138" s="33"/>
      <c r="K138" s="33"/>
      <c r="M138" s="42"/>
    </row>
    <row r="139" ht="15.75" customHeight="1">
      <c r="G139" s="33"/>
      <c r="H139" s="33"/>
      <c r="K139" s="33"/>
      <c r="M139" s="42"/>
    </row>
    <row r="140" ht="15.75" customHeight="1">
      <c r="G140" s="33"/>
      <c r="H140" s="33"/>
      <c r="K140" s="33"/>
      <c r="M140" s="42"/>
    </row>
    <row r="141" ht="15.75" customHeight="1">
      <c r="G141" s="33"/>
      <c r="H141" s="33"/>
      <c r="K141" s="33"/>
      <c r="M141" s="42"/>
    </row>
    <row r="142" ht="15.75" customHeight="1">
      <c r="G142" s="33"/>
      <c r="H142" s="33"/>
      <c r="K142" s="33"/>
      <c r="M142" s="42"/>
    </row>
    <row r="143" ht="15.75" customHeight="1">
      <c r="G143" s="33"/>
      <c r="H143" s="33"/>
      <c r="K143" s="33"/>
      <c r="M143" s="42"/>
    </row>
    <row r="144" ht="15.75" customHeight="1">
      <c r="G144" s="33"/>
      <c r="H144" s="33"/>
      <c r="K144" s="33"/>
      <c r="M144" s="42"/>
    </row>
    <row r="145" ht="15.75" customHeight="1">
      <c r="G145" s="33"/>
      <c r="H145" s="33"/>
      <c r="K145" s="33"/>
      <c r="M145" s="42"/>
    </row>
    <row r="146" ht="15.75" customHeight="1">
      <c r="G146" s="33"/>
      <c r="H146" s="33"/>
      <c r="K146" s="33"/>
      <c r="M146" s="42"/>
    </row>
    <row r="147" ht="15.75" customHeight="1">
      <c r="G147" s="33"/>
      <c r="H147" s="33"/>
      <c r="K147" s="33"/>
      <c r="M147" s="42"/>
    </row>
    <row r="148" ht="15.75" customHeight="1">
      <c r="G148" s="33"/>
      <c r="H148" s="33"/>
      <c r="K148" s="33"/>
      <c r="M148" s="42"/>
    </row>
    <row r="149" ht="15.75" customHeight="1">
      <c r="G149" s="33"/>
      <c r="H149" s="33"/>
      <c r="K149" s="33"/>
      <c r="M149" s="42"/>
    </row>
    <row r="150" ht="15.75" customHeight="1">
      <c r="G150" s="33"/>
      <c r="H150" s="33"/>
      <c r="K150" s="33"/>
      <c r="M150" s="42"/>
    </row>
    <row r="151" ht="15.75" customHeight="1">
      <c r="G151" s="33"/>
      <c r="H151" s="33"/>
      <c r="K151" s="33"/>
      <c r="M151" s="42"/>
    </row>
    <row r="152" ht="15.75" customHeight="1">
      <c r="G152" s="33"/>
      <c r="H152" s="33"/>
      <c r="K152" s="33"/>
      <c r="M152" s="42"/>
    </row>
    <row r="153" ht="15.75" customHeight="1">
      <c r="G153" s="33"/>
      <c r="H153" s="33"/>
      <c r="K153" s="33"/>
      <c r="M153" s="42"/>
    </row>
    <row r="154" ht="15.75" customHeight="1">
      <c r="G154" s="33"/>
      <c r="H154" s="33"/>
      <c r="K154" s="33"/>
      <c r="M154" s="42"/>
    </row>
    <row r="155" ht="15.75" customHeight="1">
      <c r="G155" s="33"/>
      <c r="H155" s="33"/>
      <c r="K155" s="33"/>
      <c r="M155" s="42"/>
    </row>
    <row r="156" ht="15.75" customHeight="1">
      <c r="G156" s="33"/>
      <c r="H156" s="33"/>
      <c r="K156" s="33"/>
      <c r="M156" s="42"/>
    </row>
    <row r="157" ht="15.75" customHeight="1">
      <c r="G157" s="33"/>
      <c r="H157" s="33"/>
      <c r="K157" s="33"/>
      <c r="M157" s="42"/>
    </row>
    <row r="158" ht="15.75" customHeight="1">
      <c r="G158" s="33"/>
      <c r="H158" s="33"/>
      <c r="K158" s="33"/>
      <c r="M158" s="42"/>
    </row>
    <row r="159" ht="15.75" customHeight="1">
      <c r="G159" s="33"/>
      <c r="H159" s="33"/>
      <c r="K159" s="33"/>
      <c r="M159" s="42"/>
    </row>
    <row r="160" ht="15.75" customHeight="1">
      <c r="G160" s="33"/>
      <c r="H160" s="33"/>
      <c r="K160" s="33"/>
      <c r="M160" s="42"/>
    </row>
    <row r="161" ht="15.75" customHeight="1">
      <c r="G161" s="33"/>
      <c r="H161" s="33"/>
      <c r="K161" s="33"/>
      <c r="M161" s="42"/>
    </row>
    <row r="162" ht="15.75" customHeight="1">
      <c r="G162" s="33"/>
      <c r="H162" s="33"/>
      <c r="K162" s="33"/>
      <c r="M162" s="42"/>
    </row>
    <row r="163" ht="15.75" customHeight="1">
      <c r="G163" s="33"/>
      <c r="H163" s="33"/>
      <c r="K163" s="33"/>
      <c r="M163" s="42"/>
    </row>
    <row r="164" ht="15.75" customHeight="1">
      <c r="G164" s="33"/>
      <c r="H164" s="33"/>
      <c r="K164" s="33"/>
      <c r="M164" s="42"/>
    </row>
    <row r="165" ht="15.75" customHeight="1">
      <c r="G165" s="33"/>
      <c r="H165" s="33"/>
      <c r="K165" s="33"/>
      <c r="M165" s="42"/>
    </row>
    <row r="166" ht="15.75" customHeight="1">
      <c r="G166" s="33"/>
      <c r="H166" s="33"/>
      <c r="K166" s="33"/>
      <c r="M166" s="42"/>
    </row>
    <row r="167" ht="15.75" customHeight="1">
      <c r="G167" s="33"/>
      <c r="H167" s="33"/>
      <c r="K167" s="33"/>
      <c r="M167" s="42"/>
    </row>
    <row r="168" ht="15.75" customHeight="1">
      <c r="G168" s="33"/>
      <c r="H168" s="33"/>
      <c r="K168" s="33"/>
      <c r="M168" s="42"/>
    </row>
    <row r="169" ht="15.75" customHeight="1">
      <c r="G169" s="33"/>
      <c r="H169" s="33"/>
      <c r="K169" s="33"/>
      <c r="M169" s="42"/>
    </row>
    <row r="170" ht="15.75" customHeight="1">
      <c r="G170" s="33"/>
      <c r="H170" s="33"/>
      <c r="K170" s="33"/>
      <c r="M170" s="42"/>
    </row>
    <row r="171" ht="15.75" customHeight="1">
      <c r="G171" s="33"/>
      <c r="H171" s="33"/>
      <c r="K171" s="33"/>
      <c r="M171" s="42"/>
    </row>
    <row r="172" ht="15.75" customHeight="1">
      <c r="G172" s="33"/>
      <c r="H172" s="33"/>
      <c r="K172" s="33"/>
      <c r="M172" s="42"/>
    </row>
    <row r="173" ht="15.75" customHeight="1">
      <c r="G173" s="33"/>
      <c r="H173" s="33"/>
      <c r="K173" s="33"/>
      <c r="M173" s="42"/>
    </row>
    <row r="174" ht="15.75" customHeight="1">
      <c r="G174" s="33"/>
      <c r="H174" s="33"/>
      <c r="K174" s="33"/>
      <c r="M174" s="42"/>
    </row>
    <row r="175" ht="15.75" customHeight="1">
      <c r="G175" s="33"/>
      <c r="H175" s="33"/>
      <c r="K175" s="33"/>
      <c r="M175" s="42"/>
    </row>
    <row r="176" ht="15.75" customHeight="1">
      <c r="G176" s="33"/>
      <c r="H176" s="33"/>
      <c r="K176" s="33"/>
      <c r="M176" s="42"/>
    </row>
    <row r="177" ht="15.75" customHeight="1">
      <c r="G177" s="33"/>
      <c r="H177" s="33"/>
      <c r="K177" s="33"/>
      <c r="M177" s="42"/>
    </row>
    <row r="178" ht="15.75" customHeight="1">
      <c r="G178" s="33"/>
      <c r="H178" s="33"/>
      <c r="K178" s="33"/>
      <c r="M178" s="42"/>
    </row>
    <row r="179" ht="15.75" customHeight="1">
      <c r="G179" s="33"/>
      <c r="H179" s="33"/>
      <c r="K179" s="33"/>
      <c r="M179" s="42"/>
    </row>
    <row r="180" ht="15.75" customHeight="1">
      <c r="G180" s="33"/>
      <c r="H180" s="33"/>
      <c r="K180" s="33"/>
      <c r="M180" s="42"/>
    </row>
    <row r="181" ht="15.75" customHeight="1">
      <c r="G181" s="33"/>
      <c r="H181" s="33"/>
      <c r="K181" s="33"/>
      <c r="M181" s="42"/>
    </row>
    <row r="182" ht="15.75" customHeight="1">
      <c r="G182" s="33"/>
      <c r="H182" s="33"/>
      <c r="K182" s="33"/>
      <c r="M182" s="42"/>
    </row>
    <row r="183" ht="15.75" customHeight="1">
      <c r="G183" s="33"/>
      <c r="H183" s="33"/>
      <c r="K183" s="33"/>
      <c r="M183" s="42"/>
    </row>
    <row r="184" ht="15.75" customHeight="1">
      <c r="G184" s="33"/>
      <c r="H184" s="33"/>
      <c r="K184" s="33"/>
      <c r="M184" s="42"/>
    </row>
    <row r="185" ht="15.75" customHeight="1">
      <c r="G185" s="33"/>
      <c r="H185" s="33"/>
      <c r="K185" s="33"/>
      <c r="M185" s="42"/>
    </row>
    <row r="186" ht="15.75" customHeight="1">
      <c r="G186" s="33"/>
      <c r="H186" s="33"/>
      <c r="K186" s="33"/>
      <c r="M186" s="42"/>
    </row>
    <row r="187" ht="15.75" customHeight="1">
      <c r="G187" s="33"/>
      <c r="H187" s="33"/>
      <c r="K187" s="33"/>
      <c r="M187" s="42"/>
    </row>
    <row r="188" ht="15.75" customHeight="1">
      <c r="G188" s="33"/>
      <c r="H188" s="33"/>
      <c r="K188" s="33"/>
      <c r="M188" s="42"/>
    </row>
    <row r="189" ht="15.75" customHeight="1">
      <c r="G189" s="33"/>
      <c r="H189" s="33"/>
      <c r="K189" s="33"/>
      <c r="M189" s="42"/>
    </row>
    <row r="190" ht="15.75" customHeight="1">
      <c r="G190" s="33"/>
      <c r="H190" s="33"/>
      <c r="K190" s="33"/>
      <c r="M190" s="42"/>
    </row>
    <row r="191" ht="15.75" customHeight="1">
      <c r="G191" s="33"/>
      <c r="H191" s="33"/>
      <c r="K191" s="33"/>
      <c r="M191" s="42"/>
    </row>
    <row r="192" ht="15.75" customHeight="1">
      <c r="G192" s="33"/>
      <c r="H192" s="33"/>
      <c r="K192" s="33"/>
      <c r="M192" s="42"/>
    </row>
    <row r="193" ht="15.75" customHeight="1">
      <c r="G193" s="33"/>
      <c r="H193" s="33"/>
      <c r="K193" s="33"/>
      <c r="M193" s="42"/>
    </row>
    <row r="194" ht="15.75" customHeight="1">
      <c r="G194" s="33"/>
      <c r="H194" s="33"/>
      <c r="K194" s="33"/>
      <c r="M194" s="42"/>
    </row>
    <row r="195" ht="15.75" customHeight="1">
      <c r="G195" s="33"/>
      <c r="H195" s="33"/>
      <c r="K195" s="33"/>
      <c r="M195" s="42"/>
    </row>
    <row r="196" ht="15.75" customHeight="1">
      <c r="G196" s="33"/>
      <c r="H196" s="33"/>
      <c r="K196" s="33"/>
      <c r="M196" s="42"/>
    </row>
    <row r="197" ht="15.75" customHeight="1">
      <c r="G197" s="33"/>
      <c r="H197" s="33"/>
      <c r="K197" s="33"/>
      <c r="M197" s="42"/>
    </row>
    <row r="198" ht="15.75" customHeight="1">
      <c r="G198" s="33"/>
      <c r="H198" s="33"/>
      <c r="K198" s="33"/>
      <c r="M198" s="42"/>
    </row>
    <row r="199" ht="15.75" customHeight="1">
      <c r="G199" s="33"/>
      <c r="H199" s="33"/>
      <c r="K199" s="33"/>
      <c r="M199" s="42"/>
    </row>
    <row r="200" ht="15.75" customHeight="1">
      <c r="G200" s="33"/>
      <c r="H200" s="33"/>
      <c r="K200" s="33"/>
      <c r="M200" s="42"/>
    </row>
    <row r="201" ht="15.75" customHeight="1">
      <c r="G201" s="33"/>
      <c r="H201" s="33"/>
      <c r="K201" s="33"/>
      <c r="M201" s="42"/>
    </row>
    <row r="202" ht="15.75" customHeight="1">
      <c r="G202" s="33"/>
      <c r="H202" s="33"/>
      <c r="K202" s="33"/>
      <c r="M202" s="42"/>
    </row>
    <row r="203" ht="15.75" customHeight="1">
      <c r="G203" s="33"/>
      <c r="H203" s="33"/>
      <c r="K203" s="33"/>
      <c r="M203" s="42"/>
    </row>
    <row r="204" ht="15.75" customHeight="1">
      <c r="G204" s="33"/>
      <c r="H204" s="33"/>
      <c r="K204" s="33"/>
      <c r="M204" s="42"/>
    </row>
    <row r="205" ht="15.75" customHeight="1">
      <c r="G205" s="33"/>
      <c r="H205" s="33"/>
      <c r="K205" s="33"/>
      <c r="M205" s="42"/>
    </row>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Q1"/>
    <mergeCell ref="A2:Q2"/>
    <mergeCell ref="A3:Q3"/>
  </mergeCells>
  <conditionalFormatting sqref="K6:K205">
    <cfRule type="expression" dxfId="5" priority="1">
      <formula>$K6="Done"</formula>
    </cfRule>
  </conditionalFormatting>
  <conditionalFormatting sqref="K6:K205">
    <cfRule type="expression" dxfId="7" priority="2">
      <formula>$K6="In Progress"</formula>
    </cfRule>
  </conditionalFormatting>
  <conditionalFormatting sqref="K6:K205">
    <cfRule type="expression" dxfId="8" priority="3">
      <formula>$K6="Blocked"</formula>
    </cfRule>
  </conditionalFormatting>
  <conditionalFormatting sqref="K6:K205">
    <cfRule type="expression" dxfId="9" priority="4">
      <formula>$K6="In QA"</formula>
    </cfRule>
  </conditionalFormatting>
  <conditionalFormatting sqref="K6:K205">
    <cfRule type="expression" dxfId="10" priority="5">
      <formula>$K6="Ready for Dev"</formula>
    </cfRule>
  </conditionalFormatting>
  <conditionalFormatting sqref="K6:K205">
    <cfRule type="expression" dxfId="11" priority="6">
      <formula>$K6="Deferred"</formula>
    </cfRule>
  </conditionalFormatting>
  <conditionalFormatting sqref="H6:H205">
    <cfRule type="expression" dxfId="12" priority="7">
      <formula>$H6="P1 - High"</formula>
    </cfRule>
  </conditionalFormatting>
  <conditionalFormatting sqref="H6:H205">
    <cfRule type="expression" dxfId="13" priority="8">
      <formula>$H6="P2 - Medium"</formula>
    </cfRule>
  </conditionalFormatting>
  <conditionalFormatting sqref="H6:H205">
    <cfRule type="expression" dxfId="14" priority="9">
      <formula>$H6="P3 - Low"</formula>
    </cfRule>
  </conditionalFormatting>
  <dataValidations>
    <dataValidation type="list" allowBlank="1" sqref="H6:H205">
      <formula1>"P1 - High,P2 - Medium,P3 - Low"</formula1>
    </dataValidation>
    <dataValidation type="list" allowBlank="1" sqref="G6:G205">
      <formula1>"Sprint 1,Sprint 2,Sprint 3,Unscheduled / trade-off"</formula1>
    </dataValidation>
    <dataValidation type="list" allowBlank="1" sqref="K6:K205">
      <formula1>"Not Started,Ready for Dev,In Progress,Blocked,In QA,Done,Deferred"</formula1>
    </dataValidation>
  </dataValidations>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2.63" defaultRowHeight="15.0"/>
  <cols>
    <col customWidth="1" min="1" max="1" width="26.0"/>
    <col customWidth="1" min="2" max="2" width="17.0"/>
    <col customWidth="1" min="3" max="4" width="20.0"/>
    <col customWidth="1" min="5" max="6" width="18.0"/>
    <col customWidth="1" min="7" max="7" width="16.0"/>
    <col customWidth="1" min="8" max="8" width="18.0"/>
    <col customWidth="1" min="9" max="26" width="8.63"/>
  </cols>
  <sheetData>
    <row r="1" ht="31.5" customHeight="1">
      <c r="A1" s="1" t="s">
        <v>0</v>
      </c>
    </row>
    <row r="2" ht="27.0" customHeight="1">
      <c r="A2" s="2" t="s">
        <v>1</v>
      </c>
    </row>
    <row r="3" ht="24.0" customHeight="1">
      <c r="A3" s="3"/>
      <c r="B3" s="3"/>
      <c r="C3" s="3"/>
      <c r="D3" s="3"/>
      <c r="E3" s="3"/>
      <c r="F3" s="3"/>
      <c r="G3" s="3"/>
      <c r="H3" s="3"/>
    </row>
    <row r="5" ht="31.5" customHeight="1">
      <c r="A5" s="4" t="s">
        <v>2</v>
      </c>
      <c r="B5" s="4" t="s">
        <v>3</v>
      </c>
      <c r="C5" s="4" t="s">
        <v>4</v>
      </c>
      <c r="D5" s="4" t="s">
        <v>5</v>
      </c>
      <c r="E5" s="4" t="s">
        <v>6</v>
      </c>
      <c r="F5" s="4" t="s">
        <v>7</v>
      </c>
      <c r="G5" s="4" t="s">
        <v>8</v>
      </c>
      <c r="H5" s="4" t="s">
        <v>9</v>
      </c>
    </row>
    <row r="6" ht="37.5" customHeight="1">
      <c r="A6" s="5" t="s">
        <v>10</v>
      </c>
      <c r="B6" s="6">
        <f>COUNTIF('Product Backlog'!$G$6:$G$205,A6)</f>
        <v>11</v>
      </c>
      <c r="C6" s="6">
        <f>COUNTIFS('Product Backlog'!$G$6:$G$205,A6,'Product Backlog'!$K$6:$K$205,"Not Started")</f>
        <v>11</v>
      </c>
      <c r="D6" s="6">
        <f>COUNTIFS('Product Backlog'!$G$6:$G$205,A6,'Product Backlog'!$K$6:$K$205,"In Progress")</f>
        <v>0</v>
      </c>
      <c r="E6" s="6">
        <f>COUNTIFS('Product Backlog'!$G$6:$G$205,A6,'Product Backlog'!$K$6:$K$205,"Blocked")</f>
        <v>0</v>
      </c>
      <c r="F6" s="6">
        <f>COUNTIFS('Product Backlog'!$G$6:$G$205,A6,'Product Backlog'!$K$6:$K$205,"In QA")</f>
        <v>0</v>
      </c>
      <c r="G6" s="6">
        <f>COUNTIFS('Product Backlog'!$G$6:$G$205,A6,'Product Backlog'!$K$6:$K$205,"Done")</f>
        <v>0</v>
      </c>
      <c r="H6" s="9">
        <f t="shared" ref="H6:H9" si="1">IF(B6=0,0,G6/B6)</f>
        <v>0</v>
      </c>
    </row>
    <row r="7" ht="37.5" customHeight="1">
      <c r="A7" s="11" t="s">
        <v>48</v>
      </c>
      <c r="B7" s="12">
        <f>COUNTIF('Product Backlog'!$G$6:$G$205,A7)</f>
        <v>4</v>
      </c>
      <c r="C7" s="12">
        <f>COUNTIFS('Product Backlog'!$G$6:$G$205,A7,'Product Backlog'!$K$6:$K$205,"Not Started")</f>
        <v>4</v>
      </c>
      <c r="D7" s="12">
        <f>COUNTIFS('Product Backlog'!$G$6:$G$205,A7,'Product Backlog'!$K$6:$K$205,"In Progress")</f>
        <v>0</v>
      </c>
      <c r="E7" s="12">
        <f>COUNTIFS('Product Backlog'!$G$6:$G$205,A7,'Product Backlog'!$K$6:$K$205,"Blocked")</f>
        <v>0</v>
      </c>
      <c r="F7" s="12">
        <f>COUNTIFS('Product Backlog'!$G$6:$G$205,A7,'Product Backlog'!$K$6:$K$205,"In QA")</f>
        <v>0</v>
      </c>
      <c r="G7" s="12">
        <f>COUNTIFS('Product Backlog'!$G$6:$G$205,A7,'Product Backlog'!$K$6:$K$205,"Done")</f>
        <v>0</v>
      </c>
      <c r="H7" s="16">
        <f t="shared" si="1"/>
        <v>0</v>
      </c>
    </row>
    <row r="8" ht="37.5" customHeight="1">
      <c r="A8" s="5" t="s">
        <v>87</v>
      </c>
      <c r="B8" s="6">
        <f>COUNTIF('Product Backlog'!$G$6:$G$205,A8)</f>
        <v>6</v>
      </c>
      <c r="C8" s="6">
        <f>COUNTIFS('Product Backlog'!$G$6:$G$205,A8,'Product Backlog'!$K$6:$K$205,"Not Started")</f>
        <v>6</v>
      </c>
      <c r="D8" s="6">
        <f>COUNTIFS('Product Backlog'!$G$6:$G$205,A8,'Product Backlog'!$K$6:$K$205,"In Progress")</f>
        <v>0</v>
      </c>
      <c r="E8" s="6">
        <f>COUNTIFS('Product Backlog'!$G$6:$G$205,A8,'Product Backlog'!$K$6:$K$205,"Blocked")</f>
        <v>0</v>
      </c>
      <c r="F8" s="6">
        <f>COUNTIFS('Product Backlog'!$G$6:$G$205,A8,'Product Backlog'!$K$6:$K$205,"In QA")</f>
        <v>0</v>
      </c>
      <c r="G8" s="6">
        <f>COUNTIFS('Product Backlog'!$G$6:$G$205,A8,'Product Backlog'!$K$6:$K$205,"Done")</f>
        <v>0</v>
      </c>
      <c r="H8" s="9">
        <f t="shared" si="1"/>
        <v>0</v>
      </c>
    </row>
    <row r="9" ht="37.5" customHeight="1">
      <c r="A9" s="11" t="s">
        <v>117</v>
      </c>
      <c r="B9" s="12">
        <f>COUNTIF('Product Backlog'!$G$6:$G$205,A9)</f>
        <v>4</v>
      </c>
      <c r="C9" s="12">
        <f>COUNTIFS('Product Backlog'!$G$6:$G$205,A9,'Product Backlog'!$K$6:$K$205,"Not Started")</f>
        <v>4</v>
      </c>
      <c r="D9" s="12">
        <f>COUNTIFS('Product Backlog'!$G$6:$G$205,A9,'Product Backlog'!$K$6:$K$205,"In Progress")</f>
        <v>0</v>
      </c>
      <c r="E9" s="12">
        <f>COUNTIFS('Product Backlog'!$G$6:$G$205,A9,'Product Backlog'!$K$6:$K$205,"Blocked")</f>
        <v>0</v>
      </c>
      <c r="F9" s="12">
        <f>COUNTIFS('Product Backlog'!$G$6:$G$205,A9,'Product Backlog'!$K$6:$K$205,"In QA")</f>
        <v>0</v>
      </c>
      <c r="G9" s="12">
        <f>COUNTIFS('Product Backlog'!$G$6:$G$205,A9,'Product Backlog'!$K$6:$K$205,"Done")</f>
        <v>0</v>
      </c>
      <c r="H9" s="16">
        <f t="shared" si="1"/>
        <v>0</v>
      </c>
    </row>
    <row r="12" ht="25.5" customHeight="1">
      <c r="A12" s="24" t="s">
        <v>161</v>
      </c>
    </row>
    <row r="14" ht="25.5" customHeight="1">
      <c r="A14" s="26" t="s">
        <v>164</v>
      </c>
      <c r="B14" s="26" t="s">
        <v>166</v>
      </c>
    </row>
    <row r="15" ht="54.0" customHeight="1">
      <c r="A15" s="27" t="s">
        <v>10</v>
      </c>
      <c r="B15" s="28" t="s">
        <v>169</v>
      </c>
    </row>
    <row r="16" ht="54.0" customHeight="1">
      <c r="A16" s="27" t="s">
        <v>48</v>
      </c>
      <c r="B16" s="28" t="s">
        <v>174</v>
      </c>
    </row>
    <row r="17" ht="54.0" customHeight="1">
      <c r="A17" s="27" t="s">
        <v>87</v>
      </c>
      <c r="B17" s="28" t="s">
        <v>177</v>
      </c>
    </row>
    <row r="19" ht="25.5" customHeight="1">
      <c r="A19" s="24" t="s">
        <v>179</v>
      </c>
    </row>
    <row r="20" ht="42.0" customHeight="1">
      <c r="A20" s="29" t="s">
        <v>181</v>
      </c>
    </row>
    <row r="21" ht="36.0" customHeight="1">
      <c r="A21" s="30" t="s">
        <v>184</v>
      </c>
    </row>
    <row r="22" ht="36.0" customHeight="1">
      <c r="A22" s="31" t="s">
        <v>186</v>
      </c>
    </row>
    <row r="23" ht="15.75" customHeight="1"/>
    <row r="24" ht="15.75" customHeight="1"/>
    <row r="25" ht="25.5" customHeight="1">
      <c r="A25" s="24" t="s">
        <v>189</v>
      </c>
    </row>
    <row r="26" ht="36.0" customHeight="1">
      <c r="A26" s="31" t="s">
        <v>191</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A20:H20"/>
    <mergeCell ref="A21:H21"/>
    <mergeCell ref="A22:H22"/>
    <mergeCell ref="A25:H25"/>
    <mergeCell ref="A26:H26"/>
    <mergeCell ref="A1:H1"/>
    <mergeCell ref="A2:H2"/>
    <mergeCell ref="A12:H12"/>
    <mergeCell ref="B15:H15"/>
    <mergeCell ref="B16:H16"/>
    <mergeCell ref="B17:H17"/>
    <mergeCell ref="A19:H19"/>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2.63" defaultRowHeight="15.0"/>
  <cols>
    <col customWidth="1" min="1" max="1" width="13.0"/>
    <col customWidth="1" min="2" max="2" width="19.0"/>
    <col customWidth="1" min="3" max="3" width="18.0"/>
    <col customWidth="1" min="4" max="4" width="66.0"/>
    <col customWidth="1" min="5" max="5" width="51.0"/>
    <col customWidth="1" min="6" max="6" width="27.0"/>
    <col customWidth="1" min="7" max="7" width="23.0"/>
    <col customWidth="1" min="8" max="8" width="19.0"/>
    <col customWidth="1" min="9" max="9" width="55.0"/>
    <col customWidth="1" min="10" max="10" width="28.0"/>
    <col customWidth="1" min="11" max="26" width="8.63"/>
  </cols>
  <sheetData>
    <row r="1" ht="31.5" customHeight="1">
      <c r="A1" s="1" t="s">
        <v>11</v>
      </c>
    </row>
    <row r="2" ht="27.0" customHeight="1">
      <c r="A2" s="2" t="s">
        <v>13</v>
      </c>
    </row>
    <row r="3" ht="24.0" customHeight="1">
      <c r="A3" s="3"/>
      <c r="B3" s="3"/>
      <c r="C3" s="3"/>
      <c r="D3" s="3"/>
      <c r="E3" s="3"/>
      <c r="F3" s="3"/>
      <c r="G3" s="3"/>
      <c r="H3" s="3"/>
      <c r="I3" s="3"/>
      <c r="J3" s="3"/>
    </row>
    <row r="5" ht="31.5" customHeight="1">
      <c r="A5" s="7" t="s">
        <v>15</v>
      </c>
      <c r="B5" s="7" t="s">
        <v>18</v>
      </c>
      <c r="C5" s="7" t="s">
        <v>21</v>
      </c>
      <c r="D5" s="7" t="s">
        <v>23</v>
      </c>
      <c r="E5" s="7" t="s">
        <v>25</v>
      </c>
      <c r="F5" s="7" t="s">
        <v>27</v>
      </c>
      <c r="G5" s="7" t="s">
        <v>28</v>
      </c>
      <c r="H5" s="7" t="s">
        <v>31</v>
      </c>
      <c r="I5" s="7" t="s">
        <v>33</v>
      </c>
      <c r="J5" s="7" t="s">
        <v>35</v>
      </c>
    </row>
    <row r="6" ht="63.75" customHeight="1">
      <c r="A6" s="8" t="s">
        <v>38</v>
      </c>
      <c r="B6" s="8" t="s">
        <v>46</v>
      </c>
      <c r="C6" s="8" t="s">
        <v>10</v>
      </c>
      <c r="D6" s="8" t="s">
        <v>52</v>
      </c>
      <c r="E6" s="8" t="s">
        <v>54</v>
      </c>
      <c r="F6" s="8" t="s">
        <v>56</v>
      </c>
      <c r="G6" s="8" t="s">
        <v>58</v>
      </c>
      <c r="H6" s="13" t="s">
        <v>62</v>
      </c>
      <c r="I6" s="13"/>
      <c r="J6" s="8" t="s">
        <v>67</v>
      </c>
    </row>
    <row r="7" ht="63.75" customHeight="1">
      <c r="A7" s="10" t="s">
        <v>69</v>
      </c>
      <c r="B7" s="10" t="s">
        <v>46</v>
      </c>
      <c r="C7" s="10" t="s">
        <v>10</v>
      </c>
      <c r="D7" s="10" t="s">
        <v>74</v>
      </c>
      <c r="E7" s="10" t="s">
        <v>77</v>
      </c>
      <c r="F7" s="10" t="s">
        <v>80</v>
      </c>
      <c r="G7" s="10" t="s">
        <v>58</v>
      </c>
      <c r="H7" s="13" t="s">
        <v>62</v>
      </c>
      <c r="I7" s="13"/>
      <c r="J7" s="10" t="s">
        <v>85</v>
      </c>
    </row>
    <row r="8" ht="63.75" customHeight="1">
      <c r="A8" s="8" t="s">
        <v>88</v>
      </c>
      <c r="B8" s="8" t="s">
        <v>46</v>
      </c>
      <c r="C8" s="8" t="s">
        <v>10</v>
      </c>
      <c r="D8" s="8" t="s">
        <v>92</v>
      </c>
      <c r="E8" s="8" t="s">
        <v>94</v>
      </c>
      <c r="F8" s="8" t="s">
        <v>97</v>
      </c>
      <c r="G8" s="8" t="s">
        <v>58</v>
      </c>
      <c r="H8" s="13" t="s">
        <v>62</v>
      </c>
      <c r="I8" s="13"/>
      <c r="J8" s="8" t="s">
        <v>102</v>
      </c>
    </row>
    <row r="9" ht="63.75" customHeight="1">
      <c r="A9" s="10" t="s">
        <v>104</v>
      </c>
      <c r="B9" s="10" t="s">
        <v>46</v>
      </c>
      <c r="C9" s="10" t="s">
        <v>10</v>
      </c>
      <c r="D9" s="10" t="s">
        <v>108</v>
      </c>
      <c r="E9" s="10" t="s">
        <v>110</v>
      </c>
      <c r="F9" s="10" t="s">
        <v>111</v>
      </c>
      <c r="G9" s="10" t="s">
        <v>113</v>
      </c>
      <c r="H9" s="13" t="s">
        <v>62</v>
      </c>
      <c r="I9" s="13"/>
      <c r="J9" s="10" t="s">
        <v>118</v>
      </c>
    </row>
    <row r="10" ht="63.75" customHeight="1">
      <c r="A10" s="8" t="s">
        <v>120</v>
      </c>
      <c r="B10" s="8" t="s">
        <v>46</v>
      </c>
      <c r="C10" s="8" t="s">
        <v>10</v>
      </c>
      <c r="D10" s="8" t="s">
        <v>126</v>
      </c>
      <c r="E10" s="8" t="s">
        <v>130</v>
      </c>
      <c r="F10" s="8" t="s">
        <v>133</v>
      </c>
      <c r="G10" s="8" t="s">
        <v>58</v>
      </c>
      <c r="H10" s="13" t="s">
        <v>62</v>
      </c>
      <c r="I10" s="13"/>
      <c r="J10" s="8" t="s">
        <v>141</v>
      </c>
    </row>
    <row r="11" ht="63.75" customHeight="1">
      <c r="A11" s="10" t="s">
        <v>143</v>
      </c>
      <c r="B11" s="10" t="s">
        <v>46</v>
      </c>
      <c r="C11" s="10" t="s">
        <v>10</v>
      </c>
      <c r="D11" s="10" t="s">
        <v>149</v>
      </c>
      <c r="E11" s="10" t="s">
        <v>150</v>
      </c>
      <c r="F11" s="10" t="s">
        <v>153</v>
      </c>
      <c r="G11" s="10" t="s">
        <v>113</v>
      </c>
      <c r="H11" s="13" t="s">
        <v>62</v>
      </c>
      <c r="I11" s="13"/>
      <c r="J11" s="10" t="s">
        <v>157</v>
      </c>
    </row>
    <row r="12" ht="63.75" customHeight="1">
      <c r="A12" s="8" t="s">
        <v>160</v>
      </c>
      <c r="B12" s="8" t="s">
        <v>46</v>
      </c>
      <c r="C12" s="8" t="s">
        <v>10</v>
      </c>
      <c r="D12" s="8" t="s">
        <v>167</v>
      </c>
      <c r="E12" s="8" t="s">
        <v>170</v>
      </c>
      <c r="F12" s="8" t="s">
        <v>171</v>
      </c>
      <c r="G12" s="8" t="s">
        <v>113</v>
      </c>
      <c r="H12" s="13" t="s">
        <v>62</v>
      </c>
      <c r="I12" s="13"/>
      <c r="J12" s="8" t="s">
        <v>176</v>
      </c>
    </row>
    <row r="13" ht="63.75" customHeight="1">
      <c r="A13" s="10" t="s">
        <v>180</v>
      </c>
      <c r="B13" s="10" t="s">
        <v>46</v>
      </c>
      <c r="C13" s="10" t="s">
        <v>10</v>
      </c>
      <c r="D13" s="10" t="s">
        <v>183</v>
      </c>
      <c r="E13" s="10" t="s">
        <v>185</v>
      </c>
      <c r="F13" s="10" t="s">
        <v>187</v>
      </c>
      <c r="G13" s="10" t="s">
        <v>190</v>
      </c>
      <c r="H13" s="13" t="s">
        <v>62</v>
      </c>
      <c r="I13" s="13"/>
      <c r="J13" s="10" t="s">
        <v>192</v>
      </c>
    </row>
    <row r="14" ht="63.75" customHeight="1">
      <c r="A14" s="8" t="s">
        <v>194</v>
      </c>
      <c r="B14" s="8" t="s">
        <v>196</v>
      </c>
      <c r="C14" s="8" t="s">
        <v>48</v>
      </c>
      <c r="D14" s="8" t="s">
        <v>198</v>
      </c>
      <c r="E14" s="8" t="s">
        <v>200</v>
      </c>
      <c r="F14" s="8" t="s">
        <v>201</v>
      </c>
      <c r="G14" s="8" t="s">
        <v>113</v>
      </c>
      <c r="H14" s="13" t="s">
        <v>62</v>
      </c>
      <c r="I14" s="13"/>
      <c r="J14" s="8" t="s">
        <v>205</v>
      </c>
    </row>
    <row r="15" ht="63.75" customHeight="1">
      <c r="A15" s="10" t="s">
        <v>207</v>
      </c>
      <c r="B15" s="10" t="s">
        <v>196</v>
      </c>
      <c r="C15" s="10" t="s">
        <v>48</v>
      </c>
      <c r="D15" s="10" t="s">
        <v>208</v>
      </c>
      <c r="E15" s="10" t="s">
        <v>210</v>
      </c>
      <c r="F15" s="10" t="s">
        <v>212</v>
      </c>
      <c r="G15" s="10" t="s">
        <v>113</v>
      </c>
      <c r="H15" s="13" t="s">
        <v>62</v>
      </c>
      <c r="I15" s="13"/>
      <c r="J15" s="10" t="s">
        <v>213</v>
      </c>
    </row>
    <row r="16" ht="63.75" customHeight="1">
      <c r="A16" s="8" t="s">
        <v>214</v>
      </c>
      <c r="B16" s="8" t="s">
        <v>46</v>
      </c>
      <c r="C16" s="8" t="s">
        <v>10</v>
      </c>
      <c r="D16" s="8" t="s">
        <v>218</v>
      </c>
      <c r="E16" s="8" t="s">
        <v>219</v>
      </c>
      <c r="F16" s="8" t="s">
        <v>220</v>
      </c>
      <c r="G16" s="8" t="s">
        <v>58</v>
      </c>
      <c r="H16" s="13" t="s">
        <v>62</v>
      </c>
      <c r="I16" s="13"/>
      <c r="J16" s="8" t="s">
        <v>225</v>
      </c>
    </row>
    <row r="17" ht="63.75" customHeight="1">
      <c r="A17" s="10" t="s">
        <v>227</v>
      </c>
      <c r="B17" s="10" t="s">
        <v>196</v>
      </c>
      <c r="C17" s="10" t="s">
        <v>48</v>
      </c>
      <c r="D17" s="10" t="s">
        <v>228</v>
      </c>
      <c r="E17" s="10" t="s">
        <v>229</v>
      </c>
      <c r="F17" s="10" t="s">
        <v>230</v>
      </c>
      <c r="G17" s="10" t="s">
        <v>113</v>
      </c>
      <c r="H17" s="13" t="s">
        <v>62</v>
      </c>
      <c r="I17" s="13"/>
      <c r="J17" s="10" t="s">
        <v>232</v>
      </c>
    </row>
    <row r="18" ht="63.75" customHeight="1">
      <c r="A18" s="8" t="s">
        <v>234</v>
      </c>
      <c r="B18" s="8" t="s">
        <v>236</v>
      </c>
      <c r="C18" s="8" t="s">
        <v>87</v>
      </c>
      <c r="D18" s="8" t="s">
        <v>238</v>
      </c>
      <c r="E18" s="8" t="s">
        <v>240</v>
      </c>
      <c r="F18" s="8" t="s">
        <v>242</v>
      </c>
      <c r="G18" s="8" t="s">
        <v>58</v>
      </c>
      <c r="H18" s="13" t="s">
        <v>62</v>
      </c>
      <c r="I18" s="13"/>
      <c r="J18" s="8" t="s">
        <v>61</v>
      </c>
    </row>
    <row r="19" ht="63.75" customHeight="1">
      <c r="A19" s="10" t="s">
        <v>246</v>
      </c>
      <c r="B19" s="10" t="s">
        <v>236</v>
      </c>
      <c r="C19" s="10" t="s">
        <v>87</v>
      </c>
      <c r="D19" s="10" t="s">
        <v>248</v>
      </c>
      <c r="E19" s="10" t="s">
        <v>249</v>
      </c>
      <c r="F19" s="10" t="s">
        <v>251</v>
      </c>
      <c r="G19" s="10" t="s">
        <v>113</v>
      </c>
      <c r="H19" s="13" t="s">
        <v>62</v>
      </c>
      <c r="I19" s="13"/>
      <c r="J19" s="10" t="s">
        <v>255</v>
      </c>
    </row>
    <row r="20" ht="63.75" customHeight="1">
      <c r="A20" s="8" t="s">
        <v>256</v>
      </c>
      <c r="B20" s="8" t="s">
        <v>258</v>
      </c>
      <c r="C20" s="8" t="s">
        <v>87</v>
      </c>
      <c r="D20" s="8" t="s">
        <v>260</v>
      </c>
      <c r="E20" s="8" t="s">
        <v>262</v>
      </c>
      <c r="F20" s="8" t="s">
        <v>263</v>
      </c>
      <c r="G20" s="8" t="s">
        <v>113</v>
      </c>
      <c r="H20" s="13" t="s">
        <v>62</v>
      </c>
      <c r="I20" s="13"/>
      <c r="J20" s="8" t="s">
        <v>266</v>
      </c>
    </row>
    <row r="21" ht="63.75" customHeight="1">
      <c r="A21" s="10" t="s">
        <v>267</v>
      </c>
      <c r="B21" s="10" t="s">
        <v>46</v>
      </c>
      <c r="C21" s="10" t="s">
        <v>10</v>
      </c>
      <c r="D21" s="10" t="s">
        <v>270</v>
      </c>
      <c r="E21" s="10" t="s">
        <v>272</v>
      </c>
      <c r="F21" s="10" t="s">
        <v>273</v>
      </c>
      <c r="G21" s="10" t="s">
        <v>190</v>
      </c>
      <c r="H21" s="13" t="s">
        <v>62</v>
      </c>
      <c r="I21" s="13"/>
      <c r="J21" s="10" t="s">
        <v>277</v>
      </c>
    </row>
    <row r="22" ht="63.75" customHeight="1">
      <c r="A22" s="8" t="s">
        <v>278</v>
      </c>
      <c r="B22" s="8" t="s">
        <v>196</v>
      </c>
      <c r="C22" s="8" t="s">
        <v>10</v>
      </c>
      <c r="D22" s="8" t="s">
        <v>279</v>
      </c>
      <c r="E22" s="8" t="s">
        <v>280</v>
      </c>
      <c r="F22" s="8" t="s">
        <v>71</v>
      </c>
      <c r="G22" s="8" t="s">
        <v>281</v>
      </c>
      <c r="H22" s="13" t="s">
        <v>62</v>
      </c>
      <c r="I22" s="13"/>
      <c r="J22" s="8" t="s">
        <v>282</v>
      </c>
    </row>
    <row r="23" ht="15.75" customHeight="1">
      <c r="B23" s="33"/>
      <c r="H23" s="33"/>
    </row>
    <row r="24" ht="15.75" customHeight="1">
      <c r="B24" s="33"/>
      <c r="H24" s="33"/>
    </row>
    <row r="25" ht="15.75" customHeight="1">
      <c r="B25" s="33"/>
      <c r="H25" s="33"/>
    </row>
    <row r="26" ht="15.75" customHeight="1">
      <c r="B26" s="33"/>
      <c r="H26" s="33"/>
    </row>
    <row r="27" ht="15.75" customHeight="1">
      <c r="B27" s="33"/>
      <c r="H27" s="33"/>
    </row>
    <row r="28" ht="15.75" customHeight="1">
      <c r="B28" s="33"/>
      <c r="H28" s="33"/>
    </row>
    <row r="29" ht="15.75" customHeight="1">
      <c r="B29" s="33"/>
      <c r="H29" s="33"/>
    </row>
    <row r="30" ht="15.75" customHeight="1">
      <c r="B30" s="33"/>
      <c r="H30" s="33"/>
    </row>
    <row r="31" ht="15.75" customHeight="1">
      <c r="B31" s="33"/>
      <c r="H31" s="33"/>
    </row>
    <row r="32" ht="15.75" customHeight="1">
      <c r="B32" s="33"/>
      <c r="H32" s="33"/>
    </row>
    <row r="33" ht="15.75" customHeight="1">
      <c r="B33" s="33"/>
      <c r="H33" s="33"/>
    </row>
    <row r="34" ht="15.75" customHeight="1">
      <c r="B34" s="33"/>
      <c r="H34" s="33"/>
    </row>
    <row r="35" ht="15.75" customHeight="1">
      <c r="B35" s="33"/>
      <c r="H35" s="33"/>
    </row>
    <row r="36" ht="15.75" customHeight="1">
      <c r="B36" s="33"/>
      <c r="H36" s="33"/>
    </row>
    <row r="37" ht="15.75" customHeight="1">
      <c r="B37" s="33"/>
      <c r="H37" s="33"/>
    </row>
    <row r="38" ht="15.75" customHeight="1">
      <c r="B38" s="33"/>
      <c r="H38" s="33"/>
    </row>
    <row r="39" ht="15.75" customHeight="1">
      <c r="B39" s="33"/>
      <c r="H39" s="33"/>
    </row>
    <row r="40" ht="15.75" customHeight="1">
      <c r="B40" s="33"/>
      <c r="H40" s="33"/>
    </row>
    <row r="41" ht="15.75" customHeight="1">
      <c r="B41" s="33"/>
      <c r="H41" s="33"/>
    </row>
    <row r="42" ht="15.75" customHeight="1">
      <c r="B42" s="33"/>
      <c r="H42" s="33"/>
    </row>
    <row r="43" ht="15.75" customHeight="1">
      <c r="B43" s="33"/>
      <c r="H43" s="33"/>
    </row>
    <row r="44" ht="15.75" customHeight="1">
      <c r="B44" s="33"/>
      <c r="H44" s="33"/>
    </row>
    <row r="45" ht="15.75" customHeight="1">
      <c r="B45" s="33"/>
      <c r="H45" s="33"/>
    </row>
    <row r="46" ht="15.75" customHeight="1">
      <c r="B46" s="33"/>
      <c r="H46" s="33"/>
    </row>
    <row r="47" ht="15.75" customHeight="1">
      <c r="B47" s="33"/>
      <c r="H47" s="33"/>
    </row>
    <row r="48" ht="15.75" customHeight="1">
      <c r="B48" s="33"/>
      <c r="H48" s="33"/>
    </row>
    <row r="49" ht="15.75" customHeight="1">
      <c r="B49" s="33"/>
      <c r="H49" s="33"/>
    </row>
    <row r="50" ht="15.75" customHeight="1">
      <c r="B50" s="33"/>
      <c r="H50" s="33"/>
    </row>
    <row r="51" ht="15.75" customHeight="1">
      <c r="B51" s="33"/>
      <c r="H51" s="33"/>
    </row>
    <row r="52" ht="15.75" customHeight="1">
      <c r="B52" s="33"/>
      <c r="H52" s="33"/>
    </row>
    <row r="53" ht="15.75" customHeight="1">
      <c r="B53" s="33"/>
      <c r="H53" s="33"/>
    </row>
    <row r="54" ht="15.75" customHeight="1">
      <c r="B54" s="33"/>
      <c r="H54" s="33"/>
    </row>
    <row r="55" ht="15.75" customHeight="1">
      <c r="B55" s="33"/>
      <c r="H55" s="33"/>
    </row>
    <row r="56" ht="15.75" customHeight="1">
      <c r="B56" s="33"/>
      <c r="H56" s="33"/>
    </row>
    <row r="57" ht="15.75" customHeight="1">
      <c r="B57" s="33"/>
      <c r="H57" s="33"/>
    </row>
    <row r="58" ht="15.75" customHeight="1">
      <c r="B58" s="33"/>
      <c r="H58" s="33"/>
    </row>
    <row r="59" ht="15.75" customHeight="1">
      <c r="B59" s="33"/>
      <c r="H59" s="33"/>
    </row>
    <row r="60" ht="15.75" customHeight="1">
      <c r="B60" s="33"/>
      <c r="H60" s="33"/>
    </row>
    <row r="61" ht="15.75" customHeight="1">
      <c r="B61" s="33"/>
      <c r="H61" s="33"/>
    </row>
    <row r="62" ht="15.75" customHeight="1">
      <c r="B62" s="33"/>
      <c r="H62" s="33"/>
    </row>
    <row r="63" ht="15.75" customHeight="1">
      <c r="B63" s="33"/>
      <c r="H63" s="33"/>
    </row>
    <row r="64" ht="15.75" customHeight="1">
      <c r="B64" s="33"/>
      <c r="H64" s="33"/>
    </row>
    <row r="65" ht="15.75" customHeight="1">
      <c r="B65" s="33"/>
      <c r="H65" s="33"/>
    </row>
    <row r="66" ht="15.75" customHeight="1">
      <c r="B66" s="33"/>
      <c r="H66" s="33"/>
    </row>
    <row r="67" ht="15.75" customHeight="1">
      <c r="B67" s="33"/>
      <c r="H67" s="33"/>
    </row>
    <row r="68" ht="15.75" customHeight="1">
      <c r="B68" s="33"/>
      <c r="H68" s="33"/>
    </row>
    <row r="69" ht="15.75" customHeight="1">
      <c r="B69" s="33"/>
      <c r="H69" s="33"/>
    </row>
    <row r="70" ht="15.75" customHeight="1">
      <c r="B70" s="33"/>
      <c r="H70" s="33"/>
    </row>
    <row r="71" ht="15.75" customHeight="1">
      <c r="B71" s="33"/>
      <c r="H71" s="33"/>
    </row>
    <row r="72" ht="15.75" customHeight="1">
      <c r="B72" s="33"/>
      <c r="H72" s="33"/>
    </row>
    <row r="73" ht="15.75" customHeight="1">
      <c r="B73" s="33"/>
      <c r="H73" s="33"/>
    </row>
    <row r="74" ht="15.75" customHeight="1">
      <c r="B74" s="33"/>
      <c r="H74" s="33"/>
    </row>
    <row r="75" ht="15.75" customHeight="1">
      <c r="B75" s="33"/>
      <c r="H75" s="33"/>
    </row>
    <row r="76" ht="15.75" customHeight="1">
      <c r="B76" s="33"/>
      <c r="H76" s="33"/>
    </row>
    <row r="77" ht="15.75" customHeight="1">
      <c r="B77" s="33"/>
      <c r="H77" s="33"/>
    </row>
    <row r="78" ht="15.75" customHeight="1">
      <c r="B78" s="33"/>
      <c r="H78" s="33"/>
    </row>
    <row r="79" ht="15.75" customHeight="1">
      <c r="B79" s="33"/>
      <c r="H79" s="33"/>
    </row>
    <row r="80" ht="15.75" customHeight="1">
      <c r="B80" s="33"/>
      <c r="H80" s="33"/>
    </row>
    <row r="81" ht="15.75" customHeight="1">
      <c r="B81" s="33"/>
      <c r="H81" s="33"/>
    </row>
    <row r="82" ht="15.75" customHeight="1">
      <c r="B82" s="33"/>
      <c r="H82" s="33"/>
    </row>
    <row r="83" ht="15.75" customHeight="1">
      <c r="B83" s="33"/>
      <c r="H83" s="33"/>
    </row>
    <row r="84" ht="15.75" customHeight="1">
      <c r="B84" s="33"/>
      <c r="H84" s="33"/>
    </row>
    <row r="85" ht="15.75" customHeight="1">
      <c r="B85" s="33"/>
      <c r="H85" s="33"/>
    </row>
    <row r="86" ht="15.75" customHeight="1">
      <c r="B86" s="33"/>
      <c r="H86" s="33"/>
    </row>
    <row r="87" ht="15.75" customHeight="1">
      <c r="B87" s="33"/>
      <c r="H87" s="33"/>
    </row>
    <row r="88" ht="15.75" customHeight="1">
      <c r="B88" s="33"/>
      <c r="H88" s="33"/>
    </row>
    <row r="89" ht="15.75" customHeight="1">
      <c r="B89" s="33"/>
      <c r="H89" s="33"/>
    </row>
    <row r="90" ht="15.75" customHeight="1">
      <c r="B90" s="33"/>
      <c r="H90" s="33"/>
    </row>
    <row r="91" ht="15.75" customHeight="1">
      <c r="B91" s="33"/>
      <c r="H91" s="33"/>
    </row>
    <row r="92" ht="15.75" customHeight="1">
      <c r="B92" s="33"/>
      <c r="H92" s="33"/>
    </row>
    <row r="93" ht="15.75" customHeight="1">
      <c r="B93" s="33"/>
      <c r="H93" s="33"/>
    </row>
    <row r="94" ht="15.75" customHeight="1">
      <c r="B94" s="33"/>
      <c r="H94" s="33"/>
    </row>
    <row r="95" ht="15.75" customHeight="1">
      <c r="B95" s="33"/>
      <c r="H95" s="33"/>
    </row>
    <row r="96" ht="15.75" customHeight="1">
      <c r="B96" s="33"/>
      <c r="H96" s="33"/>
    </row>
    <row r="97" ht="15.75" customHeight="1">
      <c r="B97" s="33"/>
      <c r="H97" s="33"/>
    </row>
    <row r="98" ht="15.75" customHeight="1">
      <c r="B98" s="33"/>
      <c r="H98" s="33"/>
    </row>
    <row r="99" ht="15.75" customHeight="1">
      <c r="B99" s="33"/>
      <c r="H99" s="33"/>
    </row>
    <row r="100" ht="15.75" customHeight="1">
      <c r="B100" s="33"/>
      <c r="H100" s="33"/>
    </row>
    <row r="101" ht="15.75" customHeight="1">
      <c r="B101" s="33"/>
      <c r="H101" s="33"/>
    </row>
    <row r="102" ht="15.75" customHeight="1">
      <c r="B102" s="33"/>
      <c r="H102" s="33"/>
    </row>
    <row r="103" ht="15.75" customHeight="1">
      <c r="B103" s="33"/>
      <c r="H103" s="33"/>
    </row>
    <row r="104" ht="15.75" customHeight="1">
      <c r="B104" s="33"/>
      <c r="H104" s="33"/>
    </row>
    <row r="105" ht="15.75" customHeight="1">
      <c r="B105" s="33"/>
      <c r="H105" s="33"/>
    </row>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J1"/>
    <mergeCell ref="A2:J2"/>
  </mergeCells>
  <conditionalFormatting sqref="H6:H1000">
    <cfRule type="expression" dxfId="5" priority="1">
      <formula>$H6="Answered"</formula>
    </cfRule>
  </conditionalFormatting>
  <conditionalFormatting sqref="H6:H1000">
    <cfRule type="expression" dxfId="6" priority="2">
      <formula>$H6="Open"</formula>
    </cfRule>
  </conditionalFormatting>
  <dataValidations>
    <dataValidation type="list" allowBlank="1" sqref="B6:B105">
      <formula1>"P1 - Now,P2 - Before Sprint 2,P2 - Before Sprint 3,P3 - Later"</formula1>
    </dataValidation>
    <dataValidation type="list" allowBlank="1" sqref="H6:H105">
      <formula1>"Open,In Discussion,Answered,Deferred"</formula1>
    </dataValidation>
  </dataValidations>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2.63" defaultRowHeight="15.0"/>
  <cols>
    <col customWidth="1" min="1" max="1" width="12.0"/>
    <col customWidth="1" min="2" max="2" width="79.0"/>
    <col customWidth="1" min="3" max="3" width="73.0"/>
    <col customWidth="1" min="4" max="4" width="25.0"/>
    <col customWidth="1" min="5" max="5" width="26.0"/>
    <col customWidth="1" min="6" max="26" width="8.63"/>
  </cols>
  <sheetData>
    <row r="1" ht="31.5" customHeight="1">
      <c r="A1" s="1" t="s">
        <v>12</v>
      </c>
    </row>
    <row r="2" ht="27.0" customHeight="1">
      <c r="A2" s="2" t="s">
        <v>14</v>
      </c>
    </row>
    <row r="3" ht="24.0" customHeight="1">
      <c r="A3" s="3"/>
      <c r="B3" s="3"/>
      <c r="C3" s="3"/>
      <c r="D3" s="3"/>
      <c r="E3" s="3"/>
    </row>
    <row r="5" ht="31.5" customHeight="1">
      <c r="A5" s="7" t="s">
        <v>15</v>
      </c>
      <c r="B5" s="7" t="s">
        <v>19</v>
      </c>
      <c r="C5" s="7" t="s">
        <v>22</v>
      </c>
      <c r="D5" s="7" t="s">
        <v>24</v>
      </c>
      <c r="E5" s="7" t="s">
        <v>26</v>
      </c>
    </row>
    <row r="6" ht="69.0" customHeight="1">
      <c r="A6" s="8" t="s">
        <v>29</v>
      </c>
      <c r="B6" s="8" t="s">
        <v>34</v>
      </c>
      <c r="C6" s="8" t="s">
        <v>37</v>
      </c>
      <c r="D6" s="8" t="s">
        <v>40</v>
      </c>
      <c r="E6" s="8" t="s">
        <v>41</v>
      </c>
    </row>
    <row r="7" ht="69.0" customHeight="1">
      <c r="A7" s="10" t="s">
        <v>44</v>
      </c>
      <c r="B7" s="10" t="s">
        <v>49</v>
      </c>
      <c r="C7" s="10" t="s">
        <v>51</v>
      </c>
      <c r="D7" s="10" t="s">
        <v>61</v>
      </c>
      <c r="E7" s="10" t="s">
        <v>41</v>
      </c>
    </row>
    <row r="8" ht="69.0" customHeight="1">
      <c r="A8" s="8" t="s">
        <v>65</v>
      </c>
      <c r="B8" s="8" t="s">
        <v>68</v>
      </c>
      <c r="C8" s="8" t="s">
        <v>70</v>
      </c>
      <c r="D8" s="8" t="s">
        <v>72</v>
      </c>
      <c r="E8" s="8" t="s">
        <v>41</v>
      </c>
    </row>
    <row r="9" ht="69.0" customHeight="1">
      <c r="A9" s="10" t="s">
        <v>75</v>
      </c>
      <c r="B9" s="10" t="s">
        <v>78</v>
      </c>
      <c r="C9" s="10" t="s">
        <v>81</v>
      </c>
      <c r="D9" s="10" t="s">
        <v>83</v>
      </c>
      <c r="E9" s="10" t="s">
        <v>41</v>
      </c>
    </row>
    <row r="10" ht="69.0" customHeight="1">
      <c r="A10" s="8" t="s">
        <v>86</v>
      </c>
      <c r="B10" s="8" t="s">
        <v>89</v>
      </c>
      <c r="C10" s="8" t="s">
        <v>90</v>
      </c>
      <c r="D10" s="8" t="s">
        <v>91</v>
      </c>
      <c r="E10" s="8" t="s">
        <v>41</v>
      </c>
    </row>
    <row r="11" ht="69.0" customHeight="1">
      <c r="A11" s="10" t="s">
        <v>95</v>
      </c>
      <c r="B11" s="10" t="s">
        <v>98</v>
      </c>
      <c r="C11" s="10" t="s">
        <v>100</v>
      </c>
      <c r="D11" s="10" t="s">
        <v>101</v>
      </c>
      <c r="E11" s="10" t="s">
        <v>41</v>
      </c>
    </row>
    <row r="12" ht="69.0" customHeight="1">
      <c r="A12" s="8" t="s">
        <v>103</v>
      </c>
      <c r="B12" s="8" t="s">
        <v>105</v>
      </c>
      <c r="C12" s="8" t="s">
        <v>106</v>
      </c>
      <c r="D12" s="8" t="s">
        <v>107</v>
      </c>
      <c r="E12" s="8" t="s">
        <v>109</v>
      </c>
    </row>
    <row r="13" ht="69.0" customHeight="1">
      <c r="A13" s="10" t="s">
        <v>112</v>
      </c>
      <c r="B13" s="10" t="s">
        <v>114</v>
      </c>
      <c r="C13" s="10" t="s">
        <v>115</v>
      </c>
      <c r="D13" s="10" t="s">
        <v>116</v>
      </c>
      <c r="E13" s="10" t="s">
        <v>119</v>
      </c>
    </row>
    <row r="14" ht="69.0" customHeight="1">
      <c r="A14" s="8" t="s">
        <v>122</v>
      </c>
      <c r="B14" s="8" t="s">
        <v>124</v>
      </c>
      <c r="C14" s="8" t="s">
        <v>127</v>
      </c>
      <c r="D14" s="8" t="s">
        <v>128</v>
      </c>
      <c r="E14" s="8" t="s">
        <v>129</v>
      </c>
    </row>
    <row r="15" ht="69.0" customHeight="1">
      <c r="A15" s="10" t="s">
        <v>132</v>
      </c>
      <c r="B15" s="10" t="s">
        <v>135</v>
      </c>
      <c r="C15" s="10" t="s">
        <v>137</v>
      </c>
      <c r="D15" s="10" t="s">
        <v>139</v>
      </c>
      <c r="E15" s="10" t="s">
        <v>129</v>
      </c>
    </row>
    <row r="16" ht="69.0" customHeight="1">
      <c r="A16" s="8" t="s">
        <v>144</v>
      </c>
      <c r="B16" s="8" t="s">
        <v>146</v>
      </c>
      <c r="C16" s="8" t="s">
        <v>148</v>
      </c>
      <c r="D16" s="8" t="s">
        <v>151</v>
      </c>
      <c r="E16" s="8" t="s">
        <v>154</v>
      </c>
    </row>
    <row r="17" ht="69.0" customHeight="1">
      <c r="A17" s="10" t="s">
        <v>155</v>
      </c>
      <c r="B17" s="10" t="s">
        <v>156</v>
      </c>
      <c r="C17" s="10" t="s">
        <v>158</v>
      </c>
      <c r="D17" s="10" t="s">
        <v>159</v>
      </c>
      <c r="E17" s="10" t="s">
        <v>162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2:E2"/>
  </mergeCells>
  <printOptions/>
  <pageMargins bottom="0.75" footer="0.0" header="0.0" left="0.7" right="0.7" top="0.75"/>
  <pageSetup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1" width="9.0"/>
    <col customWidth="1" min="2" max="2" width="23.0"/>
    <col customWidth="1" min="3" max="3" width="100.0"/>
    <col customWidth="1" min="4" max="4" width="83.0"/>
    <col customWidth="1" min="5" max="26" width="8.63"/>
  </cols>
  <sheetData>
    <row r="1" ht="31.5" customHeight="1">
      <c r="A1" s="1" t="s">
        <v>285</v>
      </c>
    </row>
    <row r="2" ht="27.0" customHeight="1">
      <c r="A2" s="2"/>
      <c r="B2" s="2"/>
      <c r="C2" s="2"/>
      <c r="D2" s="2"/>
    </row>
    <row r="3" ht="24.0" customHeight="1">
      <c r="A3" s="3"/>
      <c r="B3" s="3"/>
      <c r="C3" s="3"/>
      <c r="D3" s="3"/>
    </row>
    <row r="4" ht="31.5" customHeight="1">
      <c r="A4" s="4" t="s">
        <v>287</v>
      </c>
      <c r="B4" s="4" t="s">
        <v>288</v>
      </c>
      <c r="C4" s="4" t="s">
        <v>289</v>
      </c>
      <c r="D4" s="4" t="s">
        <v>291</v>
      </c>
    </row>
    <row r="5" ht="61.5" customHeight="1">
      <c r="A5" s="34" t="s">
        <v>292</v>
      </c>
      <c r="B5" s="34" t="s">
        <v>293</v>
      </c>
      <c r="C5" s="34" t="s">
        <v>294</v>
      </c>
      <c r="D5" s="34" t="s">
        <v>295</v>
      </c>
    </row>
    <row r="6" ht="61.5" customHeight="1">
      <c r="A6" s="35" t="s">
        <v>297</v>
      </c>
      <c r="B6" s="35" t="s">
        <v>298</v>
      </c>
      <c r="C6" s="35" t="s">
        <v>300</v>
      </c>
      <c r="D6" s="35" t="s">
        <v>301</v>
      </c>
    </row>
    <row r="7" ht="61.5" customHeight="1">
      <c r="A7" s="34" t="s">
        <v>302</v>
      </c>
      <c r="B7" s="34" t="s">
        <v>303</v>
      </c>
      <c r="C7" s="34" t="s">
        <v>304</v>
      </c>
      <c r="D7" s="34" t="s">
        <v>305</v>
      </c>
    </row>
    <row r="8" ht="61.5" customHeight="1">
      <c r="A8" s="35" t="s">
        <v>306</v>
      </c>
      <c r="B8" s="35" t="s">
        <v>307</v>
      </c>
      <c r="C8" s="35" t="s">
        <v>308</v>
      </c>
      <c r="D8" s="35" t="s">
        <v>309</v>
      </c>
    </row>
    <row r="9" ht="61.5" customHeight="1">
      <c r="A9" s="34" t="s">
        <v>310</v>
      </c>
      <c r="B9" s="34" t="s">
        <v>311</v>
      </c>
      <c r="C9" s="34" t="s">
        <v>312</v>
      </c>
      <c r="D9" s="34" t="s">
        <v>314</v>
      </c>
    </row>
    <row r="10" ht="61.5" customHeight="1">
      <c r="A10" s="35" t="s">
        <v>315</v>
      </c>
      <c r="B10" s="35" t="s">
        <v>316</v>
      </c>
      <c r="C10" s="35" t="s">
        <v>317</v>
      </c>
      <c r="D10" s="35" t="s">
        <v>318</v>
      </c>
    </row>
    <row r="11" ht="61.5" customHeight="1">
      <c r="A11" s="34" t="s">
        <v>319</v>
      </c>
      <c r="B11" s="34" t="s">
        <v>320</v>
      </c>
      <c r="C11" s="34" t="s">
        <v>321</v>
      </c>
      <c r="D11" s="34" t="s">
        <v>322</v>
      </c>
    </row>
    <row r="12" ht="61.5" customHeight="1">
      <c r="A12" s="35" t="s">
        <v>323</v>
      </c>
      <c r="B12" s="35" t="s">
        <v>324</v>
      </c>
      <c r="C12" s="35" t="s">
        <v>326</v>
      </c>
      <c r="D12" s="35" t="s">
        <v>327</v>
      </c>
    </row>
    <row r="13" ht="36.0" customHeight="1">
      <c r="A13" s="33" t="s">
        <v>328</v>
      </c>
      <c r="B13" s="33" t="s">
        <v>329</v>
      </c>
      <c r="C13" s="36" t="s">
        <v>330</v>
      </c>
      <c r="D13" s="36" t="s">
        <v>331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1"/>
  </mergeCells>
  <printOptions/>
  <pageMargins bottom="0.75" footer="0.0" header="0.0" left="0.7" right="0.7" top="0.75"/>
  <pageSetup orientation="landscape"/>
  <drawing r:id="rId1"/>
</worksheet>
</file>