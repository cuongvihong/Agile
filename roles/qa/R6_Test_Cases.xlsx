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" sheetId="1" state="visible" r:id="rId1"/>
    <sheet xmlns:r="http://schemas.openxmlformats.org/officeDocument/2006/relationships" name="Defect Repor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Questions" sheetId="6" state="visible" r:id="rId6"/>
    <sheet xmlns:r="http://schemas.openxmlformats.org/officeDocument/2006/relationships" name="FS Trace" sheetId="7" state="visible" r:id="rId7"/>
    <sheet xmlns:r="http://schemas.openxmlformats.org/officeDocument/2006/relationships" name="Seed Data" sheetId="8" state="visible" r:id="rId8"/>
  </sheets>
  <definedNames>
    <definedName name="_xlnm._FilterDatabase" localSheetId="0" hidden="1">'Test cases '!$A$1:$T$57</definedName>
    <definedName name="_xlnm._FilterDatabase" localSheetId="1" hidden="1">'Defect Reports'!$A$1:$N$1</definedName>
    <definedName name="_xlnm._FilterDatabase" localSheetId="2" hidden="1">'Scenarios'!$A$1:$K$31</definedName>
    <definedName name="_xlnm._FilterDatabase" localSheetId="4" hidden="1">'Assumptions'!$A$1:$L$17</definedName>
    <definedName name="_xlnm._FilterDatabase" localSheetId="5" hidden="1">'Questions'!$A$1:$I$14</definedName>
    <definedName name="_xlnm._FilterDatabase" localSheetId="6" hidden="1">'FS Trace'!$A$1:$F$61</definedName>
    <definedName name="_xlnm._FilterDatabase" localSheetId="7" hidden="1">'Seed Data'!$A$5:$E$21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color rgb="001F497D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55" customWidth="1" min="3" max="3"/>
    <col width="30" customWidth="1" min="4" max="4"/>
    <col width="25" customWidth="1" min="5" max="5"/>
    <col width="15" customWidth="1" min="6" max="6"/>
    <col width="13" customWidth="1" min="7" max="7"/>
    <col width="19" customWidth="1" min="8" max="8"/>
    <col width="17" customWidth="1" min="9" max="9"/>
    <col width="38" customWidth="1" min="10" max="10"/>
    <col width="55" customWidth="1" min="11" max="11"/>
    <col width="55" customWidth="1" min="12" max="12"/>
    <col width="55" customWidth="1" min="13" max="13"/>
    <col width="55" customWidth="1" min="14" max="14"/>
    <col width="16" customWidth="1" min="15" max="15"/>
    <col width="17" customWidth="1" min="16" max="16"/>
    <col width="13" customWidth="1" min="17" max="17"/>
    <col width="50" customWidth="1" min="18" max="18"/>
    <col width="55" customWidth="1" min="19" max="19"/>
    <col width="16" customWidth="1" min="20" max="20"/>
  </cols>
  <sheetData>
    <row r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  <c r="T1" s="1" t="inlineStr">
        <is>
          <t>Review Status</t>
        </is>
      </c>
    </row>
    <row r="2">
      <c r="A2" s="2" t="inlineStr">
        <is>
          <t>TC-001</t>
        </is>
      </c>
      <c r="B2" s="2" t="inlineStr">
        <is>
          <t>TS-001</t>
        </is>
      </c>
      <c r="C2" s="2" t="inlineStr">
        <is>
          <t>MOE HQ User accesses national MOEFAS budget management view</t>
        </is>
      </c>
      <c r="D2" s="2" t="inlineStr">
        <is>
          <t>F6.1 Access &amp; Authorization</t>
        </is>
      </c>
      <c r="E2" s="2" t="inlineStr">
        <is>
          <t>FAS Budget Management</t>
        </is>
      </c>
      <c r="F2" s="2" t="inlineStr">
        <is>
          <t>S1 (highest)</t>
        </is>
      </c>
      <c r="G2" s="2" t="inlineStr">
        <is>
          <t>Critical</t>
        </is>
      </c>
      <c r="H2" s="2" t="inlineStr">
        <is>
          <t>Not Run</t>
        </is>
      </c>
      <c r="I2" s="2" t="inlineStr">
        <is>
          <t>Functional</t>
        </is>
      </c>
      <c r="J2" s="2" t="inlineStr">
        <is>
          <t>Admin Portal: http://localhost:5173
Needs: ENV-R6-01</t>
        </is>
      </c>
      <c r="K2" s="2" t="inlineStr">
        <is>
          <t>1. Active MOE HQ user exists in IAM (moehq / Mei Lin Tan).
2. User is signed in to Admin Portal.</t>
        </is>
      </c>
      <c r="L2" s="2" t="inlineStr">
        <is>
          <t>User: Mei Lin Tan (moehq), Scheme: MOEFAS</t>
        </is>
      </c>
      <c r="M2" s="2" t="inlineStr">
        <is>
          <t>1. Open Admin Portal.
2. Navigate to budget management view (menu name to be confirmed when built).
3. Observe page view and FAS scheme.</t>
        </is>
      </c>
      <c r="N2" s="2" t="inlineStr">
        <is>
          <t>1. MOE HQ user successfully accesses budget management view.
2. FAS Type displays 'MOEFAS' as read-only label.
3. Budget amount input field is accessible for configuration.</t>
        </is>
      </c>
      <c r="O2" s="2" t="n"/>
      <c r="P2" s="2" t="inlineStr">
        <is>
          <t>ASM-R6-13</t>
        </is>
      </c>
      <c r="Q2" s="2" t="n"/>
      <c r="R2" s="2" t="inlineStr">
        <is>
          <t>FS06: 1.2, 5.1.3, BR6.01, R6-02</t>
        </is>
      </c>
      <c r="S2" s="2" t="inlineStr">
        <is>
          <t>Navigation path provisional until UI built.</t>
        </is>
      </c>
      <c r="T2" s="3" t="inlineStr">
        <is>
          <t>Draft</t>
        </is>
      </c>
    </row>
    <row r="3">
      <c r="A3" s="2" t="inlineStr">
        <is>
          <t>TC-002</t>
        </is>
      </c>
      <c r="B3" s="2" t="inlineStr">
        <is>
          <t>TS-001</t>
        </is>
      </c>
      <c r="C3" s="2" t="inlineStr">
        <is>
          <t>MOE HQ User views national MOEFAS budget without school restrictions</t>
        </is>
      </c>
      <c r="D3" s="2" t="inlineStr">
        <is>
          <t>F6.1 Access &amp; Authorization</t>
        </is>
      </c>
      <c r="E3" s="2" t="inlineStr">
        <is>
          <t>FAS Budget Management</t>
        </is>
      </c>
      <c r="F3" s="2" t="inlineStr">
        <is>
          <t>S2</t>
        </is>
      </c>
      <c r="G3" s="2" t="inlineStr">
        <is>
          <t>High</t>
        </is>
      </c>
      <c r="H3" s="2" t="inlineStr">
        <is>
          <t>Not Run</t>
        </is>
      </c>
      <c r="I3" s="2" t="inlineStr">
        <is>
          <t>Functional</t>
        </is>
      </c>
      <c r="J3" s="2" t="inlineStr">
        <is>
          <t>Admin Portal: http://localhost:5173
Needs: ENV-R6-01</t>
        </is>
      </c>
      <c r="K3" s="2" t="inlineStr">
        <is>
          <t>1. Signed in as MOE HQ User (Mei Lin Tan).</t>
        </is>
      </c>
      <c r="L3" s="2" t="inlineStr">
        <is>
          <t>Scheme: MOEFAS</t>
        </is>
      </c>
      <c r="M3" s="2" t="inlineStr">
        <is>
          <t>1. Open MOEFAS budget management view.
2. Check scope indicators.</t>
        </is>
      </c>
      <c r="N3" s="2" t="inlineStr">
        <is>
          <t>1. View displays national scheme-level scope.
2. User is not locked to or restricted by any specific school ID.</t>
        </is>
      </c>
      <c r="O3" s="2" t="n"/>
      <c r="P3" s="2" t="inlineStr">
        <is>
          <t>N/A</t>
        </is>
      </c>
      <c r="Q3" s="2" t="n"/>
      <c r="R3" s="2" t="inlineStr">
        <is>
          <t>FS06: 1.2, BR6.01, R6-02</t>
        </is>
      </c>
      <c r="S3" s="2" t="inlineStr">
        <is>
          <t>HQ national scope confirmation.</t>
        </is>
      </c>
      <c r="T3" s="4" t="inlineStr">
        <is>
          <t>Approve</t>
        </is>
      </c>
    </row>
    <row r="4">
      <c r="A4" s="2" t="inlineStr">
        <is>
          <t>TC-003</t>
        </is>
      </c>
      <c r="B4" s="2" t="inlineStr">
        <is>
          <t>TS-002</t>
        </is>
      </c>
      <c r="C4" s="2" t="inlineStr">
        <is>
          <t>School User accesses SBFAS budget view pre-populated with assigned school</t>
        </is>
      </c>
      <c r="D4" s="2" t="inlineStr">
        <is>
          <t>F6.1 Access &amp; Authorization</t>
        </is>
      </c>
      <c r="E4" s="2" t="inlineStr">
        <is>
          <t>FAS Budget Management</t>
        </is>
      </c>
      <c r="F4" s="2" t="inlineStr">
        <is>
          <t>S1 (highest)</t>
        </is>
      </c>
      <c r="G4" s="2" t="inlineStr">
        <is>
          <t>Critical</t>
        </is>
      </c>
      <c r="H4" s="2" t="inlineStr">
        <is>
          <t>Not Run</t>
        </is>
      </c>
      <c r="I4" s="2" t="inlineStr">
        <is>
          <t>Functional</t>
        </is>
      </c>
      <c r="J4" s="2" t="inlineStr">
        <is>
          <t>Admin Portal: http://localhost:5173
Needs: ENV-R6-01</t>
        </is>
      </c>
      <c r="K4" s="2" t="inlineStr">
        <is>
          <t>1. School Admin signed in (Bukit View Primary School, Lan Nguyen).</t>
        </is>
      </c>
      <c r="L4" s="2" t="inlineStr">
        <is>
          <t>User: Lan Nguyen, School: Bukit View Primary School (BVP-0012)</t>
        </is>
      </c>
      <c r="M4" s="2" t="inlineStr">
        <is>
          <t>1. Open budget management view.
2. Inspect displayed School name and FAS Type.</t>
        </is>
      </c>
      <c r="N4" s="2" t="inlineStr">
        <is>
          <t>1. Page displays School name 'Bukit View Primary School' as read-only text.
2. FAS Type displays 'SBFAS' as read-only text.
3. School user cannot change the school name.</t>
        </is>
      </c>
      <c r="O4" s="2" t="n"/>
      <c r="P4" s="2" t="inlineStr">
        <is>
          <t>N/A</t>
        </is>
      </c>
      <c r="Q4" s="2" t="n"/>
      <c r="R4" s="2" t="inlineStr">
        <is>
          <t>FS06: 1.2, 5.2.3, BR6.01, R6-03</t>
        </is>
      </c>
      <c r="S4" s="2" t="inlineStr">
        <is>
          <t>School Admin scoped access.</t>
        </is>
      </c>
      <c r="T4" s="4" t="inlineStr">
        <is>
          <t>Approve</t>
        </is>
      </c>
    </row>
    <row r="5">
      <c r="A5" s="2" t="inlineStr">
        <is>
          <t>TC-004</t>
        </is>
      </c>
      <c r="B5" s="2" t="inlineStr">
        <is>
          <t>TS-003</t>
        </is>
      </c>
      <c r="C5" s="2" t="inlineStr">
        <is>
          <t>School User calling SBFAS API with another school ID receives 403 Forbidden</t>
        </is>
      </c>
      <c r="D5" s="2" t="inlineStr">
        <is>
          <t>F6.1 Access &amp; Authorization</t>
        </is>
      </c>
      <c r="E5" s="2" t="inlineStr">
        <is>
          <t>FAS Budget Management</t>
        </is>
      </c>
      <c r="F5" s="2" t="inlineStr">
        <is>
          <t>S1 (highest)</t>
        </is>
      </c>
      <c r="G5" s="2" t="inlineStr">
        <is>
          <t>Critical</t>
        </is>
      </c>
      <c r="H5" s="2" t="inlineStr">
        <is>
          <t>Not Run</t>
        </is>
      </c>
      <c r="I5" s="2" t="inlineStr">
        <is>
          <t>Security</t>
        </is>
      </c>
      <c r="J5" s="2" t="inlineStr">
        <is>
          <t>API Gateway: http://localhost:5273
Needs: ENV-R6-01</t>
        </is>
      </c>
      <c r="K5" s="2" t="inlineStr">
        <is>
          <t>1. Authenticated as School Admin of Bukit View Primary (BVP-0012).</t>
        </is>
      </c>
      <c r="L5" s="2" t="inlineStr">
        <is>
          <t>Assigned School: BVP-0012, Target School: MRS-0012 (Meridian Secondary)</t>
        </is>
      </c>
      <c r="M5" s="2" t="inlineStr">
        <is>
          <t>1. Send API GET or POST request to SBFAS budget endpoint supplying schoolId = 'MRS-0012'.
2. Inspect HTTP status code and response body.</t>
        </is>
      </c>
      <c r="N5" s="2" t="inlineStr">
        <is>
          <t>1. API rejects request with HTTP 403 Forbidden.
2. Response body contains message: 'Access denied. You do not have permission to access or modify this budget record.'</t>
        </is>
      </c>
      <c r="O5" s="2" t="n"/>
      <c r="P5" s="2" t="inlineStr">
        <is>
          <t>N/A</t>
        </is>
      </c>
      <c r="Q5" s="2" t="n"/>
      <c r="R5" s="2" t="inlineStr">
        <is>
          <t>FS06: 1.2, BR6.01, R6-09</t>
        </is>
      </c>
      <c r="S5" s="2" t="inlineStr">
        <is>
          <t>Data isolation boundary enforcement.</t>
        </is>
      </c>
      <c r="T5" s="4" t="inlineStr">
        <is>
          <t>Approve</t>
        </is>
      </c>
    </row>
    <row r="6">
      <c r="A6" s="2" t="inlineStr">
        <is>
          <t>TC-005</t>
        </is>
      </c>
      <c r="B6" s="2" t="inlineStr">
        <is>
          <t>TS-003</t>
        </is>
      </c>
      <c r="C6" s="2" t="inlineStr">
        <is>
          <t>School User calling MOEFAS budget API receives 403 Forbidden</t>
        </is>
      </c>
      <c r="D6" s="2" t="inlineStr">
        <is>
          <t>F6.1 Access &amp; Authorization</t>
        </is>
      </c>
      <c r="E6" s="2" t="inlineStr">
        <is>
          <t>FAS Budget Management</t>
        </is>
      </c>
      <c r="F6" s="2" t="inlineStr">
        <is>
          <t>S1 (highest)</t>
        </is>
      </c>
      <c r="G6" s="2" t="inlineStr">
        <is>
          <t>Critical</t>
        </is>
      </c>
      <c r="H6" s="2" t="inlineStr">
        <is>
          <t>Not Run</t>
        </is>
      </c>
      <c r="I6" s="2" t="inlineStr">
        <is>
          <t>Security</t>
        </is>
      </c>
      <c r="J6" s="2" t="inlineStr">
        <is>
          <t>API Gateway: http://localhost:5273
Needs: ENV-R6-01</t>
        </is>
      </c>
      <c r="K6" s="2" t="inlineStr">
        <is>
          <t>1. Authenticated as School Admin (Lan Nguyen).</t>
        </is>
      </c>
      <c r="L6" s="2" t="inlineStr">
        <is>
          <t>Endpoint: /api/fas/v1/budgets/moefas</t>
        </is>
      </c>
      <c r="M6" s="2" t="inlineStr">
        <is>
          <t>1. Send POST/PUT request to MOEFAS budget endpoint with valid payload.
2. Inspect response status code.</t>
        </is>
      </c>
      <c r="N6" s="2" t="inlineStr">
        <is>
          <t>1. API rejects request with HTTP 403 Forbidden.
2. School Admin is prohibited from modifying MOEFAS national budget.</t>
        </is>
      </c>
      <c r="O6" s="2" t="n"/>
      <c r="P6" s="2" t="inlineStr">
        <is>
          <t>N/A</t>
        </is>
      </c>
      <c r="Q6" s="2" t="n"/>
      <c r="R6" s="2" t="inlineStr">
        <is>
          <t>FS06: 1.2, BR6.01, R6-02</t>
        </is>
      </c>
      <c r="S6" s="2" t="inlineStr">
        <is>
          <t>Cross-role security boundary.</t>
        </is>
      </c>
      <c r="T6" s="4" t="inlineStr">
        <is>
          <t>Approve</t>
        </is>
      </c>
    </row>
    <row r="7">
      <c r="A7" s="2" t="inlineStr">
        <is>
          <t>TC-006</t>
        </is>
      </c>
      <c r="B7" s="2" t="inlineStr">
        <is>
          <t>TS-003</t>
        </is>
      </c>
      <c r="C7" s="2" t="inlineStr">
        <is>
          <t>MOE HQ User calling SBFAS school budget API directly receives 403 Forbidden</t>
        </is>
      </c>
      <c r="D7" s="2" t="inlineStr">
        <is>
          <t>F6.1 Access &amp; Authorization</t>
        </is>
      </c>
      <c r="E7" s="2" t="inlineStr">
        <is>
          <t>FAS Budget Management</t>
        </is>
      </c>
      <c r="F7" s="2" t="inlineStr">
        <is>
          <t>S2</t>
        </is>
      </c>
      <c r="G7" s="2" t="inlineStr">
        <is>
          <t>High</t>
        </is>
      </c>
      <c r="H7" s="2" t="inlineStr">
        <is>
          <t>Not Run</t>
        </is>
      </c>
      <c r="I7" s="2" t="inlineStr">
        <is>
          <t>Security</t>
        </is>
      </c>
      <c r="J7" s="2" t="inlineStr">
        <is>
          <t>API Gateway: http://localhost:5273
Needs: ENV-R6-01</t>
        </is>
      </c>
      <c r="K7" s="2" t="inlineStr">
        <is>
          <t>1. Authenticated as MOE HQ (Mei Lin Tan).</t>
        </is>
      </c>
      <c r="L7" s="2" t="inlineStr">
        <is>
          <t>Endpoint: /api/fas/v1/budgets/sbfas, SchoolId: BVP-0012</t>
        </is>
      </c>
      <c r="M7" s="2" t="inlineStr">
        <is>
          <t>1. Send POST/PUT request to set SBFAS budget for BVP-0012 directly.
2. Inspect response status code.</t>
        </is>
      </c>
      <c r="N7" s="2" t="inlineStr">
        <is>
          <t>1. API rejects request with HTTP 403 Forbidden.
2. MOE HQ cannot override individual school SBFAS budget without delegation.</t>
        </is>
      </c>
      <c r="O7" s="2" t="n"/>
      <c r="P7" s="2" t="inlineStr">
        <is>
          <t>N/A</t>
        </is>
      </c>
      <c r="Q7" s="2" t="n"/>
      <c r="R7" s="2" t="inlineStr">
        <is>
          <t>FS06: 1.2, BR6.01, R6-03</t>
        </is>
      </c>
      <c r="S7" s="2" t="inlineStr">
        <is>
          <t>HQ to School boundary isolation.</t>
        </is>
      </c>
      <c r="T7" s="4" t="inlineStr">
        <is>
          <t>Approve</t>
        </is>
      </c>
    </row>
    <row r="8">
      <c r="A8" s="2" t="inlineStr">
        <is>
          <t>TC-007</t>
        </is>
      </c>
      <c r="B8" s="2" t="inlineStr">
        <is>
          <t>TS-003</t>
        </is>
      </c>
      <c r="C8" s="2" t="inlineStr">
        <is>
          <t>Unauthenticated user redirected to login when accessing budget routes</t>
        </is>
      </c>
      <c r="D8" s="2" t="inlineStr">
        <is>
          <t>F6.1 Access &amp; Authorization</t>
        </is>
      </c>
      <c r="E8" s="2" t="inlineStr">
        <is>
          <t>Login Page</t>
        </is>
      </c>
      <c r="F8" s="2" t="inlineStr">
        <is>
          <t>S2</t>
        </is>
      </c>
      <c r="G8" s="2" t="inlineStr">
        <is>
          <t>High</t>
        </is>
      </c>
      <c r="H8" s="2" t="inlineStr">
        <is>
          <t>Not Run</t>
        </is>
      </c>
      <c r="I8" s="2" t="inlineStr">
        <is>
          <t>Security</t>
        </is>
      </c>
      <c r="J8" s="2" t="inlineStr">
        <is>
          <t>Admin Portal: http://localhost:5173
Needs: ENV-R6-01</t>
        </is>
      </c>
      <c r="K8" s="2" t="inlineStr">
        <is>
          <t>1. Browser session has no JWT token or authentication cookie.</t>
        </is>
      </c>
      <c r="L8" s="2" t="inlineStr">
        <is>
          <t>URL: http://localhost:5173/fas-budget-management</t>
        </is>
      </c>
      <c r="M8" s="2" t="inlineStr">
        <is>
          <t>1. Directly input budget management URL into browser address bar.
2. Press Enter.</t>
        </is>
      </c>
      <c r="N8" s="2" t="inlineStr">
        <is>
          <t>1. System redirects immediately to login page.
2. No budget data or dashboard elements are rendered.</t>
        </is>
      </c>
      <c r="O8" s="2" t="n"/>
      <c r="P8" s="2" t="inlineStr">
        <is>
          <t>ASM-R6-13</t>
        </is>
      </c>
      <c r="Q8" s="2" t="n"/>
      <c r="R8" s="2" t="inlineStr">
        <is>
          <t>FS06: 5.1.2, 5.2.2</t>
        </is>
      </c>
      <c r="S8" s="2" t="inlineStr">
        <is>
          <t>Route guard check.</t>
        </is>
      </c>
      <c r="T8" s="3" t="inlineStr">
        <is>
          <t>Draft</t>
        </is>
      </c>
    </row>
    <row r="9">
      <c r="A9" s="2" t="inlineStr">
        <is>
          <t>TC-008</t>
        </is>
      </c>
      <c r="B9" s="2" t="inlineStr">
        <is>
          <t>TS-004</t>
        </is>
      </c>
      <c r="C9" s="2" t="inlineStr">
        <is>
          <t>Configure MOEFAS budget with valid whole number amount</t>
        </is>
      </c>
      <c r="D9" s="2" t="inlineStr">
        <is>
          <t>F6.2 MOEFAS Budget Setup</t>
        </is>
      </c>
      <c r="E9" s="2" t="inlineStr">
        <is>
          <t>FAS Budget Management</t>
        </is>
      </c>
      <c r="F9" s="2" t="inlineStr">
        <is>
          <t>S1 (highest)</t>
        </is>
      </c>
      <c r="G9" s="2" t="inlineStr">
        <is>
          <t>Critical</t>
        </is>
      </c>
      <c r="H9" s="2" t="inlineStr">
        <is>
          <t>Not Run</t>
        </is>
      </c>
      <c r="I9" s="2" t="inlineStr">
        <is>
          <t>Functional</t>
        </is>
      </c>
      <c r="J9" s="2" t="inlineStr">
        <is>
          <t>Admin Portal: http://localhost:5173
Needs: ENV-R6-01</t>
        </is>
      </c>
      <c r="K9" s="2" t="inlineStr">
        <is>
          <t>1. Signed in as MOE HQ (Mei Lin Tan).
2. MOEFAS budget configuration form open.</t>
        </is>
      </c>
      <c r="L9" s="2" t="inlineStr">
        <is>
          <t>Budget Amount: 5000000</t>
        </is>
      </c>
      <c r="M9" s="2" t="inlineStr">
        <is>
          <t>1. Enter 5000000 into Budget Amount input field.
2. Click Save button.</t>
        </is>
      </c>
      <c r="N9" s="2" t="inlineStr">
        <is>
          <t>1. Budget amount is saved successfully.
2. System displays confirmation message: 'Budget amount has been successfully configured and saved.'
3. Configured Budget Amount displays 'S$ 5,000,000.00'.</t>
        </is>
      </c>
      <c r="O9" s="2" t="n"/>
      <c r="P9" s="2" t="inlineStr">
        <is>
          <t>ASM-R6-09</t>
        </is>
      </c>
      <c r="Q9" s="2" t="n"/>
      <c r="R9" s="2" t="inlineStr">
        <is>
          <t>FS06: 5.1.4, AC-R6.1.1, R6-04</t>
        </is>
      </c>
      <c r="S9" s="2" t="inlineStr">
        <is>
          <t>Happy path integer budget.</t>
        </is>
      </c>
      <c r="T9" s="3" t="inlineStr">
        <is>
          <t>Draft</t>
        </is>
      </c>
    </row>
    <row r="10">
      <c r="A10" s="2" t="inlineStr">
        <is>
          <t>TC-009</t>
        </is>
      </c>
      <c r="B10" s="2" t="inlineStr">
        <is>
          <t>TS-004</t>
        </is>
      </c>
      <c r="C10" s="2" t="inlineStr">
        <is>
          <t>Configure MOEFAS budget with valid 2-decimal places (cents)</t>
        </is>
      </c>
      <c r="D10" s="2" t="inlineStr">
        <is>
          <t>F6.2 MOEFAS Budget Setup</t>
        </is>
      </c>
      <c r="E10" s="2" t="inlineStr">
        <is>
          <t>FAS Budget Management</t>
        </is>
      </c>
      <c r="F10" s="2" t="inlineStr">
        <is>
          <t>S2</t>
        </is>
      </c>
      <c r="G10" s="2" t="inlineStr">
        <is>
          <t>High</t>
        </is>
      </c>
      <c r="H10" s="2" t="inlineStr">
        <is>
          <t>Not Run</t>
        </is>
      </c>
      <c r="I10" s="2" t="inlineStr">
        <is>
          <t>Functional</t>
        </is>
      </c>
      <c r="J10" s="2" t="inlineStr">
        <is>
          <t>Admin Portal: http://localhost:5173
Needs: ENV-R6-01</t>
        </is>
      </c>
      <c r="K10" s="2" t="inlineStr">
        <is>
          <t>1. Signed in as MOE HQ.
2. Form open.</t>
        </is>
      </c>
      <c r="L10" s="2" t="inlineStr">
        <is>
          <t>Budget Amount: 7500000.50</t>
        </is>
      </c>
      <c r="M10" s="2" t="inlineStr">
        <is>
          <t>1. Enter 7500000.50 into Budget Amount field.
2. Click Save button.</t>
        </is>
      </c>
      <c r="N10" s="2" t="inlineStr">
        <is>
          <t>1. Budget is saved successfully.
2. Configured Budget Amount displays 'S$ 7,500,000.50'.</t>
        </is>
      </c>
      <c r="O10" s="2" t="n"/>
      <c r="P10" s="2" t="inlineStr">
        <is>
          <t>ASM-R6-09</t>
        </is>
      </c>
      <c r="Q10" s="2" t="n"/>
      <c r="R10" s="2" t="inlineStr">
        <is>
          <t>FS06: 5.1.4, R6-04</t>
        </is>
      </c>
      <c r="S10" s="2" t="inlineStr">
        <is>
          <t>Valid decimal cents input.</t>
        </is>
      </c>
      <c r="T10" s="3" t="inlineStr">
        <is>
          <t>Draft</t>
        </is>
      </c>
    </row>
    <row r="11">
      <c r="A11" s="2" t="inlineStr">
        <is>
          <t>TC-010</t>
        </is>
      </c>
      <c r="B11" s="2" t="inlineStr">
        <is>
          <t>TS-004</t>
        </is>
      </c>
      <c r="C11" s="2" t="inlineStr">
        <is>
          <t>Configure MOEFAS budget with 0.00 as valid initial allocated budget</t>
        </is>
      </c>
      <c r="D11" s="2" t="inlineStr">
        <is>
          <t>F6.2 MOEFAS Budget Setup</t>
        </is>
      </c>
      <c r="E11" s="2" t="inlineStr">
        <is>
          <t>FAS Budget Management</t>
        </is>
      </c>
      <c r="F11" s="2" t="inlineStr">
        <is>
          <t>S2</t>
        </is>
      </c>
      <c r="G11" s="2" t="inlineStr">
        <is>
          <t>High</t>
        </is>
      </c>
      <c r="H11" s="2" t="inlineStr">
        <is>
          <t>Not Run</t>
        </is>
      </c>
      <c r="I11" s="2" t="inlineStr">
        <is>
          <t>Functional</t>
        </is>
      </c>
      <c r="J11" s="2" t="inlineStr">
        <is>
          <t>Admin Portal: http://localhost:5173
Needs: ENV-R6-01</t>
        </is>
      </c>
      <c r="K11" s="2" t="inlineStr">
        <is>
          <t>1. Signed in as MOE HQ.</t>
        </is>
      </c>
      <c r="L11" s="2" t="inlineStr">
        <is>
          <t>Budget Amount: 0.00</t>
        </is>
      </c>
      <c r="M11" s="2" t="inlineStr">
        <is>
          <t>1. Enter 0.00 into Budget Amount field.
2. Click Save button.</t>
        </is>
      </c>
      <c r="N11" s="2" t="inlineStr">
        <is>
          <t>1. Budget amount 0.00 is accepted and saved.
2. Configured Budget Amount displays 'S$ 0.00'.</t>
        </is>
      </c>
      <c r="O11" s="2" t="n"/>
      <c r="P11" s="2" t="inlineStr">
        <is>
          <t>ASM-R6-09</t>
        </is>
      </c>
      <c r="Q11" s="2" t="n"/>
      <c r="R11" s="2" t="inlineStr">
        <is>
          <t>FS06: 5.1.4, BR6.03, R6-04</t>
        </is>
      </c>
      <c r="S11" s="2" t="inlineStr">
        <is>
          <t>Zero budget valid initial state.</t>
        </is>
      </c>
      <c r="T11" s="3" t="inlineStr">
        <is>
          <t>Draft</t>
        </is>
      </c>
    </row>
    <row r="12">
      <c r="A12" s="2" t="inlineStr">
        <is>
          <t>TC-011</t>
        </is>
      </c>
      <c r="B12" s="2" t="inlineStr">
        <is>
          <t>TS-004</t>
        </is>
      </c>
      <c r="C12" s="2" t="inlineStr">
        <is>
          <t>Validation error when MOEFAS Budget Amount is left empty</t>
        </is>
      </c>
      <c r="D12" s="2" t="inlineStr">
        <is>
          <t>F6.2 MOEFAS Budget Setup</t>
        </is>
      </c>
      <c r="E12" s="2" t="inlineStr">
        <is>
          <t>FAS Budget Management</t>
        </is>
      </c>
      <c r="F12" s="2" t="inlineStr">
        <is>
          <t>S2</t>
        </is>
      </c>
      <c r="G12" s="2" t="inlineStr">
        <is>
          <t>High</t>
        </is>
      </c>
      <c r="H12" s="2" t="inlineStr">
        <is>
          <t>Not Run</t>
        </is>
      </c>
      <c r="I12" s="2" t="inlineStr">
        <is>
          <t>Functional</t>
        </is>
      </c>
      <c r="J12" s="2" t="inlineStr">
        <is>
          <t>Admin Portal: http://localhost:5173
Needs: ENV-R6-01</t>
        </is>
      </c>
      <c r="K12" s="2" t="inlineStr">
        <is>
          <t>1. Signed in as MOE HQ.
2. Budget Amount field cleared.</t>
        </is>
      </c>
      <c r="L12" s="2" t="inlineStr">
        <is>
          <t>Budget Amount: (empty)</t>
        </is>
      </c>
      <c r="M12" s="2" t="inlineStr">
        <is>
          <t>1. Leave Budget Amount field empty.
2. Click Save button.</t>
        </is>
      </c>
      <c r="N12" s="2" t="inlineStr">
        <is>
          <t>1. Save operation is blocked.
2. Field validation displays error: 'Budget amount is required.'</t>
        </is>
      </c>
      <c r="O12" s="2" t="n"/>
      <c r="P12" s="2" t="inlineStr">
        <is>
          <t>N/A</t>
        </is>
      </c>
      <c r="Q12" s="2" t="n"/>
      <c r="R12" s="2" t="inlineStr">
        <is>
          <t>FS06: 5.1.3</t>
        </is>
      </c>
      <c r="S12" s="2" t="inlineStr">
        <is>
          <t>Required field validation.</t>
        </is>
      </c>
      <c r="T12" s="4" t="inlineStr">
        <is>
          <t>Approve</t>
        </is>
      </c>
    </row>
    <row r="13">
      <c r="A13" s="2" t="inlineStr">
        <is>
          <t>TC-012</t>
        </is>
      </c>
      <c r="B13" s="2" t="inlineStr">
        <is>
          <t>TS-004</t>
        </is>
      </c>
      <c r="C13" s="2" t="inlineStr">
        <is>
          <t>Validation error when entering alphabetic characters in Budget Amount</t>
        </is>
      </c>
      <c r="D13" s="2" t="inlineStr">
        <is>
          <t>F6.2 MOEFAS Budget Setup</t>
        </is>
      </c>
      <c r="E13" s="2" t="inlineStr">
        <is>
          <t>FAS Budget Management</t>
        </is>
      </c>
      <c r="F13" s="2" t="inlineStr">
        <is>
          <t>S2</t>
        </is>
      </c>
      <c r="G13" s="2" t="inlineStr">
        <is>
          <t>High</t>
        </is>
      </c>
      <c r="H13" s="2" t="inlineStr">
        <is>
          <t>Not Run</t>
        </is>
      </c>
      <c r="I13" s="2" t="inlineStr">
        <is>
          <t>Functional</t>
        </is>
      </c>
      <c r="J13" s="2" t="inlineStr">
        <is>
          <t>Admin Portal: http://localhost:5173
Needs: ENV-R6-01</t>
        </is>
      </c>
      <c r="K13" s="2" t="inlineStr">
        <is>
          <t>1. Signed in as MOE HQ.</t>
        </is>
      </c>
      <c r="L13" s="2" t="inlineStr">
        <is>
          <t>Input: 'five million'</t>
        </is>
      </c>
      <c r="M13" s="2" t="inlineStr">
        <is>
          <t>1. Enter 'five million' into Budget Amount field.
2. Click Save button.</t>
        </is>
      </c>
      <c r="N13" s="2" t="inlineStr">
        <is>
          <t>1. Field validation displays error: 'Budget amount must be a valid numeric value.'
2. Form submission is prevented.</t>
        </is>
      </c>
      <c r="O13" s="2" t="n"/>
      <c r="P13" s="2" t="inlineStr">
        <is>
          <t>N/A</t>
        </is>
      </c>
      <c r="Q13" s="2" t="n"/>
      <c r="R13" s="2" t="inlineStr">
        <is>
          <t>FS06: 5.1.3</t>
        </is>
      </c>
      <c r="S13" s="2" t="inlineStr">
        <is>
          <t>Non-numeric input rejected.</t>
        </is>
      </c>
      <c r="T13" s="4" t="inlineStr">
        <is>
          <t>Approve</t>
        </is>
      </c>
    </row>
    <row r="14">
      <c r="A14" s="2" t="inlineStr">
        <is>
          <t>TC-013</t>
        </is>
      </c>
      <c r="B14" s="2" t="inlineStr">
        <is>
          <t>TS-004</t>
        </is>
      </c>
      <c r="C14" s="2" t="inlineStr">
        <is>
          <t>Validation error when entering negative Budget Amount</t>
        </is>
      </c>
      <c r="D14" s="2" t="inlineStr">
        <is>
          <t>F6.2 MOEFAS Budget Setup</t>
        </is>
      </c>
      <c r="E14" s="2" t="inlineStr">
        <is>
          <t>FAS Budget Management</t>
        </is>
      </c>
      <c r="F14" s="2" t="inlineStr">
        <is>
          <t>S2</t>
        </is>
      </c>
      <c r="G14" s="2" t="inlineStr">
        <is>
          <t>High</t>
        </is>
      </c>
      <c r="H14" s="2" t="inlineStr">
        <is>
          <t>Not Run</t>
        </is>
      </c>
      <c r="I14" s="2" t="inlineStr">
        <is>
          <t>Functional</t>
        </is>
      </c>
      <c r="J14" s="2" t="inlineStr">
        <is>
          <t>Admin Portal: http://localhost:5173
Needs: ENV-R6-01</t>
        </is>
      </c>
      <c r="K14" s="2" t="inlineStr">
        <is>
          <t>1. Signed in as MOE HQ.</t>
        </is>
      </c>
      <c r="L14" s="2" t="inlineStr">
        <is>
          <t>Input: -50000</t>
        </is>
      </c>
      <c r="M14" s="2" t="inlineStr">
        <is>
          <t>1. Enter -50000 into Budget Amount field.
2. Click Save button.</t>
        </is>
      </c>
      <c r="N14" s="2" t="inlineStr">
        <is>
          <t>1. Field validation displays error: 'Budget amount must be greater than or equal to 0.'
2. Form submission is prevented.</t>
        </is>
      </c>
      <c r="O14" s="2" t="n"/>
      <c r="P14" s="2" t="inlineStr">
        <is>
          <t>N/A</t>
        </is>
      </c>
      <c r="Q14" s="2" t="n"/>
      <c r="R14" s="2" t="inlineStr">
        <is>
          <t>FS06: BR6.03</t>
        </is>
      </c>
      <c r="S14" s="2" t="inlineStr">
        <is>
          <t>Negative amount rejected.</t>
        </is>
      </c>
      <c r="T14" s="4" t="inlineStr">
        <is>
          <t>Approve</t>
        </is>
      </c>
    </row>
    <row r="15">
      <c r="A15" s="2" t="inlineStr">
        <is>
          <t>TC-014</t>
        </is>
      </c>
      <c r="B15" s="2" t="inlineStr">
        <is>
          <t>TS-004</t>
        </is>
      </c>
      <c r="C15" s="2" t="inlineStr">
        <is>
          <t>Validation error when entering more than 2 decimal places</t>
        </is>
      </c>
      <c r="D15" s="2" t="inlineStr">
        <is>
          <t>F6.2 MOEFAS Budget Setup</t>
        </is>
      </c>
      <c r="E15" s="2" t="inlineStr">
        <is>
          <t>FAS Budget Management</t>
        </is>
      </c>
      <c r="F15" s="2" t="inlineStr">
        <is>
          <t>S3</t>
        </is>
      </c>
      <c r="G15" s="2" t="inlineStr">
        <is>
          <t>Medium</t>
        </is>
      </c>
      <c r="H15" s="2" t="inlineStr">
        <is>
          <t>Not Run</t>
        </is>
      </c>
      <c r="I15" s="2" t="inlineStr">
        <is>
          <t>Functional</t>
        </is>
      </c>
      <c r="J15" s="2" t="inlineStr">
        <is>
          <t>Admin Portal: http://localhost:5173
Needs: ENV-R6-01</t>
        </is>
      </c>
      <c r="K15" s="2" t="inlineStr">
        <is>
          <t>1. Signed in as MOE HQ.</t>
        </is>
      </c>
      <c r="L15" s="2" t="inlineStr">
        <is>
          <t>Input: 125000.456</t>
        </is>
      </c>
      <c r="M15" s="2" t="inlineStr">
        <is>
          <t>1. Enter 125000.456 into Budget Amount field.
2. Click Save button.</t>
        </is>
      </c>
      <c r="N15" s="2" t="inlineStr">
        <is>
          <t>1. Field validation displays error: 'Budget amount can have at most 2 decimal places.'
2. Form submission is prevented.</t>
        </is>
      </c>
      <c r="O15" s="2" t="n"/>
      <c r="P15" s="2" t="inlineStr">
        <is>
          <t>ASM-R6-09</t>
        </is>
      </c>
      <c r="Q15" s="2" t="n"/>
      <c r="R15" s="2" t="inlineStr">
        <is>
          <t>FS06: G10</t>
        </is>
      </c>
      <c r="S15" s="2" t="inlineStr">
        <is>
          <t>Sub-cent precision validation.</t>
        </is>
      </c>
      <c r="T15" s="3" t="inlineStr">
        <is>
          <t>Draft</t>
        </is>
      </c>
    </row>
    <row r="16">
      <c r="A16" s="2" t="inlineStr">
        <is>
          <t>TC-015</t>
        </is>
      </c>
      <c r="B16" s="2" t="inlineStr">
        <is>
          <t>TS-004</t>
        </is>
      </c>
      <c r="C16" s="2" t="inlineStr">
        <is>
          <t>Validation error when Budget Amount exceeds proposed cap 999,999,999.99</t>
        </is>
      </c>
      <c r="D16" s="2" t="inlineStr">
        <is>
          <t>F6.2 MOEFAS Budget Setup</t>
        </is>
      </c>
      <c r="E16" s="2" t="inlineStr">
        <is>
          <t>FAS Budget Management</t>
        </is>
      </c>
      <c r="F16" s="2" t="inlineStr">
        <is>
          <t>S3</t>
        </is>
      </c>
      <c r="G16" s="2" t="inlineStr">
        <is>
          <t>Medium</t>
        </is>
      </c>
      <c r="H16" s="2" t="inlineStr">
        <is>
          <t>Not Run</t>
        </is>
      </c>
      <c r="I16" s="2" t="inlineStr">
        <is>
          <t>Functional</t>
        </is>
      </c>
      <c r="J16" s="2" t="inlineStr">
        <is>
          <t>Admin Portal: http://localhost:5173
Needs: ENV-R6-01</t>
        </is>
      </c>
      <c r="K16" s="2" t="inlineStr">
        <is>
          <t>1. Signed in as MOE HQ.</t>
        </is>
      </c>
      <c r="L16" s="2" t="inlineStr">
        <is>
          <t>Input: 1000000000.00</t>
        </is>
      </c>
      <c r="M16" s="2" t="inlineStr">
        <is>
          <t>1. Enter 1000000000.00 into Budget Amount field.
2. Click Save button.</t>
        </is>
      </c>
      <c r="N16" s="2" t="inlineStr">
        <is>
          <t>1. Field validation displays error: 'Budget amount cannot exceed S$ 999,999,999.99.'
2. Form submission is prevented.</t>
        </is>
      </c>
      <c r="O16" s="2" t="n"/>
      <c r="P16" s="2" t="inlineStr">
        <is>
          <t>ASM-R6-06</t>
        </is>
      </c>
      <c r="Q16" s="2" t="n"/>
      <c r="R16" s="2" t="inlineStr">
        <is>
          <t>FS06: G10</t>
        </is>
      </c>
      <c r="S16" s="2" t="inlineStr">
        <is>
          <t>Proposed ceiling validation.</t>
        </is>
      </c>
      <c r="T16" s="3" t="inlineStr">
        <is>
          <t>Draft</t>
        </is>
      </c>
    </row>
    <row r="17">
      <c r="A17" s="2" t="inlineStr">
        <is>
          <t>TC-016</t>
        </is>
      </c>
      <c r="B17" s="2" t="inlineStr">
        <is>
          <t>TS-004</t>
        </is>
      </c>
      <c r="C17" s="2" t="inlineStr">
        <is>
          <t>Automatic trimming of whitespace in Budget Amount input</t>
        </is>
      </c>
      <c r="D17" s="2" t="inlineStr">
        <is>
          <t>F6.2 MOEFAS Budget Setup</t>
        </is>
      </c>
      <c r="E17" s="2" t="inlineStr">
        <is>
          <t>FAS Budget Management</t>
        </is>
      </c>
      <c r="F17" s="2" t="inlineStr">
        <is>
          <t>S3</t>
        </is>
      </c>
      <c r="G17" s="2" t="inlineStr">
        <is>
          <t>Medium</t>
        </is>
      </c>
      <c r="H17" s="2" t="inlineStr">
        <is>
          <t>Not Run</t>
        </is>
      </c>
      <c r="I17" s="2" t="inlineStr">
        <is>
          <t>Functional</t>
        </is>
      </c>
      <c r="J17" s="2" t="inlineStr">
        <is>
          <t>Admin Portal: http://localhost:5173
Needs: ENV-R6-01</t>
        </is>
      </c>
      <c r="K17" s="2" t="inlineStr">
        <is>
          <t>1. Signed in as MOE HQ.</t>
        </is>
      </c>
      <c r="L17" s="2" t="inlineStr">
        <is>
          <t>Input: '   3500000   '</t>
        </is>
      </c>
      <c r="M17" s="2" t="inlineStr">
        <is>
          <t>1. Paste '   3500000   ' into Budget Amount field.
2. Click Save button.</t>
        </is>
      </c>
      <c r="N17" s="2" t="inlineStr">
        <is>
          <t>1. System trims leading and trailing whitespace.
2. Budget is successfully saved as S$ 3,500,000.00 without error.</t>
        </is>
      </c>
      <c r="O17" s="2" t="n"/>
      <c r="P17" s="2" t="inlineStr">
        <is>
          <t>ASM-R6-09</t>
        </is>
      </c>
      <c r="Q17" s="2" t="n"/>
      <c r="R17" s="2" t="inlineStr">
        <is>
          <t>FS06: 5.1.3</t>
        </is>
      </c>
      <c r="S17" s="2" t="inlineStr">
        <is>
          <t>Whitespace sanitization.</t>
        </is>
      </c>
      <c r="T17" s="3" t="inlineStr">
        <is>
          <t>Draft</t>
        </is>
      </c>
    </row>
    <row r="18">
      <c r="A18" s="2" t="inlineStr">
        <is>
          <t>TC-017</t>
        </is>
      </c>
      <c r="B18" s="2" t="inlineStr">
        <is>
          <t>TS-005</t>
        </is>
      </c>
      <c r="C18" s="2" t="inlineStr">
        <is>
          <t>Cancel button resets input field to previous configured value</t>
        </is>
      </c>
      <c r="D18" s="2" t="inlineStr">
        <is>
          <t>F6.2 MOEFAS Budget Setup</t>
        </is>
      </c>
      <c r="E18" s="2" t="inlineStr">
        <is>
          <t>FAS Budget Management</t>
        </is>
      </c>
      <c r="F18" s="2" t="inlineStr">
        <is>
          <t>S3</t>
        </is>
      </c>
      <c r="G18" s="2" t="inlineStr">
        <is>
          <t>Medium</t>
        </is>
      </c>
      <c r="H18" s="2" t="inlineStr">
        <is>
          <t>Not Run</t>
        </is>
      </c>
      <c r="I18" s="2" t="inlineStr">
        <is>
          <t>UI</t>
        </is>
      </c>
      <c r="J18" s="2" t="inlineStr">
        <is>
          <t>Admin Portal: http://localhost:5173
Needs: ENV-R6-01</t>
        </is>
      </c>
      <c r="K18" s="2" t="inlineStr">
        <is>
          <t>1. Configured budget is S$ 2,000,000.00.
2. MOE HQ user edits amount.</t>
        </is>
      </c>
      <c r="L18" s="2" t="inlineStr">
        <is>
          <t>New input: 9999999</t>
        </is>
      </c>
      <c r="M18" s="2" t="inlineStr">
        <is>
          <t>1. Type 9999999 into Budget Amount.
2. Click Cancel button.</t>
        </is>
      </c>
      <c r="N18" s="2" t="inlineStr">
        <is>
          <t>1. Edit is discarded.
2. Field reverts to previous value S$ 2,000,000.00 without making backend changes.</t>
        </is>
      </c>
      <c r="O18" s="2" t="n"/>
      <c r="P18" s="2" t="inlineStr">
        <is>
          <t>N/A</t>
        </is>
      </c>
      <c r="Q18" s="2" t="n"/>
      <c r="R18" s="2" t="inlineStr">
        <is>
          <t>FS06: 5.1.3, UI-R6-004</t>
        </is>
      </c>
      <c r="S18" s="2" t="inlineStr">
        <is>
          <t>Cancel button UI verification.</t>
        </is>
      </c>
      <c r="T18" s="4" t="inlineStr">
        <is>
          <t>Approve</t>
        </is>
      </c>
    </row>
    <row r="19">
      <c r="A19" s="2" t="inlineStr">
        <is>
          <t>TC-018</t>
        </is>
      </c>
      <c r="B19" s="2" t="inlineStr">
        <is>
          <t>TS-006</t>
        </is>
      </c>
      <c r="C19" s="2" t="inlineStr">
        <is>
          <t>School User views SBFAS Budget page with locked school and scheme labels</t>
        </is>
      </c>
      <c r="D19" s="2" t="inlineStr">
        <is>
          <t>F6.3 SBFAS Budget Setup</t>
        </is>
      </c>
      <c r="E19" s="2" t="inlineStr">
        <is>
          <t>FAS Budget Management</t>
        </is>
      </c>
      <c r="F19" s="2" t="inlineStr">
        <is>
          <t>S2</t>
        </is>
      </c>
      <c r="G19" s="2" t="inlineStr">
        <is>
          <t>High</t>
        </is>
      </c>
      <c r="H19" s="2" t="inlineStr">
        <is>
          <t>Not Run</t>
        </is>
      </c>
      <c r="I19" s="2" t="inlineStr">
        <is>
          <t>UI</t>
        </is>
      </c>
      <c r="J19" s="2" t="inlineStr">
        <is>
          <t>Admin Portal: http://localhost:5173
Needs: ENV-R6-01</t>
        </is>
      </c>
      <c r="K19" s="2" t="inlineStr">
        <is>
          <t>1. Signed in as School Admin (Bukit View Primary).</t>
        </is>
      </c>
      <c r="L19" s="2" t="inlineStr">
        <is>
          <t>School: Bukit View Primary School</t>
        </is>
      </c>
      <c r="M19" s="2" t="inlineStr">
        <is>
          <t>1. Open SBFAS Budget Management.
2. Check School and FAS Type elements.</t>
        </is>
      </c>
      <c r="N19" s="2" t="inlineStr">
        <is>
          <t>1. School displays 'Bukit View Primary School' in read-only mode.
2. FAS Type displays 'SBFAS' in read-only mode.
3. Both elements lack editable controls or dropdown selectors.</t>
        </is>
      </c>
      <c r="O19" s="2" t="n"/>
      <c r="P19" s="2" t="inlineStr">
        <is>
          <t>N/A</t>
        </is>
      </c>
      <c r="Q19" s="2" t="n"/>
      <c r="R19" s="2" t="inlineStr">
        <is>
          <t>FS06: 5.2.3, UI-R6-006, UI-R6-007, BR6.01</t>
        </is>
      </c>
      <c r="S19" s="2" t="inlineStr">
        <is>
          <t>Locked scope elements.</t>
        </is>
      </c>
      <c r="T19" s="4" t="inlineStr">
        <is>
          <t>Approve</t>
        </is>
      </c>
    </row>
    <row r="20">
      <c r="A20" s="2" t="inlineStr">
        <is>
          <t>TC-019</t>
        </is>
      </c>
      <c r="B20" s="2" t="inlineStr">
        <is>
          <t>TS-007</t>
        </is>
      </c>
      <c r="C20" s="2" t="inlineStr">
        <is>
          <t>Configure SBFAS budget for assigned school with valid amount</t>
        </is>
      </c>
      <c r="D20" s="2" t="inlineStr">
        <is>
          <t>F6.3 SBFAS Budget Setup</t>
        </is>
      </c>
      <c r="E20" s="2" t="inlineStr">
        <is>
          <t>FAS Budget Management</t>
        </is>
      </c>
      <c r="F20" s="2" t="inlineStr">
        <is>
          <t>S1 (highest)</t>
        </is>
      </c>
      <c r="G20" s="2" t="inlineStr">
        <is>
          <t>Critical</t>
        </is>
      </c>
      <c r="H20" s="2" t="inlineStr">
        <is>
          <t>Not Run</t>
        </is>
      </c>
      <c r="I20" s="2" t="inlineStr">
        <is>
          <t>Functional</t>
        </is>
      </c>
      <c r="J20" s="2" t="inlineStr">
        <is>
          <t>Admin Portal: http://localhost:5173
Needs: ENV-R6-01</t>
        </is>
      </c>
      <c r="K20" s="2" t="inlineStr">
        <is>
          <t>1. Signed in as School Admin (Lan Nguyen).
2. SBFAS budget form open.</t>
        </is>
      </c>
      <c r="L20" s="2" t="inlineStr">
        <is>
          <t>Budget Amount: 150000.00</t>
        </is>
      </c>
      <c r="M20" s="2" t="inlineStr">
        <is>
          <t>1. Enter 150000 into Budget Amount field.
2. Click Save button.</t>
        </is>
      </c>
      <c r="N20" s="2" t="inlineStr">
        <is>
          <t>1. SBFAS budget is saved for Bukit View Primary School.
2. Confirmation message displays: 'Budget amount has been successfully configured and saved.'
3. Configured Budget Amount displays 'S$ 150,000.00'.</t>
        </is>
      </c>
      <c r="O20" s="2" t="n"/>
      <c r="P20" s="2" t="inlineStr">
        <is>
          <t>ASM-R6-09</t>
        </is>
      </c>
      <c r="Q20" s="2" t="n"/>
      <c r="R20" s="2" t="inlineStr">
        <is>
          <t>FS06: 5.2.4, AC-R6.1.2, R6-03, R6-04</t>
        </is>
      </c>
      <c r="S20" s="2" t="inlineStr">
        <is>
          <t>School budget configuration.</t>
        </is>
      </c>
      <c r="T20" s="3" t="inlineStr">
        <is>
          <t>Draft</t>
        </is>
      </c>
    </row>
    <row r="21">
      <c r="A21" s="2" t="inlineStr">
        <is>
          <t>TC-020</t>
        </is>
      </c>
      <c r="B21" s="2" t="inlineStr">
        <is>
          <t>TS-007</t>
        </is>
      </c>
      <c r="C21" s="2" t="inlineStr">
        <is>
          <t>Validation error when SBFAS Budget Amount is negative</t>
        </is>
      </c>
      <c r="D21" s="2" t="inlineStr">
        <is>
          <t>F6.3 SBFAS Budget Setup</t>
        </is>
      </c>
      <c r="E21" s="2" t="inlineStr">
        <is>
          <t>FAS Budget Management</t>
        </is>
      </c>
      <c r="F21" s="2" t="inlineStr">
        <is>
          <t>S2</t>
        </is>
      </c>
      <c r="G21" s="2" t="inlineStr">
        <is>
          <t>High</t>
        </is>
      </c>
      <c r="H21" s="2" t="inlineStr">
        <is>
          <t>Not Run</t>
        </is>
      </c>
      <c r="I21" s="2" t="inlineStr">
        <is>
          <t>Functional</t>
        </is>
      </c>
      <c r="J21" s="2" t="inlineStr">
        <is>
          <t>Admin Portal: http://localhost:5173
Needs: ENV-R6-01</t>
        </is>
      </c>
      <c r="K21" s="2" t="inlineStr">
        <is>
          <t>1. Signed in as School Admin.</t>
        </is>
      </c>
      <c r="L21" s="2" t="inlineStr">
        <is>
          <t>Input: -5000</t>
        </is>
      </c>
      <c r="M21" s="2" t="inlineStr">
        <is>
          <t>1. Enter -5000 into Budget Amount.
2. Click Save button.</t>
        </is>
      </c>
      <c r="N21" s="2" t="inlineStr">
        <is>
          <t>1. Error message displays: 'Budget amount must be greater than or equal to 0.'
2. Save is prevented.</t>
        </is>
      </c>
      <c r="O21" s="2" t="n"/>
      <c r="P21" s="2" t="inlineStr">
        <is>
          <t>N/A</t>
        </is>
      </c>
      <c r="Q21" s="2" t="n"/>
      <c r="R21" s="2" t="inlineStr">
        <is>
          <t>FS06: BR6.03</t>
        </is>
      </c>
      <c r="S21" s="2" t="inlineStr">
        <is>
          <t>Negative amount rejected.</t>
        </is>
      </c>
      <c r="T21" s="4" t="inlineStr">
        <is>
          <t>Approve</t>
        </is>
      </c>
    </row>
    <row r="22">
      <c r="A22" s="2" t="inlineStr">
        <is>
          <t>TC-021</t>
        </is>
      </c>
      <c r="B22" s="2" t="inlineStr">
        <is>
          <t>TS-008</t>
        </is>
      </c>
      <c r="C22" s="2" t="inlineStr">
        <is>
          <t>Configured budget amount persists across page reload and re-login</t>
        </is>
      </c>
      <c r="D22" s="2" t="inlineStr">
        <is>
          <t>F6.3 SBFAS Budget Setup</t>
        </is>
      </c>
      <c r="E22" s="2" t="inlineStr">
        <is>
          <t>FAS Budget Management</t>
        </is>
      </c>
      <c r="F22" s="2" t="inlineStr">
        <is>
          <t>S1 (highest)</t>
        </is>
      </c>
      <c r="G22" s="2" t="inlineStr">
        <is>
          <t>Critical</t>
        </is>
      </c>
      <c r="H22" s="2" t="inlineStr">
        <is>
          <t>Not Run</t>
        </is>
      </c>
      <c r="I22" s="2" t="inlineStr">
        <is>
          <t>Functional</t>
        </is>
      </c>
      <c r="J22" s="2" t="inlineStr">
        <is>
          <t>Admin Portal: http://localhost:5173
Needs: ENV-R6-01</t>
        </is>
      </c>
      <c r="K22" s="2" t="inlineStr">
        <is>
          <t>1. SBFAS budget configured as S$ 150,000.00.</t>
        </is>
      </c>
      <c r="L22" s="2" t="inlineStr">
        <is>
          <t>School: BVP-0012</t>
        </is>
      </c>
      <c r="M22" s="2" t="inlineStr">
        <is>
          <t>1. Refresh browser (F5) or sign out and sign in again.
2. Navigate back to SBFAS Budget Management.</t>
        </is>
      </c>
      <c r="N22" s="2" t="inlineStr">
        <is>
          <t>1. Configured Budget Amount persists and displays 'S$ 150,000.00'.
2. Data is not lost upon session refresh.</t>
        </is>
      </c>
      <c r="O22" s="2" t="n"/>
      <c r="P22" s="2" t="inlineStr">
        <is>
          <t>ASM-R6-09</t>
        </is>
      </c>
      <c r="Q22" s="2" t="n"/>
      <c r="R22" s="2" t="inlineStr">
        <is>
          <t>FS06: 5.2.5, R6-04</t>
        </is>
      </c>
      <c r="S22" s="2" t="inlineStr">
        <is>
          <t>Persistence verification.</t>
        </is>
      </c>
      <c r="T22" s="3" t="inlineStr">
        <is>
          <t>Draft</t>
        </is>
      </c>
    </row>
    <row r="23">
      <c r="A23" s="2" t="inlineStr">
        <is>
          <t>TC-022</t>
        </is>
      </c>
      <c r="B23" s="2" t="inlineStr">
        <is>
          <t>TS-008</t>
        </is>
      </c>
      <c r="C23" s="2" t="inlineStr">
        <is>
          <t>Save unchanged budget amount does not create redundant state</t>
        </is>
      </c>
      <c r="D23" s="2" t="inlineStr">
        <is>
          <t>F6.3 SBFAS Budget Setup</t>
        </is>
      </c>
      <c r="E23" s="2" t="inlineStr">
        <is>
          <t>FAS Budget Management</t>
        </is>
      </c>
      <c r="F23" s="2" t="inlineStr">
        <is>
          <t>S3</t>
        </is>
      </c>
      <c r="G23" s="2" t="inlineStr">
        <is>
          <t>Medium</t>
        </is>
      </c>
      <c r="H23" s="2" t="inlineStr">
        <is>
          <t>Not Run</t>
        </is>
      </c>
      <c r="I23" s="2" t="inlineStr">
        <is>
          <t>Functional</t>
        </is>
      </c>
      <c r="J23" s="2" t="inlineStr">
        <is>
          <t>Admin Portal: http://localhost:5173
Needs: ENV-R6-01</t>
        </is>
      </c>
      <c r="K23" s="2" t="inlineStr">
        <is>
          <t>1. Configured budget is S$ 150,000.00.</t>
        </is>
      </c>
      <c r="L23" s="2" t="inlineStr">
        <is>
          <t>Budget Amount: 150000.00</t>
        </is>
      </c>
      <c r="M23" s="2" t="inlineStr">
        <is>
          <t>1. Open edit.
2. Keep same amount 150000.00.
3. Click Save.</t>
        </is>
      </c>
      <c r="N23" s="2" t="inlineStr">
        <is>
          <t>1. System handles gracefully.
2. Value remains S$ 150,000.00 without error.</t>
        </is>
      </c>
      <c r="O23" s="2" t="n"/>
      <c r="P23" s="2" t="inlineStr">
        <is>
          <t>ASM-R6-09</t>
        </is>
      </c>
      <c r="Q23" s="2" t="n"/>
      <c r="R23" s="2" t="inlineStr">
        <is>
          <t>FS06: 5.2.4</t>
        </is>
      </c>
      <c r="S23" s="2" t="inlineStr">
        <is>
          <t>Idempotent save check.</t>
        </is>
      </c>
      <c r="T23" s="3" t="inlineStr">
        <is>
          <t>Draft</t>
        </is>
      </c>
    </row>
    <row r="24">
      <c r="A24" s="2" t="inlineStr">
        <is>
          <t>TC-023</t>
        </is>
      </c>
      <c r="B24" s="2" t="inlineStr">
        <is>
          <t>TS-009</t>
        </is>
      </c>
      <c r="C24" s="2" t="inlineStr">
        <is>
          <t>Edit existing budget opens adjustment modal with current amount</t>
        </is>
      </c>
      <c r="D24" s="2" t="inlineStr">
        <is>
          <t>F6.4 Budget Adjustments</t>
        </is>
      </c>
      <c r="E24" s="2" t="inlineStr">
        <is>
          <t>FAS Budget Management</t>
        </is>
      </c>
      <c r="F24" s="2" t="inlineStr">
        <is>
          <t>S2</t>
        </is>
      </c>
      <c r="G24" s="2" t="inlineStr">
        <is>
          <t>High</t>
        </is>
      </c>
      <c r="H24" s="2" t="inlineStr">
        <is>
          <t>Not Run</t>
        </is>
      </c>
      <c r="I24" s="2" t="inlineStr">
        <is>
          <t>UI</t>
        </is>
      </c>
      <c r="J24" s="2" t="inlineStr">
        <is>
          <t>Admin Portal: http://localhost:5173
Needs: ENV-R6-01</t>
        </is>
      </c>
      <c r="K24" s="2" t="inlineStr">
        <is>
          <t>1. Configured budget exists (S$ 150,000.00).
2. Edit button is present.</t>
        </is>
      </c>
      <c r="L24" s="2" t="inlineStr">
        <is>
          <t>Action: Click Edit</t>
        </is>
      </c>
      <c r="M24" s="2" t="inlineStr">
        <is>
          <t>1. Click Edit button on configured budget view.</t>
        </is>
      </c>
      <c r="N24" s="2" t="inlineStr">
        <is>
          <t>1. Adjustment modal opens.
2. Current allocated amount (S$ 150,000.00) is displayed as reference.
3. New amount input field and Reason field are present.</t>
        </is>
      </c>
      <c r="O24" s="2" t="n"/>
      <c r="P24" s="2" t="inlineStr">
        <is>
          <t>ASM-R6-02</t>
        </is>
      </c>
      <c r="Q24" s="2" t="n"/>
      <c r="R24" s="2" t="inlineStr">
        <is>
          <t>FS06: 5.3.2, UI-R6-015, G2</t>
        </is>
      </c>
      <c r="S24" s="2" t="inlineStr">
        <is>
          <t>Adjustment modal presentation.</t>
        </is>
      </c>
      <c r="T24" s="3" t="inlineStr">
        <is>
          <t>Draft</t>
        </is>
      </c>
    </row>
    <row r="25">
      <c r="A25" s="2" t="inlineStr">
        <is>
          <t>TC-024</t>
        </is>
      </c>
      <c r="B25" s="2" t="inlineStr">
        <is>
          <t>TS-010</t>
        </is>
      </c>
      <c r="C25" s="2" t="inlineStr">
        <is>
          <t>Save budget adjustment records adjustment details and reason</t>
        </is>
      </c>
      <c r="D25" s="2" t="inlineStr">
        <is>
          <t>F6.4 Budget Adjustments</t>
        </is>
      </c>
      <c r="E25" s="2" t="inlineStr">
        <is>
          <t>FAS Budget Management</t>
        </is>
      </c>
      <c r="F25" s="2" t="inlineStr">
        <is>
          <t>S1 (highest)</t>
        </is>
      </c>
      <c r="G25" s="2" t="inlineStr">
        <is>
          <t>Critical</t>
        </is>
      </c>
      <c r="H25" s="2" t="inlineStr">
        <is>
          <t>Not Run</t>
        </is>
      </c>
      <c r="I25" s="2" t="inlineStr">
        <is>
          <t>Functional</t>
        </is>
      </c>
      <c r="J25" s="2" t="inlineStr">
        <is>
          <t>Admin Portal: http://localhost:5173
Needs: ENV-R6-01</t>
        </is>
      </c>
      <c r="K25" s="2" t="inlineStr">
        <is>
          <t>1. Previous budget: S$ 150,000.00.
2. User edits budget.</t>
        </is>
      </c>
      <c r="L25" s="2" t="inlineStr">
        <is>
          <t>New Amount: 200000.00, Reason: 'Mid-year FAS allocation top-up'</t>
        </is>
      </c>
      <c r="M25" s="2" t="inlineStr">
        <is>
          <t>1. Enter 200000 into New Amount field.
2. Enter reason.
3. Click Save Adjustment.</t>
        </is>
      </c>
      <c r="N25" s="2" t="inlineStr">
        <is>
          <t>1. Budget updates to S$ 200,000.00.
2. System displays confirmation: 'Budget amount has been successfully configured and saved.'</t>
        </is>
      </c>
      <c r="O25" s="2" t="n"/>
      <c r="P25" s="2" t="inlineStr">
        <is>
          <t>ASM-R6-02</t>
        </is>
      </c>
      <c r="Q25" s="2" t="n"/>
      <c r="R25" s="2" t="inlineStr">
        <is>
          <t>FS06: 5.1.6, G2, G12</t>
        </is>
      </c>
      <c r="S25" s="2" t="inlineStr">
        <is>
          <t>Adjustment save flow.</t>
        </is>
      </c>
      <c r="T25" s="3" t="inlineStr">
        <is>
          <t>Draft</t>
        </is>
      </c>
    </row>
    <row r="26">
      <c r="A26" s="2" t="inlineStr">
        <is>
          <t>TC-025</t>
        </is>
      </c>
      <c r="B26" s="2" t="inlineStr">
        <is>
          <t>TS-011</t>
        </is>
      </c>
      <c r="C26" s="2" t="inlineStr">
        <is>
          <t>Save button debouncing prevents duplicate submissions on rapid clicks</t>
        </is>
      </c>
      <c r="D26" s="2" t="inlineStr">
        <is>
          <t>F6.4 Budget Adjustments</t>
        </is>
      </c>
      <c r="E26" s="2" t="inlineStr">
        <is>
          <t>FAS Budget Management</t>
        </is>
      </c>
      <c r="F26" s="2" t="inlineStr">
        <is>
          <t>S2</t>
        </is>
      </c>
      <c r="G26" s="2" t="inlineStr">
        <is>
          <t>High</t>
        </is>
      </c>
      <c r="H26" s="2" t="inlineStr">
        <is>
          <t>Not Run</t>
        </is>
      </c>
      <c r="I26" s="2" t="inlineStr">
        <is>
          <t>Non-functional</t>
        </is>
      </c>
      <c r="J26" s="2" t="inlineStr">
        <is>
          <t>Admin Portal: http://localhost:5173
Needs: ENV-R6-01</t>
        </is>
      </c>
      <c r="K26" s="2" t="inlineStr">
        <is>
          <t>1. Budget form filled with valid data.</t>
        </is>
      </c>
      <c r="L26" s="2" t="inlineStr">
        <is>
          <t>Rapid double-click on Save button</t>
        </is>
      </c>
      <c r="M26" s="2" t="inlineStr">
        <is>
          <t>1. Rapidly click Save button twice within 250ms.
2. Inspect network tab.</t>
        </is>
      </c>
      <c r="N26" s="2" t="inlineStr">
        <is>
          <t>1. Save button is immediately disabled on first click.
2. Exactly one POST/PUT HTTP request is sent to backend.
3. No duplicate update occurs.</t>
        </is>
      </c>
      <c r="O26" s="2" t="n"/>
      <c r="P26" s="2" t="inlineStr">
        <is>
          <t>ASM-R6-12</t>
        </is>
      </c>
      <c r="Q26" s="2" t="n"/>
      <c r="R26" s="2" t="inlineStr">
        <is>
          <t>FS06: Robustness standard</t>
        </is>
      </c>
      <c r="S26" s="2" t="inlineStr">
        <is>
          <t>Debounce mechanism.</t>
        </is>
      </c>
      <c r="T26" s="3" t="inlineStr">
        <is>
          <t>Draft</t>
        </is>
      </c>
    </row>
    <row r="27">
      <c r="A27" s="2" t="inlineStr">
        <is>
          <t>TC-026</t>
        </is>
      </c>
      <c r="B27" s="2" t="inlineStr">
        <is>
          <t>TS-012</t>
        </is>
      </c>
      <c r="C27" s="2" t="inlineStr">
        <is>
          <t>MOE HQ User views Total Subsidy Amount Granted on MOEFAS Statistics</t>
        </is>
      </c>
      <c r="D27" s="2" t="inlineStr">
        <is>
          <t>F6.5 MOEFAS Statistics</t>
        </is>
      </c>
      <c r="E27" s="2" t="inlineStr">
        <is>
          <t>FAS Subsidy Statistics</t>
        </is>
      </c>
      <c r="F27" s="2" t="inlineStr">
        <is>
          <t>S1 (highest)</t>
        </is>
      </c>
      <c r="G27" s="2" t="inlineStr">
        <is>
          <t>Critical</t>
        </is>
      </c>
      <c r="H27" s="2" t="inlineStr">
        <is>
          <t>Not Run</t>
        </is>
      </c>
      <c r="I27" s="2" t="inlineStr">
        <is>
          <t>Functional</t>
        </is>
      </c>
      <c r="J27" s="2" t="inlineStr">
        <is>
          <t>Admin Portal: http://localhost:5173
Needs: ENV-R6-01, ENV-R6-03</t>
        </is>
      </c>
      <c r="K27" s="2" t="inlineStr">
        <is>
          <t>1. Signed in as MOE HQ (Mei Lin Tan).
2. Seeded granted subsidies exist across schools.</t>
        </is>
      </c>
      <c r="L27" s="2" t="inlineStr">
        <is>
          <t>Scheme: MOEFAS</t>
        </is>
      </c>
      <c r="M27" s="2" t="inlineStr">
        <is>
          <t>1. Open Subsidy Statistics view.
2. Select MOEFAS scheme view.</t>
        </is>
      </c>
      <c r="N27" s="2" t="inlineStr">
        <is>
          <t>1. Page title displays 'MOEFAS Subsidy Statistics'.
2. FAS Type displays 'MOEFAS'.
3. Total Subsidy Amount Granted displays sum of all granted MOEFAS subsidies formatted as 'S$ #,##0.00'.</t>
        </is>
      </c>
      <c r="O27" s="2" t="n"/>
      <c r="P27" s="2" t="inlineStr">
        <is>
          <t>ASM-R6-09</t>
        </is>
      </c>
      <c r="Q27" s="2" t="n"/>
      <c r="R27" s="2" t="inlineStr">
        <is>
          <t>FS06: 5.4.3, UI-R6-018, AC-R6.2.1, R6-05, R6-07</t>
        </is>
      </c>
      <c r="S27" s="2" t="inlineStr">
        <is>
          <t>National statistics view.</t>
        </is>
      </c>
      <c r="T27" s="3" t="inlineStr">
        <is>
          <t>Draft</t>
        </is>
      </c>
    </row>
    <row r="28">
      <c r="A28" s="2" t="inlineStr">
        <is>
          <t>TC-027</t>
        </is>
      </c>
      <c r="B28" s="2" t="inlineStr">
        <is>
          <t>TS-013</t>
        </is>
      </c>
      <c r="C28" s="2" t="inlineStr">
        <is>
          <t>Statistics aggregation strictly includes only Granted/Approved subsidies</t>
        </is>
      </c>
      <c r="D28" s="2" t="inlineStr">
        <is>
          <t>F6.5 MOEFAS Statistics</t>
        </is>
      </c>
      <c r="E28" s="2" t="inlineStr">
        <is>
          <t>FAS Subsidy Statistics</t>
        </is>
      </c>
      <c r="F28" s="2" t="inlineStr">
        <is>
          <t>S1 (highest)</t>
        </is>
      </c>
      <c r="G28" s="2" t="inlineStr">
        <is>
          <t>Critical</t>
        </is>
      </c>
      <c r="H28" s="2" t="inlineStr">
        <is>
          <t>Not Run</t>
        </is>
      </c>
      <c r="I28" s="2" t="inlineStr">
        <is>
          <t>Functional</t>
        </is>
      </c>
      <c r="J28" s="2" t="inlineStr">
        <is>
          <t>Admin Portal: http://localhost:5173
Needs: ENV-R6-01, ENV-R6-03</t>
        </is>
      </c>
      <c r="K28" s="2" t="inlineStr">
        <is>
          <t>1. Seeded applications: Granted (S$ 2,000), Draft (S$ 500), Pending (S$ 800), Rejected (S$ 600).</t>
        </is>
      </c>
      <c r="L28" s="2" t="inlineStr">
        <is>
          <t>Applications with diverse statuses</t>
        </is>
      </c>
      <c r="M28" s="2" t="inlineStr">
        <is>
          <t>1. View Total Subsidy Amount Granted on MOEFAS Statistics.
2. Compare total against database sums.</t>
        </is>
      </c>
      <c r="N28" s="2" t="inlineStr">
        <is>
          <t>1. Total Subsidy Amount Granted equals exactly S$ 2,000.00.
2. Amounts from Draft, Pending, and Rejected applications are excluded.</t>
        </is>
      </c>
      <c r="O28" s="2" t="n"/>
      <c r="P28" s="2" t="inlineStr">
        <is>
          <t>N/A</t>
        </is>
      </c>
      <c r="Q28" s="2" t="n"/>
      <c r="R28" s="2" t="inlineStr">
        <is>
          <t>FS06: 5.4.5, BR6.04, R6-07</t>
        </is>
      </c>
      <c r="S28" s="2" t="inlineStr">
        <is>
          <t>Status filter integrity.</t>
        </is>
      </c>
      <c r="T28" s="4" t="inlineStr">
        <is>
          <t>Approve</t>
        </is>
      </c>
    </row>
    <row r="29">
      <c r="A29" s="2" t="inlineStr">
        <is>
          <t>TC-028</t>
        </is>
      </c>
      <c r="B29" s="2" t="inlineStr">
        <is>
          <t>TS-014</t>
        </is>
      </c>
      <c r="C29" s="2" t="inlineStr">
        <is>
          <t>Empty state displays S$ 0.00 when no grants exist for selected period</t>
        </is>
      </c>
      <c r="D29" s="2" t="inlineStr">
        <is>
          <t>F6.5 MOEFAS Statistics</t>
        </is>
      </c>
      <c r="E29" s="2" t="inlineStr">
        <is>
          <t>FAS Subsidy Statistics</t>
        </is>
      </c>
      <c r="F29" s="2" t="inlineStr">
        <is>
          <t>S2</t>
        </is>
      </c>
      <c r="G29" s="2" t="inlineStr">
        <is>
          <t>High</t>
        </is>
      </c>
      <c r="H29" s="2" t="inlineStr">
        <is>
          <t>Not Run</t>
        </is>
      </c>
      <c r="I29" s="2" t="inlineStr">
        <is>
          <t>UI</t>
        </is>
      </c>
      <c r="J29" s="2" t="inlineStr">
        <is>
          <t>Admin Portal: http://localhost:5173
Needs: ENV-R6-01</t>
        </is>
      </c>
      <c r="K29" s="2" t="inlineStr">
        <is>
          <t>1. Signed in as MOE HQ.
2. Selected period or filter has 0 grants.</t>
        </is>
      </c>
      <c r="L29" s="2" t="inlineStr">
        <is>
          <t>Filter: Academic Year 2029 (empty)</t>
        </is>
      </c>
      <c r="M29" s="2" t="inlineStr">
        <is>
          <t>1. Apply filter to period with no grant records.
2. Observe Total Subsidy metric and table.</t>
        </is>
      </c>
      <c r="N29" s="2" t="inlineStr">
        <is>
          <t>1. Total Subsidy Amount Granted displays 'S$ 0.00' (does not show null, NaN, or blank).
2. Table shows empty message: 'No subsidy grant records found for the selected academic year.'</t>
        </is>
      </c>
      <c r="O29" s="2" t="n"/>
      <c r="P29" s="2" t="inlineStr">
        <is>
          <t>ASM-R6-01</t>
        </is>
      </c>
      <c r="Q29" s="2" t="n"/>
      <c r="R29" s="2" t="inlineStr">
        <is>
          <t>FS06: 5.4.4, Robustness</t>
        </is>
      </c>
      <c r="S29" s="2" t="inlineStr">
        <is>
          <t>Empty state handling.</t>
        </is>
      </c>
      <c r="T29" s="3" t="inlineStr">
        <is>
          <t>Draft</t>
        </is>
      </c>
    </row>
    <row r="30">
      <c r="A30" s="2" t="inlineStr">
        <is>
          <t>TC-029</t>
        </is>
      </c>
      <c r="B30" s="2" t="inlineStr">
        <is>
          <t>TS-015</t>
        </is>
      </c>
      <c r="C30" s="2" t="inlineStr">
        <is>
          <t>School User views SBFAS Subsidy Statistics strictly for assigned school</t>
        </is>
      </c>
      <c r="D30" s="2" t="inlineStr">
        <is>
          <t>F6.6 SBFAS Statistics</t>
        </is>
      </c>
      <c r="E30" s="2" t="inlineStr">
        <is>
          <t>FAS Subsidy Statistics</t>
        </is>
      </c>
      <c r="F30" s="2" t="inlineStr">
        <is>
          <t>S1 (highest)</t>
        </is>
      </c>
      <c r="G30" s="2" t="inlineStr">
        <is>
          <t>Critical</t>
        </is>
      </c>
      <c r="H30" s="2" t="inlineStr">
        <is>
          <t>Not Run</t>
        </is>
      </c>
      <c r="I30" s="2" t="inlineStr">
        <is>
          <t>Functional</t>
        </is>
      </c>
      <c r="J30" s="2" t="inlineStr">
        <is>
          <t>Admin Portal: http://localhost:5173
Needs: ENV-R6-01, ENV-R6-03</t>
        </is>
      </c>
      <c r="K30" s="2" t="inlineStr">
        <is>
          <t>1. Signed in as School Admin of Bukit View Primary (BVP-0012).
2. BVP-0012 has S$ 45,000.00 in granted SBFAS subsidies.
3. Meridian Secondary has S$ 90,000.00 in granted SBFAS subsidies.</t>
        </is>
      </c>
      <c r="L30" s="2" t="inlineStr">
        <is>
          <t>School: Bukit View Primary School (BVP-0012)</t>
        </is>
      </c>
      <c r="M30" s="2" t="inlineStr">
        <is>
          <t>1. Open SBFAS Subsidy Statistics view.
2. Read Total Subsidy Amount Granted.</t>
        </is>
      </c>
      <c r="N30" s="2" t="inlineStr">
        <is>
          <t>1. Total Subsidy Amount Granted displays exactly 'S$ 45,000.00'.
2. Subsidies belonging to Meridian Secondary are completely excluded.</t>
        </is>
      </c>
      <c r="O30" s="2" t="n"/>
      <c r="P30" s="2" t="inlineStr">
        <is>
          <t>N/A</t>
        </is>
      </c>
      <c r="Q30" s="2" t="n"/>
      <c r="R30" s="2" t="inlineStr">
        <is>
          <t>FS06: 5.5.4, AC-R6.2.2, BR6.01, BR6.02, R6-06</t>
        </is>
      </c>
      <c r="S30" s="2" t="inlineStr">
        <is>
          <t>School data isolation in stats.</t>
        </is>
      </c>
      <c r="T30" s="4" t="inlineStr">
        <is>
          <t>Approve</t>
        </is>
      </c>
    </row>
    <row r="31">
      <c r="A31" s="2" t="inlineStr">
        <is>
          <t>TC-030</t>
        </is>
      </c>
      <c r="B31" s="2" t="inlineStr">
        <is>
          <t>TS-016</t>
        </is>
      </c>
      <c r="C31" s="2" t="inlineStr">
        <is>
          <t>Subsidy Statistics currency adheres to S$ #,##0.00 standard format</t>
        </is>
      </c>
      <c r="D31" s="2" t="inlineStr">
        <is>
          <t>F6.6 SBFAS Statistics</t>
        </is>
      </c>
      <c r="E31" s="2" t="inlineStr">
        <is>
          <t>FAS Subsidy Statistics</t>
        </is>
      </c>
      <c r="F31" s="2" t="inlineStr">
        <is>
          <t>S3</t>
        </is>
      </c>
      <c r="G31" s="2" t="inlineStr">
        <is>
          <t>Medium</t>
        </is>
      </c>
      <c r="H31" s="2" t="inlineStr">
        <is>
          <t>Not Run</t>
        </is>
      </c>
      <c r="I31" s="2" t="inlineStr">
        <is>
          <t>UI</t>
        </is>
      </c>
      <c r="J31" s="2" t="inlineStr">
        <is>
          <t>Admin Portal: http://localhost:5173
Needs: ENV-R6-01, ENV-R6-03</t>
        </is>
      </c>
      <c r="K31" s="2" t="inlineStr">
        <is>
          <t>1. SBFAS statistics page open with granted amount S$ 125,000.50.</t>
        </is>
      </c>
      <c r="L31" s="2" t="inlineStr">
        <is>
          <t>Amount: 125000.50</t>
        </is>
      </c>
      <c r="M31" s="2" t="inlineStr">
        <is>
          <t>1. Inspect formatted currency string in summary card.</t>
        </is>
      </c>
      <c r="N31" s="2" t="inlineStr">
        <is>
          <t>1. Value displays prefix 'S$ '.
2. Thousands separator comma is used.
3. Exactly two decimal places are rendered: 'S$ 125,000.50'.</t>
        </is>
      </c>
      <c r="O31" s="2" t="n"/>
      <c r="P31" s="2" t="inlineStr">
        <is>
          <t>ASM-R6-09</t>
        </is>
      </c>
      <c r="Q31" s="2" t="n"/>
      <c r="R31" s="2" t="inlineStr">
        <is>
          <t>FS06: 5.6.2, UI-R6-027, G10</t>
        </is>
      </c>
      <c r="S31" s="2" t="inlineStr">
        <is>
          <t>Currency formatting check.</t>
        </is>
      </c>
      <c r="T31" s="3" t="inlineStr">
        <is>
          <t>Draft</t>
        </is>
      </c>
    </row>
    <row r="32">
      <c r="A32" s="2" t="inlineStr">
        <is>
          <t>TC-031</t>
        </is>
      </c>
      <c r="B32" s="2" t="inlineStr">
        <is>
          <t>TS-017</t>
        </is>
      </c>
      <c r="C32" s="2" t="inlineStr">
        <is>
          <t>School User views empty state S$ 0.00 when school has zero granted subsidies</t>
        </is>
      </c>
      <c r="D32" s="2" t="inlineStr">
        <is>
          <t>F6.6 SBFAS Statistics</t>
        </is>
      </c>
      <c r="E32" s="2" t="inlineStr">
        <is>
          <t>FAS Subsidy Statistics</t>
        </is>
      </c>
      <c r="F32" s="2" t="inlineStr">
        <is>
          <t>S2</t>
        </is>
      </c>
      <c r="G32" s="2" t="inlineStr">
        <is>
          <t>High</t>
        </is>
      </c>
      <c r="H32" s="2" t="inlineStr">
        <is>
          <t>Not Run</t>
        </is>
      </c>
      <c r="I32" s="2" t="inlineStr">
        <is>
          <t>UI</t>
        </is>
      </c>
      <c r="J32" s="2" t="inlineStr">
        <is>
          <t>Admin Portal: http://localhost:5173
Needs: ENV-R6-01</t>
        </is>
      </c>
      <c r="K32" s="2" t="inlineStr">
        <is>
          <t>1. Signed in as School Admin of school with no granted subsidies.</t>
        </is>
      </c>
      <c r="L32" s="2" t="inlineStr">
        <is>
          <t>School: School with 0 grants</t>
        </is>
      </c>
      <c r="M32" s="2" t="inlineStr">
        <is>
          <t>1. Open SBFAS Subsidy Statistics.
2. Inspect summary card and data table.</t>
        </is>
      </c>
      <c r="N32" s="2" t="inlineStr">
        <is>
          <t>1. Total Subsidy Amount Granted displays 'S$ 0.00'.
2. Statistics table displays empty state notification without UI crash.</t>
        </is>
      </c>
      <c r="O32" s="2" t="n"/>
      <c r="P32" s="2" t="inlineStr">
        <is>
          <t>N/A</t>
        </is>
      </c>
      <c r="Q32" s="2" t="n"/>
      <c r="R32" s="2" t="inlineStr">
        <is>
          <t>FS06: 5.5.4</t>
        </is>
      </c>
      <c r="S32" s="2" t="inlineStr">
        <is>
          <t>Zero grant school stats.</t>
        </is>
      </c>
      <c r="T32" s="4" t="inlineStr">
        <is>
          <t>Approve</t>
        </is>
      </c>
    </row>
    <row r="33">
      <c r="A33" s="2" t="inlineStr">
        <is>
          <t>TC-032</t>
        </is>
      </c>
      <c r="B33" s="2" t="inlineStr">
        <is>
          <t>TS-018</t>
        </is>
      </c>
      <c r="C33" s="2" t="inlineStr">
        <is>
          <t>Remaining Budget calculation matches formula (Budget - Used)</t>
        </is>
      </c>
      <c r="D33" s="2" t="inlineStr">
        <is>
          <t>F6.7 Budget Tracking</t>
        </is>
      </c>
      <c r="E33" s="2" t="inlineStr">
        <is>
          <t>FAS Budget Tracking</t>
        </is>
      </c>
      <c r="F33" s="2" t="inlineStr">
        <is>
          <t>S1 (highest)</t>
        </is>
      </c>
      <c r="G33" s="2" t="inlineStr">
        <is>
          <t>Critical</t>
        </is>
      </c>
      <c r="H33" s="2" t="inlineStr">
        <is>
          <t>Not Run</t>
        </is>
      </c>
      <c r="I33" s="2" t="inlineStr">
        <is>
          <t>Functional</t>
        </is>
      </c>
      <c r="J33" s="2" t="inlineStr">
        <is>
          <t>Admin Portal: http://localhost:5173
Needs: ENV-R6-01, ENV-R6-03</t>
        </is>
      </c>
      <c r="K33" s="2" t="inlineStr">
        <is>
          <t>1. Allocated Budget: S$ 100,000.00.
2. Subsidy Amount Used: S$ 35,000.00.</t>
        </is>
      </c>
      <c r="L33" s="2" t="inlineStr">
        <is>
          <t>Budget: 100,000, Used: 35,000</t>
        </is>
      </c>
      <c r="M33" s="2" t="inlineStr">
        <is>
          <t>1. Open Budget Tracking view.
2. Observe Allocated Budget, Subsidy Amount Used, and Remaining Budget.</t>
        </is>
      </c>
      <c r="N33" s="2" t="inlineStr">
        <is>
          <t>1. Allocated Budget displays 'S$ 100,000.00'.
2. Subsidy Amount Used displays 'S$ 35,000.00'.
3. Remaining Budget displays 'S$ 65,000.00'.</t>
        </is>
      </c>
      <c r="O33" s="2" t="n"/>
      <c r="P33" s="2" t="inlineStr">
        <is>
          <t>N/A</t>
        </is>
      </c>
      <c r="Q33" s="2" t="n"/>
      <c r="R33" s="2" t="inlineStr">
        <is>
          <t>FS06: 5.9.2, AC-R6.3.3, R6-08, R6-10</t>
        </is>
      </c>
      <c r="S33" s="2" t="inlineStr">
        <is>
          <t>Remaining Budget calculation.</t>
        </is>
      </c>
      <c r="T33" s="4" t="inlineStr">
        <is>
          <t>Approve</t>
        </is>
      </c>
    </row>
    <row r="34">
      <c r="A34" s="2" t="inlineStr">
        <is>
          <t>TC-033</t>
        </is>
      </c>
      <c r="B34" s="2" t="inlineStr">
        <is>
          <t>TS-019</t>
        </is>
      </c>
      <c r="C34" s="2" t="inlineStr">
        <is>
          <t>Budget Utilization Rate calculation formula verification</t>
        </is>
      </c>
      <c r="D34" s="2" t="inlineStr">
        <is>
          <t>F6.7 Budget Tracking</t>
        </is>
      </c>
      <c r="E34" s="2" t="inlineStr">
        <is>
          <t>FAS Budget Tracking</t>
        </is>
      </c>
      <c r="F34" s="2" t="inlineStr">
        <is>
          <t>S2</t>
        </is>
      </c>
      <c r="G34" s="2" t="inlineStr">
        <is>
          <t>High</t>
        </is>
      </c>
      <c r="H34" s="2" t="inlineStr">
        <is>
          <t>Not Run</t>
        </is>
      </c>
      <c r="I34" s="2" t="inlineStr">
        <is>
          <t>Functional</t>
        </is>
      </c>
      <c r="J34" s="2" t="inlineStr">
        <is>
          <t>Admin Portal: http://localhost:5173
Needs: ENV-R6-01, ENV-R6-03</t>
        </is>
      </c>
      <c r="K34" s="2" t="inlineStr">
        <is>
          <t>1. Allocated Budget: S$ 200,000.00.
2. Subsidy Amount Used: S$ 150,000.00.</t>
        </is>
      </c>
      <c r="L34" s="2" t="inlineStr">
        <is>
          <t>Budget: 200,000, Used: 150,000</t>
        </is>
      </c>
      <c r="M34" s="2" t="inlineStr">
        <is>
          <t>1. Open Budget Tracking view.
2. Inspect Budget Utilization metric.</t>
        </is>
      </c>
      <c r="N34" s="2" t="inlineStr">
        <is>
          <t>1. Budget Utilization displays '75.0%'.
2. Value matches calculation: (150,000.00 / 200,000.00) * 100% = 75.0%.</t>
        </is>
      </c>
      <c r="O34" s="2" t="n"/>
      <c r="P34" s="2" t="inlineStr">
        <is>
          <t>ASM-R6-09</t>
        </is>
      </c>
      <c r="Q34" s="2" t="n"/>
      <c r="R34" s="2" t="inlineStr">
        <is>
          <t>FS06: 5.7.3, UI-R6-030, G9</t>
        </is>
      </c>
      <c r="S34" s="2" t="inlineStr">
        <is>
          <t>Utilization rate formula check.</t>
        </is>
      </c>
      <c r="T34" s="3" t="inlineStr">
        <is>
          <t>Draft</t>
        </is>
      </c>
    </row>
    <row r="35">
      <c r="A35" s="2" t="inlineStr">
        <is>
          <t>TC-034</t>
        </is>
      </c>
      <c r="B35" s="2" t="inlineStr">
        <is>
          <t>TS-020</t>
        </is>
      </c>
      <c r="C35" s="2" t="inlineStr">
        <is>
          <t>Zero division protection when Allocated Budget is 0.00 and Used is 0.00</t>
        </is>
      </c>
      <c r="D35" s="2" t="inlineStr">
        <is>
          <t>F6.7 Budget Tracking</t>
        </is>
      </c>
      <c r="E35" s="2" t="inlineStr">
        <is>
          <t>FAS Budget Tracking</t>
        </is>
      </c>
      <c r="F35" s="2" t="inlineStr">
        <is>
          <t>S2</t>
        </is>
      </c>
      <c r="G35" s="2" t="inlineStr">
        <is>
          <t>High</t>
        </is>
      </c>
      <c r="H35" s="2" t="inlineStr">
        <is>
          <t>Not Run</t>
        </is>
      </c>
      <c r="I35" s="2" t="inlineStr">
        <is>
          <t>Functional</t>
        </is>
      </c>
      <c r="J35" s="2" t="inlineStr">
        <is>
          <t>Admin Portal: http://localhost:5173
Needs: ENV-R6-01</t>
        </is>
      </c>
      <c r="K35" s="2" t="inlineStr">
        <is>
          <t>1. Allocated Budget: S$ 0.00.
2. Subsidy Amount Used: S$ 0.00.</t>
        </is>
      </c>
      <c r="L35" s="2" t="inlineStr">
        <is>
          <t>Budget: 0.00, Used: 0.00</t>
        </is>
      </c>
      <c r="M35" s="2" t="inlineStr">
        <is>
          <t>1. Open Budget Tracking view.
2. Observe Utilization metric.</t>
        </is>
      </c>
      <c r="N35" s="2" t="inlineStr">
        <is>
          <t>1. Budget Utilization displays '0.0%'.
2. System renders without uncaught DivideByZeroException.</t>
        </is>
      </c>
      <c r="O35" s="2" t="n"/>
      <c r="P35" s="2" t="inlineStr">
        <is>
          <t>ASM-R6-09</t>
        </is>
      </c>
      <c r="Q35" s="2" t="n"/>
      <c r="R35" s="2" t="inlineStr">
        <is>
          <t>FS06: 5.7.3</t>
        </is>
      </c>
      <c r="S35" s="2" t="inlineStr">
        <is>
          <t>Zero division robustness.</t>
        </is>
      </c>
      <c r="T35" s="3" t="inlineStr">
        <is>
          <t>Draft</t>
        </is>
      </c>
    </row>
    <row r="36">
      <c r="A36" s="2" t="inlineStr">
        <is>
          <t>TC-035</t>
        </is>
      </c>
      <c r="B36" s="2" t="inlineStr">
        <is>
          <t>TS-021</t>
        </is>
      </c>
      <c r="C36" s="2" t="inlineStr">
        <is>
          <t>Real-time sync: Approving application immediately increments Subsidy Used</t>
        </is>
      </c>
      <c r="D36" s="2" t="inlineStr">
        <is>
          <t>F6.7 Budget Tracking</t>
        </is>
      </c>
      <c r="E36" s="2" t="inlineStr">
        <is>
          <t>FAS Budget Tracking</t>
        </is>
      </c>
      <c r="F36" s="2" t="inlineStr">
        <is>
          <t>S1 (highest)</t>
        </is>
      </c>
      <c r="G36" s="2" t="inlineStr">
        <is>
          <t>Critical</t>
        </is>
      </c>
      <c r="H36" s="2" t="inlineStr">
        <is>
          <t>Not Run</t>
        </is>
      </c>
      <c r="I36" s="2" t="inlineStr">
        <is>
          <t>Integration</t>
        </is>
      </c>
      <c r="J36" s="2" t="inlineStr">
        <is>
          <t>Admin Portal: http://localhost:5173
Needs: ENV-R6-01, ENV-R6-03</t>
        </is>
      </c>
      <c r="K36" s="2" t="inlineStr">
        <is>
          <t>1. Remaining Budget: S$ 50,000.00, Subsidy Used: S$ 10,000.00.
2. SBFAS application approved with S$ 2,500.00 subsidy.</t>
        </is>
      </c>
      <c r="L36" s="2" t="inlineStr">
        <is>
          <t>Grant Amount: S$ 2,500.00</t>
        </is>
      </c>
      <c r="M36" s="2" t="inlineStr">
        <is>
          <t>1. Approve SBFAS application in FAS management.
2. Navigate to Budget Tracking view.</t>
        </is>
      </c>
      <c r="N36" s="2" t="inlineStr">
        <is>
          <t>1. Subsidy Amount Used updates to S$ 12,500.00.
2. Remaining Budget updates to S$ 37,500.00.</t>
        </is>
      </c>
      <c r="O36" s="2" t="n"/>
      <c r="P36" s="2" t="inlineStr">
        <is>
          <t>ASM-R6-05</t>
        </is>
      </c>
      <c r="Q36" s="2" t="n"/>
      <c r="R36" s="2" t="inlineStr">
        <is>
          <t>FS06: 5.7.3, G11</t>
        </is>
      </c>
      <c r="S36" s="2" t="inlineStr">
        <is>
          <t>Real-time update on grant approval.</t>
        </is>
      </c>
      <c r="T36" s="3" t="inlineStr">
        <is>
          <t>Draft</t>
        </is>
      </c>
    </row>
    <row r="37">
      <c r="A37" s="2" t="inlineStr">
        <is>
          <t>TC-036</t>
        </is>
      </c>
      <c r="B37" s="2" t="inlineStr">
        <is>
          <t>TS-021</t>
        </is>
      </c>
      <c r="C37" s="2" t="inlineStr">
        <is>
          <t>Revoking a grant decrements Subsidy Used and restores Remaining Budget</t>
        </is>
      </c>
      <c r="D37" s="2" t="inlineStr">
        <is>
          <t>F6.7 Budget Tracking</t>
        </is>
      </c>
      <c r="E37" s="2" t="inlineStr">
        <is>
          <t>FAS Budget Tracking</t>
        </is>
      </c>
      <c r="F37" s="2" t="inlineStr">
        <is>
          <t>S2</t>
        </is>
      </c>
      <c r="G37" s="2" t="inlineStr">
        <is>
          <t>High</t>
        </is>
      </c>
      <c r="H37" s="2" t="inlineStr">
        <is>
          <t>Not Run</t>
        </is>
      </c>
      <c r="I37" s="2" t="inlineStr">
        <is>
          <t>Integration</t>
        </is>
      </c>
      <c r="J37" s="2" t="inlineStr">
        <is>
          <t>Admin Portal: http://localhost:5173
Needs: ENV-R6-01, ENV-R6-03</t>
        </is>
      </c>
      <c r="K37" s="2" t="inlineStr">
        <is>
          <t>1. Subsidy Used: S$ 12,500.00, Remaining: S$ 37,500.00.
2. An approved grant of S$ 2,500.00 is revoked.</t>
        </is>
      </c>
      <c r="L37" s="2" t="inlineStr">
        <is>
          <t>Revoked grant: S$ 2,500.00</t>
        </is>
      </c>
      <c r="M37" s="2" t="inlineStr">
        <is>
          <t>1. Revoke the FAS grant.
2. Open Budget Tracking view.</t>
        </is>
      </c>
      <c r="N37" s="2" t="inlineStr">
        <is>
          <t>1. Subsidy Amount Used decrements to S$ 10,000.00.
2. Remaining Budget increments to S$ 50,000.00.</t>
        </is>
      </c>
      <c r="O37" s="2" t="n"/>
      <c r="P37" s="2" t="inlineStr">
        <is>
          <t>ASM-R6-10</t>
        </is>
      </c>
      <c r="Q37" s="2" t="n"/>
      <c r="R37" s="2" t="inlineStr">
        <is>
          <t>FS06: 5.7.5, G7</t>
        </is>
      </c>
      <c r="S37" s="2" t="inlineStr">
        <is>
          <t>Grant revocation rollback.</t>
        </is>
      </c>
      <c r="T37" s="3" t="inlineStr">
        <is>
          <t>Draft</t>
        </is>
      </c>
    </row>
    <row r="38">
      <c r="A38" s="2" t="inlineStr">
        <is>
          <t>TC-037</t>
        </is>
      </c>
      <c r="B38" s="2" t="inlineStr">
        <is>
          <t>TS-020</t>
        </is>
      </c>
      <c r="C38" s="2" t="inlineStr">
        <is>
          <t>Remaining Budget precision with fractional cent rounding</t>
        </is>
      </c>
      <c r="D38" s="2" t="inlineStr">
        <is>
          <t>F6.7 Budget Tracking</t>
        </is>
      </c>
      <c r="E38" s="2" t="inlineStr">
        <is>
          <t>FAS Budget Tracking</t>
        </is>
      </c>
      <c r="F38" s="2" t="inlineStr">
        <is>
          <t>S3</t>
        </is>
      </c>
      <c r="G38" s="2" t="inlineStr">
        <is>
          <t>Medium</t>
        </is>
      </c>
      <c r="H38" s="2" t="inlineStr">
        <is>
          <t>Not Run</t>
        </is>
      </c>
      <c r="I38" s="2" t="inlineStr">
        <is>
          <t>Functional</t>
        </is>
      </c>
      <c r="J38" s="2" t="inlineStr">
        <is>
          <t>Admin Portal: http://localhost:5173
Needs: ENV-R6-01, ENV-R6-03</t>
        </is>
      </c>
      <c r="K38" s="2" t="inlineStr">
        <is>
          <t>1. Budget: S$ 10,000.00.
2. Grant 1: S$ 333.33, Grant 2: S$ 666.67 (Total Used: S$ 1,000.00).</t>
        </is>
      </c>
      <c r="L38" s="2" t="inlineStr">
        <is>
          <t>Grants: 333.33 and 666.67</t>
        </is>
      </c>
      <c r="M38" s="2" t="inlineStr">
        <is>
          <t>1. View Remaining Budget on dashboard.</t>
        </is>
      </c>
      <c r="N38" s="2" t="inlineStr">
        <is>
          <t>1. Remaining Budget displays exactly S$ 9,000.00 without floating point drift.</t>
        </is>
      </c>
      <c r="O38" s="2" t="n"/>
      <c r="P38" s="2" t="inlineStr">
        <is>
          <t>ASM-R6-09</t>
        </is>
      </c>
      <c r="Q38" s="2" t="n"/>
      <c r="R38" s="2" t="inlineStr">
        <is>
          <t>FS06: G10</t>
        </is>
      </c>
      <c r="S38" s="2" t="inlineStr">
        <is>
          <t>Fractional cents integrity.</t>
        </is>
      </c>
      <c r="T38" s="3" t="inlineStr">
        <is>
          <t>Draft</t>
        </is>
      </c>
    </row>
    <row r="39">
      <c r="A39" s="2" t="inlineStr">
        <is>
          <t>TC-038</t>
        </is>
      </c>
      <c r="B39" s="2" t="inlineStr">
        <is>
          <t>TS-022</t>
        </is>
      </c>
      <c r="C39" s="2" t="inlineStr">
        <is>
          <t>Normal state displayed when budget utilization is below 80%</t>
        </is>
      </c>
      <c r="D39" s="2" t="inlineStr">
        <is>
          <t>F6.8 Budget Warnings</t>
        </is>
      </c>
      <c r="E39" s="2" t="inlineStr">
        <is>
          <t>FAS Budget Tracking</t>
        </is>
      </c>
      <c r="F39" s="2" t="inlineStr">
        <is>
          <t>S3</t>
        </is>
      </c>
      <c r="G39" s="2" t="inlineStr">
        <is>
          <t>Medium</t>
        </is>
      </c>
      <c r="H39" s="2" t="inlineStr">
        <is>
          <t>Not Run</t>
        </is>
      </c>
      <c r="I39" s="2" t="inlineStr">
        <is>
          <t>UI</t>
        </is>
      </c>
      <c r="J39" s="2" t="inlineStr">
        <is>
          <t>Admin Portal: http://localhost:5173
Needs: ENV-R6-01, ENV-R6-03</t>
        </is>
      </c>
      <c r="K39" s="2" t="inlineStr">
        <is>
          <t>1. Budget: S$ 100,000.00, Used: S$ 50,000.00 (50.0% utilization).</t>
        </is>
      </c>
      <c r="L39" s="2" t="inlineStr">
        <is>
          <t>Utilization: 50.0%</t>
        </is>
      </c>
      <c r="M39" s="2" t="inlineStr">
        <is>
          <t>1. Open Budget Tracking view.
2. Check status indicator.</t>
        </is>
      </c>
      <c r="N39" s="2" t="inlineStr">
        <is>
          <t>1. Utilization displays '50.0%'.
2. Indicator displays normal status.
3. No warning alert banner is displayed.</t>
        </is>
      </c>
      <c r="O39" s="2" t="n"/>
      <c r="P39" s="2" t="inlineStr">
        <is>
          <t>ASM-R6-03</t>
        </is>
      </c>
      <c r="Q39" s="2" t="n"/>
      <c r="R39" s="2" t="inlineStr">
        <is>
          <t>FS06: 5.7.3</t>
        </is>
      </c>
      <c r="S39" s="2" t="inlineStr">
        <is>
          <t>Normal utilization indicator.</t>
        </is>
      </c>
      <c r="T39" s="3" t="inlineStr">
        <is>
          <t>Draft</t>
        </is>
      </c>
    </row>
    <row r="40">
      <c r="A40" s="2" t="inlineStr">
        <is>
          <t>TC-039</t>
        </is>
      </c>
      <c r="B40" s="2" t="inlineStr">
        <is>
          <t>TS-022</t>
        </is>
      </c>
      <c r="C40" s="2" t="inlineStr">
        <is>
          <t>Warning Banner displayed when budget utilization reaches 80.0% threshold</t>
        </is>
      </c>
      <c r="D40" s="2" t="inlineStr">
        <is>
          <t>F6.8 Budget Warnings</t>
        </is>
      </c>
      <c r="E40" s="2" t="inlineStr">
        <is>
          <t>FAS Budget Tracking</t>
        </is>
      </c>
      <c r="F40" s="2" t="inlineStr">
        <is>
          <t>S2</t>
        </is>
      </c>
      <c r="G40" s="2" t="inlineStr">
        <is>
          <t>High</t>
        </is>
      </c>
      <c r="H40" s="2" t="inlineStr">
        <is>
          <t>Not Run</t>
        </is>
      </c>
      <c r="I40" s="2" t="inlineStr">
        <is>
          <t>Functional</t>
        </is>
      </c>
      <c r="J40" s="2" t="inlineStr">
        <is>
          <t>Admin Portal: http://localhost:5173
Needs: ENV-R6-01, ENV-R6-03</t>
        </is>
      </c>
      <c r="K40" s="2" t="inlineStr">
        <is>
          <t>1. Budget: S$ 100,000.00, Used: S$ 80,000.00 (80.0% utilization).</t>
        </is>
      </c>
      <c r="L40" s="2" t="inlineStr">
        <is>
          <t>Utilization: 80.0%</t>
        </is>
      </c>
      <c r="M40" s="2" t="inlineStr">
        <is>
          <t>1. Open Budget Tracking view.</t>
        </is>
      </c>
      <c r="N40" s="2" t="inlineStr">
        <is>
          <t>1. System displays warning banner: 'Warning: SBFAS budget utilization has reached 80.0%. Remaining balance: S$ 20,000.00.'</t>
        </is>
      </c>
      <c r="O40" s="2" t="n"/>
      <c r="P40" s="2" t="inlineStr">
        <is>
          <t>ASM-R6-03</t>
        </is>
      </c>
      <c r="Q40" s="2" t="n"/>
      <c r="R40" s="2" t="inlineStr">
        <is>
          <t>FS06: R6-11, BR6.06</t>
        </is>
      </c>
      <c r="S40" s="2" t="inlineStr">
        <is>
          <t>80% warning threshold.</t>
        </is>
      </c>
      <c r="T40" s="3" t="inlineStr">
        <is>
          <t>Draft</t>
        </is>
      </c>
    </row>
    <row r="41">
      <c r="A41" s="2" t="inlineStr">
        <is>
          <t>TC-040</t>
        </is>
      </c>
      <c r="B41" s="2" t="inlineStr">
        <is>
          <t>TS-022</t>
        </is>
      </c>
      <c r="C41" s="2" t="inlineStr">
        <is>
          <t>Warning Banner not displayed when budget utilization is 79.9%</t>
        </is>
      </c>
      <c r="D41" s="2" t="inlineStr">
        <is>
          <t>F6.8 Budget Warnings</t>
        </is>
      </c>
      <c r="E41" s="2" t="inlineStr">
        <is>
          <t>FAS Budget Tracking</t>
        </is>
      </c>
      <c r="F41" s="2" t="inlineStr">
        <is>
          <t>S3</t>
        </is>
      </c>
      <c r="G41" s="2" t="inlineStr">
        <is>
          <t>Medium</t>
        </is>
      </c>
      <c r="H41" s="2" t="inlineStr">
        <is>
          <t>Not Run</t>
        </is>
      </c>
      <c r="I41" s="2" t="inlineStr">
        <is>
          <t>Functional</t>
        </is>
      </c>
      <c r="J41" s="2" t="inlineStr">
        <is>
          <t>Admin Portal: http://localhost:5173
Needs: ENV-R6-01, ENV-R6-03</t>
        </is>
      </c>
      <c r="K41" s="2" t="inlineStr">
        <is>
          <t>1. Budget: S$ 100,000.00, Used: S$ 79,900.00 (79.9% utilization).</t>
        </is>
      </c>
      <c r="L41" s="2" t="inlineStr">
        <is>
          <t>Utilization: 79.9%</t>
        </is>
      </c>
      <c r="M41" s="2" t="inlineStr">
        <is>
          <t>1. Open Budget Tracking view.</t>
        </is>
      </c>
      <c r="N41" s="2" t="inlineStr">
        <is>
          <t>1. System does not display warning banner.
2. Utilization indicator remains in normal state.</t>
        </is>
      </c>
      <c r="O41" s="2" t="n"/>
      <c r="P41" s="2" t="inlineStr">
        <is>
          <t>ASM-R6-03</t>
        </is>
      </c>
      <c r="Q41" s="2" t="n"/>
      <c r="R41" s="2" t="inlineStr">
        <is>
          <t>FS06: R6-11, BR6.06</t>
        </is>
      </c>
      <c r="S41" s="2" t="inlineStr">
        <is>
          <t>79.9% boundary test.</t>
        </is>
      </c>
      <c r="T41" s="3" t="inlineStr">
        <is>
          <t>Draft</t>
        </is>
      </c>
    </row>
    <row r="42">
      <c r="A42" s="2" t="inlineStr">
        <is>
          <t>TC-041</t>
        </is>
      </c>
      <c r="B42" s="2" t="inlineStr">
        <is>
          <t>TS-023</t>
        </is>
      </c>
      <c r="C42" s="2" t="inlineStr">
        <is>
          <t>Alert Banner displayed when budget is fully exhausted (Remaining = S$ 0.00)</t>
        </is>
      </c>
      <c r="D42" s="2" t="inlineStr">
        <is>
          <t>F6.8 Budget Warnings</t>
        </is>
      </c>
      <c r="E42" s="2" t="inlineStr">
        <is>
          <t>FAS Budget Tracking</t>
        </is>
      </c>
      <c r="F42" s="2" t="inlineStr">
        <is>
          <t>S1 (highest)</t>
        </is>
      </c>
      <c r="G42" s="2" t="inlineStr">
        <is>
          <t>Critical</t>
        </is>
      </c>
      <c r="H42" s="2" t="inlineStr">
        <is>
          <t>Not Run</t>
        </is>
      </c>
      <c r="I42" s="2" t="inlineStr">
        <is>
          <t>Functional</t>
        </is>
      </c>
      <c r="J42" s="2" t="inlineStr">
        <is>
          <t>Admin Portal: http://localhost:5173
Needs: ENV-R6-01, ENV-R6-03</t>
        </is>
      </c>
      <c r="K42" s="2" t="inlineStr">
        <is>
          <t>1. Budget: S$ 100,000.00, Used: S$ 100,000.00 (100.0% utilization).</t>
        </is>
      </c>
      <c r="L42" s="2" t="inlineStr">
        <is>
          <t>Utilization: 100.0%, Remaining: S$ 0.00</t>
        </is>
      </c>
      <c r="M42" s="2" t="inlineStr">
        <is>
          <t>1. Open Budget Tracking view.</t>
        </is>
      </c>
      <c r="N42" s="2" t="inlineStr">
        <is>
          <t>1. System displays alert banner: 'Alert: The budget allocation for this scheme has been exhausted.'
2. Remaining Budget displays S$ 0.00.</t>
        </is>
      </c>
      <c r="O42" s="2" t="n"/>
      <c r="P42" s="2" t="inlineStr">
        <is>
          <t>ASM-R6-04</t>
        </is>
      </c>
      <c r="Q42" s="2" t="n"/>
      <c r="R42" s="2" t="inlineStr">
        <is>
          <t>FS06: R6-11, BR6.06, G3</t>
        </is>
      </c>
      <c r="S42" s="2" t="inlineStr">
        <is>
          <t>100% exhaustion alert.</t>
        </is>
      </c>
      <c r="T42" s="3" t="inlineStr">
        <is>
          <t>Draft</t>
        </is>
      </c>
    </row>
    <row r="43">
      <c r="A43" s="2" t="inlineStr">
        <is>
          <t>TC-042</t>
        </is>
      </c>
      <c r="B43" s="2" t="inlineStr">
        <is>
          <t>TS-024</t>
        </is>
      </c>
      <c r="C43" s="2" t="inlineStr">
        <is>
          <t>Budget Deficit displayed when Subsidy Used exceeds Allocated Budget</t>
        </is>
      </c>
      <c r="D43" s="2" t="inlineStr">
        <is>
          <t>F6.8 Budget Warnings</t>
        </is>
      </c>
      <c r="E43" s="2" t="inlineStr">
        <is>
          <t>FAS Budget Tracking</t>
        </is>
      </c>
      <c r="F43" s="2" t="inlineStr">
        <is>
          <t>S1 (highest)</t>
        </is>
      </c>
      <c r="G43" s="2" t="inlineStr">
        <is>
          <t>Critical</t>
        </is>
      </c>
      <c r="H43" s="2" t="inlineStr">
        <is>
          <t>Not Run</t>
        </is>
      </c>
      <c r="I43" s="2" t="inlineStr">
        <is>
          <t>Functional</t>
        </is>
      </c>
      <c r="J43" s="2" t="inlineStr">
        <is>
          <t>Admin Portal: http://localhost:5173
Needs: ENV-R6-01, ENV-R6-03</t>
        </is>
      </c>
      <c r="K43" s="2" t="inlineStr">
        <is>
          <t>1. Budget: S$ 100,000.00, Used: S$ 115,000.00 (115.0% utilization).</t>
        </is>
      </c>
      <c r="L43" s="2" t="inlineStr">
        <is>
          <t>Remaining: -S$ 15,000.00</t>
        </is>
      </c>
      <c r="M43" s="2" t="inlineStr">
        <is>
          <t>1. Open Budget Tracking view.</t>
        </is>
      </c>
      <c r="N43" s="2" t="inlineStr">
        <is>
          <t>1. Remaining Budget displays '-S$ 15,000.00'.
2. Deficit indicator is displayed.
3. Utilization displays '115.0%'.</t>
        </is>
      </c>
      <c r="O43" s="2" t="n"/>
      <c r="P43" s="2" t="inlineStr">
        <is>
          <t>ASM-R6-04</t>
        </is>
      </c>
      <c r="Q43" s="2" t="n"/>
      <c r="R43" s="2" t="inlineStr">
        <is>
          <t>FS06: 5.9.2, G3</t>
        </is>
      </c>
      <c r="S43" s="2" t="inlineStr">
        <is>
          <t>Budget deficit negative currency.</t>
        </is>
      </c>
      <c r="T43" s="3" t="inlineStr">
        <is>
          <t>Draft</t>
        </is>
      </c>
    </row>
    <row r="44">
      <c r="A44" s="2" t="inlineStr">
        <is>
          <t>TC-043</t>
        </is>
      </c>
      <c r="B44" s="2" t="inlineStr">
        <is>
          <t>TS-025</t>
        </is>
      </c>
      <c r="C44" s="2" t="inlineStr">
        <is>
          <t>School Admin successfully approves SBFAS application when budget is exhausted</t>
        </is>
      </c>
      <c r="D44" s="2" t="inlineStr">
        <is>
          <t>F6.9 Non-blocking Grant</t>
        </is>
      </c>
      <c r="E44" s="2" t="inlineStr">
        <is>
          <t>FAS Application Review</t>
        </is>
      </c>
      <c r="F44" s="2" t="inlineStr">
        <is>
          <t>S1 (highest)</t>
        </is>
      </c>
      <c r="G44" s="2" t="inlineStr">
        <is>
          <t>Critical</t>
        </is>
      </c>
      <c r="H44" s="2" t="inlineStr">
        <is>
          <t>Not Run</t>
        </is>
      </c>
      <c r="I44" s="2" t="inlineStr">
        <is>
          <t>Functional</t>
        </is>
      </c>
      <c r="J44" s="2" t="inlineStr">
        <is>
          <t>Admin Portal: http://localhost:5173
Needs: ENV-R6-01, ENV-R6-03</t>
        </is>
      </c>
      <c r="K44" s="2" t="inlineStr">
        <is>
          <t>1. School SBFAS Remaining Budget is S$ 0.00.
2. Pending SBFAS application exists for student Alex Tan.</t>
        </is>
      </c>
      <c r="L44" s="2" t="inlineStr">
        <is>
          <t>Application: APP-SBFAS-2026-091</t>
        </is>
      </c>
      <c r="M44" s="2" t="inlineStr">
        <is>
          <t>1. Open pending SBFAS application.
2. Click Approve SBFAS button.
3. Confirm action.</t>
        </is>
      </c>
      <c r="N44" s="2" t="inlineStr">
        <is>
          <t>1. Application is successfully approved (Status: Approved SBFAS).
2. Action is NOT blocked by zero budget.
3. Grant is committed, and Remaining Budget becomes negative (-S$ 800.00).</t>
        </is>
      </c>
      <c r="O44" s="2" t="n"/>
      <c r="P44" s="2" t="inlineStr">
        <is>
          <t>N/A</t>
        </is>
      </c>
      <c r="Q44" s="2" t="n"/>
      <c r="R44" s="2" t="inlineStr">
        <is>
          <t>FS06: BR6.06, R6-11, G3</t>
        </is>
      </c>
      <c r="S44" s="2" t="inlineStr">
        <is>
          <t>CORE POLICY: Non-blocking SBFAS grant.</t>
        </is>
      </c>
      <c r="T44" s="4" t="inlineStr">
        <is>
          <t>Approve</t>
        </is>
      </c>
    </row>
    <row r="45">
      <c r="A45" s="2" t="inlineStr">
        <is>
          <t>TC-044</t>
        </is>
      </c>
      <c r="B45" s="2" t="inlineStr">
        <is>
          <t>TS-026</t>
        </is>
      </c>
      <c r="C45" s="2" t="inlineStr">
        <is>
          <t>MOE Officer manual MOEFAS approval blocked due to contradiction with FS04</t>
        </is>
      </c>
      <c r="D45" s="2" t="inlineStr">
        <is>
          <t>F6.9 Non-blocking Grant</t>
        </is>
      </c>
      <c r="E45" s="2" t="inlineStr">
        <is>
          <t>FAS Application Review</t>
        </is>
      </c>
      <c r="F45" s="2" t="inlineStr">
        <is>
          <t>S1 (highest)</t>
        </is>
      </c>
      <c r="G45" s="2" t="inlineStr">
        <is>
          <t>Critical</t>
        </is>
      </c>
      <c r="H45" s="2" t="inlineStr">
        <is>
          <t>Not Run</t>
        </is>
      </c>
      <c r="I45" s="2" t="inlineStr">
        <is>
          <t>Functional</t>
        </is>
      </c>
      <c r="J45" s="2" t="inlineStr">
        <is>
          <t>Admin Portal: http://localhost:5173
Needs: ENV-R6-01</t>
        </is>
      </c>
      <c r="K45" s="2" t="inlineStr">
        <is>
          <t>1. National MOEFAS Remaining Budget is S$ 0.00.
2. Form closed.</t>
        </is>
      </c>
      <c r="L45" s="2" t="inlineStr">
        <is>
          <t>Application: APP-MOEFAS-2026-140</t>
        </is>
      </c>
      <c r="M45" s="2" t="inlineStr">
        <is>
          <t>1. Attempt to find manual 'Approve MOEFAS' button in MOE HQ review drawer.</t>
        </is>
      </c>
      <c r="N45" s="2" t="inlineStr">
        <is>
          <t>1. In FS04, MOE HQ has no Approve button (MOEFAS is auto-assessed by system).
2. Case is BLOCKED pending BA clarification on MOEFAS grant mechanism.</t>
        </is>
      </c>
      <c r="O45" s="2" t="n"/>
      <c r="P45" s="2" t="inlineStr">
        <is>
          <t>ASM-R6-07</t>
        </is>
      </c>
      <c r="Q45" s="2" t="n"/>
      <c r="R45" s="2" t="inlineStr">
        <is>
          <t>FS04 vs FS06: BR6.06, G4</t>
        </is>
      </c>
      <c r="S45" s="2" t="inlineStr">
        <is>
          <t>Contradiction with FS04 (MOE HQ does not manually approve MOEFAS).</t>
        </is>
      </c>
      <c r="T45" s="5" t="inlineStr">
        <is>
          <t>Block</t>
        </is>
      </c>
    </row>
    <row r="46">
      <c r="A46" s="2" t="inlineStr">
        <is>
          <t>TC-045</t>
        </is>
      </c>
      <c r="B46" s="2" t="inlineStr">
        <is>
          <t>TS-027</t>
        </is>
      </c>
      <c r="C46" s="2" t="inlineStr">
        <is>
          <t>Advisory notice displayed upon approving over-budget application without disabling submit</t>
        </is>
      </c>
      <c r="D46" s="2" t="inlineStr">
        <is>
          <t>F6.9 Non-blocking Grant</t>
        </is>
      </c>
      <c r="E46" s="2" t="inlineStr">
        <is>
          <t>FAS Application Review</t>
        </is>
      </c>
      <c r="F46" s="2" t="inlineStr">
        <is>
          <t>S2</t>
        </is>
      </c>
      <c r="G46" s="2" t="inlineStr">
        <is>
          <t>High</t>
        </is>
      </c>
      <c r="H46" s="2" t="inlineStr">
        <is>
          <t>Not Run</t>
        </is>
      </c>
      <c r="I46" s="2" t="inlineStr">
        <is>
          <t>UI</t>
        </is>
      </c>
      <c r="J46" s="2" t="inlineStr">
        <is>
          <t>Admin Portal: http://localhost:5173
Needs: ENV-R6-01, ENV-R6-03</t>
        </is>
      </c>
      <c r="K46" s="2" t="inlineStr">
        <is>
          <t>1. Remaining Budget is S$ 0.00.
2. Approver clicks Approve SBFAS.</t>
        </is>
      </c>
      <c r="L46" s="2" t="inlineStr">
        <is>
          <t>Action: Approve SBFAS</t>
        </is>
      </c>
      <c r="M46" s="2" t="inlineStr">
        <is>
          <t>1. Observe confirmation modal text and buttons.</t>
        </is>
      </c>
      <c r="N46" s="2" t="inlineStr">
        <is>
          <t>1. Modal displays advisory notice: 'Budget Limit Notice: Current budget balance is insufficient, but granting is permitted under policy rules. Proceed?'
2. 'Confirm' button is active and enabled.</t>
        </is>
      </c>
      <c r="O46" s="2" t="n"/>
      <c r="P46" s="2" t="inlineStr">
        <is>
          <t>ASM-R6-03</t>
        </is>
      </c>
      <c r="Q46" s="2" t="n"/>
      <c r="R46" s="2" t="inlineStr">
        <is>
          <t>FS06: BR6.06, R6-11</t>
        </is>
      </c>
      <c r="S46" s="2" t="inlineStr">
        <is>
          <t>Advisory deficit notice.</t>
        </is>
      </c>
      <c r="T46" s="3" t="inlineStr">
        <is>
          <t>Draft</t>
        </is>
      </c>
    </row>
    <row r="47">
      <c r="A47" s="2" t="inlineStr">
        <is>
          <t>TC-046</t>
        </is>
      </c>
      <c r="B47" s="2" t="inlineStr">
        <is>
          <t>TS-028</t>
        </is>
      </c>
      <c r="C47" s="2" t="inlineStr">
        <is>
          <t>Boundary test: Minimum positive budget amount S$ 0.01</t>
        </is>
      </c>
      <c r="D47" s="2" t="inlineStr">
        <is>
          <t>F6.10 Edge Cases &amp; Security</t>
        </is>
      </c>
      <c r="E47" s="2" t="inlineStr">
        <is>
          <t>FAS Budget Management</t>
        </is>
      </c>
      <c r="F47" s="2" t="inlineStr">
        <is>
          <t>S3</t>
        </is>
      </c>
      <c r="G47" s="2" t="inlineStr">
        <is>
          <t>Medium</t>
        </is>
      </c>
      <c r="H47" s="2" t="inlineStr">
        <is>
          <t>Not Run</t>
        </is>
      </c>
      <c r="I47" s="2" t="inlineStr">
        <is>
          <t>Functional</t>
        </is>
      </c>
      <c r="J47" s="2" t="inlineStr">
        <is>
          <t>Admin Portal: http://localhost:5173
Needs: ENV-R6-01</t>
        </is>
      </c>
      <c r="K47" s="2" t="inlineStr">
        <is>
          <t>1. Signed in as School Admin.</t>
        </is>
      </c>
      <c r="L47" s="2" t="inlineStr">
        <is>
          <t>Input: 0.01</t>
        </is>
      </c>
      <c r="M47" s="2" t="inlineStr">
        <is>
          <t>1. Enter 0.01 into Budget Amount field.
2. Click Save button.</t>
        </is>
      </c>
      <c r="N47" s="2" t="inlineStr">
        <is>
          <t>1. Value 0.01 is accepted and saved.
2. Configured Budget Amount displays 'S$ 0.01'.</t>
        </is>
      </c>
      <c r="O47" s="2" t="n"/>
      <c r="P47" s="2" t="inlineStr">
        <is>
          <t>ASM-R6-09</t>
        </is>
      </c>
      <c r="Q47" s="2" t="n"/>
      <c r="R47" s="2" t="inlineStr">
        <is>
          <t>FS06: BR6.03</t>
        </is>
      </c>
      <c r="S47" s="2" t="inlineStr">
        <is>
          <t>Minimum positive currency bound.</t>
        </is>
      </c>
      <c r="T47" s="3" t="inlineStr">
        <is>
          <t>Draft</t>
        </is>
      </c>
    </row>
    <row r="48">
      <c r="A48" s="2" t="inlineStr">
        <is>
          <t>TC-047</t>
        </is>
      </c>
      <c r="B48" s="2" t="inlineStr">
        <is>
          <t>TS-028</t>
        </is>
      </c>
      <c r="C48" s="2" t="inlineStr">
        <is>
          <t>Boundary test: Maximum allowable budget amount S$ 999,999,999.99</t>
        </is>
      </c>
      <c r="D48" s="2" t="inlineStr">
        <is>
          <t>F6.10 Edge Cases &amp; Security</t>
        </is>
      </c>
      <c r="E48" s="2" t="inlineStr">
        <is>
          <t>FAS Budget Management</t>
        </is>
      </c>
      <c r="F48" s="2" t="inlineStr">
        <is>
          <t>S3</t>
        </is>
      </c>
      <c r="G48" s="2" t="inlineStr">
        <is>
          <t>Medium</t>
        </is>
      </c>
      <c r="H48" s="2" t="inlineStr">
        <is>
          <t>Not Run</t>
        </is>
      </c>
      <c r="I48" s="2" t="inlineStr">
        <is>
          <t>Functional</t>
        </is>
      </c>
      <c r="J48" s="2" t="inlineStr">
        <is>
          <t>Admin Portal: http://localhost:5173
Needs: ENV-R6-01</t>
        </is>
      </c>
      <c r="K48" s="2" t="inlineStr">
        <is>
          <t>1. Signed in as MOE HQ.</t>
        </is>
      </c>
      <c r="L48" s="2" t="inlineStr">
        <is>
          <t>Input: 999999999.99</t>
        </is>
      </c>
      <c r="M48" s="2" t="inlineStr">
        <is>
          <t>1. Enter 999999999.99 into Budget Amount.
2. Click Save button.</t>
        </is>
      </c>
      <c r="N48" s="2" t="inlineStr">
        <is>
          <t>1. Value is saved successfully.
2. Configured Budget Amount displays 'S$ 999,999,999.99'.</t>
        </is>
      </c>
      <c r="O48" s="2" t="n"/>
      <c r="P48" s="2" t="inlineStr">
        <is>
          <t>ASM-R6-06</t>
        </is>
      </c>
      <c r="Q48" s="2" t="n"/>
      <c r="R48" s="2" t="inlineStr">
        <is>
          <t>FS06: G10</t>
        </is>
      </c>
      <c r="S48" s="2" t="inlineStr">
        <is>
          <t>Proposed upper bound check.</t>
        </is>
      </c>
      <c r="T48" s="3" t="inlineStr">
        <is>
          <t>Draft</t>
        </is>
      </c>
    </row>
    <row r="49">
      <c r="A49" s="2" t="inlineStr">
        <is>
          <t>TC-048</t>
        </is>
      </c>
      <c r="B49" s="2" t="inlineStr">
        <is>
          <t>TS-029</t>
        </is>
      </c>
      <c r="C49" s="2" t="inlineStr">
        <is>
          <t>Optimistic concurrency conflict detection when two admins edit same budget</t>
        </is>
      </c>
      <c r="D49" s="2" t="inlineStr">
        <is>
          <t>F6.10 Edge Cases &amp; Security</t>
        </is>
      </c>
      <c r="E49" s="2" t="inlineStr">
        <is>
          <t>FAS Budget Management</t>
        </is>
      </c>
      <c r="F49" s="2" t="inlineStr">
        <is>
          <t>S2</t>
        </is>
      </c>
      <c r="G49" s="2" t="inlineStr">
        <is>
          <t>High</t>
        </is>
      </c>
      <c r="H49" s="2" t="inlineStr">
        <is>
          <t>Not Run</t>
        </is>
      </c>
      <c r="I49" s="2" t="inlineStr">
        <is>
          <t>Integration</t>
        </is>
      </c>
      <c r="J49" s="2" t="inlineStr">
        <is>
          <t>Admin Portal: http://localhost:5173
Needs: ENV-R6-01, ENV-R6-02</t>
        </is>
      </c>
      <c r="K49" s="2" t="inlineStr">
        <is>
          <t>1. Admin A and Admin B open the same budget record (S$ 150,000.00).
2. Admin A updates amount to S$ 160,000.00 and saves successfully.</t>
        </is>
      </c>
      <c r="L49" s="2" t="inlineStr">
        <is>
          <t>Admin B attempts to save S$ 170,000.00 with stale version</t>
        </is>
      </c>
      <c r="M49" s="2" t="inlineStr">
        <is>
          <t>1. Admin B clicks Save button.</t>
        </is>
      </c>
      <c r="N49" s="2" t="inlineStr">
        <is>
          <t>1. System detects concurrency conflict.
2. Error displays: 'The budget record has been modified by another user. Please refresh and try again.'
3. Admin A changes are not overwritten.</t>
        </is>
      </c>
      <c r="O49" s="2" t="n"/>
      <c r="P49" s="2" t="inlineStr">
        <is>
          <t>ASM-R6-11</t>
        </is>
      </c>
      <c r="Q49" s="2" t="n"/>
      <c r="R49" s="2" t="inlineStr">
        <is>
          <t>FS06: Robustness standard</t>
        </is>
      </c>
      <c r="S49" s="2" t="inlineStr">
        <is>
          <t>Optimistic concurrency control.</t>
        </is>
      </c>
      <c r="T49" s="3" t="inlineStr">
        <is>
          <t>Draft</t>
        </is>
      </c>
    </row>
    <row r="50">
      <c r="A50" s="2" t="inlineStr">
        <is>
          <t>TC-049</t>
        </is>
      </c>
      <c r="B50" s="2" t="inlineStr">
        <is>
          <t>TS-030</t>
        </is>
      </c>
      <c r="C50" s="2" t="inlineStr">
        <is>
          <t>XSS payload in Reason field is escaped and rendered safely</t>
        </is>
      </c>
      <c r="D50" s="2" t="inlineStr">
        <is>
          <t>F6.10 Edge Cases &amp; Security</t>
        </is>
      </c>
      <c r="E50" s="2" t="inlineStr">
        <is>
          <t>FAS Budget Management</t>
        </is>
      </c>
      <c r="F50" s="2" t="inlineStr">
        <is>
          <t>S1 (highest)</t>
        </is>
      </c>
      <c r="G50" s="2" t="inlineStr">
        <is>
          <t>Critical</t>
        </is>
      </c>
      <c r="H50" s="2" t="inlineStr">
        <is>
          <t>Not Run</t>
        </is>
      </c>
      <c r="I50" s="2" t="inlineStr">
        <is>
          <t>Security</t>
        </is>
      </c>
      <c r="J50" s="2" t="inlineStr">
        <is>
          <t>Admin Portal: http://localhost:5173
Needs: ENV-R6-01</t>
        </is>
      </c>
      <c r="K50" s="2" t="inlineStr">
        <is>
          <t>1. Adjustment modal open.</t>
        </is>
      </c>
      <c r="L50" s="2" t="inlineStr">
        <is>
          <t>Reason: &lt;script&gt;alert(1)&lt;/script&gt;</t>
        </is>
      </c>
      <c r="M50" s="2" t="inlineStr">
        <is>
          <t>1. Paste script tag into Reason field.
2. Save and view audit log/reason.</t>
        </is>
      </c>
      <c r="N50" s="2" t="inlineStr">
        <is>
          <t>1. Input is safely HTML-escaped.
2. No script execution occurs in browser.</t>
        </is>
      </c>
      <c r="O50" s="2" t="n"/>
      <c r="P50" s="2" t="inlineStr">
        <is>
          <t>ASM-R6-02</t>
        </is>
      </c>
      <c r="Q50" s="2" t="n"/>
      <c r="R50" s="2" t="inlineStr">
        <is>
          <t>FS06: Security standard</t>
        </is>
      </c>
      <c r="S50" s="2" t="inlineStr">
        <is>
          <t>XSS protection in reason field.</t>
        </is>
      </c>
      <c r="T50" s="3" t="inlineStr">
        <is>
          <t>Draft</t>
        </is>
      </c>
    </row>
    <row r="51">
      <c r="A51" s="2" t="inlineStr">
        <is>
          <t>TC-050</t>
        </is>
      </c>
      <c r="B51" s="2" t="inlineStr">
        <is>
          <t>TS-030</t>
        </is>
      </c>
      <c r="C51" s="2" t="inlineStr">
        <is>
          <t>Backend API validates non-negative amount when client validation bypassed</t>
        </is>
      </c>
      <c r="D51" s="2" t="inlineStr">
        <is>
          <t>F6.10 Edge Cases &amp; Security</t>
        </is>
      </c>
      <c r="E51" s="2" t="inlineStr">
        <is>
          <t>API Gateway</t>
        </is>
      </c>
      <c r="F51" s="2" t="inlineStr">
        <is>
          <t>S1 (highest)</t>
        </is>
      </c>
      <c r="G51" s="2" t="inlineStr">
        <is>
          <t>Critical</t>
        </is>
      </c>
      <c r="H51" s="2" t="inlineStr">
        <is>
          <t>Not Run</t>
        </is>
      </c>
      <c r="I51" s="2" t="inlineStr">
        <is>
          <t>Security</t>
        </is>
      </c>
      <c r="J51" s="2" t="inlineStr">
        <is>
          <t>API Gateway: http://localhost:5273
Needs: ENV-R6-01</t>
        </is>
      </c>
      <c r="K51" s="2" t="inlineStr">
        <is>
          <t>1. Intercepting API call directly with valid authorization token.</t>
        </is>
      </c>
      <c r="L51" s="2" t="inlineStr">
        <is>
          <t>Payload: {"schoolId": "BVP-0012", "allocatedBudgetAmount": -50000.00}</t>
        </is>
      </c>
      <c r="M51" s="2" t="inlineStr">
        <is>
          <t>1. Send POST request with negative amount directly to backend API.</t>
        </is>
      </c>
      <c r="N51" s="2" t="inlineStr">
        <is>
          <t>1. Backend rejects request with HTTP 400 Bad Request.
2. Error details: 'Budget amount must be greater than or equal to 0.'
3. Database is not updated.</t>
        </is>
      </c>
      <c r="O51" s="2" t="n"/>
      <c r="P51" s="2" t="inlineStr">
        <is>
          <t>N/A</t>
        </is>
      </c>
      <c r="Q51" s="2" t="n"/>
      <c r="R51" s="2" t="inlineStr">
        <is>
          <t>FS06: BR6.03</t>
        </is>
      </c>
      <c r="S51" s="2" t="inlineStr">
        <is>
          <t>Zero-trust backend validation.</t>
        </is>
      </c>
      <c r="T51" s="4" t="inlineStr">
        <is>
          <t>Approve</t>
        </is>
      </c>
    </row>
    <row r="52">
      <c r="A52" s="2" t="inlineStr">
        <is>
          <t>TC-051</t>
        </is>
      </c>
      <c r="B52" s="2" t="inlineStr">
        <is>
          <t>TS-004</t>
        </is>
      </c>
      <c r="C52" s="2" t="inlineStr">
        <is>
          <t>Budget amount rejects scientific exponential notation e.g. 1e6</t>
        </is>
      </c>
      <c r="D52" s="2" t="inlineStr">
        <is>
          <t>F6.2 MOEFAS Budget Setup</t>
        </is>
      </c>
      <c r="E52" s="2" t="inlineStr">
        <is>
          <t>FAS Budget Management</t>
        </is>
      </c>
      <c r="F52" s="2" t="inlineStr">
        <is>
          <t>S3</t>
        </is>
      </c>
      <c r="G52" s="2" t="inlineStr">
        <is>
          <t>Medium</t>
        </is>
      </c>
      <c r="H52" s="2" t="inlineStr">
        <is>
          <t>Not Run</t>
        </is>
      </c>
      <c r="I52" s="2" t="inlineStr">
        <is>
          <t>Functional</t>
        </is>
      </c>
      <c r="J52" s="2" t="inlineStr">
        <is>
          <t>Admin Portal: http://localhost:5173
Needs: ENV-R6-01</t>
        </is>
      </c>
      <c r="K52" s="2" t="inlineStr">
        <is>
          <t>1. Signed in as MOE HQ.</t>
        </is>
      </c>
      <c r="L52" s="2" t="inlineStr">
        <is>
          <t>Input: 1e6</t>
        </is>
      </c>
      <c r="M52" s="2" t="inlineStr">
        <is>
          <t>1. Type 1e6 into Budget Amount field.
2. Click Save button.</t>
        </is>
      </c>
      <c r="N52" s="2" t="inlineStr">
        <is>
          <t>1. Field validation displays error: 'Budget amount must be a valid numeric value.'
2. Exponential format is rejected.</t>
        </is>
      </c>
      <c r="O52" s="2" t="n"/>
      <c r="P52" s="2" t="inlineStr">
        <is>
          <t>N/A</t>
        </is>
      </c>
      <c r="Q52" s="2" t="n"/>
      <c r="R52" s="2" t="inlineStr">
        <is>
          <t>FS06: 5.1.3</t>
        </is>
      </c>
      <c r="S52" s="2" t="inlineStr">
        <is>
          <t>Exponential notation rejected.</t>
        </is>
      </c>
      <c r="T52" s="4" t="inlineStr">
        <is>
          <t>Approve</t>
        </is>
      </c>
    </row>
    <row r="53">
      <c r="A53" s="2" t="inlineStr">
        <is>
          <t>TC-052</t>
        </is>
      </c>
      <c r="B53" s="2" t="inlineStr">
        <is>
          <t>TS-004</t>
        </is>
      </c>
      <c r="C53" s="2" t="inlineStr">
        <is>
          <t>Budget amount rejects raw currency symbol input e.g. $50000</t>
        </is>
      </c>
      <c r="D53" s="2" t="inlineStr">
        <is>
          <t>F6.2 MOEFAS Budget Setup</t>
        </is>
      </c>
      <c r="E53" s="2" t="inlineStr">
        <is>
          <t>FAS Budget Management</t>
        </is>
      </c>
      <c r="F53" s="2" t="inlineStr">
        <is>
          <t>S3</t>
        </is>
      </c>
      <c r="G53" s="2" t="inlineStr">
        <is>
          <t>Medium</t>
        </is>
      </c>
      <c r="H53" s="2" t="inlineStr">
        <is>
          <t>Not Run</t>
        </is>
      </c>
      <c r="I53" s="2" t="inlineStr">
        <is>
          <t>Functional</t>
        </is>
      </c>
      <c r="J53" s="2" t="inlineStr">
        <is>
          <t>Admin Portal: http://localhost:5173
Needs: ENV-R6-01</t>
        </is>
      </c>
      <c r="K53" s="2" t="inlineStr">
        <is>
          <t>1. Signed in as MOE HQ.</t>
        </is>
      </c>
      <c r="L53" s="2" t="inlineStr">
        <is>
          <t>Input: $50000</t>
        </is>
      </c>
      <c r="M53" s="2" t="inlineStr">
        <is>
          <t>1. Paste $50000 into Budget Amount field.
2. Click Save button.</t>
        </is>
      </c>
      <c r="N53" s="2" t="inlineStr">
        <is>
          <t>1. Field validation displays error: 'Budget amount must be a valid numeric value.'
2. Currency symbols in raw input are rejected.</t>
        </is>
      </c>
      <c r="O53" s="2" t="n"/>
      <c r="P53" s="2" t="inlineStr">
        <is>
          <t>N/A</t>
        </is>
      </c>
      <c r="Q53" s="2" t="n"/>
      <c r="R53" s="2" t="inlineStr">
        <is>
          <t>FS06: 5.1.3</t>
        </is>
      </c>
      <c r="S53" s="2" t="inlineStr">
        <is>
          <t>Currency symbol rejected in raw input.</t>
        </is>
      </c>
      <c r="T53" s="4" t="inlineStr">
        <is>
          <t>Approve</t>
        </is>
      </c>
    </row>
    <row r="54">
      <c r="A54" s="2" t="inlineStr">
        <is>
          <t>TC-053</t>
        </is>
      </c>
      <c r="B54" s="2" t="inlineStr">
        <is>
          <t>TS-007</t>
        </is>
      </c>
      <c r="C54" s="2" t="inlineStr">
        <is>
          <t>Initial budget setup for newly onboarded school with zero grant history</t>
        </is>
      </c>
      <c r="D54" s="2" t="inlineStr">
        <is>
          <t>F6.3 SBFAS Budget Setup</t>
        </is>
      </c>
      <c r="E54" s="2" t="inlineStr">
        <is>
          <t>FAS Budget Management</t>
        </is>
      </c>
      <c r="F54" s="2" t="inlineStr">
        <is>
          <t>S2</t>
        </is>
      </c>
      <c r="G54" s="2" t="inlineStr">
        <is>
          <t>High</t>
        </is>
      </c>
      <c r="H54" s="2" t="inlineStr">
        <is>
          <t>Not Run</t>
        </is>
      </c>
      <c r="I54" s="2" t="inlineStr">
        <is>
          <t>Functional</t>
        </is>
      </c>
      <c r="J54" s="2" t="inlineStr">
        <is>
          <t>Admin Portal: http://localhost:5173
Needs: ENV-R6-01</t>
        </is>
      </c>
      <c r="K54" s="2" t="inlineStr">
        <is>
          <t>1. Signed in as School Admin of newly onboarded school.</t>
        </is>
      </c>
      <c r="L54" s="2" t="inlineStr">
        <is>
          <t>Budget: S$ 80,000.00</t>
        </is>
      </c>
      <c r="M54" s="2" t="inlineStr">
        <is>
          <t>1. Configure initial budget of S$ 80,000.00.
2. Open tracking view.</t>
        </is>
      </c>
      <c r="N54" s="2" t="inlineStr">
        <is>
          <t>1. Allocated: S$ 80,000.00, Used: S$ 0.00, Remaining: S$ 80,000.00, Utilization: 0.0%.</t>
        </is>
      </c>
      <c r="O54" s="2" t="n"/>
      <c r="P54" s="2" t="inlineStr">
        <is>
          <t>ASM-R6-09</t>
        </is>
      </c>
      <c r="Q54" s="2" t="n"/>
      <c r="R54" s="2" t="inlineStr">
        <is>
          <t>FS06: 5.2.4, 5.8.3, R6-04</t>
        </is>
      </c>
      <c r="S54" s="2" t="inlineStr">
        <is>
          <t>New school initial onboarding.</t>
        </is>
      </c>
      <c r="T54" s="3" t="inlineStr">
        <is>
          <t>Draft</t>
        </is>
      </c>
    </row>
    <row r="55">
      <c r="A55" s="2" t="inlineStr">
        <is>
          <t>TC-054</t>
        </is>
      </c>
      <c r="B55" s="2" t="inlineStr">
        <is>
          <t>TS-013</t>
        </is>
      </c>
      <c r="C55" s="2" t="inlineStr">
        <is>
          <t>Subsidy Statistics accurately handles multiple grants per student</t>
        </is>
      </c>
      <c r="D55" s="2" t="inlineStr">
        <is>
          <t>F6.5 MOEFAS Statistics</t>
        </is>
      </c>
      <c r="E55" s="2" t="inlineStr">
        <is>
          <t>FAS Subsidy Statistics</t>
        </is>
      </c>
      <c r="F55" s="2" t="inlineStr">
        <is>
          <t>S2</t>
        </is>
      </c>
      <c r="G55" s="2" t="inlineStr">
        <is>
          <t>High</t>
        </is>
      </c>
      <c r="H55" s="2" t="inlineStr">
        <is>
          <t>Not Run</t>
        </is>
      </c>
      <c r="I55" s="2" t="inlineStr">
        <is>
          <t>Functional</t>
        </is>
      </c>
      <c r="J55" s="2" t="inlineStr">
        <is>
          <t>Admin Portal: http://localhost:5173
Needs: ENV-R6-01, ENV-R6-03</t>
        </is>
      </c>
      <c r="K55" s="2" t="inlineStr">
        <is>
          <t>1. Student has 2 granted subsidies: Textbook ($300) and Uniform ($150).</t>
        </is>
      </c>
      <c r="L55" s="2" t="inlineStr">
        <is>
          <t>Student: STU-BVP-01</t>
        </is>
      </c>
      <c r="M55" s="2" t="inlineStr">
        <is>
          <t>1. View Subsidy Statistics dashboard.</t>
        </is>
      </c>
      <c r="N55" s="2" t="inlineStr">
        <is>
          <t>1. Both subsidies ($450 total) are correctly summed into Total Subsidy Amount Granted.</t>
        </is>
      </c>
      <c r="O55" s="2" t="n"/>
      <c r="P55" s="2" t="inlineStr">
        <is>
          <t>N/A</t>
        </is>
      </c>
      <c r="Q55" s="2" t="n"/>
      <c r="R55" s="2" t="inlineStr">
        <is>
          <t>FS06: 5.6.1, BR6.04</t>
        </is>
      </c>
      <c r="S55" s="2" t="inlineStr">
        <is>
          <t>Multi-grant aggregation per student.</t>
        </is>
      </c>
      <c r="T55" s="4" t="inlineStr">
        <is>
          <t>Approve</t>
        </is>
      </c>
    </row>
    <row r="56">
      <c r="A56" s="2" t="inlineStr">
        <is>
          <t>TC-055</t>
        </is>
      </c>
      <c r="B56" s="2" t="inlineStr">
        <is>
          <t>TS-001</t>
        </is>
      </c>
      <c r="C56" s="2" t="inlineStr">
        <is>
          <t>Viewing budget when not yet configured shows unconfigured state</t>
        </is>
      </c>
      <c r="D56" s="2" t="inlineStr">
        <is>
          <t>F6.1 Access &amp; Authorization</t>
        </is>
      </c>
      <c r="E56" s="2" t="inlineStr">
        <is>
          <t>FAS Budget Management</t>
        </is>
      </c>
      <c r="F56" s="2" t="inlineStr">
        <is>
          <t>S2</t>
        </is>
      </c>
      <c r="G56" s="2" t="inlineStr">
        <is>
          <t>High</t>
        </is>
      </c>
      <c r="H56" s="2" t="inlineStr">
        <is>
          <t>Not Run</t>
        </is>
      </c>
      <c r="I56" s="2" t="inlineStr">
        <is>
          <t>Functional</t>
        </is>
      </c>
      <c r="J56" s="2" t="inlineStr">
        <is>
          <t>Admin Portal: http://localhost:5173
Needs: ENV-R6-01</t>
        </is>
      </c>
      <c r="K56" s="2" t="inlineStr">
        <is>
          <t>1. School has no budget configured yet in database.</t>
        </is>
      </c>
      <c r="L56" s="2" t="inlineStr">
        <is>
          <t>School: Unconfigured School</t>
        </is>
      </c>
      <c r="M56" s="2" t="inlineStr">
        <is>
          <t>1. Open budget view as school user.</t>
        </is>
      </c>
      <c r="N56" s="2" t="inlineStr">
        <is>
          <t>1. System displays prompt: 'No budget configured yet for this scheme.'
2. 'Configure Budget' button is available.</t>
        </is>
      </c>
      <c r="O56" s="2" t="n"/>
      <c r="P56" s="2" t="inlineStr">
        <is>
          <t>N/A</t>
        </is>
      </c>
      <c r="Q56" s="2" t="n"/>
      <c r="R56" s="2" t="inlineStr">
        <is>
          <t>FS06: 5.3.1, R6.1.3</t>
        </is>
      </c>
      <c r="S56" s="2" t="inlineStr">
        <is>
          <t>Unconfigured budget view.</t>
        </is>
      </c>
      <c r="T56" s="4" t="inlineStr">
        <is>
          <t>Approve</t>
        </is>
      </c>
    </row>
    <row r="57">
      <c r="A57" s="2" t="inlineStr">
        <is>
          <t>TC-056</t>
        </is>
      </c>
      <c r="B57" s="2" t="inlineStr">
        <is>
          <t>TS-018</t>
        </is>
      </c>
      <c r="C57" s="2" t="inlineStr">
        <is>
          <t>Separate budget tracking view for MOEFAS national scheme</t>
        </is>
      </c>
      <c r="D57" s="2" t="inlineStr">
        <is>
          <t>F6.7 Budget Tracking</t>
        </is>
      </c>
      <c r="E57" s="2" t="inlineStr">
        <is>
          <t>FAS Budget Tracking</t>
        </is>
      </c>
      <c r="F57" s="2" t="inlineStr">
        <is>
          <t>S2</t>
        </is>
      </c>
      <c r="G57" s="2" t="inlineStr">
        <is>
          <t>High</t>
        </is>
      </c>
      <c r="H57" s="2" t="inlineStr">
        <is>
          <t>Not Run</t>
        </is>
      </c>
      <c r="I57" s="2" t="inlineStr">
        <is>
          <t>Functional</t>
        </is>
      </c>
      <c r="J57" s="2" t="inlineStr">
        <is>
          <t>Admin Portal: http://localhost:5173
Needs: ENV-R6-01, ENV-R6-03</t>
        </is>
      </c>
      <c r="K57" s="2" t="inlineStr">
        <is>
          <t>1. Signed in as MOE HQ.
2. National MOEFAS budget configured.</t>
        </is>
      </c>
      <c r="L57" s="2" t="inlineStr">
        <is>
          <t>Scheme: MOEFAS</t>
        </is>
      </c>
      <c r="M57" s="2" t="inlineStr">
        <is>
          <t>1. Open MOEFAS Budget Tracking view.</t>
        </is>
      </c>
      <c r="N57" s="2" t="inlineStr">
        <is>
          <t>1. View displays national MOEFAS Budget Amount, national Subsidy Amount Used, and Remaining Budget.
2. Values reflect nationwide aggregation.</t>
        </is>
      </c>
      <c r="O57" s="2" t="n"/>
      <c r="P57" s="2" t="inlineStr">
        <is>
          <t>N/A</t>
        </is>
      </c>
      <c r="Q57" s="2" t="n"/>
      <c r="R57" s="2" t="inlineStr">
        <is>
          <t>FS06: 5.7.1, R6.3.1</t>
        </is>
      </c>
      <c r="S57" s="2" t="inlineStr">
        <is>
          <t>Dedicated MOEFAS tracking.</t>
        </is>
      </c>
      <c r="T57" s="4" t="inlineStr">
        <is>
          <t>Approve</t>
        </is>
      </c>
    </row>
  </sheetData>
  <autoFilter ref="A1:T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16" customWidth="1" min="8" max="8"/>
    <col width="21" customWidth="1" min="9" max="9"/>
    <col width="18" customWidth="1" min="10" max="10"/>
    <col width="16" customWidth="1" min="11" max="11"/>
    <col width="22" customWidth="1" min="12" max="12"/>
    <col width="13" customWidth="1" min="13" max="13"/>
    <col width="13" customWidth="1" min="14" max="14"/>
  </cols>
  <sheetData>
    <row r="1">
      <c r="A1" s="1" t="inlineStr">
        <is>
          <t>Defect ID</t>
        </is>
      </c>
      <c r="B1" s="1" t="inlineStr">
        <is>
          <t>Defect Summary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Defect Type</t>
        </is>
      </c>
      <c r="G1" s="1" t="inlineStr">
        <is>
          <t>Environment</t>
        </is>
      </c>
      <c r="H1" s="1" t="inlineStr">
        <is>
          <t>Preconditions</t>
        </is>
      </c>
      <c r="I1" s="1" t="inlineStr">
        <is>
          <t>Steps to Reproduce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Linked Test Case(s)</t>
        </is>
      </c>
      <c r="M1" s="1" t="inlineStr">
        <is>
          <t>Evidence</t>
        </is>
      </c>
      <c r="N1" s="1" t="inlineStr">
        <is>
          <t>Notes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55" customWidth="1" min="4" max="4"/>
    <col width="27" customWidth="1" min="5" max="5"/>
    <col width="34" customWidth="1" min="6" max="6"/>
    <col width="42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Scenario ID</t>
        </is>
      </c>
      <c r="B1" s="1" t="inlineStr">
        <is>
          <t>Test suite</t>
        </is>
      </c>
      <c r="C1" s="1" t="inlineStr">
        <is>
          <t>Scenario</t>
        </is>
      </c>
      <c r="D1" s="1" t="inlineStr">
        <is>
          <t>Objective</t>
        </is>
      </c>
      <c r="E1" s="1" t="inlineStr">
        <is>
          <t>Technique</t>
        </is>
      </c>
      <c r="F1" s="1" t="inlineStr">
        <is>
          <t>FS source</t>
        </is>
      </c>
      <c r="G1" s="1" t="inlineStr">
        <is>
          <t>Test cases</t>
        </is>
      </c>
      <c r="H1" s="1" t="inlineStr">
        <is>
          <t>Approve</t>
        </is>
      </c>
      <c r="I1" s="1" t="inlineStr">
        <is>
          <t>Draft</t>
        </is>
      </c>
      <c r="J1" s="1" t="inlineStr">
        <is>
          <t>Block</t>
        </is>
      </c>
      <c r="K1" s="1" t="inlineStr">
        <is>
          <t>Status</t>
        </is>
      </c>
    </row>
    <row r="2">
      <c r="A2" s="6" t="inlineStr">
        <is>
          <t>TS-001</t>
        </is>
      </c>
      <c r="B2" s="6" t="inlineStr">
        <is>
          <t>F6.1 Access &amp; Authorization</t>
        </is>
      </c>
      <c r="C2" s="6" t="inlineStr">
        <is>
          <t>MOE HQ User Access &amp; Navigation</t>
        </is>
      </c>
      <c r="D2" s="6" t="inlineStr">
        <is>
          <t>Verify MOE HQ can access MOEFAS budget management without school barriers.</t>
        </is>
      </c>
      <c r="E2" s="6" t="inlineStr">
        <is>
          <t>Equivalence partitioning</t>
        </is>
      </c>
      <c r="F2" s="6" t="inlineStr">
        <is>
          <t>FS06: 1.2, 5.1</t>
        </is>
      </c>
      <c r="G2" s="6">
        <f>COUNTIF('Test cases '!$B$2:$B$57,$A2)</f>
        <v/>
      </c>
      <c r="H2" s="6">
        <f>COUNTIFS('Test cases '!$B$2:$B$57,$A2,'Test cases '!$T$2:$T$57,"Approve")</f>
        <v/>
      </c>
      <c r="I2" s="6">
        <f>COUNTIFS('Test cases '!$B$2:$B$57,$A2,'Test cases '!$T$2:$T$57,"Draft")</f>
        <v/>
      </c>
      <c r="J2" s="6">
        <f>COUNTIFS('Test cases '!$B$2:$B$57,$A2,'Test cases '!$T$2:$T$57,"Block")</f>
        <v/>
      </c>
      <c r="K2" s="6">
        <f>IF(J2=G2,"Block",IF(J2&gt;0,"Partly blocked",IF(I2&gt;0,"Draft","Approve")))</f>
        <v/>
      </c>
    </row>
    <row r="3">
      <c r="A3" s="7" t="inlineStr">
        <is>
          <t>TS-002</t>
        </is>
      </c>
      <c r="B3" s="7" t="inlineStr">
        <is>
          <t>F6.1 Access &amp; Authorization</t>
        </is>
      </c>
      <c r="C3" s="7" t="inlineStr">
        <is>
          <t>School User Access &amp; Pre-population</t>
        </is>
      </c>
      <c r="D3" s="7" t="inlineStr">
        <is>
          <t>Verify School User accesses SBFAS with pre-filled school name and locked scope.</t>
        </is>
      </c>
      <c r="E3" s="7" t="inlineStr">
        <is>
          <t>Equivalence partitioning</t>
        </is>
      </c>
      <c r="F3" s="7" t="inlineStr">
        <is>
          <t>FS06: 1.2, 5.2</t>
        </is>
      </c>
      <c r="G3" s="7">
        <f>COUNTIF('Test cases '!$B$2:$B$57,$A3)</f>
        <v/>
      </c>
      <c r="H3" s="7">
        <f>COUNTIFS('Test cases '!$B$2:$B$57,$A3,'Test cases '!$T$2:$T$57,"Approve")</f>
        <v/>
      </c>
      <c r="I3" s="7">
        <f>COUNTIFS('Test cases '!$B$2:$B$57,$A3,'Test cases '!$T$2:$T$57,"Draft")</f>
        <v/>
      </c>
      <c r="J3" s="7">
        <f>COUNTIFS('Test cases '!$B$2:$B$57,$A3,'Test cases '!$T$2:$T$57,"Block")</f>
        <v/>
      </c>
      <c r="K3" s="7">
        <f>IF(J3=G3,"Block",IF(J3&gt;0,"Partly blocked",IF(I3&gt;0,"Draft","Approve")))</f>
        <v/>
      </c>
    </row>
    <row r="4">
      <c r="A4" s="6" t="inlineStr">
        <is>
          <t>TS-003</t>
        </is>
      </c>
      <c r="B4" s="6" t="inlineStr">
        <is>
          <t>F6.1 Access &amp; Authorization</t>
        </is>
      </c>
      <c r="C4" s="6" t="inlineStr">
        <is>
          <t>Data Isolation &amp; Security Guards</t>
        </is>
      </c>
      <c r="D4" s="6" t="inlineStr">
        <is>
          <t>Ensure strict 403 Forbidden on cross-school budget access and redirect on unauthenticated.</t>
        </is>
      </c>
      <c r="E4" s="6" t="inlineStr">
        <is>
          <t>Security testing</t>
        </is>
      </c>
      <c r="F4" s="6" t="inlineStr">
        <is>
          <t>FS06: BR6.01, R6-09</t>
        </is>
      </c>
      <c r="G4" s="6">
        <f>COUNTIF('Test cases '!$B$2:$B$57,$A4)</f>
        <v/>
      </c>
      <c r="H4" s="6">
        <f>COUNTIFS('Test cases '!$B$2:$B$57,$A4,'Test cases '!$T$2:$T$57,"Approve")</f>
        <v/>
      </c>
      <c r="I4" s="6">
        <f>COUNTIFS('Test cases '!$B$2:$B$57,$A4,'Test cases '!$T$2:$T$57,"Draft")</f>
        <v/>
      </c>
      <c r="J4" s="6">
        <f>COUNTIFS('Test cases '!$B$2:$B$57,$A4,'Test cases '!$T$2:$T$57,"Block")</f>
        <v/>
      </c>
      <c r="K4" s="6">
        <f>IF(J4=G4,"Block",IF(J4&gt;0,"Partly blocked",IF(I4&gt;0,"Draft","Approve")))</f>
        <v/>
      </c>
    </row>
    <row r="5">
      <c r="A5" s="7" t="inlineStr">
        <is>
          <t>TS-004</t>
        </is>
      </c>
      <c r="B5" s="7" t="inlineStr">
        <is>
          <t>F6.2 MOEFAS Budget Setup</t>
        </is>
      </c>
      <c r="C5" s="7" t="inlineStr">
        <is>
          <t>MOEFAS Budget Input Validation</t>
        </is>
      </c>
      <c r="D5" s="7" t="inlineStr">
        <is>
          <t>Validate required, numeric, positive, decimals, max cap, and whitespace handling.</t>
        </is>
      </c>
      <c r="E5" s="7" t="inlineStr">
        <is>
          <t>Boundary &amp; Negative</t>
        </is>
      </c>
      <c r="F5" s="7" t="inlineStr">
        <is>
          <t>FS06: 5.1.3, BR6.03</t>
        </is>
      </c>
      <c r="G5" s="7">
        <f>COUNTIF('Test cases '!$B$2:$B$57,$A5)</f>
        <v/>
      </c>
      <c r="H5" s="7">
        <f>COUNTIFS('Test cases '!$B$2:$B$57,$A5,'Test cases '!$T$2:$T$57,"Approve")</f>
        <v/>
      </c>
      <c r="I5" s="7">
        <f>COUNTIFS('Test cases '!$B$2:$B$57,$A5,'Test cases '!$T$2:$T$57,"Draft")</f>
        <v/>
      </c>
      <c r="J5" s="7">
        <f>COUNTIFS('Test cases '!$B$2:$B$57,$A5,'Test cases '!$T$2:$T$57,"Block")</f>
        <v/>
      </c>
      <c r="K5" s="7">
        <f>IF(J5=G5,"Block",IF(J5&gt;0,"Partly blocked",IF(I5&gt;0,"Draft","Approve")))</f>
        <v/>
      </c>
    </row>
    <row r="6">
      <c r="A6" s="6" t="inlineStr">
        <is>
          <t>TS-005</t>
        </is>
      </c>
      <c r="B6" s="6" t="inlineStr">
        <is>
          <t>F6.2 MOEFAS Budget Setup</t>
        </is>
      </c>
      <c r="C6" s="6" t="inlineStr">
        <is>
          <t>MOEFAS Save, Cancel &amp; Display</t>
        </is>
      </c>
      <c r="D6" s="6" t="inlineStr">
        <is>
          <t>Verify save persistence, toast messages, and cancel action reverting changes.</t>
        </is>
      </c>
      <c r="E6" s="6" t="inlineStr">
        <is>
          <t>Functional testing</t>
        </is>
      </c>
      <c r="F6" s="6" t="inlineStr">
        <is>
          <t>FS06: 5.1.4, AC-R6.1.1</t>
        </is>
      </c>
      <c r="G6" s="6">
        <f>COUNTIF('Test cases '!$B$2:$B$57,$A6)</f>
        <v/>
      </c>
      <c r="H6" s="6">
        <f>COUNTIFS('Test cases '!$B$2:$B$57,$A6,'Test cases '!$T$2:$T$57,"Approve")</f>
        <v/>
      </c>
      <c r="I6" s="6">
        <f>COUNTIFS('Test cases '!$B$2:$B$57,$A6,'Test cases '!$T$2:$T$57,"Draft")</f>
        <v/>
      </c>
      <c r="J6" s="6">
        <f>COUNTIFS('Test cases '!$B$2:$B$57,$A6,'Test cases '!$T$2:$T$57,"Block")</f>
        <v/>
      </c>
      <c r="K6" s="6">
        <f>IF(J6=G6,"Block",IF(J6&gt;0,"Partly blocked",IF(I6&gt;0,"Draft","Approve")))</f>
        <v/>
      </c>
    </row>
    <row r="7">
      <c r="A7" s="7" t="inlineStr">
        <is>
          <t>TS-006</t>
        </is>
      </c>
      <c r="B7" s="7" t="inlineStr">
        <is>
          <t>F6.3 SBFAS Budget Setup</t>
        </is>
      </c>
      <c r="C7" s="7" t="inlineStr">
        <is>
          <t>SBFAS School Scoping &amp; Read-only Type</t>
        </is>
      </c>
      <c r="D7" s="7" t="inlineStr">
        <is>
          <t>Verify school name and SBFAS scheme cannot be tampered with.</t>
        </is>
      </c>
      <c r="E7" s="7" t="inlineStr">
        <is>
          <t>Security &amp; Functional</t>
        </is>
      </c>
      <c r="F7" s="7" t="inlineStr">
        <is>
          <t>FS06: 5.2.3, BR6.01</t>
        </is>
      </c>
      <c r="G7" s="7">
        <f>COUNTIF('Test cases '!$B$2:$B$57,$A7)</f>
        <v/>
      </c>
      <c r="H7" s="7">
        <f>COUNTIFS('Test cases '!$B$2:$B$57,$A7,'Test cases '!$T$2:$T$57,"Approve")</f>
        <v/>
      </c>
      <c r="I7" s="7">
        <f>COUNTIFS('Test cases '!$B$2:$B$57,$A7,'Test cases '!$T$2:$T$57,"Draft")</f>
        <v/>
      </c>
      <c r="J7" s="7">
        <f>COUNTIFS('Test cases '!$B$2:$B$57,$A7,'Test cases '!$T$2:$T$57,"Block")</f>
        <v/>
      </c>
      <c r="K7" s="7">
        <f>IF(J7=G7,"Block",IF(J7&gt;0,"Partly blocked",IF(I7&gt;0,"Draft","Approve")))</f>
        <v/>
      </c>
    </row>
    <row r="8">
      <c r="A8" s="6" t="inlineStr">
        <is>
          <t>TS-007</t>
        </is>
      </c>
      <c r="B8" s="6" t="inlineStr">
        <is>
          <t>F6.3 SBFAS Budget Setup</t>
        </is>
      </c>
      <c r="C8" s="6" t="inlineStr">
        <is>
          <t>SBFAS Budget Input Validation &amp; Save</t>
        </is>
      </c>
      <c r="D8" s="6" t="inlineStr">
        <is>
          <t>Verify input validations and successful save for school admin.</t>
        </is>
      </c>
      <c r="E8" s="6" t="inlineStr">
        <is>
          <t>Equivalence partitioning</t>
        </is>
      </c>
      <c r="F8" s="6" t="inlineStr">
        <is>
          <t>FS06: 5.2.4, AC-R6.1.2</t>
        </is>
      </c>
      <c r="G8" s="6">
        <f>COUNTIF('Test cases '!$B$2:$B$57,$A8)</f>
        <v/>
      </c>
      <c r="H8" s="6">
        <f>COUNTIFS('Test cases '!$B$2:$B$57,$A8,'Test cases '!$T$2:$T$57,"Approve")</f>
        <v/>
      </c>
      <c r="I8" s="6">
        <f>COUNTIFS('Test cases '!$B$2:$B$57,$A8,'Test cases '!$T$2:$T$57,"Draft")</f>
        <v/>
      </c>
      <c r="J8" s="6">
        <f>COUNTIFS('Test cases '!$B$2:$B$57,$A8,'Test cases '!$T$2:$T$57,"Block")</f>
        <v/>
      </c>
      <c r="K8" s="6">
        <f>IF(J8=G8,"Block",IF(J8&gt;0,"Partly blocked",IF(I8&gt;0,"Draft","Approve")))</f>
        <v/>
      </c>
    </row>
    <row r="9">
      <c r="A9" s="7" t="inlineStr">
        <is>
          <t>TS-008</t>
        </is>
      </c>
      <c r="B9" s="7" t="inlineStr">
        <is>
          <t>F6.3 SBFAS Budget Setup</t>
        </is>
      </c>
      <c r="C9" s="7" t="inlineStr">
        <is>
          <t>Persistence &amp; Idempotent Save</t>
        </is>
      </c>
      <c r="D9" s="7" t="inlineStr">
        <is>
          <t>Verify budget persistence across reload and idempotent save handling.</t>
        </is>
      </c>
      <c r="E9" s="7" t="inlineStr">
        <is>
          <t>Functional testing</t>
        </is>
      </c>
      <c r="F9" s="7" t="inlineStr">
        <is>
          <t>FS06: 5.2.5, R6-04</t>
        </is>
      </c>
      <c r="G9" s="7">
        <f>COUNTIF('Test cases '!$B$2:$B$57,$A9)</f>
        <v/>
      </c>
      <c r="H9" s="7">
        <f>COUNTIFS('Test cases '!$B$2:$B$57,$A9,'Test cases '!$T$2:$T$57,"Approve")</f>
        <v/>
      </c>
      <c r="I9" s="7">
        <f>COUNTIFS('Test cases '!$B$2:$B$57,$A9,'Test cases '!$T$2:$T$57,"Draft")</f>
        <v/>
      </c>
      <c r="J9" s="7">
        <f>COUNTIFS('Test cases '!$B$2:$B$57,$A9,'Test cases '!$T$2:$T$57,"Block")</f>
        <v/>
      </c>
      <c r="K9" s="7">
        <f>IF(J9=G9,"Block",IF(J9&gt;0,"Partly blocked",IF(I9&gt;0,"Draft","Approve")))</f>
        <v/>
      </c>
    </row>
    <row r="10">
      <c r="A10" s="6" t="inlineStr">
        <is>
          <t>TS-009</t>
        </is>
      </c>
      <c r="B10" s="6" t="inlineStr">
        <is>
          <t>F6.4 Budget Adjustments</t>
        </is>
      </c>
      <c r="C10" s="6" t="inlineStr">
        <is>
          <t>Edit Existing Budget Flow</t>
        </is>
      </c>
      <c r="D10" s="6" t="inlineStr">
        <is>
          <t>Verify edit button opens adjustment modal with existing values.</t>
        </is>
      </c>
      <c r="E10" s="6" t="inlineStr">
        <is>
          <t>Functional testing</t>
        </is>
      </c>
      <c r="F10" s="6" t="inlineStr">
        <is>
          <t>FS06: 5.3.2, G2</t>
        </is>
      </c>
      <c r="G10" s="6">
        <f>COUNTIF('Test cases '!$B$2:$B$57,$A10)</f>
        <v/>
      </c>
      <c r="H10" s="6">
        <f>COUNTIFS('Test cases '!$B$2:$B$57,$A10,'Test cases '!$T$2:$T$57,"Approve")</f>
        <v/>
      </c>
      <c r="I10" s="6">
        <f>COUNTIFS('Test cases '!$B$2:$B$57,$A10,'Test cases '!$T$2:$T$57,"Draft")</f>
        <v/>
      </c>
      <c r="J10" s="6">
        <f>COUNTIFS('Test cases '!$B$2:$B$57,$A10,'Test cases '!$T$2:$T$57,"Block")</f>
        <v/>
      </c>
      <c r="K10" s="6">
        <f>IF(J10=G10,"Block",IF(J10&gt;0,"Partly blocked",IF(I10&gt;0,"Draft","Approve")))</f>
        <v/>
      </c>
    </row>
    <row r="11">
      <c r="A11" s="7" t="inlineStr">
        <is>
          <t>TS-010</t>
        </is>
      </c>
      <c r="B11" s="7" t="inlineStr">
        <is>
          <t>F6.4 Budget Adjustments</t>
        </is>
      </c>
      <c r="C11" s="7" t="inlineStr">
        <is>
          <t>Save Budget Adjustment Details</t>
        </is>
      </c>
      <c r="D11" s="7" t="inlineStr">
        <is>
          <t>Verify adjusted amount and reason are captured and saved.</t>
        </is>
      </c>
      <c r="E11" s="7" t="inlineStr">
        <is>
          <t>Functional testing</t>
        </is>
      </c>
      <c r="F11" s="7" t="inlineStr">
        <is>
          <t>FS06: 5.1.6, G2, G12</t>
        </is>
      </c>
      <c r="G11" s="7">
        <f>COUNTIF('Test cases '!$B$2:$B$57,$A11)</f>
        <v/>
      </c>
      <c r="H11" s="7">
        <f>COUNTIFS('Test cases '!$B$2:$B$57,$A11,'Test cases '!$T$2:$T$57,"Approve")</f>
        <v/>
      </c>
      <c r="I11" s="7">
        <f>COUNTIFS('Test cases '!$B$2:$B$57,$A11,'Test cases '!$T$2:$T$57,"Draft")</f>
        <v/>
      </c>
      <c r="J11" s="7">
        <f>COUNTIFS('Test cases '!$B$2:$B$57,$A11,'Test cases '!$T$2:$T$57,"Block")</f>
        <v/>
      </c>
      <c r="K11" s="7">
        <f>IF(J11=G11,"Block",IF(J11&gt;0,"Partly blocked",IF(I11&gt;0,"Draft","Approve")))</f>
        <v/>
      </c>
    </row>
    <row r="12">
      <c r="A12" s="6" t="inlineStr">
        <is>
          <t>TS-011</t>
        </is>
      </c>
      <c r="B12" s="6" t="inlineStr">
        <is>
          <t>F6.4 Budget Adjustments</t>
        </is>
      </c>
      <c r="C12" s="6" t="inlineStr">
        <is>
          <t>Debouncing &amp; Double-click Guard</t>
        </is>
      </c>
      <c r="D12" s="6" t="inlineStr">
        <is>
          <t>Verify double clicks do not produce duplicate HTTP requests or records.</t>
        </is>
      </c>
      <c r="E12" s="6" t="inlineStr">
        <is>
          <t>Non-functional</t>
        </is>
      </c>
      <c r="F12" s="6" t="inlineStr">
        <is>
          <t>FS06: Robustness standard</t>
        </is>
      </c>
      <c r="G12" s="6">
        <f>COUNTIF('Test cases '!$B$2:$B$57,$A12)</f>
        <v/>
      </c>
      <c r="H12" s="6">
        <f>COUNTIFS('Test cases '!$B$2:$B$57,$A12,'Test cases '!$T$2:$T$57,"Approve")</f>
        <v/>
      </c>
      <c r="I12" s="6">
        <f>COUNTIFS('Test cases '!$B$2:$B$57,$A12,'Test cases '!$T$2:$T$57,"Draft")</f>
        <v/>
      </c>
      <c r="J12" s="6">
        <f>COUNTIFS('Test cases '!$B$2:$B$57,$A12,'Test cases '!$T$2:$T$57,"Block")</f>
        <v/>
      </c>
      <c r="K12" s="6">
        <f>IF(J12=G12,"Block",IF(J12&gt;0,"Partly blocked",IF(I12&gt;0,"Draft","Approve")))</f>
        <v/>
      </c>
    </row>
    <row r="13">
      <c r="A13" s="7" t="inlineStr">
        <is>
          <t>TS-012</t>
        </is>
      </c>
      <c r="B13" s="7" t="inlineStr">
        <is>
          <t>F6.5 MOEFAS Statistics</t>
        </is>
      </c>
      <c r="C13" s="7" t="inlineStr">
        <is>
          <t>National MOEFAS Subsidy Aggregation</t>
        </is>
      </c>
      <c r="D13" s="7" t="inlineStr">
        <is>
          <t>Verify MOE HQ views total subsidies granted across all schools.</t>
        </is>
      </c>
      <c r="E13" s="7" t="inlineStr">
        <is>
          <t>Functional testing</t>
        </is>
      </c>
      <c r="F13" s="7" t="inlineStr">
        <is>
          <t>FS06: 5.4.3, AC-R6.2.1</t>
        </is>
      </c>
      <c r="G13" s="7">
        <f>COUNTIF('Test cases '!$B$2:$B$57,$A13)</f>
        <v/>
      </c>
      <c r="H13" s="7">
        <f>COUNTIFS('Test cases '!$B$2:$B$57,$A13,'Test cases '!$T$2:$T$57,"Approve")</f>
        <v/>
      </c>
      <c r="I13" s="7">
        <f>COUNTIFS('Test cases '!$B$2:$B$57,$A13,'Test cases '!$T$2:$T$57,"Draft")</f>
        <v/>
      </c>
      <c r="J13" s="7">
        <f>COUNTIFS('Test cases '!$B$2:$B$57,$A13,'Test cases '!$T$2:$T$57,"Block")</f>
        <v/>
      </c>
      <c r="K13" s="7">
        <f>IF(J13=G13,"Block",IF(J13&gt;0,"Partly blocked",IF(I13&gt;0,"Draft","Approve")))</f>
        <v/>
      </c>
    </row>
    <row r="14">
      <c r="A14" s="6" t="inlineStr">
        <is>
          <t>TS-013</t>
        </is>
      </c>
      <c r="B14" s="6" t="inlineStr">
        <is>
          <t>F6.5 MOEFAS Statistics</t>
        </is>
      </c>
      <c r="C14" s="6" t="inlineStr">
        <is>
          <t>Status Filtering for Granted Grants</t>
        </is>
      </c>
      <c r="D14" s="6" t="inlineStr">
        <is>
          <t>Verify only Granted/Approved status is counted; Draft/Pending/Rejected excluded.</t>
        </is>
      </c>
      <c r="E14" s="6" t="inlineStr">
        <is>
          <t>Functional testing</t>
        </is>
      </c>
      <c r="F14" s="6" t="inlineStr">
        <is>
          <t>FS06: 5.4.5, BR6.04</t>
        </is>
      </c>
      <c r="G14" s="6">
        <f>COUNTIF('Test cases '!$B$2:$B$57,$A14)</f>
        <v/>
      </c>
      <c r="H14" s="6">
        <f>COUNTIFS('Test cases '!$B$2:$B$57,$A14,'Test cases '!$T$2:$T$57,"Approve")</f>
        <v/>
      </c>
      <c r="I14" s="6">
        <f>COUNTIFS('Test cases '!$B$2:$B$57,$A14,'Test cases '!$T$2:$T$57,"Draft")</f>
        <v/>
      </c>
      <c r="J14" s="6">
        <f>COUNTIFS('Test cases '!$B$2:$B$57,$A14,'Test cases '!$T$2:$T$57,"Block")</f>
        <v/>
      </c>
      <c r="K14" s="6">
        <f>IF(J14=G14,"Block",IF(J14&gt;0,"Partly blocked",IF(I14&gt;0,"Draft","Approve")))</f>
        <v/>
      </c>
    </row>
    <row r="15">
      <c r="A15" s="7" t="inlineStr">
        <is>
          <t>TS-014</t>
        </is>
      </c>
      <c r="B15" s="7" t="inlineStr">
        <is>
          <t>F6.5 MOEFAS Statistics</t>
        </is>
      </c>
      <c r="C15" s="7" t="inlineStr">
        <is>
          <t>Empty State &amp; Period Filtering</t>
        </is>
      </c>
      <c r="D15" s="7" t="inlineStr">
        <is>
          <t>Verify S$ 0.00 display when no grants exist for selected period.</t>
        </is>
      </c>
      <c r="E15" s="7" t="inlineStr">
        <is>
          <t>Boundary testing</t>
        </is>
      </c>
      <c r="F15" s="7" t="inlineStr">
        <is>
          <t>FS06: 5.4.4</t>
        </is>
      </c>
      <c r="G15" s="7">
        <f>COUNTIF('Test cases '!$B$2:$B$57,$A15)</f>
        <v/>
      </c>
      <c r="H15" s="7">
        <f>COUNTIFS('Test cases '!$B$2:$B$57,$A15,'Test cases '!$T$2:$T$57,"Approve")</f>
        <v/>
      </c>
      <c r="I15" s="7">
        <f>COUNTIFS('Test cases '!$B$2:$B$57,$A15,'Test cases '!$T$2:$T$57,"Draft")</f>
        <v/>
      </c>
      <c r="J15" s="7">
        <f>COUNTIFS('Test cases '!$B$2:$B$57,$A15,'Test cases '!$T$2:$T$57,"Block")</f>
        <v/>
      </c>
      <c r="K15" s="7">
        <f>IF(J15=G15,"Block",IF(J15&gt;0,"Partly blocked",IF(I15&gt;0,"Draft","Approve")))</f>
        <v/>
      </c>
    </row>
    <row r="16">
      <c r="A16" s="6" t="inlineStr">
        <is>
          <t>TS-015</t>
        </is>
      </c>
      <c r="B16" s="6" t="inlineStr">
        <is>
          <t>F6.6 SBFAS Statistics</t>
        </is>
      </c>
      <c r="C16" s="6" t="inlineStr">
        <is>
          <t>School SBFAS Subsidy Aggregation</t>
        </is>
      </c>
      <c r="D16" s="6" t="inlineStr">
        <is>
          <t>Verify School User views subsidies strictly belonging to their school.</t>
        </is>
      </c>
      <c r="E16" s="6" t="inlineStr">
        <is>
          <t>Equivalence partitioning</t>
        </is>
      </c>
      <c r="F16" s="6" t="inlineStr">
        <is>
          <t>FS06: 5.5.4, AC-R6.2.2</t>
        </is>
      </c>
      <c r="G16" s="6">
        <f>COUNTIF('Test cases '!$B$2:$B$57,$A16)</f>
        <v/>
      </c>
      <c r="H16" s="6">
        <f>COUNTIFS('Test cases '!$B$2:$B$57,$A16,'Test cases '!$T$2:$T$57,"Approve")</f>
        <v/>
      </c>
      <c r="I16" s="6">
        <f>COUNTIFS('Test cases '!$B$2:$B$57,$A16,'Test cases '!$T$2:$T$57,"Draft")</f>
        <v/>
      </c>
      <c r="J16" s="6">
        <f>COUNTIFS('Test cases '!$B$2:$B$57,$A16,'Test cases '!$T$2:$T$57,"Block")</f>
        <v/>
      </c>
      <c r="K16" s="6">
        <f>IF(J16=G16,"Block",IF(J16&gt;0,"Partly blocked",IF(I16&gt;0,"Draft","Approve")))</f>
        <v/>
      </c>
    </row>
    <row r="17">
      <c r="A17" s="7" t="inlineStr">
        <is>
          <t>TS-016</t>
        </is>
      </c>
      <c r="B17" s="7" t="inlineStr">
        <is>
          <t>F6.6 SBFAS Statistics</t>
        </is>
      </c>
      <c r="C17" s="7" t="inlineStr">
        <is>
          <t>Currency Formatting S$ #,##0.00</t>
        </is>
      </c>
      <c r="D17" s="7" t="inlineStr">
        <is>
          <t>Verify proper currency prefix, commas, and two decimal places.</t>
        </is>
      </c>
      <c r="E17" s="7" t="inlineStr">
        <is>
          <t>UI verification</t>
        </is>
      </c>
      <c r="F17" s="7" t="inlineStr">
        <is>
          <t>FS06: 5.6.2, G10</t>
        </is>
      </c>
      <c r="G17" s="7">
        <f>COUNTIF('Test cases '!$B$2:$B$57,$A17)</f>
        <v/>
      </c>
      <c r="H17" s="7">
        <f>COUNTIFS('Test cases '!$B$2:$B$57,$A17,'Test cases '!$T$2:$T$57,"Approve")</f>
        <v/>
      </c>
      <c r="I17" s="7">
        <f>COUNTIFS('Test cases '!$B$2:$B$57,$A17,'Test cases '!$T$2:$T$57,"Draft")</f>
        <v/>
      </c>
      <c r="J17" s="7">
        <f>COUNTIFS('Test cases '!$B$2:$B$57,$A17,'Test cases '!$T$2:$T$57,"Block")</f>
        <v/>
      </c>
      <c r="K17" s="7">
        <f>IF(J17=G17,"Block",IF(J17&gt;0,"Partly blocked",IF(I17&gt;0,"Draft","Approve")))</f>
        <v/>
      </c>
    </row>
    <row r="18">
      <c r="A18" s="6" t="inlineStr">
        <is>
          <t>TS-017</t>
        </is>
      </c>
      <c r="B18" s="6" t="inlineStr">
        <is>
          <t>F6.6 SBFAS Statistics</t>
        </is>
      </c>
      <c r="C18" s="6" t="inlineStr">
        <is>
          <t>Empty State for School with 0 Grants</t>
        </is>
      </c>
      <c r="D18" s="6" t="inlineStr">
        <is>
          <t>Verify graceful UI render when school has zero granted subsidies.</t>
        </is>
      </c>
      <c r="E18" s="6" t="inlineStr">
        <is>
          <t>UI verification</t>
        </is>
      </c>
      <c r="F18" s="6" t="inlineStr">
        <is>
          <t>FS06: 5.5.4</t>
        </is>
      </c>
      <c r="G18" s="6">
        <f>COUNTIF('Test cases '!$B$2:$B$57,$A18)</f>
        <v/>
      </c>
      <c r="H18" s="6">
        <f>COUNTIFS('Test cases '!$B$2:$B$57,$A18,'Test cases '!$T$2:$T$57,"Approve")</f>
        <v/>
      </c>
      <c r="I18" s="6">
        <f>COUNTIFS('Test cases '!$B$2:$B$57,$A18,'Test cases '!$T$2:$T$57,"Draft")</f>
        <v/>
      </c>
      <c r="J18" s="6">
        <f>COUNTIFS('Test cases '!$B$2:$B$57,$A18,'Test cases '!$T$2:$T$57,"Block")</f>
        <v/>
      </c>
      <c r="K18" s="6">
        <f>IF(J18=G18,"Block",IF(J18&gt;0,"Partly blocked",IF(I18&gt;0,"Draft","Approve")))</f>
        <v/>
      </c>
    </row>
    <row r="19">
      <c r="A19" s="7" t="inlineStr">
        <is>
          <t>TS-018</t>
        </is>
      </c>
      <c r="B19" s="7" t="inlineStr">
        <is>
          <t>F6.7 Budget Tracking</t>
        </is>
      </c>
      <c r="C19" s="7" t="inlineStr">
        <is>
          <t>Remaining Budget Calculation Formula</t>
        </is>
      </c>
      <c r="D19" s="7" t="inlineStr">
        <is>
          <t>Verify Remaining Budget = Budget Amount - Subsidy Amount Used.</t>
        </is>
      </c>
      <c r="E19" s="7" t="inlineStr">
        <is>
          <t>Functional testing</t>
        </is>
      </c>
      <c r="F19" s="7" t="inlineStr">
        <is>
          <t>FS06: 5.9.2, AC-R6.3.3</t>
        </is>
      </c>
      <c r="G19" s="7">
        <f>COUNTIF('Test cases '!$B$2:$B$57,$A19)</f>
        <v/>
      </c>
      <c r="H19" s="7">
        <f>COUNTIFS('Test cases '!$B$2:$B$57,$A19,'Test cases '!$T$2:$T$57,"Approve")</f>
        <v/>
      </c>
      <c r="I19" s="7">
        <f>COUNTIFS('Test cases '!$B$2:$B$57,$A19,'Test cases '!$T$2:$T$57,"Draft")</f>
        <v/>
      </c>
      <c r="J19" s="7">
        <f>COUNTIFS('Test cases '!$B$2:$B$57,$A19,'Test cases '!$T$2:$T$57,"Block")</f>
        <v/>
      </c>
      <c r="K19" s="7">
        <f>IF(J19=G19,"Block",IF(J19&gt;0,"Partly blocked",IF(I19&gt;0,"Draft","Approve")))</f>
        <v/>
      </c>
    </row>
    <row r="20">
      <c r="A20" s="6" t="inlineStr">
        <is>
          <t>TS-019</t>
        </is>
      </c>
      <c r="B20" s="6" t="inlineStr">
        <is>
          <t>F6.7 Budget Tracking</t>
        </is>
      </c>
      <c r="C20" s="6" t="inlineStr">
        <is>
          <t>Budget Utilization Rate Formula</t>
        </is>
      </c>
      <c r="D20" s="6" t="inlineStr">
        <is>
          <t>Verify Utilization Rate (%) = (Used / Budget) * 100%.</t>
        </is>
      </c>
      <c r="E20" s="6" t="inlineStr">
        <is>
          <t>Functional testing</t>
        </is>
      </c>
      <c r="F20" s="6" t="inlineStr">
        <is>
          <t>FS06: 5.7.3, G9</t>
        </is>
      </c>
      <c r="G20" s="6">
        <f>COUNTIF('Test cases '!$B$2:$B$57,$A20)</f>
        <v/>
      </c>
      <c r="H20" s="6">
        <f>COUNTIFS('Test cases '!$B$2:$B$57,$A20,'Test cases '!$T$2:$T$57,"Approve")</f>
        <v/>
      </c>
      <c r="I20" s="6">
        <f>COUNTIFS('Test cases '!$B$2:$B$57,$A20,'Test cases '!$T$2:$T$57,"Draft")</f>
        <v/>
      </c>
      <c r="J20" s="6">
        <f>COUNTIFS('Test cases '!$B$2:$B$57,$A20,'Test cases '!$T$2:$T$57,"Block")</f>
        <v/>
      </c>
      <c r="K20" s="6">
        <f>IF(J20=G20,"Block",IF(J20&gt;0,"Partly blocked",IF(I20&gt;0,"Draft","Approve")))</f>
        <v/>
      </c>
    </row>
    <row r="21">
      <c r="A21" s="7" t="inlineStr">
        <is>
          <t>TS-020</t>
        </is>
      </c>
      <c r="B21" s="7" t="inlineStr">
        <is>
          <t>F6.7 Budget Tracking</t>
        </is>
      </c>
      <c r="C21" s="7" t="inlineStr">
        <is>
          <t>Zero-Budget &amp; Decimal Precision</t>
        </is>
      </c>
      <c r="D21" s="7" t="inlineStr">
        <is>
          <t>Verify divide-by-zero protection and cents accuracy.</t>
        </is>
      </c>
      <c r="E21" s="7" t="inlineStr">
        <is>
          <t>Boundary testing</t>
        </is>
      </c>
      <c r="F21" s="7" t="inlineStr">
        <is>
          <t>FS06: 5.7.3, G10</t>
        </is>
      </c>
      <c r="G21" s="7">
        <f>COUNTIF('Test cases '!$B$2:$B$57,$A21)</f>
        <v/>
      </c>
      <c r="H21" s="7">
        <f>COUNTIFS('Test cases '!$B$2:$B$57,$A21,'Test cases '!$T$2:$T$57,"Approve")</f>
        <v/>
      </c>
      <c r="I21" s="7">
        <f>COUNTIFS('Test cases '!$B$2:$B$57,$A21,'Test cases '!$T$2:$T$57,"Draft")</f>
        <v/>
      </c>
      <c r="J21" s="7">
        <f>COUNTIFS('Test cases '!$B$2:$B$57,$A21,'Test cases '!$T$2:$T$57,"Block")</f>
        <v/>
      </c>
      <c r="K21" s="7">
        <f>IF(J21=G21,"Block",IF(J21&gt;0,"Partly blocked",IF(I21&gt;0,"Draft","Approve")))</f>
        <v/>
      </c>
    </row>
    <row r="22">
      <c r="A22" s="6" t="inlineStr">
        <is>
          <t>TS-021</t>
        </is>
      </c>
      <c r="B22" s="6" t="inlineStr">
        <is>
          <t>F6.7 Budget Tracking</t>
        </is>
      </c>
      <c r="C22" s="6" t="inlineStr">
        <is>
          <t>Real-time Sync &amp; Grant Revocation</t>
        </is>
      </c>
      <c r="D22" s="6" t="inlineStr">
        <is>
          <t>Verify tracking stats update immediately on grant approval and revoke.</t>
        </is>
      </c>
      <c r="E22" s="6" t="inlineStr">
        <is>
          <t>Integration testing</t>
        </is>
      </c>
      <c r="F22" s="6" t="inlineStr">
        <is>
          <t>FS06: 5.7.5, G7, G11</t>
        </is>
      </c>
      <c r="G22" s="6">
        <f>COUNTIF('Test cases '!$B$2:$B$57,$A22)</f>
        <v/>
      </c>
      <c r="H22" s="6">
        <f>COUNTIFS('Test cases '!$B$2:$B$57,$A22,'Test cases '!$T$2:$T$57,"Approve")</f>
        <v/>
      </c>
      <c r="I22" s="6">
        <f>COUNTIFS('Test cases '!$B$2:$B$57,$A22,'Test cases '!$T$2:$T$57,"Draft")</f>
        <v/>
      </c>
      <c r="J22" s="6">
        <f>COUNTIFS('Test cases '!$B$2:$B$57,$A22,'Test cases '!$T$2:$T$57,"Block")</f>
        <v/>
      </c>
      <c r="K22" s="6">
        <f>IF(J22=G22,"Block",IF(J22&gt;0,"Partly blocked",IF(I22&gt;0,"Draft","Approve")))</f>
        <v/>
      </c>
    </row>
    <row r="23">
      <c r="A23" s="7" t="inlineStr">
        <is>
          <t>TS-022</t>
        </is>
      </c>
      <c r="B23" s="7" t="inlineStr">
        <is>
          <t>F6.8 Budget Warnings</t>
        </is>
      </c>
      <c r="C23" s="7" t="inlineStr">
        <is>
          <t>Normal vs 80% Warning Threshold</t>
        </is>
      </c>
      <c r="D23" s="7" t="inlineStr">
        <is>
          <t>Verify normal status (&lt;80%) and warning banner (&gt;=80%).</t>
        </is>
      </c>
      <c r="E23" s="7" t="inlineStr">
        <is>
          <t>Threshold testing</t>
        </is>
      </c>
      <c r="F23" s="7" t="inlineStr">
        <is>
          <t>FS06: R6-11, BR6.06</t>
        </is>
      </c>
      <c r="G23" s="7">
        <f>COUNTIF('Test cases '!$B$2:$B$57,$A23)</f>
        <v/>
      </c>
      <c r="H23" s="7">
        <f>COUNTIFS('Test cases '!$B$2:$B$57,$A23,'Test cases '!$T$2:$T$57,"Approve")</f>
        <v/>
      </c>
      <c r="I23" s="7">
        <f>COUNTIFS('Test cases '!$B$2:$B$57,$A23,'Test cases '!$T$2:$T$57,"Draft")</f>
        <v/>
      </c>
      <c r="J23" s="7">
        <f>COUNTIFS('Test cases '!$B$2:$B$57,$A23,'Test cases '!$T$2:$T$57,"Block")</f>
        <v/>
      </c>
      <c r="K23" s="7">
        <f>IF(J23=G23,"Block",IF(J23&gt;0,"Partly blocked",IF(I23&gt;0,"Draft","Approve")))</f>
        <v/>
      </c>
    </row>
    <row r="24">
      <c r="A24" s="6" t="inlineStr">
        <is>
          <t>TS-023</t>
        </is>
      </c>
      <c r="B24" s="6" t="inlineStr">
        <is>
          <t>F6.8 Budget Warnings</t>
        </is>
      </c>
      <c r="C24" s="6" t="inlineStr">
        <is>
          <t>100% Budget Exhaustion Alert</t>
        </is>
      </c>
      <c r="D24" s="6" t="inlineStr">
        <is>
          <t>Verify alert banner when Remaining Budget reaches S$ 0.00.</t>
        </is>
      </c>
      <c r="E24" s="6" t="inlineStr">
        <is>
          <t>Threshold testing</t>
        </is>
      </c>
      <c r="F24" s="6" t="inlineStr">
        <is>
          <t>FS06: R6-11, BR6.06, G3</t>
        </is>
      </c>
      <c r="G24" s="6">
        <f>COUNTIF('Test cases '!$B$2:$B$57,$A24)</f>
        <v/>
      </c>
      <c r="H24" s="6">
        <f>COUNTIFS('Test cases '!$B$2:$B$57,$A24,'Test cases '!$T$2:$T$57,"Approve")</f>
        <v/>
      </c>
      <c r="I24" s="6">
        <f>COUNTIFS('Test cases '!$B$2:$B$57,$A24,'Test cases '!$T$2:$T$57,"Draft")</f>
        <v/>
      </c>
      <c r="J24" s="6">
        <f>COUNTIFS('Test cases '!$B$2:$B$57,$A24,'Test cases '!$T$2:$T$57,"Block")</f>
        <v/>
      </c>
      <c r="K24" s="6">
        <f>IF(J24=G24,"Block",IF(J24&gt;0,"Partly blocked",IF(I24&gt;0,"Draft","Approve")))</f>
        <v/>
      </c>
    </row>
    <row r="25">
      <c r="A25" s="7" t="inlineStr">
        <is>
          <t>TS-024</t>
        </is>
      </c>
      <c r="B25" s="7" t="inlineStr">
        <is>
          <t>F6.8 Budget Warnings</t>
        </is>
      </c>
      <c r="C25" s="7" t="inlineStr">
        <is>
          <t>Budget Deficit Negative Currency Display</t>
        </is>
      </c>
      <c r="D25" s="7" t="inlineStr">
        <is>
          <t>Verify negative remaining budget displays with deficit tag.</t>
        </is>
      </c>
      <c r="E25" s="7" t="inlineStr">
        <is>
          <t>Accounting standards</t>
        </is>
      </c>
      <c r="F25" s="7" t="inlineStr">
        <is>
          <t>FS06: 5.9.2, G3</t>
        </is>
      </c>
      <c r="G25" s="7">
        <f>COUNTIF('Test cases '!$B$2:$B$57,$A25)</f>
        <v/>
      </c>
      <c r="H25" s="7">
        <f>COUNTIFS('Test cases '!$B$2:$B$57,$A25,'Test cases '!$T$2:$T$57,"Approve")</f>
        <v/>
      </c>
      <c r="I25" s="7">
        <f>COUNTIFS('Test cases '!$B$2:$B$57,$A25,'Test cases '!$T$2:$T$57,"Draft")</f>
        <v/>
      </c>
      <c r="J25" s="7">
        <f>COUNTIFS('Test cases '!$B$2:$B$57,$A25,'Test cases '!$T$2:$T$57,"Block")</f>
        <v/>
      </c>
      <c r="K25" s="7">
        <f>IF(J25=G25,"Block",IF(J25&gt;0,"Partly blocked",IF(I25&gt;0,"Draft","Approve")))</f>
        <v/>
      </c>
    </row>
    <row r="26">
      <c r="A26" s="6" t="inlineStr">
        <is>
          <t>TS-025</t>
        </is>
      </c>
      <c r="B26" s="6" t="inlineStr">
        <is>
          <t>F6.9 Non-blocking Grant</t>
        </is>
      </c>
      <c r="C26" s="6" t="inlineStr">
        <is>
          <t>Non-blocking SBFAS Approval on Zero Budget</t>
        </is>
      </c>
      <c r="D26" s="6" t="inlineStr">
        <is>
          <t>CORE RULE: School Admin can approve SBFAS application even if budget is 0.</t>
        </is>
      </c>
      <c r="E26" s="6" t="inlineStr">
        <is>
          <t>Business rule testing</t>
        </is>
      </c>
      <c r="F26" s="6" t="inlineStr">
        <is>
          <t>FS06: BR6.06, R6-11, G3</t>
        </is>
      </c>
      <c r="G26" s="6">
        <f>COUNTIF('Test cases '!$B$2:$B$57,$A26)</f>
        <v/>
      </c>
      <c r="H26" s="6">
        <f>COUNTIFS('Test cases '!$B$2:$B$57,$A26,'Test cases '!$T$2:$T$57,"Approve")</f>
        <v/>
      </c>
      <c r="I26" s="6">
        <f>COUNTIFS('Test cases '!$B$2:$B$57,$A26,'Test cases '!$T$2:$T$57,"Draft")</f>
        <v/>
      </c>
      <c r="J26" s="6">
        <f>COUNTIFS('Test cases '!$B$2:$B$57,$A26,'Test cases '!$T$2:$T$57,"Block")</f>
        <v/>
      </c>
      <c r="K26" s="6">
        <f>IF(J26=G26,"Block",IF(J26&gt;0,"Partly blocked",IF(I26&gt;0,"Draft","Approve")))</f>
        <v/>
      </c>
    </row>
    <row r="27">
      <c r="A27" s="7" t="inlineStr">
        <is>
          <t>TS-026</t>
        </is>
      </c>
      <c r="B27" s="7" t="inlineStr">
        <is>
          <t>F6.9 Non-blocking Grant</t>
        </is>
      </c>
      <c r="C27" s="7" t="inlineStr">
        <is>
          <t>Non-blocking MOEFAS Approval Contradiction</t>
        </is>
      </c>
      <c r="D27" s="7" t="inlineStr">
        <is>
          <t>Investigate FS04 contradiction regarding MOE HQ approval capability.</t>
        </is>
      </c>
      <c r="E27" s="7" t="inlineStr">
        <is>
          <t>Contradiction analysis</t>
        </is>
      </c>
      <c r="F27" s="7" t="inlineStr">
        <is>
          <t>FS04 vs FS06: BR6.06, G4</t>
        </is>
      </c>
      <c r="G27" s="7">
        <f>COUNTIF('Test cases '!$B$2:$B$57,$A27)</f>
        <v/>
      </c>
      <c r="H27" s="7">
        <f>COUNTIFS('Test cases '!$B$2:$B$57,$A27,'Test cases '!$T$2:$T$57,"Approve")</f>
        <v/>
      </c>
      <c r="I27" s="7">
        <f>COUNTIFS('Test cases '!$B$2:$B$57,$A27,'Test cases '!$T$2:$T$57,"Draft")</f>
        <v/>
      </c>
      <c r="J27" s="7">
        <f>COUNTIFS('Test cases '!$B$2:$B$57,$A27,'Test cases '!$T$2:$T$57,"Block")</f>
        <v/>
      </c>
      <c r="K27" s="7">
        <f>IF(J27=G27,"Block",IF(J27&gt;0,"Partly blocked",IF(I27&gt;0,"Draft","Approve")))</f>
        <v/>
      </c>
    </row>
    <row r="28">
      <c r="A28" s="6" t="inlineStr">
        <is>
          <t>TS-027</t>
        </is>
      </c>
      <c r="B28" s="6" t="inlineStr">
        <is>
          <t>F6.9 Non-blocking Grant</t>
        </is>
      </c>
      <c r="C28" s="6" t="inlineStr">
        <is>
          <t>Advisory Notice on Over-budget Granting</t>
        </is>
      </c>
      <c r="D28" s="6" t="inlineStr">
        <is>
          <t>Verify advisory prompt is displayed without disabling submit button.</t>
        </is>
      </c>
      <c r="E28" s="6" t="inlineStr">
        <is>
          <t>UI &amp; Business rule</t>
        </is>
      </c>
      <c r="F28" s="6" t="inlineStr">
        <is>
          <t>FS06: BR6.06, R6-11</t>
        </is>
      </c>
      <c r="G28" s="6">
        <f>COUNTIF('Test cases '!$B$2:$B$57,$A28)</f>
        <v/>
      </c>
      <c r="H28" s="6">
        <f>COUNTIFS('Test cases '!$B$2:$B$57,$A28,'Test cases '!$T$2:$T$57,"Approve")</f>
        <v/>
      </c>
      <c r="I28" s="6">
        <f>COUNTIFS('Test cases '!$B$2:$B$57,$A28,'Test cases '!$T$2:$T$57,"Draft")</f>
        <v/>
      </c>
      <c r="J28" s="6">
        <f>COUNTIFS('Test cases '!$B$2:$B$57,$A28,'Test cases '!$T$2:$T$57,"Block")</f>
        <v/>
      </c>
      <c r="K28" s="6">
        <f>IF(J28=G28,"Block",IF(J28&gt;0,"Partly blocked",IF(I28&gt;0,"Draft","Approve")))</f>
        <v/>
      </c>
    </row>
    <row r="29">
      <c r="A29" s="7" t="inlineStr">
        <is>
          <t>TS-028</t>
        </is>
      </c>
      <c r="B29" s="7" t="inlineStr">
        <is>
          <t>F6.10 Edge Cases &amp; Security</t>
        </is>
      </c>
      <c r="C29" s="7" t="inlineStr">
        <is>
          <t>Boundary Values (0.01 to 999,999,999.99)</t>
        </is>
      </c>
      <c r="D29" s="7" t="inlineStr">
        <is>
          <t>Verify minimum and maximum allowable decimal bounds.</t>
        </is>
      </c>
      <c r="E29" s="7" t="inlineStr">
        <is>
          <t>Boundary testing</t>
        </is>
      </c>
      <c r="F29" s="7" t="inlineStr">
        <is>
          <t>FS06: BR6.03, G10</t>
        </is>
      </c>
      <c r="G29" s="7">
        <f>COUNTIF('Test cases '!$B$2:$B$57,$A29)</f>
        <v/>
      </c>
      <c r="H29" s="7">
        <f>COUNTIFS('Test cases '!$B$2:$B$57,$A29,'Test cases '!$T$2:$T$57,"Approve")</f>
        <v/>
      </c>
      <c r="I29" s="7">
        <f>COUNTIFS('Test cases '!$B$2:$B$57,$A29,'Test cases '!$T$2:$T$57,"Draft")</f>
        <v/>
      </c>
      <c r="J29" s="7">
        <f>COUNTIFS('Test cases '!$B$2:$B$57,$A29,'Test cases '!$T$2:$T$57,"Block")</f>
        <v/>
      </c>
      <c r="K29" s="7">
        <f>IF(J29=G29,"Block",IF(J29&gt;0,"Partly blocked",IF(I29&gt;0,"Draft","Approve")))</f>
        <v/>
      </c>
    </row>
    <row r="30">
      <c r="A30" s="6" t="inlineStr">
        <is>
          <t>TS-029</t>
        </is>
      </c>
      <c r="B30" s="6" t="inlineStr">
        <is>
          <t>F6.10 Edge Cases &amp; Security</t>
        </is>
      </c>
      <c r="C30" s="6" t="inlineStr">
        <is>
          <t>Optimistic Concurrency Control</t>
        </is>
      </c>
      <c r="D30" s="6" t="inlineStr">
        <is>
          <t>Verify collision error when two users modify budget simultaneously.</t>
        </is>
      </c>
      <c r="E30" s="6" t="inlineStr">
        <is>
          <t>Integration testing</t>
        </is>
      </c>
      <c r="F30" s="6" t="inlineStr">
        <is>
          <t>FS06: Robustness standard</t>
        </is>
      </c>
      <c r="G30" s="6">
        <f>COUNTIF('Test cases '!$B$2:$B$57,$A30)</f>
        <v/>
      </c>
      <c r="H30" s="6">
        <f>COUNTIFS('Test cases '!$B$2:$B$57,$A30,'Test cases '!$T$2:$T$57,"Approve")</f>
        <v/>
      </c>
      <c r="I30" s="6">
        <f>COUNTIFS('Test cases '!$B$2:$B$57,$A30,'Test cases '!$T$2:$T$57,"Draft")</f>
        <v/>
      </c>
      <c r="J30" s="6">
        <f>COUNTIFS('Test cases '!$B$2:$B$57,$A30,'Test cases '!$T$2:$T$57,"Block")</f>
        <v/>
      </c>
      <c r="K30" s="6">
        <f>IF(J30=G30,"Block",IF(J30&gt;0,"Partly blocked",IF(I30&gt;0,"Draft","Approve")))</f>
        <v/>
      </c>
    </row>
    <row r="31">
      <c r="A31" s="7" t="inlineStr">
        <is>
          <t>TS-030</t>
        </is>
      </c>
      <c r="B31" s="7" t="inlineStr">
        <is>
          <t>F6.10 Edge Cases &amp; Security</t>
        </is>
      </c>
      <c r="C31" s="7" t="inlineStr">
        <is>
          <t>XSS Sanitization &amp; Server-side Validation</t>
        </is>
      </c>
      <c r="D31" s="7" t="inlineStr">
        <is>
          <t>Verify XSS protection in reason and server-side zero-trust validation.</t>
        </is>
      </c>
      <c r="E31" s="7" t="inlineStr">
        <is>
          <t>Security testing</t>
        </is>
      </c>
      <c r="F31" s="7" t="inlineStr">
        <is>
          <t>FS06: BR6.03, Security standard</t>
        </is>
      </c>
      <c r="G31" s="7">
        <f>COUNTIF('Test cases '!$B$2:$B$57,$A31)</f>
        <v/>
      </c>
      <c r="H31" s="7">
        <f>COUNTIFS('Test cases '!$B$2:$B$57,$A31,'Test cases '!$T$2:$T$57,"Approve")</f>
        <v/>
      </c>
      <c r="I31" s="7">
        <f>COUNTIFS('Test cases '!$B$2:$B$57,$A31,'Test cases '!$T$2:$T$57,"Draft")</f>
        <v/>
      </c>
      <c r="J31" s="7">
        <f>COUNTIFS('Test cases '!$B$2:$B$57,$A31,'Test cases '!$T$2:$T$57,"Block")</f>
        <v/>
      </c>
      <c r="K31" s="7">
        <f>IF(J31=G31,"Block",IF(J31&gt;0,"Partly blocked",IF(I31&gt;0,"Draft","Approve")))</f>
        <v/>
      </c>
    </row>
  </sheetData>
  <autoFilter ref="A1:K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13" customWidth="1" min="6" max="6"/>
  </cols>
  <sheetData>
    <row r="1">
      <c r="A1" s="8" t="inlineStr">
        <is>
          <t>R6 FAS Budget &amp; Statistics: Test Cases v1.0, Summary</t>
        </is>
      </c>
    </row>
    <row r="2">
      <c r="A2" s="9" t="inlineStr">
        <is>
          <t>Phạm vi: Toàn bộ các test cases chức năng, phân quyền, giao diện, tính toán số dư, cảnh báo và kiểm soát phi ngăn chặn (Non-blocking) cho Requirement R6 theo FS06.md.</t>
        </is>
      </c>
    </row>
    <row r="3">
      <c r="A3" s="9" t="inlineStr">
        <is>
          <t>Căn cứ: FS06.md (v0.1 Draft) đối chiếu FS04 (FAS Applications &amp; Schemes) và quy tắc kiểm tra hợp lệ R6_FAS_Validation_Rules.md.</t>
        </is>
      </c>
    </row>
    <row r="4"/>
    <row r="5">
      <c r="A5" s="10" t="inlineStr">
        <is>
          <t>Test cases</t>
        </is>
      </c>
    </row>
    <row r="6">
      <c r="A6" s="11" t="inlineStr">
        <is>
          <t>Measure</t>
        </is>
      </c>
      <c r="B6" s="11" t="inlineStr">
        <is>
          <t>Count</t>
        </is>
      </c>
    </row>
    <row r="7">
      <c r="A7" t="inlineStr">
        <is>
          <t>Total test cases</t>
        </is>
      </c>
      <c r="B7">
        <f>COUNTA('Test cases '!$A$2:$A$57)</f>
        <v/>
      </c>
    </row>
    <row r="8">
      <c r="A8" t="inlineStr">
        <is>
          <t>Scenarios</t>
        </is>
      </c>
      <c r="B8">
        <f>COUNTA(Scenarios!$A$2:$A$31)</f>
        <v/>
      </c>
    </row>
    <row r="9">
      <c r="A9" t="inlineStr">
        <is>
          <t>Open assumptions and environment items</t>
        </is>
      </c>
      <c r="B9">
        <f>COUNTIF(Assumptions!$I$2:$I$20,"Open")</f>
        <v/>
      </c>
    </row>
    <row r="10">
      <c r="A10" t="inlineStr">
        <is>
          <t>Questions to answer</t>
        </is>
      </c>
      <c r="B10">
        <f>COUNTA(Questions!$A$2:$A$25)</f>
        <v/>
      </c>
    </row>
    <row r="11"/>
    <row r="12">
      <c r="A12" s="10" t="inlineStr">
        <is>
          <t>By Review Status</t>
        </is>
      </c>
    </row>
    <row r="13">
      <c r="A13" s="11" t="inlineStr">
        <is>
          <t>Review Status</t>
        </is>
      </c>
      <c r="B13" s="11" t="inlineStr">
        <is>
          <t>Count</t>
        </is>
      </c>
    </row>
    <row r="14">
      <c r="A14" t="inlineStr">
        <is>
          <t>Approve</t>
        </is>
      </c>
      <c r="B14">
        <f>COUNTIF('Test cases '!$T$2:$T$57,"Approve")</f>
        <v/>
      </c>
    </row>
    <row r="15">
      <c r="A15" t="inlineStr">
        <is>
          <t>Draft</t>
        </is>
      </c>
      <c r="B15">
        <f>COUNTIF('Test cases '!$T$2:$T$57,"Draft")</f>
        <v/>
      </c>
    </row>
    <row r="16">
      <c r="A16" t="inlineStr">
        <is>
          <t>Block</t>
        </is>
      </c>
      <c r="B16">
        <f>COUNTIF('Test cases '!$T$2:$T$57,"Block")</f>
        <v/>
      </c>
    </row>
    <row r="17">
      <c r="A17" t="inlineStr">
        <is>
          <t>Reject</t>
        </is>
      </c>
      <c r="B17">
        <f>COUNTIF('Test cases '!$T$2:$T$57,"Reject")</f>
        <v/>
      </c>
    </row>
    <row r="18"/>
    <row r="19">
      <c r="A19" s="10" t="inlineStr">
        <is>
          <t>By Execution Status</t>
        </is>
      </c>
    </row>
    <row r="20">
      <c r="A20" s="11" t="inlineStr">
        <is>
          <t>Execution Status</t>
        </is>
      </c>
      <c r="B20" s="11" t="inlineStr">
        <is>
          <t>Count</t>
        </is>
      </c>
    </row>
    <row r="21">
      <c r="A21" t="inlineStr">
        <is>
          <t>Not Run</t>
        </is>
      </c>
      <c r="B21">
        <f>COUNTIF('Test cases '!$H$2:$H$57,"Not Run")</f>
        <v/>
      </c>
    </row>
    <row r="22">
      <c r="A22" t="inlineStr">
        <is>
          <t>Passed</t>
        </is>
      </c>
      <c r="B22">
        <f>COUNTIF('Test cases '!$H$2:$H$57,"Passed")</f>
        <v/>
      </c>
    </row>
    <row r="23">
      <c r="A23" t="inlineStr">
        <is>
          <t>Failed</t>
        </is>
      </c>
      <c r="B23">
        <f>COUNTIF('Test cases '!$H$2:$H$57,"Failed")</f>
        <v/>
      </c>
    </row>
    <row r="24">
      <c r="A24" t="inlineStr">
        <is>
          <t>Blocked</t>
        </is>
      </c>
      <c r="B24">
        <f>COUNTIF('Test cases '!$H$2:$H$57,"Blocked")</f>
        <v/>
      </c>
    </row>
    <row r="25"/>
    <row r="26">
      <c r="A26" s="10" t="inlineStr">
        <is>
          <t>By Severity</t>
        </is>
      </c>
    </row>
    <row r="27">
      <c r="A27" s="11" t="inlineStr">
        <is>
          <t>Severity</t>
        </is>
      </c>
      <c r="B27" s="11" t="inlineStr">
        <is>
          <t>Count</t>
        </is>
      </c>
    </row>
    <row r="28">
      <c r="A28" t="inlineStr">
        <is>
          <t>S1 (highest)</t>
        </is>
      </c>
      <c r="B28">
        <f>COUNTIF('Test cases '!$F$2:$F$57,"S1 (highest)")</f>
        <v/>
      </c>
    </row>
    <row r="29">
      <c r="A29" t="inlineStr">
        <is>
          <t>S2</t>
        </is>
      </c>
      <c r="B29">
        <f>COUNTIF('Test cases '!$F$2:$F$57,"S2")</f>
        <v/>
      </c>
    </row>
    <row r="30">
      <c r="A30" t="inlineStr">
        <is>
          <t>S3</t>
        </is>
      </c>
      <c r="B30">
        <f>COUNTIF('Test cases '!$F$2:$F$57,"S3")</f>
        <v/>
      </c>
    </row>
    <row r="31">
      <c r="A31" t="inlineStr">
        <is>
          <t>S4 (lowest)</t>
        </is>
      </c>
      <c r="B31">
        <f>COUNTIF('Test cases '!$F$2:$F$57,"S4 (lowest)")</f>
        <v/>
      </c>
    </row>
    <row r="32"/>
    <row r="33">
      <c r="A33" s="10" t="inlineStr">
        <is>
          <t>By Priority</t>
        </is>
      </c>
    </row>
    <row r="34">
      <c r="A34" s="11" t="inlineStr">
        <is>
          <t>Priority</t>
        </is>
      </c>
      <c r="B34" s="11" t="inlineStr">
        <is>
          <t>Count</t>
        </is>
      </c>
    </row>
    <row r="35">
      <c r="A35" t="inlineStr">
        <is>
          <t>Critical</t>
        </is>
      </c>
      <c r="B35">
        <f>COUNTIF('Test cases '!$G$2:$G$57,"Critical")</f>
        <v/>
      </c>
    </row>
    <row r="36">
      <c r="A36" t="inlineStr">
        <is>
          <t>High</t>
        </is>
      </c>
      <c r="B36">
        <f>COUNTIF('Test cases '!$G$2:$G$57,"High")</f>
        <v/>
      </c>
    </row>
    <row r="37">
      <c r="A37" t="inlineStr">
        <is>
          <t>Medium</t>
        </is>
      </c>
      <c r="B37">
        <f>COUNTIF('Test cases '!$G$2:$G$57,"Medium")</f>
        <v/>
      </c>
    </row>
    <row r="38">
      <c r="A38" t="inlineStr">
        <is>
          <t>Low</t>
        </is>
      </c>
      <c r="B38">
        <f>COUNTIF('Test cases '!$G$2:$G$57,"Low")</f>
        <v/>
      </c>
    </row>
    <row r="39"/>
    <row r="40">
      <c r="A40" s="10" t="inlineStr">
        <is>
          <t>By Test Type</t>
        </is>
      </c>
    </row>
    <row r="41">
      <c r="A41" s="11" t="inlineStr">
        <is>
          <t>Test Type</t>
        </is>
      </c>
      <c r="B41" s="11" t="inlineStr">
        <is>
          <t>Count</t>
        </is>
      </c>
    </row>
    <row r="42">
      <c r="A42" t="inlineStr">
        <is>
          <t>Functional</t>
        </is>
      </c>
      <c r="B42">
        <f>COUNTIF('Test cases '!$I$2:$I$57,"Functional")</f>
        <v/>
      </c>
    </row>
    <row r="43">
      <c r="A43" t="inlineStr">
        <is>
          <t>Integration</t>
        </is>
      </c>
      <c r="B43">
        <f>COUNTIF('Test cases '!$I$2:$I$57,"Integration")</f>
        <v/>
      </c>
    </row>
    <row r="44">
      <c r="A44" t="inlineStr">
        <is>
          <t>API</t>
        </is>
      </c>
      <c r="B44">
        <f>COUNTIF('Test cases '!$I$2:$I$57,"API")</f>
        <v/>
      </c>
    </row>
    <row r="45">
      <c r="A45" t="inlineStr">
        <is>
          <t>Security</t>
        </is>
      </c>
      <c r="B45">
        <f>COUNTIF('Test cases '!$I$2:$I$57,"Security")</f>
        <v/>
      </c>
    </row>
    <row r="46">
      <c r="A46" t="inlineStr">
        <is>
          <t>UI</t>
        </is>
      </c>
      <c r="B46">
        <f>COUNTIF('Test cases '!$I$2:$I$57,"UI")</f>
        <v/>
      </c>
    </row>
    <row r="47">
      <c r="A47" t="inlineStr">
        <is>
          <t>Non-functional</t>
        </is>
      </c>
      <c r="B47">
        <f>COUNTIF('Test cases '!$I$2:$I$57,"Non-functional")</f>
        <v/>
      </c>
    </row>
    <row r="48"/>
    <row r="49">
      <c r="A49" s="10" t="inlineStr">
        <is>
          <t>By Test Suite</t>
        </is>
      </c>
    </row>
    <row r="50">
      <c r="A50" s="11" t="inlineStr">
        <is>
          <t>Test Suite</t>
        </is>
      </c>
      <c r="B50" s="11" t="inlineStr">
        <is>
          <t>Cases</t>
        </is>
      </c>
      <c r="C50" s="11" t="inlineStr">
        <is>
          <t>Approve</t>
        </is>
      </c>
      <c r="D50" s="11" t="inlineStr">
        <is>
          <t>Draft</t>
        </is>
      </c>
      <c r="E50" s="11" t="inlineStr">
        <is>
          <t>Block</t>
        </is>
      </c>
    </row>
    <row r="51">
      <c r="A51" t="inlineStr">
        <is>
          <t>F6.1 Access &amp; Authorization</t>
        </is>
      </c>
      <c r="B51">
        <f>COUNTIF('Test cases '!$D$2:$D$57,"F6.1 Access &amp; Authorization")</f>
        <v/>
      </c>
      <c r="C51">
        <f>COUNTIFS('Test cases '!$D$2:$D$57,"F6.1 Access &amp; Authorization",'Test cases '!$T$2:$T$57,"Approve")</f>
        <v/>
      </c>
      <c r="D51">
        <f>COUNTIFS('Test cases '!$D$2:$D$57,"F6.1 Access &amp; Authorization",'Test cases '!$T$2:$T$57,"Draft")</f>
        <v/>
      </c>
      <c r="E51">
        <f>COUNTIFS('Test cases '!$D$2:$D$57,"F6.1 Access &amp; Authorization",'Test cases '!$T$2:$T$57,"Block")</f>
        <v/>
      </c>
    </row>
    <row r="52">
      <c r="A52" t="inlineStr">
        <is>
          <t>F6.2 MOEFAS Budget Setup</t>
        </is>
      </c>
      <c r="B52">
        <f>COUNTIF('Test cases '!$D$2:$D$57,"F6.2 MOEFAS Budget Setup")</f>
        <v/>
      </c>
      <c r="C52">
        <f>COUNTIFS('Test cases '!$D$2:$D$57,"F6.2 MOEFAS Budget Setup",'Test cases '!$T$2:$T$57,"Approve")</f>
        <v/>
      </c>
      <c r="D52">
        <f>COUNTIFS('Test cases '!$D$2:$D$57,"F6.2 MOEFAS Budget Setup",'Test cases '!$T$2:$T$57,"Draft")</f>
        <v/>
      </c>
      <c r="E52">
        <f>COUNTIFS('Test cases '!$D$2:$D$57,"F6.2 MOEFAS Budget Setup",'Test cases '!$T$2:$T$57,"Block")</f>
        <v/>
      </c>
    </row>
    <row r="53">
      <c r="A53" t="inlineStr">
        <is>
          <t>F6.3 SBFAS Budget Setup</t>
        </is>
      </c>
      <c r="B53">
        <f>COUNTIF('Test cases '!$D$2:$D$57,"F6.3 SBFAS Budget Setup")</f>
        <v/>
      </c>
      <c r="C53">
        <f>COUNTIFS('Test cases '!$D$2:$D$57,"F6.3 SBFAS Budget Setup",'Test cases '!$T$2:$T$57,"Approve")</f>
        <v/>
      </c>
      <c r="D53">
        <f>COUNTIFS('Test cases '!$D$2:$D$57,"F6.3 SBFAS Budget Setup",'Test cases '!$T$2:$T$57,"Draft")</f>
        <v/>
      </c>
      <c r="E53">
        <f>COUNTIFS('Test cases '!$D$2:$D$57,"F6.3 SBFAS Budget Setup",'Test cases '!$T$2:$T$57,"Block")</f>
        <v/>
      </c>
    </row>
    <row r="54">
      <c r="A54" t="inlineStr">
        <is>
          <t>F6.4 Budget Adjustments</t>
        </is>
      </c>
      <c r="B54">
        <f>COUNTIF('Test cases '!$D$2:$D$57,"F6.4 Budget Adjustments")</f>
        <v/>
      </c>
      <c r="C54">
        <f>COUNTIFS('Test cases '!$D$2:$D$57,"F6.4 Budget Adjustments",'Test cases '!$T$2:$T$57,"Approve")</f>
        <v/>
      </c>
      <c r="D54">
        <f>COUNTIFS('Test cases '!$D$2:$D$57,"F6.4 Budget Adjustments",'Test cases '!$T$2:$T$57,"Draft")</f>
        <v/>
      </c>
      <c r="E54">
        <f>COUNTIFS('Test cases '!$D$2:$D$57,"F6.4 Budget Adjustments",'Test cases '!$T$2:$T$57,"Block")</f>
        <v/>
      </c>
    </row>
    <row r="55">
      <c r="A55" t="inlineStr">
        <is>
          <t>F6.5 MOEFAS Statistics</t>
        </is>
      </c>
      <c r="B55">
        <f>COUNTIF('Test cases '!$D$2:$D$57,"F6.5 MOEFAS Statistics")</f>
        <v/>
      </c>
      <c r="C55">
        <f>COUNTIFS('Test cases '!$D$2:$D$57,"F6.5 MOEFAS Statistics",'Test cases '!$T$2:$T$57,"Approve")</f>
        <v/>
      </c>
      <c r="D55">
        <f>COUNTIFS('Test cases '!$D$2:$D$57,"F6.5 MOEFAS Statistics",'Test cases '!$T$2:$T$57,"Draft")</f>
        <v/>
      </c>
      <c r="E55">
        <f>COUNTIFS('Test cases '!$D$2:$D$57,"F6.5 MOEFAS Statistics",'Test cases '!$T$2:$T$57,"Block")</f>
        <v/>
      </c>
    </row>
    <row r="56">
      <c r="A56" t="inlineStr">
        <is>
          <t>F6.6 SBFAS Statistics</t>
        </is>
      </c>
      <c r="B56">
        <f>COUNTIF('Test cases '!$D$2:$D$57,"F6.6 SBFAS Statistics")</f>
        <v/>
      </c>
      <c r="C56">
        <f>COUNTIFS('Test cases '!$D$2:$D$57,"F6.6 SBFAS Statistics",'Test cases '!$T$2:$T$57,"Approve")</f>
        <v/>
      </c>
      <c r="D56">
        <f>COUNTIFS('Test cases '!$D$2:$D$57,"F6.6 SBFAS Statistics",'Test cases '!$T$2:$T$57,"Draft")</f>
        <v/>
      </c>
      <c r="E56">
        <f>COUNTIFS('Test cases '!$D$2:$D$57,"F6.6 SBFAS Statistics",'Test cases '!$T$2:$T$57,"Block")</f>
        <v/>
      </c>
    </row>
    <row r="57">
      <c r="A57" t="inlineStr">
        <is>
          <t>F6.7 Budget Tracking</t>
        </is>
      </c>
      <c r="B57">
        <f>COUNTIF('Test cases '!$D$2:$D$57,"F6.7 Budget Tracking")</f>
        <v/>
      </c>
      <c r="C57">
        <f>COUNTIFS('Test cases '!$D$2:$D$57,"F6.7 Budget Tracking",'Test cases '!$T$2:$T$57,"Approve")</f>
        <v/>
      </c>
      <c r="D57">
        <f>COUNTIFS('Test cases '!$D$2:$D$57,"F6.7 Budget Tracking",'Test cases '!$T$2:$T$57,"Draft")</f>
        <v/>
      </c>
      <c r="E57">
        <f>COUNTIFS('Test cases '!$D$2:$D$57,"F6.7 Budget Tracking",'Test cases '!$T$2:$T$57,"Block")</f>
        <v/>
      </c>
    </row>
    <row r="58">
      <c r="A58" t="inlineStr">
        <is>
          <t>F6.8 Budget Warnings</t>
        </is>
      </c>
      <c r="B58">
        <f>COUNTIF('Test cases '!$D$2:$D$57,"F6.8 Budget Warnings")</f>
        <v/>
      </c>
      <c r="C58">
        <f>COUNTIFS('Test cases '!$D$2:$D$57,"F6.8 Budget Warnings",'Test cases '!$T$2:$T$57,"Approve")</f>
        <v/>
      </c>
      <c r="D58">
        <f>COUNTIFS('Test cases '!$D$2:$D$57,"F6.8 Budget Warnings",'Test cases '!$T$2:$T$57,"Draft")</f>
        <v/>
      </c>
      <c r="E58">
        <f>COUNTIFS('Test cases '!$D$2:$D$57,"F6.8 Budget Warnings",'Test cases '!$T$2:$T$57,"Block")</f>
        <v/>
      </c>
    </row>
    <row r="59">
      <c r="A59" t="inlineStr">
        <is>
          <t>F6.9 Non-blocking Grant</t>
        </is>
      </c>
      <c r="B59">
        <f>COUNTIF('Test cases '!$D$2:$D$57,"F6.9 Non-blocking Grant")</f>
        <v/>
      </c>
      <c r="C59">
        <f>COUNTIFS('Test cases '!$D$2:$D$57,"F6.9 Non-blocking Grant",'Test cases '!$T$2:$T$57,"Approve")</f>
        <v/>
      </c>
      <c r="D59">
        <f>COUNTIFS('Test cases '!$D$2:$D$57,"F6.9 Non-blocking Grant",'Test cases '!$T$2:$T$57,"Draft")</f>
        <v/>
      </c>
      <c r="E59">
        <f>COUNTIFS('Test cases '!$D$2:$D$57,"F6.9 Non-blocking Grant",'Test cases '!$T$2:$T$57,"Block")</f>
        <v/>
      </c>
    </row>
    <row r="60">
      <c r="A60" t="inlineStr">
        <is>
          <t>F6.10 Edge Cases &amp; Security</t>
        </is>
      </c>
      <c r="B60">
        <f>COUNTIF('Test cases '!$D$2:$D$57,"F6.10 Edge Cases &amp; Security")</f>
        <v/>
      </c>
      <c r="C60">
        <f>COUNTIFS('Test cases '!$D$2:$D$57,"F6.10 Edge Cases &amp; Security",'Test cases '!$T$2:$T$57,"Approve")</f>
        <v/>
      </c>
      <c r="D60">
        <f>COUNTIFS('Test cases '!$D$2:$D$57,"F6.10 Edge Cases &amp; Security",'Test cases '!$T$2:$T$57,"Draft")</f>
        <v/>
      </c>
      <c r="E60">
        <f>COUNTIFS('Test cases '!$D$2:$D$57,"F6.10 Edge Cases &amp; Security",'Test cases '!$T$2:$T$57,"Block")</f>
        <v/>
      </c>
    </row>
    <row r="61"/>
    <row r="62">
      <c r="A62" s="10" t="inlineStr">
        <is>
          <t>Rules applied</t>
        </is>
      </c>
    </row>
    <row r="63">
      <c r="A63" s="11" t="inlineStr">
        <is>
          <t>Rule</t>
        </is>
      </c>
      <c r="B63" s="11" t="inlineStr">
        <is>
          <t>Source</t>
        </is>
      </c>
    </row>
    <row r="64">
      <c r="A64" t="inlineStr">
        <is>
          <t>Review Status: Approve only if grounded directly in confirmed FS06 text. Cases with open assumptions must be Draft; contradictions must be Block.</t>
        </is>
      </c>
      <c r="B64" t="inlineStr">
        <is>
          <t>QA Project Standard</t>
        </is>
      </c>
    </row>
    <row r="65">
      <c r="A65" t="inlineStr">
        <is>
          <t>Assumption Ref lists all open assumptions made by the test case (ASM-R6-xx).</t>
        </is>
      </c>
      <c r="B65" t="inlineStr">
        <is>
          <t>QA Project Standard</t>
        </is>
      </c>
    </row>
    <row r="66">
      <c r="A66" t="inlineStr">
        <is>
          <t>Environment specifies required ENV-R6-xx fixtures and runtime dependencies.</t>
        </is>
      </c>
      <c r="B66" t="inlineStr">
        <is>
          <t>QA Project Standard</t>
        </is>
      </c>
    </row>
    <row r="67">
      <c r="A67" t="inlineStr">
        <is>
          <t>Test data references official project seed personas (Mei Lin Tan, Lan Nguyen, Farah Tan). No raw passwords stored in sheet.</t>
        </is>
      </c>
      <c r="B67" t="inlineStr">
        <is>
          <t>Security &amp; Project Policy</t>
        </is>
      </c>
    </row>
    <row r="68">
      <c r="A68" t="inlineStr">
        <is>
          <t>Every expected result has a single deterministic outcome and cites its FS/BR source.</t>
        </is>
      </c>
      <c r="B68" t="inlineStr">
        <is>
          <t>QA Project Standard</t>
        </is>
      </c>
    </row>
    <row r="69"/>
    <row r="70">
      <c r="A70" s="10" t="inlineStr">
        <is>
          <t>Points to know before executing</t>
        </is>
      </c>
    </row>
    <row r="71">
      <c r="A71" t="inlineStr">
        <is>
          <t>FS06 is currently in Draft v0.1 with 12 Gaps (G1-G12) and 9 customer clarification questions.</t>
        </is>
      </c>
      <c r="B71" t="inlineStr">
        <is>
          <t>FS06 Notice</t>
        </is>
      </c>
    </row>
    <row r="72">
      <c r="A72" t="inlineStr">
        <is>
          <t>FS04 vs FS06 Contradiction: MOE HQ has no manual Approve button in FS04; TC-044 is Blocked pending resolution of MOEFAS grant approval flow.</t>
        </is>
      </c>
      <c r="B72" t="inlineStr">
        <is>
          <t>Architecture Notice</t>
        </is>
      </c>
    </row>
    <row r="73">
      <c r="A73" t="inlineStr">
        <is>
          <t>Core Rule Confirmed: Budget exhaustion triggers warning but MUST NOT BLOCK FAS grant creation (BR6.06, R6-11, G3).</t>
        </is>
      </c>
      <c r="B73" t="inlineStr">
        <is>
          <t>Core Requirement</t>
        </is>
      </c>
    </row>
    <row r="74">
      <c r="A74" t="inlineStr">
        <is>
          <t>Maximum budget cap 999,999,999.99 is a QA proposal (DECIMAL(11,2)), not a DECIMAL(18,2) math limit. Tracked under ASM-R6-06.</t>
        </is>
      </c>
      <c r="B74" t="inlineStr">
        <is>
          <t>Gap Tracking</t>
        </is>
      </c>
    </row>
    <row r="75"/>
    <row r="76">
      <c r="A76" s="10" t="inlineStr">
        <is>
          <t>References</t>
        </is>
      </c>
    </row>
    <row r="77">
      <c r="A77" t="inlineStr">
        <is>
          <t>FS06.md: Functional Specification R6 - FAS Budget &amp; Statistics (Draft v0.1, roles/ba/FS06.md).</t>
        </is>
      </c>
      <c r="B77" t="inlineStr">
        <is>
          <t>Document</t>
        </is>
      </c>
    </row>
    <row r="78">
      <c r="A78" t="inlineStr">
        <is>
          <t>FS04.docx / FS04.md: Functional Specification R4 - FAS Applications &amp; Schemes (roles/ba/FS04.md).</t>
        </is>
      </c>
      <c r="B78" t="inlineStr">
        <is>
          <t>Document</t>
        </is>
      </c>
    </row>
    <row r="79">
      <c r="A79" t="inlineStr">
        <is>
          <t>R6_FAS_Validation_Rules.md: Validation Rules for R6 (roles/qa/R6_FAS_Validation_Rules.md).</t>
        </is>
      </c>
      <c r="B79" t="inlineStr">
        <is>
          <t>Document</t>
        </is>
      </c>
    </row>
    <row r="80">
      <c r="A80" t="inlineStr">
        <is>
          <t>EduFAMSDatabase: Database tables dbo.fas_budgets, dbo.fas_budget_adjustments, dbo.fas_schemes.</t>
        </is>
      </c>
      <c r="B80" t="inlineStr">
        <is>
          <t>Schema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55" customWidth="1" min="4" max="4"/>
    <col width="55" customWidth="1" min="5" max="5"/>
    <col width="35" customWidth="1" min="6" max="6"/>
    <col width="55" customWidth="1" min="7" max="7"/>
    <col width="55" customWidth="1" min="8" max="8"/>
    <col width="13" customWidth="1" min="9" max="9"/>
    <col width="13" customWidth="1" min="10" max="10"/>
    <col width="55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Scope</t>
        </is>
      </c>
      <c r="D1" s="1" t="inlineStr">
        <is>
          <t>Original gap</t>
        </is>
      </c>
      <c r="E1" s="1" t="inlineStr">
        <is>
          <t>Assumption</t>
        </is>
      </c>
      <c r="F1" s="1" t="inlineStr">
        <is>
          <t>FS source</t>
        </is>
      </c>
      <c r="G1" s="1" t="inlineStr">
        <is>
          <t>Reason</t>
        </is>
      </c>
      <c r="H1" s="1" t="inlineStr">
        <is>
          <t>If the answer differs</t>
        </is>
      </c>
      <c r="I1" s="1" t="inlineStr">
        <is>
          <t>State</t>
        </is>
      </c>
      <c r="J1" s="1" t="inlineStr">
        <is>
          <t>Resolution</t>
        </is>
      </c>
      <c r="K1" s="1" t="inlineStr">
        <is>
          <t>Cases that make this assumption</t>
        </is>
      </c>
      <c r="L1" s="1" t="inlineStr">
        <is>
          <t>Owner</t>
        </is>
      </c>
    </row>
    <row r="2">
      <c r="A2" s="12" t="inlineStr">
        <is>
          <t>ENV-R6-01</t>
        </is>
      </c>
      <c r="B2" s="12" t="inlineStr">
        <is>
          <t>Environment</t>
        </is>
      </c>
      <c r="C2" s="12" t="inlineStr">
        <is>
          <t>Test Stack</t>
        </is>
      </c>
      <c r="D2" s="12" t="inlineStr">
        <is>
          <t>No hosted prototype url specified in FS06</t>
        </is>
      </c>
      <c r="E2" s="12" t="inlineStr">
        <is>
          <t>Testing is performed against Localhost Admin Portal (http://localhost:5173) and API Gateway (http://localhost:5273).</t>
        </is>
      </c>
      <c r="F2" s="12" t="inlineStr">
        <is>
          <t>FS06: 1.1</t>
        </is>
      </c>
      <c r="G2" s="12" t="inlineStr">
        <is>
          <t>Standard local dev stack</t>
        </is>
      </c>
      <c r="H2" s="12" t="inlineStr">
        <is>
          <t>Tests re-targeted to hosted staging URL.</t>
        </is>
      </c>
      <c r="I2" s="12" t="inlineStr">
        <is>
          <t>Open</t>
        </is>
      </c>
      <c r="J2" s="12" t="inlineStr">
        <is>
          <t>None yet</t>
        </is>
      </c>
      <c r="K2" s="12" t="inlineStr">
        <is>
          <t>All test cases</t>
        </is>
      </c>
      <c r="L2" s="12" t="inlineStr">
        <is>
          <t>Dev/QA</t>
        </is>
      </c>
    </row>
    <row r="3">
      <c r="A3" s="13" t="inlineStr">
        <is>
          <t>ENV-R6-02</t>
        </is>
      </c>
      <c r="B3" s="13" t="inlineStr">
        <is>
          <t>Environment</t>
        </is>
      </c>
      <c r="C3" s="13" t="inlineStr">
        <is>
          <t>Concurrency</t>
        </is>
      </c>
      <c r="D3" s="13" t="inlineStr">
        <is>
          <t>Need two user sessions for concurrency collision</t>
        </is>
      </c>
      <c r="E3" s="13" t="inlineStr">
        <is>
          <t>Two distinct browser contexts/sessions signed in as different admin personas.</t>
        </is>
      </c>
      <c r="F3" s="13" t="inlineStr">
        <is>
          <t>FS06: Robustness</t>
        </is>
      </c>
      <c r="G3" s="13" t="inlineStr">
        <is>
          <t>Testing optimistic concurrency</t>
        </is>
      </c>
      <c r="H3" s="13" t="inlineStr">
        <is>
          <t>Single session testing only.</t>
        </is>
      </c>
      <c r="I3" s="13" t="inlineStr">
        <is>
          <t>Open</t>
        </is>
      </c>
      <c r="J3" s="13" t="inlineStr">
        <is>
          <t>None yet</t>
        </is>
      </c>
      <c r="K3" s="13" t="inlineStr">
        <is>
          <t>TC-048</t>
        </is>
      </c>
      <c r="L3" s="13" t="inlineStr">
        <is>
          <t>QA</t>
        </is>
      </c>
    </row>
    <row r="4">
      <c r="A4" s="12" t="inlineStr">
        <is>
          <t>ENV-R6-03</t>
        </is>
      </c>
      <c r="B4" s="12" t="inlineStr">
        <is>
          <t>Environment</t>
        </is>
      </c>
      <c r="C4" s="12" t="inlineStr">
        <is>
          <t>Seed Grants</t>
        </is>
      </c>
      <c r="D4" s="12" t="inlineStr">
        <is>
          <t>Need pre-existing student subsidies in DB for stats and tracking</t>
        </is>
      </c>
      <c r="E4" s="12" t="inlineStr">
        <is>
          <t>Database has pre-seeded FAS applications and student subsidies across schools.</t>
        </is>
      </c>
      <c r="F4" s="12" t="inlineStr">
        <is>
          <t>FS06: 5.4.2</t>
        </is>
      </c>
      <c r="G4" s="12" t="inlineStr">
        <is>
          <t>Required for statistics aggregation</t>
        </is>
      </c>
      <c r="H4" s="12" t="inlineStr">
        <is>
          <t>Seed data script must be run before test.</t>
        </is>
      </c>
      <c r="I4" s="12" t="inlineStr">
        <is>
          <t>Open</t>
        </is>
      </c>
      <c r="J4" s="12" t="inlineStr">
        <is>
          <t>None yet</t>
        </is>
      </c>
      <c r="K4" s="12" t="inlineStr">
        <is>
          <t>TC-026, TC-027, TC-029, TC-030, TC-032, TC-035, TC-036, TC-038</t>
        </is>
      </c>
      <c r="L4" s="12" t="inlineStr">
        <is>
          <t>QA</t>
        </is>
      </c>
    </row>
    <row r="5">
      <c r="A5" s="13" t="inlineStr">
        <is>
          <t>ASM-R6-01</t>
        </is>
      </c>
      <c r="B5" s="13" t="inlineStr">
        <is>
          <t>Rule</t>
        </is>
      </c>
      <c r="C5" s="13" t="inlineStr">
        <is>
          <t>Budget Period</t>
        </is>
      </c>
      <c r="D5" s="13" t="inlineStr">
        <is>
          <t>Gap G1: Budget Period definition</t>
        </is>
      </c>
      <c r="E5" s="13" t="inlineStr">
        <is>
          <t>Ngân sách được thiết lập và theo dõi theo từng Năm học (Academic Year, ví dụ 2026) với bộ lọc năm học trên giao diện.</t>
        </is>
      </c>
      <c r="F5" s="13" t="inlineStr">
        <is>
          <t>FS06: 5.1.6, G1</t>
        </is>
      </c>
      <c r="G5" s="13" t="inlineStr">
        <is>
          <t>Hệ thống trường học Singapore tổ chức niên khóa theo Academic Year</t>
        </is>
      </c>
      <c r="H5" s="13" t="inlineStr">
        <is>
          <t>Nếu theo năm tài chính (FY), trường chọn năm và nhãn giao diện đổi thành Financial Year.</t>
        </is>
      </c>
      <c r="I5" s="13" t="inlineStr">
        <is>
          <t>Open</t>
        </is>
      </c>
      <c r="J5" s="13" t="inlineStr">
        <is>
          <t>None yet</t>
        </is>
      </c>
      <c r="K5" s="13" t="inlineStr">
        <is>
          <t>TC-028</t>
        </is>
      </c>
      <c r="L5" s="13" t="inlineStr">
        <is>
          <t>BA</t>
        </is>
      </c>
    </row>
    <row r="6">
      <c r="A6" s="12" t="inlineStr">
        <is>
          <t>ASM-R6-02</t>
        </is>
      </c>
      <c r="B6" s="12" t="inlineStr">
        <is>
          <t>Rule</t>
        </is>
      </c>
      <c r="C6" s="12" t="inlineStr">
        <is>
          <t>Budget Adjustments</t>
        </is>
      </c>
      <c r="D6" s="12" t="inlineStr">
        <is>
          <t>Gap G2, G12: Budget Editing &amp; History</t>
        </is>
      </c>
      <c r="E6" s="12" t="inlineStr">
        <is>
          <t>Cho phép chỉnh sửa ngân sách; lưu vết điều chỉnh qua Adjustment Modal kèm Reason vào fas_budget_adjustments.</t>
        </is>
      </c>
      <c r="F6" s="12" t="inlineStr">
        <is>
          <t>FS06: 5.1.6, 5.3.2, G2, G12</t>
        </is>
      </c>
      <c r="G6" s="12" t="inlineStr">
        <is>
          <t>FS06 mục 9 loại audit log ra nhưng bảng CSDL fas_budget_adjustments đã được dev tạo</t>
        </is>
      </c>
      <c r="H6" s="12" t="inlineStr">
        <is>
          <t>Nếu không cho sửa hoặc không cần reason, bỏ modal và lưu đè trực tiếp.</t>
        </is>
      </c>
      <c r="I6" s="12" t="inlineStr">
        <is>
          <t>Open</t>
        </is>
      </c>
      <c r="J6" s="12" t="inlineStr">
        <is>
          <t>None yet</t>
        </is>
      </c>
      <c r="K6" s="12" t="inlineStr">
        <is>
          <t>TC-023, TC-024, TC-049</t>
        </is>
      </c>
      <c r="L6" s="12" t="inlineStr">
        <is>
          <t>BA</t>
        </is>
      </c>
    </row>
    <row r="7">
      <c r="A7" s="13" t="inlineStr">
        <is>
          <t>ASM-R6-03</t>
        </is>
      </c>
      <c r="B7" s="13" t="inlineStr">
        <is>
          <t>Rule</t>
        </is>
      </c>
      <c r="C7" s="13" t="inlineStr">
        <is>
          <t>Warning Threshold 80%</t>
        </is>
      </c>
      <c r="D7" s="13" t="inlineStr">
        <is>
          <t>Gap G3: Warning thresholds</t>
        </is>
      </c>
      <c r="E7" s="13" t="inlineStr">
        <is>
          <t>Hệ thống hiển thị Warning Banner màu vàng (MSG-R6-W01) khi tỷ lệ sử dụng đạt từ 80.0% đến dưới 100%.</t>
        </is>
      </c>
      <c r="F7" s="13" t="inlineStr">
        <is>
          <t>FS06: R6-11, BR6.06 vs Section 9</t>
        </is>
      </c>
      <c r="G7" s="13" t="inlineStr">
        <is>
          <t>Cần có ngưỡng cảnh báo trước khi hết ngân sách</t>
        </is>
      </c>
      <c r="H7" s="13" t="inlineStr">
        <is>
          <t>Nếu chỉ cảnh báo khi hết (100%), bỏ ngưỡng 80% và các case tương ứng.</t>
        </is>
      </c>
      <c r="I7" s="13" t="inlineStr">
        <is>
          <t>Open</t>
        </is>
      </c>
      <c r="J7" s="13" t="inlineStr">
        <is>
          <t>None yet</t>
        </is>
      </c>
      <c r="K7" s="13" t="inlineStr">
        <is>
          <t>TC-038, TC-039, TC-040, TC-045</t>
        </is>
      </c>
      <c r="L7" s="13" t="inlineStr">
        <is>
          <t>BA</t>
        </is>
      </c>
    </row>
    <row r="8">
      <c r="A8" s="12" t="inlineStr">
        <is>
          <t>ASM-R6-04</t>
        </is>
      </c>
      <c r="B8" s="12" t="inlineStr">
        <is>
          <t>Rule</t>
        </is>
      </c>
      <c r="C8" s="12" t="inlineStr">
        <is>
          <t>Exhaustion &amp; Deficit UI</t>
        </is>
      </c>
      <c r="D8" s="12" t="inlineStr">
        <is>
          <t>Gap G3: Over-budget presentation</t>
        </is>
      </c>
      <c r="E8" s="12" t="inlineStr">
        <is>
          <t>Khi Remaining Budget &lt;= 0, hiển thị Alert Banner màu cam đỏ (MSG-R6-W02) và số âm màu đỏ kèm nhãn Deficit.</t>
        </is>
      </c>
      <c r="F8" s="12" t="inlineStr">
        <is>
          <t>FS06: R6-11, BR6.06, G3</t>
        </is>
      </c>
      <c r="G8" s="12" t="inlineStr">
        <is>
          <t>Chuẩn kế toán hiển thị số dư âm thâm hụt</t>
        </is>
      </c>
      <c r="H8" s="12" t="inlineStr">
        <is>
          <t>Nếu không hiển thị số âm, số dư dừng ở S$ 0.00.</t>
        </is>
      </c>
      <c r="I8" s="12" t="inlineStr">
        <is>
          <t>Open</t>
        </is>
      </c>
      <c r="J8" s="12" t="inlineStr">
        <is>
          <t>None yet</t>
        </is>
      </c>
      <c r="K8" s="12" t="inlineStr">
        <is>
          <t>TC-041, TC-042</t>
        </is>
      </c>
      <c r="L8" s="12" t="inlineStr">
        <is>
          <t>BA</t>
        </is>
      </c>
    </row>
    <row r="9">
      <c r="A9" s="13" t="inlineStr">
        <is>
          <t>ASM-R6-05</t>
        </is>
      </c>
      <c r="B9" s="13" t="inlineStr">
        <is>
          <t>Architecture</t>
        </is>
      </c>
      <c r="C9" s="13" t="inlineStr">
        <is>
          <t>Real-time Sync</t>
        </is>
      </c>
      <c r="D9" s="13" t="inlineStr">
        <is>
          <t>Gap G11: Statistics Refresh</t>
        </is>
      </c>
      <c r="E9" s="13" t="inlineStr">
        <is>
          <t>Thống kê và số dư ngân sách được cập nhật ngay lập tức khi một đơn FAS được phê duyệt qua DB Trigger/Event.</t>
        </is>
      </c>
      <c r="F9" s="13" t="inlineStr">
        <is>
          <t>FS06: 5.7.3, G11</t>
        </is>
      </c>
      <c r="G9" s="13" t="inlineStr">
        <is>
          <t>Đảm bảo tính chính xác tức thì cho quản trị viên</t>
        </is>
      </c>
      <c r="H9" s="13" t="inlineStr">
        <is>
          <t>Nếu theo lịch định kỳ, số dư chỉ đổi sau khi batch job chạy.</t>
        </is>
      </c>
      <c r="I9" s="13" t="inlineStr">
        <is>
          <t>Open</t>
        </is>
      </c>
      <c r="J9" s="13" t="inlineStr">
        <is>
          <t>None yet</t>
        </is>
      </c>
      <c r="K9" s="13" t="inlineStr">
        <is>
          <t>TC-035</t>
        </is>
      </c>
      <c r="L9" s="13" t="inlineStr">
        <is>
          <t>Dev</t>
        </is>
      </c>
    </row>
    <row r="10">
      <c r="A10" s="12" t="inlineStr">
        <is>
          <t>ASM-R6-06</t>
        </is>
      </c>
      <c r="B10" s="12" t="inlineStr">
        <is>
          <t>Boundary</t>
        </is>
      </c>
      <c r="C10" s="12" t="inlineStr">
        <is>
          <t>Max Budget Ceiling</t>
        </is>
      </c>
      <c r="D10" s="12" t="inlineStr">
        <is>
          <t>Gap G10: Number and currency formatting</t>
        </is>
      </c>
      <c r="E10" s="12" t="inlineStr">
        <is>
          <t>Trần ngân sách tối đa là S$ 999,999,999.99 (DECIMAL(11,2)). Đây là đề xuất của QA, không phải giới hạn toán học của DECIMAL(18,2).</t>
        </is>
      </c>
      <c r="F10" s="12" t="inlineStr">
        <is>
          <t>FS06: G10</t>
        </is>
      </c>
      <c r="G10" s="12" t="inlineStr">
        <is>
          <t>Ngăn chặn tràn giao diện số học</t>
        </is>
      </c>
      <c r="H10" s="12" t="inlineStr">
        <is>
          <t>Nếu cho phép lớn hơn, cập nhật lại validation rule và case kiểm thử.</t>
        </is>
      </c>
      <c r="I10" s="12" t="inlineStr">
        <is>
          <t>Open</t>
        </is>
      </c>
      <c r="J10" s="12" t="inlineStr">
        <is>
          <t>None yet</t>
        </is>
      </c>
      <c r="K10" s="12" t="inlineStr">
        <is>
          <t>TC-015, TC-047</t>
        </is>
      </c>
      <c r="L10" s="12" t="inlineStr">
        <is>
          <t>QA</t>
        </is>
      </c>
    </row>
    <row r="11">
      <c r="A11" s="13" t="inlineStr">
        <is>
          <t>ASM-R6-07</t>
        </is>
      </c>
      <c r="B11" s="13" t="inlineStr">
        <is>
          <t>Contradiction</t>
        </is>
      </c>
      <c r="C11" s="13" t="inlineStr">
        <is>
          <t>MOEFAS Approval Flow</t>
        </is>
      </c>
      <c r="D11" s="13" t="inlineStr">
        <is>
          <t>Contradiction with FS04</t>
        </is>
      </c>
      <c r="E11" s="13" t="inlineStr">
        <is>
          <t>Trong FS04, MOE HQ không có nút bấm Approve MOEFAS (hệ thống tự duyệt theo rank khi đóng form). Case manual approve bị Block.</t>
        </is>
      </c>
      <c r="F11" s="13" t="inlineStr">
        <is>
          <t>FS04 vs FS06: BR6.06, G4</t>
        </is>
      </c>
      <c r="G11" s="13" t="inlineStr">
        <is>
          <t>Mâu thuẫn thiết kế giữa hai tài liệu FS</t>
        </is>
      </c>
      <c r="H11" s="13" t="inlineStr">
        <is>
          <t>BA xác nhận lại luồng grant MOEFAS để mở khóa ca kiểm thử.</t>
        </is>
      </c>
      <c r="I11" s="13" t="inlineStr">
        <is>
          <t>Open</t>
        </is>
      </c>
      <c r="J11" s="13" t="inlineStr">
        <is>
          <t>None yet</t>
        </is>
      </c>
      <c r="K11" s="13" t="inlineStr">
        <is>
          <t>TC-044</t>
        </is>
      </c>
      <c r="L11" s="13" t="inlineStr">
        <is>
          <t>BA</t>
        </is>
      </c>
    </row>
    <row r="12">
      <c r="A12" s="12" t="inlineStr">
        <is>
          <t>ASM-R6-08</t>
        </is>
      </c>
      <c r="B12" s="12" t="inlineStr">
        <is>
          <t>Rule</t>
        </is>
      </c>
      <c r="C12" s="12" t="inlineStr">
        <is>
          <t>Subsidy Amount Definition</t>
        </is>
      </c>
      <c r="D12" s="12" t="inlineStr">
        <is>
          <t>Gap G4: Definition of Subsidy Amount Granted</t>
        </is>
      </c>
      <c r="E12" s="12" t="inlineStr">
        <is>
          <t>Trong FS04, School Admin chọn Tier (phần trăm hỗ trợ), không nhập số tiền cố định. Số tiền subsidy tính trên học phí.</t>
        </is>
      </c>
      <c r="F12" s="12" t="inlineStr">
        <is>
          <t>FS04 vs FS06: G4</t>
        </is>
      </c>
      <c r="G12" s="12" t="inlineStr">
        <is>
          <t>Mô hình trợ cấp học phí theo ma trận</t>
        </is>
      </c>
      <c r="H12" s="12" t="inlineStr">
        <is>
          <t>Nếu subsidy là số tiền cố định độc lập, cập nhật lại luồng grant.</t>
        </is>
      </c>
      <c r="I12" s="12" t="inlineStr">
        <is>
          <t>Open</t>
        </is>
      </c>
      <c r="J12" s="12" t="inlineStr">
        <is>
          <t>None yet</t>
        </is>
      </c>
      <c r="K12" s="12" t="inlineStr">
        <is>
          <t>TC-043</t>
        </is>
      </c>
      <c r="L12" s="12" t="inlineStr">
        <is>
          <t>BA</t>
        </is>
      </c>
    </row>
    <row r="13">
      <c r="A13" s="13" t="inlineStr">
        <is>
          <t>ASM-R6-09</t>
        </is>
      </c>
      <c r="B13" s="13" t="inlineStr">
        <is>
          <t>Format</t>
        </is>
      </c>
      <c r="C13" s="13" t="inlineStr">
        <is>
          <t>Currency &amp; Percent Format</t>
        </is>
      </c>
      <c r="D13" s="13" t="inlineStr">
        <is>
          <t>Gap G10: Currency and number formatting</t>
        </is>
      </c>
      <c r="E13" s="13" t="inlineStr">
        <is>
          <t>Định dạng tiền tệ S$ #,##0.00 và tỷ lệ phần trăm ##0.0%.</t>
        </is>
      </c>
      <c r="F13" s="13" t="inlineStr">
        <is>
          <t>FS06: 5.6.2, G10</t>
        </is>
      </c>
      <c r="G13" s="13" t="inlineStr">
        <is>
          <t>Quy chuẩn hiển thị tài chính Singapore</t>
        </is>
      </c>
      <c r="H13" s="13" t="inlineStr">
        <is>
          <t>Nếu theo định dạng khác (ví dụ SGD), sửa lại toàn bộ kết quả mong đợi.</t>
        </is>
      </c>
      <c r="I13" s="13" t="inlineStr">
        <is>
          <t>Open</t>
        </is>
      </c>
      <c r="J13" s="13" t="inlineStr">
        <is>
          <t>None yet</t>
        </is>
      </c>
      <c r="K13" s="13" t="inlineStr">
        <is>
          <t>TC-008, TC-009, TC-010, TC-014, TC-016, TC-019, TC-021, TC-022, TC-026, TC-030, TC-033, TC-034, TC-037, TC-046, TC-053</t>
        </is>
      </c>
      <c r="L13" s="13" t="inlineStr">
        <is>
          <t>BA</t>
        </is>
      </c>
    </row>
    <row r="14">
      <c r="A14" s="12" t="inlineStr">
        <is>
          <t>ASM-R6-10</t>
        </is>
      </c>
      <c r="B14" s="12" t="inlineStr">
        <is>
          <t>Rule</t>
        </is>
      </c>
      <c r="C14" s="12" t="inlineStr">
        <is>
          <t>Grant Revocation</t>
        </is>
      </c>
      <c r="D14" s="12" t="inlineStr">
        <is>
          <t>Gap G7: Grant Revocation</t>
        </is>
      </c>
      <c r="E14" s="12" t="inlineStr">
        <is>
          <t>Khoản trợ cấp bị thu hồi/hủy sẽ làm giảm Subsidy Amount Used và hoàn lại Remaining Budget.</t>
        </is>
      </c>
      <c r="F14" s="12" t="inlineStr">
        <is>
          <t>FS06: 5.7.5, G7 vs Section 9</t>
        </is>
      </c>
      <c r="G14" s="12" t="inlineStr">
        <is>
          <t>Nguyên lý hoàn trả ngân sách</t>
        </is>
      </c>
      <c r="H14" s="12" t="inlineStr">
        <is>
          <t>Nếu thu hồi không hoàn ngân sách, sửa công thức tính.</t>
        </is>
      </c>
      <c r="I14" s="12" t="inlineStr">
        <is>
          <t>Open</t>
        </is>
      </c>
      <c r="J14" s="12" t="inlineStr">
        <is>
          <t>None yet</t>
        </is>
      </c>
      <c r="K14" s="12" t="inlineStr">
        <is>
          <t>TC-036</t>
        </is>
      </c>
      <c r="L14" s="12" t="inlineStr">
        <is>
          <t>BA</t>
        </is>
      </c>
    </row>
    <row r="15">
      <c r="A15" s="13" t="inlineStr">
        <is>
          <t>ASM-R6-11</t>
        </is>
      </c>
      <c r="B15" s="13" t="inlineStr">
        <is>
          <t>Technical</t>
        </is>
      </c>
      <c r="C15" s="13" t="inlineStr">
        <is>
          <t>Optimistic Concurrency</t>
        </is>
      </c>
      <c r="D15" s="13" t="inlineStr">
        <is>
          <t>Robustness standard</t>
        </is>
      </c>
      <c r="E15" s="13" t="inlineStr">
        <is>
          <t>Áp dụng Optimistic Concurrency Control khi hai người dùng cùng sửa một bản ghi ngân sách.</t>
        </is>
      </c>
      <c r="F15" s="13" t="inlineStr">
        <is>
          <t>FS06: Robustness</t>
        </is>
      </c>
      <c r="G15" s="13" t="inlineStr">
        <is>
          <t>Ngăn chặn ghi đè dữ liệu ẩn</t>
        </is>
      </c>
      <c r="H15" s="13" t="inlineStr">
        <is>
          <t>Nếu áp dụng Last-Write-Wins, bỏ thông báo xung đột.</t>
        </is>
      </c>
      <c r="I15" s="13" t="inlineStr">
        <is>
          <t>Open</t>
        </is>
      </c>
      <c r="J15" s="13" t="inlineStr">
        <is>
          <t>None yet</t>
        </is>
      </c>
      <c r="K15" s="13" t="inlineStr">
        <is>
          <t>TC-048</t>
        </is>
      </c>
      <c r="L15" s="13" t="inlineStr">
        <is>
          <t>Dev</t>
        </is>
      </c>
    </row>
    <row r="16">
      <c r="A16" s="12" t="inlineStr">
        <is>
          <t>ASM-R6-12</t>
        </is>
      </c>
      <c r="B16" s="12" t="inlineStr">
        <is>
          <t>UI</t>
        </is>
      </c>
      <c r="C16" s="12" t="inlineStr">
        <is>
          <t>Debounce Save Button</t>
        </is>
      </c>
      <c r="D16" s="12" t="inlineStr">
        <is>
          <t>Robustness standard</t>
        </is>
      </c>
      <c r="E16" s="12" t="inlineStr">
        <is>
          <t>Nút Save bị vô hiệu hóa kèm spinner khi đang gửi request để chống duplicate.</t>
        </is>
      </c>
      <c r="F16" s="12" t="inlineStr">
        <is>
          <t>FS06: Robustness</t>
        </is>
      </c>
      <c r="G16" s="12" t="inlineStr">
        <is>
          <t>Chống duplicate records</t>
        </is>
      </c>
      <c r="H16" s="12" t="inlineStr">
        <is>
          <t>Nếu không khóa nút, cần cơ chế idempotency ở API.</t>
        </is>
      </c>
      <c r="I16" s="12" t="inlineStr">
        <is>
          <t>Open</t>
        </is>
      </c>
      <c r="J16" s="12" t="inlineStr">
        <is>
          <t>None yet</t>
        </is>
      </c>
      <c r="K16" s="12" t="inlineStr">
        <is>
          <t>TC-025</t>
        </is>
      </c>
      <c r="L16" s="12" t="inlineStr">
        <is>
          <t>Frontend</t>
        </is>
      </c>
    </row>
    <row r="17">
      <c r="A17" s="13" t="inlineStr">
        <is>
          <t>ASM-R6-13</t>
        </is>
      </c>
      <c r="B17" s="13" t="inlineStr">
        <is>
          <t>UI</t>
        </is>
      </c>
      <c r="C17" s="13" t="inlineStr">
        <is>
          <t>Provisional Navigation</t>
        </is>
      </c>
      <c r="D17" s="13" t="inlineStr">
        <is>
          <t>No navigation defined in FS06</t>
        </is>
      </c>
      <c r="E17" s="13" t="inlineStr">
        <is>
          <t>Đường dẫn 'Financial Assistance &gt; Budget Management' là tên tạm thời cho đến khi UI Portal chính thức được host.</t>
        </is>
      </c>
      <c r="F17" s="13" t="inlineStr">
        <is>
          <t>FS06: 1.1</t>
        </is>
      </c>
      <c r="G17" s="13" t="inlineStr">
        <is>
          <t>Cần đường dẫn để hướng dẫn tester</t>
        </is>
      </c>
      <c r="H17" s="13" t="inlineStr">
        <is>
          <t>Cập nhật đường dẫn thực tế khi dev hoàn thiện menu.</t>
        </is>
      </c>
      <c r="I17" s="13" t="inlineStr">
        <is>
          <t>Open</t>
        </is>
      </c>
      <c r="J17" s="13" t="inlineStr">
        <is>
          <t>None yet</t>
        </is>
      </c>
      <c r="K17" s="13" t="inlineStr">
        <is>
          <t>TC-001, TC-007</t>
        </is>
      </c>
      <c r="L17" s="13" t="inlineStr">
        <is>
          <t>UX</t>
        </is>
      </c>
    </row>
  </sheetData>
  <autoFilter ref="A1:L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55" customWidth="1" min="3" max="3"/>
    <col width="55" customWidth="1" min="4" max="4"/>
    <col width="55" customWidth="1" min="5" max="5"/>
    <col width="37" customWidth="1" min="6" max="6"/>
    <col width="3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Assumption Ref</t>
        </is>
      </c>
      <c r="B1" s="1" t="inlineStr">
        <is>
          <t>Topic</t>
        </is>
      </c>
      <c r="C1" s="1" t="inlineStr">
        <is>
          <t>Question description</t>
        </is>
      </c>
      <c r="D1" s="1" t="inlineStr">
        <is>
          <t>Why it matters</t>
        </is>
      </c>
      <c r="E1" s="1" t="inlineStr">
        <is>
          <t>Proposed default</t>
        </is>
      </c>
      <c r="F1" s="1" t="inlineStr">
        <is>
          <t>FS source</t>
        </is>
      </c>
      <c r="G1" s="1" t="inlineStr">
        <is>
          <t>Cases affected</t>
        </is>
      </c>
      <c r="H1" s="1" t="inlineStr">
        <is>
          <t>Status</t>
        </is>
      </c>
      <c r="I1" s="1" t="inlineStr">
        <is>
          <t>Answer</t>
        </is>
      </c>
    </row>
    <row r="2">
      <c r="A2" s="12" t="inlineStr">
        <is>
          <t>ASM-R6-01</t>
        </is>
      </c>
      <c r="B2" s="12" t="inlineStr">
        <is>
          <t>G1: Budget Period</t>
        </is>
      </c>
      <c r="C2" s="12" t="inlineStr">
        <is>
          <t>BA: Ngân sách MOEFAS/SBFAS được thiết lập theo năm học (Academic Year) hay năm tài chính (Financial Year)?</t>
        </is>
      </c>
      <c r="D2" s="12" t="inlineStr">
        <is>
          <t>Quyết định bộ lọc thời gian và chu kỳ quản lý ngân sách.</t>
        </is>
      </c>
      <c r="E2" s="12" t="inlineStr">
        <is>
          <t>Mặc định theo Academic Year (ví dụ 2026).</t>
        </is>
      </c>
      <c r="F2" s="12" t="inlineStr">
        <is>
          <t>FS06: 5.1.6, G1, Question 1</t>
        </is>
      </c>
      <c r="G2" s="12" t="inlineStr">
        <is>
          <t>TC-028</t>
        </is>
      </c>
      <c r="H2" s="12" t="inlineStr">
        <is>
          <t>Open</t>
        </is>
      </c>
      <c r="I2" s="12" t="inlineStr">
        <is>
          <t>None yet</t>
        </is>
      </c>
    </row>
    <row r="3">
      <c r="A3" s="13" t="inlineStr">
        <is>
          <t>ASM-R6-02</t>
        </is>
      </c>
      <c r="B3" s="13" t="inlineStr">
        <is>
          <t>G2: Budget Editing</t>
        </is>
      </c>
      <c r="C3" s="13" t="inlineStr">
        <is>
          <t>BA: Người dùng có được chỉnh sửa ngân sách đã lưu không? Nếu có, có cần nhập lý do (Reason) và lưu lịch sử không?</t>
        </is>
      </c>
      <c r="D3" s="13" t="inlineStr">
        <is>
          <t>Quyết định việc hiển thị nút Edit, modal lý do và bảng fas_budget_adjustments.</t>
        </is>
      </c>
      <c r="E3" s="13" t="inlineStr">
        <is>
          <t>Cho phép sửa kèm modal nhập Reason (lưu vào fas_budget_adjustments).</t>
        </is>
      </c>
      <c r="F3" s="13" t="inlineStr">
        <is>
          <t>FS06: 5.1.6, G2, Question 2</t>
        </is>
      </c>
      <c r="G3" s="13" t="inlineStr">
        <is>
          <t>TC-023, TC-024, TC-049</t>
        </is>
      </c>
      <c r="H3" s="13" t="inlineStr">
        <is>
          <t>Open</t>
        </is>
      </c>
      <c r="I3" s="13" t="inlineStr">
        <is>
          <t>None yet</t>
        </is>
      </c>
    </row>
    <row r="4">
      <c r="A4" s="12" t="inlineStr">
        <is>
          <t>ASM-R6-03</t>
        </is>
      </c>
      <c r="B4" s="12" t="inlineStr">
        <is>
          <t>G3: Warning vs Section 9</t>
        </is>
      </c>
      <c r="C4" s="12" t="inlineStr">
        <is>
          <t>BA: Mục 9 loại 'cảnh báo ngân sách sắp hết hoặc đã hết' ra ngoài phạm vi, nhưng R6-11 và BR6.06 lại yêu cầu cảnh báo khi hết. Ngưỡng cảnh báo cụ thể là gì?</t>
        </is>
      </c>
      <c r="D4" s="12" t="inlineStr">
        <is>
          <t>Mâu thuẫn nội tại giữa mục 9 và mục 2/3 trong FS06.</t>
        </is>
      </c>
      <c r="E4" s="12" t="inlineStr">
        <is>
          <t>Tuân theo R6-11 và BR6.06: cảnh báo khi hết (100%), và đề xuất ngưỡng 80% cảnh báo vàng.</t>
        </is>
      </c>
      <c r="F4" s="12" t="inlineStr">
        <is>
          <t>FS06: R6-11, BR6.06, G3, Section 9</t>
        </is>
      </c>
      <c r="G4" s="12" t="inlineStr">
        <is>
          <t>TC-038, TC-039, TC-040, TC-041</t>
        </is>
      </c>
      <c r="H4" s="12" t="inlineStr">
        <is>
          <t>Open</t>
        </is>
      </c>
      <c r="I4" s="12" t="inlineStr">
        <is>
          <t>None yet</t>
        </is>
      </c>
    </row>
    <row r="5">
      <c r="A5" s="13" t="inlineStr">
        <is>
          <t>ASM-R6-08</t>
        </is>
      </c>
      <c r="B5" s="13" t="inlineStr">
        <is>
          <t>G4: Subsidy Amount</t>
        </is>
      </c>
      <c r="C5" s="13" t="inlineStr">
        <is>
          <t>BA: 'Subsidy Amount Granted' được tính từ Grant Amount cố định hay tính theo phần trăm giảm trừ học phí theo FS04?</t>
        </is>
      </c>
      <c r="D5" s="13" t="inlineStr">
        <is>
          <t>FS04 chỉ cho School Admin chọn Tier, không nhập số tiền trực tiếp.</t>
        </is>
      </c>
      <c r="E5" s="13" t="inlineStr">
        <is>
          <t>Đề xuất tính bằng tổng tiền thực tế giảm trừ cho học sinh trong kỳ.</t>
        </is>
      </c>
      <c r="F5" s="13" t="inlineStr">
        <is>
          <t>FS06: 5.6.5, G4, Question 3</t>
        </is>
      </c>
      <c r="G5" s="13" t="inlineStr">
        <is>
          <t>TC-043</t>
        </is>
      </c>
      <c r="H5" s="13" t="inlineStr">
        <is>
          <t>Open</t>
        </is>
      </c>
      <c r="I5" s="13" t="inlineStr">
        <is>
          <t>None yet</t>
        </is>
      </c>
    </row>
    <row r="6">
      <c r="A6" s="12" t="inlineStr">
        <is>
          <t>ASM-R6-01</t>
        </is>
      </c>
      <c r="B6" s="12" t="inlineStr">
        <is>
          <t>G5: Additional Stats</t>
        </is>
      </c>
      <c r="C6" s="12" t="inlineStr">
        <is>
          <t>BA: Có cần hiển thị số lượng học sinh thụ hưởng (Student Count), số lượng Grant và phân tích theo khối/lớp không?</t>
        </is>
      </c>
      <c r="D6" s="12" t="inlineStr">
        <is>
          <t>Ảnh hưởng đến các cột trong bảng Subsidy Statistics Table.</t>
        </is>
      </c>
      <c r="E6" s="12" t="inlineStr">
        <is>
          <t>Giai đoạn 1 chỉ hiển thị Total Subsidy Amount Granted theo FS.</t>
        </is>
      </c>
      <c r="F6" s="12" t="inlineStr">
        <is>
          <t>FS06: 5.4.3, G5, Question 7</t>
        </is>
      </c>
      <c r="G6" s="12" t="inlineStr">
        <is>
          <t>TC-026, TC-029</t>
        </is>
      </c>
      <c r="H6" s="12" t="inlineStr">
        <is>
          <t>Open</t>
        </is>
      </c>
      <c r="I6" s="12" t="inlineStr">
        <is>
          <t>None yet</t>
        </is>
      </c>
    </row>
    <row r="7">
      <c r="A7" s="13" t="inlineStr">
        <is>
          <t>ASM-R6-04</t>
        </is>
      </c>
      <c r="B7" s="13" t="inlineStr">
        <is>
          <t>G6: Budget Usage</t>
        </is>
      </c>
      <c r="C7" s="13" t="inlineStr">
        <is>
          <t>BA: Những khoản trợ cấp nào được tính là đã sử dụng ngân sách? Chỉ các đơn Approved/Granted hay cả đơn Pending?</t>
        </is>
      </c>
      <c r="D7" s="13" t="inlineStr">
        <is>
          <t>Tránh tính trùng hoặc tính thiếu số tiền đã giải ngân.</t>
        </is>
      </c>
      <c r="E7" s="13" t="inlineStr">
        <is>
          <t>Chỉ tính các khoản đã Approved/Granted chính thức.</t>
        </is>
      </c>
      <c r="F7" s="13" t="inlineStr">
        <is>
          <t>FS06: BR6.04, G6, Question 4</t>
        </is>
      </c>
      <c r="G7" s="13" t="inlineStr">
        <is>
          <t>TC-027, TC-032</t>
        </is>
      </c>
      <c r="H7" s="13" t="inlineStr">
        <is>
          <t>Open</t>
        </is>
      </c>
      <c r="I7" s="13" t="inlineStr">
        <is>
          <t>None yet</t>
        </is>
      </c>
    </row>
    <row r="8">
      <c r="A8" s="12" t="inlineStr">
        <is>
          <t>ASM-R6-10</t>
        </is>
      </c>
      <c r="B8" s="12" t="inlineStr">
        <is>
          <t>G7: Grant Revocation</t>
        </is>
      </c>
      <c r="C8" s="12" t="inlineStr">
        <is>
          <t>BA: Khi một khoản trợ cấp bị thu hồi hoặc hủy, ngân sách có được hoàn lại số tiền tương ứng không?</t>
        </is>
      </c>
      <c r="D8" s="12" t="inlineStr">
        <is>
          <t>Mục 9 ghi thu hồi grant là ngoài phạm vi nhưng 5.7.5 lại đặt câu hỏi.</t>
        </is>
      </c>
      <c r="E8" s="12" t="inlineStr">
        <is>
          <t>Đề xuất tự động trừ Used và hoàn lại Remaining Budget.</t>
        </is>
      </c>
      <c r="F8" s="12" t="inlineStr">
        <is>
          <t>FS06: 5.7.5, G7, Section 9</t>
        </is>
      </c>
      <c r="G8" s="12" t="inlineStr">
        <is>
          <t>TC-036</t>
        </is>
      </c>
      <c r="H8" s="12" t="inlineStr">
        <is>
          <t>Open</t>
        </is>
      </c>
      <c r="I8" s="12" t="inlineStr">
        <is>
          <t>None yet</t>
        </is>
      </c>
    </row>
    <row r="9">
      <c r="A9" s="13" t="inlineStr">
        <is>
          <t>ASM-R6-04</t>
        </is>
      </c>
      <c r="B9" s="13" t="inlineStr">
        <is>
          <t>G8: Remaining Budget</t>
        </is>
      </c>
      <c r="C9" s="13" t="inlineStr">
        <is>
          <t>BA: Chức năng Remaining Budget có bắt buộc trong bản đầu tiên không? Công thức chính thức là gì?</t>
        </is>
      </c>
      <c r="D9" s="13" t="inlineStr">
        <is>
          <t>Xác nhận hiển thị thẻ số dư còn lại trên giao diện.</t>
        </is>
      </c>
      <c r="E9" s="13" t="inlineStr">
        <is>
          <t>Bắt buộc hiển thị theo công thức: Remaining = Budget - Used.</t>
        </is>
      </c>
      <c r="F9" s="13" t="inlineStr">
        <is>
          <t>FS06: 5.9.2, G8, Question 5</t>
        </is>
      </c>
      <c r="G9" s="13" t="inlineStr">
        <is>
          <t>TC-032, TC-042</t>
        </is>
      </c>
      <c r="H9" s="13" t="inlineStr">
        <is>
          <t>Open</t>
        </is>
      </c>
      <c r="I9" s="13" t="inlineStr">
        <is>
          <t>None yet</t>
        </is>
      </c>
    </row>
    <row r="10">
      <c r="A10" s="12" t="inlineStr">
        <is>
          <t>ASM-R6-09</t>
        </is>
      </c>
      <c r="B10" s="12" t="inlineStr">
        <is>
          <t>G9: Utilization Rate</t>
        </is>
      </c>
      <c r="C10" s="12" t="inlineStr">
        <is>
          <t>BA: Tỷ lệ sử dụng ngân sách (Budget Utilization %) có bắt buộc hiển thị trên dashboard không?</t>
        </is>
      </c>
      <c r="D10" s="12" t="inlineStr">
        <is>
          <t>Xác nhận thanh tiến độ và chỉ số phần trăm.</t>
        </is>
      </c>
      <c r="E10" s="12" t="inlineStr">
        <is>
          <t>Bắt buộc hiển thị định dạng ##0.0% với bảo vệ chia cho 0.</t>
        </is>
      </c>
      <c r="F10" s="12" t="inlineStr">
        <is>
          <t>FS06: 5.7.3, G9, Question 6</t>
        </is>
      </c>
      <c r="G10" s="12" t="inlineStr">
        <is>
          <t>TC-033, TC-034</t>
        </is>
      </c>
      <c r="H10" s="12" t="inlineStr">
        <is>
          <t>Open</t>
        </is>
      </c>
      <c r="I10" s="12" t="inlineStr">
        <is>
          <t>None yet</t>
        </is>
      </c>
    </row>
    <row r="11">
      <c r="A11" s="13" t="inlineStr">
        <is>
          <t>ASM-R6-09</t>
        </is>
      </c>
      <c r="B11" s="13" t="inlineStr">
        <is>
          <t>G10: Currency Format</t>
        </is>
      </c>
      <c r="C11" s="13" t="inlineStr">
        <is>
          <t>BA: Định dạng tiền tệ và số thập phân hiển thị như thế nào?</t>
        </is>
      </c>
      <c r="D11" s="13" t="inlineStr">
        <is>
          <t>Đảm bảo tính đồng nhất trên toàn hệ thống.</t>
        </is>
      </c>
      <c r="E11" s="13" t="inlineStr">
        <is>
          <t>Hiển thị Đô la Singapore S$ #,##0.00.</t>
        </is>
      </c>
      <c r="F11" s="13" t="inlineStr">
        <is>
          <t>FS06: 5.6.2, G10</t>
        </is>
      </c>
      <c r="G11" s="13" t="inlineStr">
        <is>
          <t>TC-030</t>
        </is>
      </c>
      <c r="H11" s="13" t="inlineStr">
        <is>
          <t>Open</t>
        </is>
      </c>
      <c r="I11" s="13" t="inlineStr">
        <is>
          <t>None yet</t>
        </is>
      </c>
    </row>
    <row r="12">
      <c r="A12" s="12" t="inlineStr">
        <is>
          <t>ASM-R6-05</t>
        </is>
      </c>
      <c r="B12" s="12" t="inlineStr">
        <is>
          <t>G11: Refresh Schedule</t>
        </is>
      </c>
      <c r="C12" s="12" t="inlineStr">
        <is>
          <t>Dev/BA: Thống kê và theo dõi ngân sách được cập nhật tức thời hay chạy theo lịch đồng bộ định kỳ?</t>
        </is>
      </c>
      <c r="D12" s="12" t="inlineStr">
        <is>
          <t>Ảnh hưởng đến cách kiểm thử Integration và kỳ vọng kết quả ngay lập tức.</t>
        </is>
      </c>
      <c r="E12" s="12" t="inlineStr">
        <is>
          <t>Đề xuất cập nhật tức thời qua event khi đơn được duyệt.</t>
        </is>
      </c>
      <c r="F12" s="12" t="inlineStr">
        <is>
          <t>FS06: G11, Question 8</t>
        </is>
      </c>
      <c r="G12" s="12" t="inlineStr">
        <is>
          <t>TC-035</t>
        </is>
      </c>
      <c r="H12" s="12" t="inlineStr">
        <is>
          <t>Open</t>
        </is>
      </c>
      <c r="I12" s="12" t="inlineStr">
        <is>
          <t>None yet</t>
        </is>
      </c>
    </row>
    <row r="13">
      <c r="A13" s="13" t="inlineStr">
        <is>
          <t>ASM-R6-02</t>
        </is>
      </c>
      <c r="B13" s="13" t="inlineStr">
        <is>
          <t>G12: Budget History</t>
        </is>
      </c>
      <c r="C13" s="13" t="inlineStr">
        <is>
          <t>BA: Có cần lưu và hiển thị bảng lịch sử thay đổi ngân sách cho người dùng xem trên UI không?</t>
        </is>
      </c>
      <c r="D13" s="13" t="inlineStr">
        <is>
          <t>Mục 9 ghi lịch sử là chưa thuộc phạm vi nhưng G12 lại đề cập.</t>
        </is>
      </c>
      <c r="E13" s="13" t="inlineStr">
        <is>
          <t>Lưu trong CSDL để phục vụ đối soát, chưa cần UI bảng lịch sử phức tạp.</t>
        </is>
      </c>
      <c r="F13" s="13" t="inlineStr">
        <is>
          <t>FS06: G12, Question 9</t>
        </is>
      </c>
      <c r="G13" s="13" t="inlineStr">
        <is>
          <t>TC-024</t>
        </is>
      </c>
      <c r="H13" s="13" t="inlineStr">
        <is>
          <t>Open</t>
        </is>
      </c>
      <c r="I13" s="13" t="inlineStr">
        <is>
          <t>None yet</t>
        </is>
      </c>
    </row>
    <row r="14">
      <c r="A14" s="12" t="inlineStr">
        <is>
          <t>ASM-R6-07</t>
        </is>
      </c>
      <c r="B14" s="12" t="inlineStr">
        <is>
          <t>FS04 Conflict</t>
        </is>
      </c>
      <c r="C14" s="12" t="inlineStr">
        <is>
          <t>BA: Trong FS04, MOE HQ không có quyền bấm Approve MOEFAS thủ công. Vậy quy tắc 'không chặn khi hết budget' ở MOEFAS được áp dụng lúc nào?</t>
        </is>
      </c>
      <c r="D14" s="12" t="inlineStr">
        <is>
          <t>Mâu thuẫn kiến trúc giữa FS04 và FS06.</t>
        </is>
      </c>
      <c r="E14" s="12" t="inlineStr">
        <is>
          <t>Áp dụng vào thời điểm hệ thống tự động batch-approve khi đóng form MOEFAS.</t>
        </is>
      </c>
      <c r="F14" s="12" t="inlineStr">
        <is>
          <t>FS04 vs FS06: BR6.06</t>
        </is>
      </c>
      <c r="G14" s="12" t="inlineStr">
        <is>
          <t>TC-044</t>
        </is>
      </c>
      <c r="H14" s="12" t="inlineStr">
        <is>
          <t>Open</t>
        </is>
      </c>
      <c r="I14" s="12" t="inlineStr">
        <is>
          <t>None yet</t>
        </is>
      </c>
    </row>
  </sheetData>
  <autoFilter ref="A1:I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5" customWidth="1" min="3" max="3"/>
    <col width="55" customWidth="1" min="4" max="4"/>
    <col width="55" customWidth="1" min="5" max="5"/>
    <col width="24" customWidth="1" min="6" max="6"/>
  </cols>
  <sheetData>
    <row r="1">
      <c r="A1" s="1" t="inlineStr">
        <is>
          <t>FS item</t>
        </is>
      </c>
      <c r="B1" s="1" t="inlineStr">
        <is>
          <t>Kind</t>
        </is>
      </c>
      <c r="C1" s="1" t="inlineStr">
        <is>
          <t>Statement</t>
        </is>
      </c>
      <c r="D1" s="1" t="inlineStr">
        <is>
          <t>Test cases that cite it</t>
        </is>
      </c>
      <c r="E1" s="1" t="inlineStr">
        <is>
          <t>Count</t>
        </is>
      </c>
      <c r="F1" s="1" t="inlineStr">
        <is>
          <t>Covered</t>
        </is>
      </c>
    </row>
    <row r="2">
      <c r="A2" s="6" t="inlineStr">
        <is>
          <t>1.1</t>
        </is>
      </c>
      <c r="B2" s="6" t="inlineStr">
        <is>
          <t>Overview</t>
        </is>
      </c>
      <c r="C2" s="6" t="inlineStr">
        <is>
          <t>R6 provides budget management, subsidy statistics, and budget tracking via Admin Portal.</t>
        </is>
      </c>
      <c r="D2" s="6" t="inlineStr">
        <is>
          <t>TC-001, TC-003</t>
        </is>
      </c>
      <c r="E2" s="6">
        <f>IF(D2="None",0,ROUND((LEN(D2)-LEN(SUBSTITUTE(D2,"TC-","")))/3,0))</f>
        <v/>
      </c>
      <c r="F2" s="6">
        <f>IF(E2&gt;0,"Yes","No")</f>
        <v/>
      </c>
    </row>
    <row r="3">
      <c r="A3" s="7" t="inlineStr">
        <is>
          <t>1.2</t>
        </is>
      </c>
      <c r="B3" s="7" t="inlineStr">
        <is>
          <t>Actors &amp; Scopes</t>
        </is>
      </c>
      <c r="C3" s="7" t="inlineStr">
        <is>
          <t>MOE HQ User manages MOEFAS nationally; School User manages SBFAS for assigned school.</t>
        </is>
      </c>
      <c r="D3" s="7" t="inlineStr">
        <is>
          <t>TC-001, TC-002, TC-003, TC-004, TC-005, TC-006</t>
        </is>
      </c>
      <c r="E3" s="7">
        <f>IF(D3="None",0,ROUND((LEN(D3)-LEN(SUBSTITUTE(D3,"TC-","")))/3,0))</f>
        <v/>
      </c>
      <c r="F3" s="7">
        <f>IF(E3&gt;0,"Yes","No")</f>
        <v/>
      </c>
    </row>
    <row r="4">
      <c r="A4" s="6" t="inlineStr">
        <is>
          <t>2.0 (R6-01)</t>
        </is>
      </c>
      <c r="B4" s="6" t="inlineStr">
        <is>
          <t>Requirement</t>
        </is>
      </c>
      <c r="C4" s="6" t="inlineStr">
        <is>
          <t>System supports budget management for MOEFAS and SBFAS.</t>
        </is>
      </c>
      <c r="D4" s="6" t="inlineStr">
        <is>
          <t>TC-004, TC-008, TC-019</t>
        </is>
      </c>
      <c r="E4" s="6">
        <f>IF(D4="None",0,ROUND((LEN(D4)-LEN(SUBSTITUTE(D4,"TC-","")))/3,0))</f>
        <v/>
      </c>
      <c r="F4" s="6">
        <f>IF(E4&gt;0,"Yes","No")</f>
        <v/>
      </c>
    </row>
    <row r="5">
      <c r="A5" s="7" t="inlineStr">
        <is>
          <t>2.0 (R6-02)</t>
        </is>
      </c>
      <c r="B5" s="7" t="inlineStr">
        <is>
          <t>Requirement</t>
        </is>
      </c>
      <c r="C5" s="7" t="inlineStr">
        <is>
          <t>MOE HQ User can configure MOEFAS budget within authorized scope.</t>
        </is>
      </c>
      <c r="D5" s="7" t="inlineStr">
        <is>
          <t>TC-001, TC-002, TC-005</t>
        </is>
      </c>
      <c r="E5" s="7">
        <f>IF(D5="None",0,ROUND((LEN(D5)-LEN(SUBSTITUTE(D5,"TC-","")))/3,0))</f>
        <v/>
      </c>
      <c r="F5" s="7">
        <f>IF(E5&gt;0,"Yes","No")</f>
        <v/>
      </c>
    </row>
    <row r="6">
      <c r="A6" s="6" t="inlineStr">
        <is>
          <t>2.0 (R6-03)</t>
        </is>
      </c>
      <c r="B6" s="6" t="inlineStr">
        <is>
          <t>Requirement</t>
        </is>
      </c>
      <c r="C6" s="6" t="inlineStr">
        <is>
          <t>School User can configure SBFAS budget for assigned school.</t>
        </is>
      </c>
      <c r="D6" s="6" t="inlineStr">
        <is>
          <t>TC-003, TC-006, TC-019</t>
        </is>
      </c>
      <c r="E6" s="6">
        <f>IF(D6="None",0,ROUND((LEN(D6)-LEN(SUBSTITUTE(D6,"TC-","")))/3,0))</f>
        <v/>
      </c>
      <c r="F6" s="6">
        <f>IF(E6&gt;0,"Yes","No")</f>
        <v/>
      </c>
    </row>
    <row r="7">
      <c r="A7" s="7" t="inlineStr">
        <is>
          <t>2.0 (R6-04)</t>
        </is>
      </c>
      <c r="B7" s="7" t="inlineStr">
        <is>
          <t>Requirement</t>
        </is>
      </c>
      <c r="C7" s="7" t="inlineStr">
        <is>
          <t>System saves and displays configured Budget Amount.</t>
        </is>
      </c>
      <c r="D7" s="7" t="inlineStr">
        <is>
          <t>TC-008, TC-009, TC-010, TC-019, TC-021, TC-053</t>
        </is>
      </c>
      <c r="E7" s="7">
        <f>IF(D7="None",0,ROUND((LEN(D7)-LEN(SUBSTITUTE(D7,"TC-","")))/3,0))</f>
        <v/>
      </c>
      <c r="F7" s="7">
        <f>IF(E7&gt;0,"Yes","No")</f>
        <v/>
      </c>
    </row>
    <row r="8">
      <c r="A8" s="6" t="inlineStr">
        <is>
          <t>2.0 (R6-05)</t>
        </is>
      </c>
      <c r="B8" s="6" t="inlineStr">
        <is>
          <t>Requirement</t>
        </is>
      </c>
      <c r="C8" s="6" t="inlineStr">
        <is>
          <t>MOE HQ User can view statistics of granted MOEFAS subsidies.</t>
        </is>
      </c>
      <c r="D8" s="6" t="inlineStr">
        <is>
          <t>TC-026</t>
        </is>
      </c>
      <c r="E8" s="6">
        <f>IF(D8="None",0,ROUND((LEN(D8)-LEN(SUBSTITUTE(D8,"TC-","")))/3,0))</f>
        <v/>
      </c>
      <c r="F8" s="6">
        <f>IF(E8&gt;0,"Yes","No")</f>
        <v/>
      </c>
    </row>
    <row r="9">
      <c r="A9" s="7" t="inlineStr">
        <is>
          <t>2.0 (R6-06)</t>
        </is>
      </c>
      <c r="B9" s="7" t="inlineStr">
        <is>
          <t>Requirement</t>
        </is>
      </c>
      <c r="C9" s="7" t="inlineStr">
        <is>
          <t>School User can view statistics of granted SBFAS subsidies at own school.</t>
        </is>
      </c>
      <c r="D9" s="7" t="inlineStr">
        <is>
          <t>TC-029</t>
        </is>
      </c>
      <c r="E9" s="7">
        <f>IF(D9="None",0,ROUND((LEN(D9)-LEN(SUBSTITUTE(D9,"TC-","")))/3,0))</f>
        <v/>
      </c>
      <c r="F9" s="7">
        <f>IF(E9&gt;0,"Yes","No")</f>
        <v/>
      </c>
    </row>
    <row r="10">
      <c r="A10" s="6" t="inlineStr">
        <is>
          <t>2.0 (R6-07)</t>
        </is>
      </c>
      <c r="B10" s="6" t="inlineStr">
        <is>
          <t>Requirement</t>
        </is>
      </c>
      <c r="C10" s="6" t="inlineStr">
        <is>
          <t>System displays Total Subsidy Amount Granted per FAS type within user scope.</t>
        </is>
      </c>
      <c r="D10" s="6" t="inlineStr">
        <is>
          <t>TC-026, TC-027</t>
        </is>
      </c>
      <c r="E10" s="6">
        <f>IF(D10="None",0,ROUND((LEN(D10)-LEN(SUBSTITUTE(D10,"TC-","")))/3,0))</f>
        <v/>
      </c>
      <c r="F10" s="6">
        <f>IF(E10&gt;0,"Yes","No")</f>
        <v/>
      </c>
    </row>
    <row r="11">
      <c r="A11" s="7" t="inlineStr">
        <is>
          <t>2.0 (R6-08)</t>
        </is>
      </c>
      <c r="B11" s="7" t="inlineStr">
        <is>
          <t>Requirement</t>
        </is>
      </c>
      <c r="C11" s="7" t="inlineStr">
        <is>
          <t>System tracks budget usage based on Budget Amount and Subsidy Used.</t>
        </is>
      </c>
      <c r="D11" s="7" t="inlineStr">
        <is>
          <t>TC-032</t>
        </is>
      </c>
      <c r="E11" s="7">
        <f>IF(D11="None",0,ROUND((LEN(D11)-LEN(SUBSTITUTE(D11,"TC-","")))/3,0))</f>
        <v/>
      </c>
      <c r="F11" s="7">
        <f>IF(E11&gt;0,"Yes","No")</f>
        <v/>
      </c>
    </row>
    <row r="12">
      <c r="A12" s="6" t="inlineStr">
        <is>
          <t>2.0 (R6-09)</t>
        </is>
      </c>
      <c r="B12" s="6" t="inlineStr">
        <is>
          <t>Requirement</t>
        </is>
      </c>
      <c r="C12" s="6" t="inlineStr">
        <is>
          <t>System restricts statistics and budget views strictly to authorized scope.</t>
        </is>
      </c>
      <c r="D12" s="6" t="inlineStr">
        <is>
          <t>TC-004</t>
        </is>
      </c>
      <c r="E12" s="6">
        <f>IF(D12="None",0,ROUND((LEN(D12)-LEN(SUBSTITUTE(D12,"TC-","")))/3,0))</f>
        <v/>
      </c>
      <c r="F12" s="6">
        <f>IF(E12&gt;0,"Yes","No")</f>
        <v/>
      </c>
    </row>
    <row r="13">
      <c r="A13" s="7" t="inlineStr">
        <is>
          <t>2.0 (R6-10)</t>
        </is>
      </c>
      <c r="B13" s="7" t="inlineStr">
        <is>
          <t>Requirement</t>
        </is>
      </c>
      <c r="C13" s="7" t="inlineStr">
        <is>
          <t>System calculates and displays Remaining Budget.</t>
        </is>
      </c>
      <c r="D13" s="7" t="inlineStr">
        <is>
          <t>TC-032</t>
        </is>
      </c>
      <c r="E13" s="7">
        <f>IF(D13="None",0,ROUND((LEN(D13)-LEN(SUBSTITUTE(D13,"TC-","")))/3,0))</f>
        <v/>
      </c>
      <c r="F13" s="7">
        <f>IF(E13&gt;0,"Yes","No")</f>
        <v/>
      </c>
    </row>
    <row r="14">
      <c r="A14" s="6" t="inlineStr">
        <is>
          <t>2.0 (R6-11)</t>
        </is>
      </c>
      <c r="B14" s="6" t="inlineStr">
        <is>
          <t>Requirement</t>
        </is>
      </c>
      <c r="C14" s="6" t="inlineStr">
        <is>
          <t>System displays warning upon budget exhaustion but MUST NOT BLOCK grant.</t>
        </is>
      </c>
      <c r="D14" s="6" t="inlineStr">
        <is>
          <t>TC-039, TC-040, TC-041, TC-043, TC-045</t>
        </is>
      </c>
      <c r="E14" s="6">
        <f>IF(D14="None",0,ROUND((LEN(D14)-LEN(SUBSTITUTE(D14,"TC-","")))/3,0))</f>
        <v/>
      </c>
      <c r="F14" s="6">
        <f>IF(E14&gt;0,"Yes","No")</f>
        <v/>
      </c>
    </row>
    <row r="15">
      <c r="A15" s="7" t="inlineStr">
        <is>
          <t>3.0 (BR6.01)</t>
        </is>
      </c>
      <c r="B15" s="7" t="inlineStr">
        <is>
          <t>Business Rule</t>
        </is>
      </c>
      <c r="C15" s="7" t="inlineStr">
        <is>
          <t>MOE HQ manages MOEFAS; School User manages SBFAS of assigned school only.</t>
        </is>
      </c>
      <c r="D15" s="7" t="inlineStr">
        <is>
          <t>TC-001, TC-002, TC-003, TC-004, TC-005, TC-006, TC-018, TC-029</t>
        </is>
      </c>
      <c r="E15" s="7">
        <f>IF(D15="None",0,ROUND((LEN(D15)-LEN(SUBSTITUTE(D15,"TC-","")))/3,0))</f>
        <v/>
      </c>
      <c r="F15" s="7">
        <f>IF(E15&gt;0,"Yes","No")</f>
        <v/>
      </c>
    </row>
    <row r="16">
      <c r="A16" s="6" t="inlineStr">
        <is>
          <t>3.0 (BR6.02)</t>
        </is>
      </c>
      <c r="B16" s="6" t="inlineStr">
        <is>
          <t>Business Rule</t>
        </is>
      </c>
      <c r="C16" s="6" t="inlineStr">
        <is>
          <t>Statistics must reflect subsidies strictly within authorized scope.</t>
        </is>
      </c>
      <c r="D16" s="6" t="inlineStr">
        <is>
          <t>TC-029</t>
        </is>
      </c>
      <c r="E16" s="6">
        <f>IF(D16="None",0,ROUND((LEN(D16)-LEN(SUBSTITUTE(D16,"TC-","")))/3,0))</f>
        <v/>
      </c>
      <c r="F16" s="6">
        <f>IF(E16&gt;0,"Yes","No")</f>
        <v/>
      </c>
    </row>
    <row r="17">
      <c r="A17" s="7" t="inlineStr">
        <is>
          <t>3.0 (BR6.03)</t>
        </is>
      </c>
      <c r="B17" s="7" t="inlineStr">
        <is>
          <t>Business Rule</t>
        </is>
      </c>
      <c r="C17" s="7" t="inlineStr">
        <is>
          <t>Budget Amount displayed must reflect saved configuration and be non-negative.</t>
        </is>
      </c>
      <c r="D17" s="7" t="inlineStr">
        <is>
          <t>TC-010, TC-013, TC-020, TC-046, TC-050</t>
        </is>
      </c>
      <c r="E17" s="7">
        <f>IF(D17="None",0,ROUND((LEN(D17)-LEN(SUBSTITUTE(D17,"TC-","")))/3,0))</f>
        <v/>
      </c>
      <c r="F17" s="7">
        <f>IF(E17&gt;0,"Yes","No")</f>
        <v/>
      </c>
    </row>
    <row r="18">
      <c r="A18" s="6" t="inlineStr">
        <is>
          <t>3.0 (BR6.04)</t>
        </is>
      </c>
      <c r="B18" s="6" t="inlineStr">
        <is>
          <t>Business Rule</t>
        </is>
      </c>
      <c r="C18" s="6" t="inlineStr">
        <is>
          <t>Total Subsidy Amount Granted aggregated only from valid granted subsidies.</t>
        </is>
      </c>
      <c r="D18" s="6" t="inlineStr">
        <is>
          <t>TC-027, TC-054</t>
        </is>
      </c>
      <c r="E18" s="6">
        <f>IF(D18="None",0,ROUND((LEN(D18)-LEN(SUBSTITUTE(D18,"TC-","")))/3,0))</f>
        <v/>
      </c>
      <c r="F18" s="6">
        <f>IF(E18&gt;0,"Yes","No")</f>
        <v/>
      </c>
    </row>
    <row r="19">
      <c r="A19" s="7" t="inlineStr">
        <is>
          <t>3.0 (BR6.05)</t>
        </is>
      </c>
      <c r="B19" s="7" t="inlineStr">
        <is>
          <t>Business Rule</t>
        </is>
      </c>
      <c r="C19" s="7" t="inlineStr">
        <is>
          <t>Subsidy Amount Used must be determined based on committed grant data.</t>
        </is>
      </c>
      <c r="D19" s="7" t="inlineStr">
        <is>
          <t>TC-032, TC-035, TC-036</t>
        </is>
      </c>
      <c r="E19" s="7">
        <f>IF(D19="None",0,ROUND((LEN(D19)-LEN(SUBSTITUTE(D19,"TC-","")))/3,0))</f>
        <v/>
      </c>
      <c r="F19" s="7">
        <f>IF(E19&gt;0,"Yes","No")</f>
        <v/>
      </c>
    </row>
    <row r="20">
      <c r="A20" s="6" t="inlineStr">
        <is>
          <t>3.0 (BR6.06)</t>
        </is>
      </c>
      <c r="B20" s="6" t="inlineStr">
        <is>
          <t>Business Rule</t>
        </is>
      </c>
      <c r="C20" s="6" t="inlineStr">
        <is>
          <t>Budget near exhaustion or exhausted must not block FAS grant approval.</t>
        </is>
      </c>
      <c r="D20" s="6" t="inlineStr">
        <is>
          <t>TC-039, TC-040, TC-041, TC-043, TC-044, TC-045</t>
        </is>
      </c>
      <c r="E20" s="6">
        <f>IF(D20="None",0,ROUND((LEN(D20)-LEN(SUBSTITUTE(D20,"TC-","")))/3,0))</f>
        <v/>
      </c>
      <c r="F20" s="6">
        <f>IF(E20&gt;0,"Yes","No")</f>
        <v/>
      </c>
    </row>
    <row r="21">
      <c r="A21" s="7" t="inlineStr">
        <is>
          <t>4.1 (R6.1.1)</t>
        </is>
      </c>
      <c r="B21" s="7" t="inlineStr">
        <is>
          <t>Feature</t>
        </is>
      </c>
      <c r="C21" s="7" t="inlineStr">
        <is>
          <t>Manage MOEFAS Budget.</t>
        </is>
      </c>
      <c r="D21" s="7" t="inlineStr">
        <is>
          <t>TC-008, TC-009, TC-010</t>
        </is>
      </c>
      <c r="E21" s="7">
        <f>IF(D21="None",0,ROUND((LEN(D21)-LEN(SUBSTITUTE(D21,"TC-","")))/3,0))</f>
        <v/>
      </c>
      <c r="F21" s="7">
        <f>IF(E21&gt;0,"Yes","No")</f>
        <v/>
      </c>
    </row>
    <row r="22">
      <c r="A22" s="6" t="inlineStr">
        <is>
          <t>4.1 (R6.1.2)</t>
        </is>
      </c>
      <c r="B22" s="6" t="inlineStr">
        <is>
          <t>Feature</t>
        </is>
      </c>
      <c r="C22" s="6" t="inlineStr">
        <is>
          <t>Manage SBFAS Budget.</t>
        </is>
      </c>
      <c r="D22" s="6" t="inlineStr">
        <is>
          <t>TC-019, TC-020, TC-021</t>
        </is>
      </c>
      <c r="E22" s="6">
        <f>IF(D22="None",0,ROUND((LEN(D22)-LEN(SUBSTITUTE(D22,"TC-","")))/3,0))</f>
        <v/>
      </c>
      <c r="F22" s="6">
        <f>IF(E22&gt;0,"Yes","No")</f>
        <v/>
      </c>
    </row>
    <row r="23">
      <c r="A23" s="7" t="inlineStr">
        <is>
          <t>4.1 (R6.1.3)</t>
        </is>
      </c>
      <c r="B23" s="7" t="inlineStr">
        <is>
          <t>Feature</t>
        </is>
      </c>
      <c r="C23" s="7" t="inlineStr">
        <is>
          <t>View Configured Budget.</t>
        </is>
      </c>
      <c r="D23" s="7" t="inlineStr">
        <is>
          <t>TC-055</t>
        </is>
      </c>
      <c r="E23" s="7">
        <f>IF(D23="None",0,ROUND((LEN(D23)-LEN(SUBSTITUTE(D23,"TC-","")))/3,0))</f>
        <v/>
      </c>
      <c r="F23" s="7">
        <f>IF(E23&gt;0,"Yes","No")</f>
        <v/>
      </c>
    </row>
    <row r="24">
      <c r="A24" s="6" t="inlineStr">
        <is>
          <t>4.2 (R6.2.1)</t>
        </is>
      </c>
      <c r="B24" s="6" t="inlineStr">
        <is>
          <t>Feature</t>
        </is>
      </c>
      <c r="C24" s="6" t="inlineStr">
        <is>
          <t>View MOEFAS Subsidy Statistics.</t>
        </is>
      </c>
      <c r="D24" s="6" t="inlineStr">
        <is>
          <t>TC-026, TC-027, TC-028</t>
        </is>
      </c>
      <c r="E24" s="6">
        <f>IF(D24="None",0,ROUND((LEN(D24)-LEN(SUBSTITUTE(D24,"TC-","")))/3,0))</f>
        <v/>
      </c>
      <c r="F24" s="6">
        <f>IF(E24&gt;0,"Yes","No")</f>
        <v/>
      </c>
    </row>
    <row r="25">
      <c r="A25" s="7" t="inlineStr">
        <is>
          <t>4.2 (R6.2.2)</t>
        </is>
      </c>
      <c r="B25" s="7" t="inlineStr">
        <is>
          <t>Feature</t>
        </is>
      </c>
      <c r="C25" s="7" t="inlineStr">
        <is>
          <t>View SBFAS Subsidy Statistics.</t>
        </is>
      </c>
      <c r="D25" s="7" t="inlineStr">
        <is>
          <t>TC-029, TC-030, TC-031</t>
        </is>
      </c>
      <c r="E25" s="7">
        <f>IF(D25="None",0,ROUND((LEN(D25)-LEN(SUBSTITUTE(D25,"TC-","")))/3,0))</f>
        <v/>
      </c>
      <c r="F25" s="7">
        <f>IF(E25&gt;0,"Yes","No")</f>
        <v/>
      </c>
    </row>
    <row r="26">
      <c r="A26" s="6" t="inlineStr">
        <is>
          <t>4.2 (R6.2.3)</t>
        </is>
      </c>
      <c r="B26" s="6" t="inlineStr">
        <is>
          <t>Feature</t>
        </is>
      </c>
      <c r="C26" s="6" t="inlineStr">
        <is>
          <t>View Total Subsidy Amount Granted.</t>
        </is>
      </c>
      <c r="D26" s="6" t="inlineStr">
        <is>
          <t>TC-026, TC-029, TC-054</t>
        </is>
      </c>
      <c r="E26" s="6">
        <f>IF(D26="None",0,ROUND((LEN(D26)-LEN(SUBSTITUTE(D26,"TC-","")))/3,0))</f>
        <v/>
      </c>
      <c r="F26" s="6">
        <f>IF(E26&gt;0,"Yes","No")</f>
        <v/>
      </c>
    </row>
    <row r="27">
      <c r="A27" s="7" t="inlineStr">
        <is>
          <t>4.3 (R6.3.1)</t>
        </is>
      </c>
      <c r="B27" s="7" t="inlineStr">
        <is>
          <t>Feature</t>
        </is>
      </c>
      <c r="C27" s="7" t="inlineStr">
        <is>
          <t>Track MOEFAS Budget Usage.</t>
        </is>
      </c>
      <c r="D27" s="7" t="inlineStr">
        <is>
          <t>TC-056</t>
        </is>
      </c>
      <c r="E27" s="7">
        <f>IF(D27="None",0,ROUND((LEN(D27)-LEN(SUBSTITUTE(D27,"TC-","")))/3,0))</f>
        <v/>
      </c>
      <c r="F27" s="7">
        <f>IF(E27&gt;0,"Yes","No")</f>
        <v/>
      </c>
    </row>
    <row r="28">
      <c r="A28" s="6" t="inlineStr">
        <is>
          <t>4.3 (R6.3.2)</t>
        </is>
      </c>
      <c r="B28" s="6" t="inlineStr">
        <is>
          <t>Feature</t>
        </is>
      </c>
      <c r="C28" s="6" t="inlineStr">
        <is>
          <t>Track SBFAS Budget Usage.</t>
        </is>
      </c>
      <c r="D28" s="6" t="inlineStr">
        <is>
          <t>TC-032, TC-033</t>
        </is>
      </c>
      <c r="E28" s="6">
        <f>IF(D28="None",0,ROUND((LEN(D28)-LEN(SUBSTITUTE(D28,"TC-","")))/3,0))</f>
        <v/>
      </c>
      <c r="F28" s="6">
        <f>IF(E28&gt;0,"Yes","No")</f>
        <v/>
      </c>
    </row>
    <row r="29">
      <c r="A29" s="7" t="inlineStr">
        <is>
          <t>4.3 (R6.3.3)</t>
        </is>
      </c>
      <c r="B29" s="7" t="inlineStr">
        <is>
          <t>Feature</t>
        </is>
      </c>
      <c r="C29" s="7" t="inlineStr">
        <is>
          <t>View Remaining Budget.</t>
        </is>
      </c>
      <c r="D29" s="7" t="inlineStr">
        <is>
          <t>TC-032, TC-042</t>
        </is>
      </c>
      <c r="E29" s="7">
        <f>IF(D29="None",0,ROUND((LEN(D29)-LEN(SUBSTITUTE(D29,"TC-","")))/3,0))</f>
        <v/>
      </c>
      <c r="F29" s="7">
        <f>IF(E29&gt;0,"Yes","No")</f>
        <v/>
      </c>
    </row>
    <row r="30">
      <c r="A30" s="6" t="inlineStr">
        <is>
          <t>5.1.3</t>
        </is>
      </c>
      <c r="B30" s="6" t="inlineStr">
        <is>
          <t>UI Element</t>
        </is>
      </c>
      <c r="C30" s="6" t="inlineStr">
        <is>
          <t>MOEFAS Budget Amount numeric input validation.</t>
        </is>
      </c>
      <c r="D30" s="6" t="inlineStr">
        <is>
          <t>TC-001, TC-011, TC-012, TC-016, TC-017, TC-051, TC-052</t>
        </is>
      </c>
      <c r="E30" s="6">
        <f>IF(D30="None",0,ROUND((LEN(D30)-LEN(SUBSTITUTE(D30,"TC-","")))/3,0))</f>
        <v/>
      </c>
      <c r="F30" s="6">
        <f>IF(E30&gt;0,"Yes","No")</f>
        <v/>
      </c>
    </row>
    <row r="31">
      <c r="A31" s="7" t="inlineStr">
        <is>
          <t>5.1.4</t>
        </is>
      </c>
      <c r="B31" s="7" t="inlineStr">
        <is>
          <t>Main Flow</t>
        </is>
      </c>
      <c r="C31" s="7" t="inlineStr">
        <is>
          <t>MOE HQ User configures and saves MOEFAS budget.</t>
        </is>
      </c>
      <c r="D31" s="7" t="inlineStr">
        <is>
          <t>TC-008, TC-009, TC-010</t>
        </is>
      </c>
      <c r="E31" s="7">
        <f>IF(D31="None",0,ROUND((LEN(D31)-LEN(SUBSTITUTE(D31,"TC-","")))/3,0))</f>
        <v/>
      </c>
      <c r="F31" s="7">
        <f>IF(E31&gt;0,"Yes","No")</f>
        <v/>
      </c>
    </row>
    <row r="32">
      <c r="A32" s="6" t="inlineStr">
        <is>
          <t>5.1.6</t>
        </is>
      </c>
      <c r="B32" s="6" t="inlineStr">
        <is>
          <t>Pending Conf.</t>
        </is>
      </c>
      <c r="C32" s="6" t="inlineStr">
        <is>
          <t>Budget adjustments, history, and academic year period.</t>
        </is>
      </c>
      <c r="D32" s="6" t="inlineStr">
        <is>
          <t>TC-024</t>
        </is>
      </c>
      <c r="E32" s="6">
        <f>IF(D32="None",0,ROUND((LEN(D32)-LEN(SUBSTITUTE(D32,"TC-","")))/3,0))</f>
        <v/>
      </c>
      <c r="F32" s="6">
        <f>IF(E32&gt;0,"Yes","No")</f>
        <v/>
      </c>
    </row>
    <row r="33">
      <c r="A33" s="7" t="inlineStr">
        <is>
          <t>5.2.3</t>
        </is>
      </c>
      <c r="B33" s="7" t="inlineStr">
        <is>
          <t>UI Element</t>
        </is>
      </c>
      <c r="C33" s="7" t="inlineStr">
        <is>
          <t>SBFAS Budget Form UI elements and locked school scope.</t>
        </is>
      </c>
      <c r="D33" s="7" t="inlineStr">
        <is>
          <t>TC-003, TC-018</t>
        </is>
      </c>
      <c r="E33" s="7">
        <f>IF(D33="None",0,ROUND((LEN(D33)-LEN(SUBSTITUTE(D33,"TC-","")))/3,0))</f>
        <v/>
      </c>
      <c r="F33" s="7">
        <f>IF(E33&gt;0,"Yes","No")</f>
        <v/>
      </c>
    </row>
    <row r="34">
      <c r="A34" s="6" t="inlineStr">
        <is>
          <t>5.2.4</t>
        </is>
      </c>
      <c r="B34" s="6" t="inlineStr">
        <is>
          <t>Main Flow</t>
        </is>
      </c>
      <c r="C34" s="6" t="inlineStr">
        <is>
          <t>School User configures and saves SBFAS budget.</t>
        </is>
      </c>
      <c r="D34" s="6" t="inlineStr">
        <is>
          <t>TC-019, TC-022, TC-053</t>
        </is>
      </c>
      <c r="E34" s="6">
        <f>IF(D34="None",0,ROUND((LEN(D34)-LEN(SUBSTITUTE(D34,"TC-","")))/3,0))</f>
        <v/>
      </c>
      <c r="F34" s="6">
        <f>IF(E34&gt;0,"Yes","No")</f>
        <v/>
      </c>
    </row>
    <row r="35">
      <c r="A35" s="7" t="inlineStr">
        <is>
          <t>5.2.5</t>
        </is>
      </c>
      <c r="B35" s="7" t="inlineStr">
        <is>
          <t>Expected Result</t>
        </is>
      </c>
      <c r="C35" s="7" t="inlineStr">
        <is>
          <t>SBFAS budget is saved and persists with school association.</t>
        </is>
      </c>
      <c r="D35" s="7" t="inlineStr">
        <is>
          <t>TC-021</t>
        </is>
      </c>
      <c r="E35" s="7">
        <f>IF(D35="None",0,ROUND((LEN(D35)-LEN(SUBSTITUTE(D35,"TC-","")))/3,0))</f>
        <v/>
      </c>
      <c r="F35" s="7">
        <f>IF(E35&gt;0,"Yes","No")</f>
        <v/>
      </c>
    </row>
    <row r="36">
      <c r="A36" s="6" t="inlineStr">
        <is>
          <t>5.3.2</t>
        </is>
      </c>
      <c r="B36" s="6" t="inlineStr">
        <is>
          <t>UI Element</t>
        </is>
      </c>
      <c r="C36" s="6" t="inlineStr">
        <is>
          <t>Edit budget button and modal view.</t>
        </is>
      </c>
      <c r="D36" s="6" t="inlineStr">
        <is>
          <t>TC-023</t>
        </is>
      </c>
      <c r="E36" s="6">
        <f>IF(D36="None",0,ROUND((LEN(D36)-LEN(SUBSTITUTE(D36,"TC-","")))/3,0))</f>
        <v/>
      </c>
      <c r="F36" s="6">
        <f>IF(E36&gt;0,"Yes","No")</f>
        <v/>
      </c>
    </row>
    <row r="37">
      <c r="A37" s="7" t="inlineStr">
        <is>
          <t>5.4.3</t>
        </is>
      </c>
      <c r="B37" s="7" t="inlineStr">
        <is>
          <t>UI Element</t>
        </is>
      </c>
      <c r="C37" s="7" t="inlineStr">
        <is>
          <t>MOEFAS Subsidy Statistics page elements and summary card.</t>
        </is>
      </c>
      <c r="D37" s="7" t="inlineStr">
        <is>
          <t>TC-026</t>
        </is>
      </c>
      <c r="E37" s="7">
        <f>IF(D37="None",0,ROUND((LEN(D37)-LEN(SUBSTITUTE(D37,"TC-","")))/3,0))</f>
        <v/>
      </c>
      <c r="F37" s="7">
        <f>IF(E37&gt;0,"Yes","No")</f>
        <v/>
      </c>
    </row>
    <row r="38">
      <c r="A38" s="6" t="inlineStr">
        <is>
          <t>5.4.4</t>
        </is>
      </c>
      <c r="B38" s="6" t="inlineStr">
        <is>
          <t>Main Flow</t>
        </is>
      </c>
      <c r="C38" s="6" t="inlineStr">
        <is>
          <t>MOEFAS Subsidy Statistics aggregation and empty state.</t>
        </is>
      </c>
      <c r="D38" s="6" t="inlineStr">
        <is>
          <t>TC-028</t>
        </is>
      </c>
      <c r="E38" s="6">
        <f>IF(D38="None",0,ROUND((LEN(D38)-LEN(SUBSTITUTE(D38,"TC-","")))/3,0))</f>
        <v/>
      </c>
      <c r="F38" s="6">
        <f>IF(E38&gt;0,"Yes","No")</f>
        <v/>
      </c>
    </row>
    <row r="39">
      <c r="A39" s="7" t="inlineStr">
        <is>
          <t>5.4.5</t>
        </is>
      </c>
      <c r="B39" s="7" t="inlineStr">
        <is>
          <t>Expected Result</t>
        </is>
      </c>
      <c r="C39" s="7" t="inlineStr">
        <is>
          <t>MOEFAS statistics reflect granted subsidies accurately.</t>
        </is>
      </c>
      <c r="D39" s="7" t="inlineStr">
        <is>
          <t>TC-027</t>
        </is>
      </c>
      <c r="E39" s="7">
        <f>IF(D39="None",0,ROUND((LEN(D39)-LEN(SUBSTITUTE(D39,"TC-","")))/3,0))</f>
        <v/>
      </c>
      <c r="F39" s="7">
        <f>IF(E39&gt;0,"Yes","No")</f>
        <v/>
      </c>
    </row>
    <row r="40">
      <c r="A40" s="6" t="inlineStr">
        <is>
          <t>5.5.4</t>
        </is>
      </c>
      <c r="B40" s="6" t="inlineStr">
        <is>
          <t>Expected Result</t>
        </is>
      </c>
      <c r="C40" s="6" t="inlineStr">
        <is>
          <t>School SBFAS statistics exclude other schools data.</t>
        </is>
      </c>
      <c r="D40" s="6" t="inlineStr">
        <is>
          <t>TC-029, TC-031</t>
        </is>
      </c>
      <c r="E40" s="6">
        <f>IF(D40="None",0,ROUND((LEN(D40)-LEN(SUBSTITUTE(D40,"TC-","")))/3,0))</f>
        <v/>
      </c>
      <c r="F40" s="6">
        <f>IF(E40&gt;0,"Yes","No")</f>
        <v/>
      </c>
    </row>
    <row r="41">
      <c r="A41" s="7" t="inlineStr">
        <is>
          <t>5.6.1</t>
        </is>
      </c>
      <c r="B41" s="7" t="inlineStr">
        <is>
          <t>Description</t>
        </is>
      </c>
      <c r="C41" s="7" t="inlineStr">
        <is>
          <t>System displays Total Subsidy Amount Granted per FAS type.</t>
        </is>
      </c>
      <c r="D41" s="7" t="inlineStr">
        <is>
          <t>TC-054</t>
        </is>
      </c>
      <c r="E41" s="7">
        <f>IF(D41="None",0,ROUND((LEN(D41)-LEN(SUBSTITUTE(D41,"TC-","")))/3,0))</f>
        <v/>
      </c>
      <c r="F41" s="7">
        <f>IF(E41&gt;0,"Yes","No")</f>
        <v/>
      </c>
    </row>
    <row r="42">
      <c r="A42" s="6" t="inlineStr">
        <is>
          <t>5.6.2</t>
        </is>
      </c>
      <c r="B42" s="6" t="inlineStr">
        <is>
          <t>Proposed UI</t>
        </is>
      </c>
      <c r="C42" s="6" t="inlineStr">
        <is>
          <t>Currency formatting S$ #,##0.00.</t>
        </is>
      </c>
      <c r="D42" s="6" t="inlineStr">
        <is>
          <t>TC-030</t>
        </is>
      </c>
      <c r="E42" s="6">
        <f>IF(D42="None",0,ROUND((LEN(D42)-LEN(SUBSTITUTE(D42,"TC-","")))/3,0))</f>
        <v/>
      </c>
      <c r="F42" s="6">
        <f>IF(E42&gt;0,"Yes","No")</f>
        <v/>
      </c>
    </row>
    <row r="43">
      <c r="A43" s="7" t="inlineStr">
        <is>
          <t>5.7.1</t>
        </is>
      </c>
      <c r="B43" s="7" t="inlineStr">
        <is>
          <t>Description</t>
        </is>
      </c>
      <c r="C43" s="7" t="inlineStr">
        <is>
          <t>Track MOEFAS Budget Usage.</t>
        </is>
      </c>
      <c r="D43" s="7" t="inlineStr">
        <is>
          <t>TC-056</t>
        </is>
      </c>
      <c r="E43" s="7">
        <f>IF(D43="None",0,ROUND((LEN(D43)-LEN(SUBSTITUTE(D43,"TC-","")))/3,0))</f>
        <v/>
      </c>
      <c r="F43" s="7">
        <f>IF(E43&gt;0,"Yes","No")</f>
        <v/>
      </c>
    </row>
    <row r="44">
      <c r="A44" s="6" t="inlineStr">
        <is>
          <t>5.7.3</t>
        </is>
      </c>
      <c r="B44" s="6" t="inlineStr">
        <is>
          <t>Main Flow</t>
        </is>
      </c>
      <c r="C44" s="6" t="inlineStr">
        <is>
          <t>Budget Utilization calculation and normal state.</t>
        </is>
      </c>
      <c r="D44" s="6" t="inlineStr">
        <is>
          <t>TC-033, TC-034, TC-035, TC-038</t>
        </is>
      </c>
      <c r="E44" s="6">
        <f>IF(D44="None",0,ROUND((LEN(D44)-LEN(SUBSTITUTE(D44,"TC-","")))/3,0))</f>
        <v/>
      </c>
      <c r="F44" s="6">
        <f>IF(E44&gt;0,"Yes","No")</f>
        <v/>
      </c>
    </row>
    <row r="45">
      <c r="A45" s="7" t="inlineStr">
        <is>
          <t>5.7.5</t>
        </is>
      </c>
      <c r="B45" s="7" t="inlineStr">
        <is>
          <t>Expected Result</t>
        </is>
      </c>
      <c r="C45" s="7" t="inlineStr">
        <is>
          <t>Grant revocation reflects in budget tracking.</t>
        </is>
      </c>
      <c r="D45" s="7" t="inlineStr">
        <is>
          <t>TC-036</t>
        </is>
      </c>
      <c r="E45" s="7">
        <f>IF(D45="None",0,ROUND((LEN(D45)-LEN(SUBSTITUTE(D45,"TC-","")))/3,0))</f>
        <v/>
      </c>
      <c r="F45" s="7">
        <f>IF(E45&gt;0,"Yes","No")</f>
        <v/>
      </c>
    </row>
    <row r="46">
      <c r="A46" s="6" t="inlineStr">
        <is>
          <t>5.8.3</t>
        </is>
      </c>
      <c r="B46" s="6" t="inlineStr">
        <is>
          <t>Main Flow</t>
        </is>
      </c>
      <c r="C46" s="6" t="inlineStr">
        <is>
          <t>Track SBFAS budget usage for newly onboarded school.</t>
        </is>
      </c>
      <c r="D46" s="6" t="inlineStr">
        <is>
          <t>TC-053</t>
        </is>
      </c>
      <c r="E46" s="6">
        <f>IF(D46="None",0,ROUND((LEN(D46)-LEN(SUBSTITUTE(D46,"TC-","")))/3,0))</f>
        <v/>
      </c>
      <c r="F46" s="6">
        <f>IF(E46&gt;0,"Yes","No")</f>
        <v/>
      </c>
    </row>
    <row r="47">
      <c r="A47" s="7" t="inlineStr">
        <is>
          <t>5.9.2</t>
        </is>
      </c>
      <c r="B47" s="7" t="inlineStr">
        <is>
          <t>Calculation</t>
        </is>
      </c>
      <c r="C47" s="7" t="inlineStr">
        <is>
          <t>Remaining Budget formula: Allocated - Used.</t>
        </is>
      </c>
      <c r="D47" s="7" t="inlineStr">
        <is>
          <t>TC-032, TC-042</t>
        </is>
      </c>
      <c r="E47" s="7">
        <f>IF(D47="None",0,ROUND((LEN(D47)-LEN(SUBSTITUTE(D47,"TC-","")))/3,0))</f>
        <v/>
      </c>
      <c r="F47" s="7">
        <f>IF(E47&gt;0,"Yes","No")</f>
        <v/>
      </c>
    </row>
    <row r="48">
      <c r="A48" s="6" t="inlineStr">
        <is>
          <t>7.0 (AC-R6.1.1)</t>
        </is>
      </c>
      <c r="B48" s="6" t="inlineStr">
        <is>
          <t>Acceptance Criteria</t>
        </is>
      </c>
      <c r="C48" s="6" t="inlineStr">
        <is>
          <t>Configure MOEFAS Budget.</t>
        </is>
      </c>
      <c r="D48" s="6" t="inlineStr">
        <is>
          <t>TC-008</t>
        </is>
      </c>
      <c r="E48" s="6">
        <f>IF(D48="None",0,ROUND((LEN(D48)-LEN(SUBSTITUTE(D48,"TC-","")))/3,0))</f>
        <v/>
      </c>
      <c r="F48" s="6">
        <f>IF(E48&gt;0,"Yes","No")</f>
        <v/>
      </c>
    </row>
    <row r="49">
      <c r="A49" s="7" t="inlineStr">
        <is>
          <t>7.0 (AC-R6.1.2)</t>
        </is>
      </c>
      <c r="B49" s="7" t="inlineStr">
        <is>
          <t>Acceptance Criteria</t>
        </is>
      </c>
      <c r="C49" s="7" t="inlineStr">
        <is>
          <t>Configure SBFAS Budget.</t>
        </is>
      </c>
      <c r="D49" s="7" t="inlineStr">
        <is>
          <t>TC-019</t>
        </is>
      </c>
      <c r="E49" s="7">
        <f>IF(D49="None",0,ROUND((LEN(D49)-LEN(SUBSTITUTE(D49,"TC-","")))/3,0))</f>
        <v/>
      </c>
      <c r="F49" s="7">
        <f>IF(E49&gt;0,"Yes","No")</f>
        <v/>
      </c>
    </row>
    <row r="50">
      <c r="A50" s="6" t="inlineStr">
        <is>
          <t>7.0 (AC-R6.2.1)</t>
        </is>
      </c>
      <c r="B50" s="6" t="inlineStr">
        <is>
          <t>Acceptance Criteria</t>
        </is>
      </c>
      <c r="C50" s="6" t="inlineStr">
        <is>
          <t>View MOEFAS Statistics.</t>
        </is>
      </c>
      <c r="D50" s="6" t="inlineStr">
        <is>
          <t>TC-026</t>
        </is>
      </c>
      <c r="E50" s="6">
        <f>IF(D50="None",0,ROUND((LEN(D50)-LEN(SUBSTITUTE(D50,"TC-","")))/3,0))</f>
        <v/>
      </c>
      <c r="F50" s="6">
        <f>IF(E50&gt;0,"Yes","No")</f>
        <v/>
      </c>
    </row>
    <row r="51">
      <c r="A51" s="7" t="inlineStr">
        <is>
          <t>7.0 (AC-R6.2.2)</t>
        </is>
      </c>
      <c r="B51" s="7" t="inlineStr">
        <is>
          <t>Acceptance Criteria</t>
        </is>
      </c>
      <c r="C51" s="7" t="inlineStr">
        <is>
          <t>View SBFAS Statistics.</t>
        </is>
      </c>
      <c r="D51" s="7" t="inlineStr">
        <is>
          <t>TC-029</t>
        </is>
      </c>
      <c r="E51" s="7">
        <f>IF(D51="None",0,ROUND((LEN(D51)-LEN(SUBSTITUTE(D51,"TC-","")))/3,0))</f>
        <v/>
      </c>
      <c r="F51" s="7">
        <f>IF(E51&gt;0,"Yes","No")</f>
        <v/>
      </c>
    </row>
    <row r="52">
      <c r="A52" s="6" t="inlineStr">
        <is>
          <t>7.0 (AC-R6.3.3)</t>
        </is>
      </c>
      <c r="B52" s="6" t="inlineStr">
        <is>
          <t>Acceptance Criteria</t>
        </is>
      </c>
      <c r="C52" s="6" t="inlineStr">
        <is>
          <t>View Remaining Budget.</t>
        </is>
      </c>
      <c r="D52" s="6" t="inlineStr">
        <is>
          <t>TC-032</t>
        </is>
      </c>
      <c r="E52" s="6">
        <f>IF(D52="None",0,ROUND((LEN(D52)-LEN(SUBSTITUTE(D52,"TC-","")))/3,0))</f>
        <v/>
      </c>
      <c r="F52" s="6">
        <f>IF(E52&gt;0,"Yes","No")</f>
        <v/>
      </c>
    </row>
    <row r="53">
      <c r="A53" s="7" t="inlineStr">
        <is>
          <t>8.0 (G1)</t>
        </is>
      </c>
      <c r="B53" s="7" t="inlineStr">
        <is>
          <t>Gap</t>
        </is>
      </c>
      <c r="C53" s="7" t="inlineStr">
        <is>
          <t>Budget Period definition (Academic Year).</t>
        </is>
      </c>
      <c r="D53" s="7" t="inlineStr">
        <is>
          <t>TC-028</t>
        </is>
      </c>
      <c r="E53" s="7">
        <f>IF(D53="None",0,ROUND((LEN(D53)-LEN(SUBSTITUTE(D53,"TC-","")))/3,0))</f>
        <v/>
      </c>
      <c r="F53" s="7">
        <f>IF(E53&gt;0,"Yes","No")</f>
        <v/>
      </c>
    </row>
    <row r="54">
      <c r="A54" s="6" t="inlineStr">
        <is>
          <t>8.0 (G2)</t>
        </is>
      </c>
      <c r="B54" s="6" t="inlineStr">
        <is>
          <t>Gap</t>
        </is>
      </c>
      <c r="C54" s="6" t="inlineStr">
        <is>
          <t>Budget Editing permission and adjustments.</t>
        </is>
      </c>
      <c r="D54" s="6" t="inlineStr">
        <is>
          <t>TC-023, TC-024</t>
        </is>
      </c>
      <c r="E54" s="6">
        <f>IF(D54="None",0,ROUND((LEN(D54)-LEN(SUBSTITUTE(D54,"TC-","")))/3,0))</f>
        <v/>
      </c>
      <c r="F54" s="6">
        <f>IF(E54&gt;0,"Yes","No")</f>
        <v/>
      </c>
    </row>
    <row r="55">
      <c r="A55" s="7" t="inlineStr">
        <is>
          <t>8.0 (G3)</t>
        </is>
      </c>
      <c r="B55" s="7" t="inlineStr">
        <is>
          <t>Gap</t>
        </is>
      </c>
      <c r="C55" s="7" t="inlineStr">
        <is>
          <t>Budget Exhaustion non-blocking warning policy.</t>
        </is>
      </c>
      <c r="D55" s="7" t="inlineStr">
        <is>
          <t>TC-041, TC-042, TC-043</t>
        </is>
      </c>
      <c r="E55" s="7">
        <f>IF(D55="None",0,ROUND((LEN(D55)-LEN(SUBSTITUTE(D55,"TC-","")))/3,0))</f>
        <v/>
      </c>
      <c r="F55" s="7">
        <f>IF(E55&gt;0,"Yes","No")</f>
        <v/>
      </c>
    </row>
    <row r="56">
      <c r="A56" s="6" t="inlineStr">
        <is>
          <t>8.0 (G4)</t>
        </is>
      </c>
      <c r="B56" s="6" t="inlineStr">
        <is>
          <t>Gap</t>
        </is>
      </c>
      <c r="C56" s="6" t="inlineStr">
        <is>
          <t>Definition of Subsidy Amount Granted.</t>
        </is>
      </c>
      <c r="D56" s="6" t="inlineStr">
        <is>
          <t>TC-044</t>
        </is>
      </c>
      <c r="E56" s="6">
        <f>IF(D56="None",0,ROUND((LEN(D56)-LEN(SUBSTITUTE(D56,"TC-","")))/3,0))</f>
        <v/>
      </c>
      <c r="F56" s="6">
        <f>IF(E56&gt;0,"Yes","No")</f>
        <v/>
      </c>
    </row>
    <row r="57">
      <c r="A57" s="7" t="inlineStr">
        <is>
          <t>8.0 (G7)</t>
        </is>
      </c>
      <c r="B57" s="7" t="inlineStr">
        <is>
          <t>Gap</t>
        </is>
      </c>
      <c r="C57" s="7" t="inlineStr">
        <is>
          <t>Grant Changes and Revocation handling.</t>
        </is>
      </c>
      <c r="D57" s="7" t="inlineStr">
        <is>
          <t>TC-036</t>
        </is>
      </c>
      <c r="E57" s="7">
        <f>IF(D57="None",0,ROUND((LEN(D57)-LEN(SUBSTITUTE(D57,"TC-","")))/3,0))</f>
        <v/>
      </c>
      <c r="F57" s="7">
        <f>IF(E57&gt;0,"Yes","No")</f>
        <v/>
      </c>
    </row>
    <row r="58">
      <c r="A58" s="6" t="inlineStr">
        <is>
          <t>8.0 (G9)</t>
        </is>
      </c>
      <c r="B58" s="6" t="inlineStr">
        <is>
          <t>Gap</t>
        </is>
      </c>
      <c r="C58" s="6" t="inlineStr">
        <is>
          <t>Budget Utilization rate calculation.</t>
        </is>
      </c>
      <c r="D58" s="6" t="inlineStr">
        <is>
          <t>TC-033</t>
        </is>
      </c>
      <c r="E58" s="6">
        <f>IF(D58="None",0,ROUND((LEN(D58)-LEN(SUBSTITUTE(D58,"TC-","")))/3,0))</f>
        <v/>
      </c>
      <c r="F58" s="6">
        <f>IF(E58&gt;0,"Yes","No")</f>
        <v/>
      </c>
    </row>
    <row r="59">
      <c r="A59" s="7" t="inlineStr">
        <is>
          <t>8.0 (G10)</t>
        </is>
      </c>
      <c r="B59" s="7" t="inlineStr">
        <is>
          <t>Gap</t>
        </is>
      </c>
      <c r="C59" s="7" t="inlineStr">
        <is>
          <t>Currency and Number format (S$ #,##0.00).</t>
        </is>
      </c>
      <c r="D59" s="7" t="inlineStr">
        <is>
          <t>TC-014, TC-015, TC-030, TC-037, TC-047</t>
        </is>
      </c>
      <c r="E59" s="7">
        <f>IF(D59="None",0,ROUND((LEN(D59)-LEN(SUBSTITUTE(D59,"TC-","")))/3,0))</f>
        <v/>
      </c>
      <c r="F59" s="7">
        <f>IF(E59&gt;0,"Yes","No")</f>
        <v/>
      </c>
    </row>
    <row r="60">
      <c r="A60" s="6" t="inlineStr">
        <is>
          <t>8.0 (G11)</t>
        </is>
      </c>
      <c r="B60" s="6" t="inlineStr">
        <is>
          <t>Gap</t>
        </is>
      </c>
      <c r="C60" s="6" t="inlineStr">
        <is>
          <t>Statistics refresh schedule (real-time sync).</t>
        </is>
      </c>
      <c r="D60" s="6" t="inlineStr">
        <is>
          <t>TC-035</t>
        </is>
      </c>
      <c r="E60" s="6">
        <f>IF(D60="None",0,ROUND((LEN(D60)-LEN(SUBSTITUTE(D60,"TC-","")))/3,0))</f>
        <v/>
      </c>
      <c r="F60" s="6">
        <f>IF(E60&gt;0,"Yes","No")</f>
        <v/>
      </c>
    </row>
    <row r="61">
      <c r="A61" s="7" t="inlineStr">
        <is>
          <t>8.0 (G12)</t>
        </is>
      </c>
      <c r="B61" s="7" t="inlineStr">
        <is>
          <t>Gap</t>
        </is>
      </c>
      <c r="C61" s="7" t="inlineStr">
        <is>
          <t>Budget History recording.</t>
        </is>
      </c>
      <c r="D61" s="7" t="inlineStr">
        <is>
          <t>TC-024</t>
        </is>
      </c>
      <c r="E61" s="7">
        <f>IF(D61="None",0,ROUND((LEN(D61)-LEN(SUBSTITUTE(D61,"TC-","")))/3,0))</f>
        <v/>
      </c>
      <c r="F61" s="7">
        <f>IF(E61&gt;0,"Yes","No")</f>
        <v/>
      </c>
    </row>
  </sheetData>
  <autoFilter ref="A1:F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22" customWidth="1" min="3" max="3"/>
    <col width="52" customWidth="1" min="4" max="4"/>
    <col width="55" customWidth="1" min="5" max="5"/>
  </cols>
  <sheetData>
    <row r="1">
      <c r="A1" t="inlineStr">
        <is>
          <t>Seed data for R6 test cases (FS06 Draft v0.1 &amp; EduFAMS Project Schemas)</t>
        </is>
      </c>
    </row>
    <row r="2">
      <c r="A2" t="inlineStr">
        <is>
          <t>Reset rules: Use standard project seed scripts. To reset state, execute roles/dev/seed-data.cmd or database restore.</t>
        </is>
      </c>
    </row>
    <row r="3">
      <c r="A3" t="inlineStr">
        <is>
          <t>Sample date: 26/10/2026. Academic Year: 2026.</t>
        </is>
      </c>
    </row>
    <row r="4"/>
    <row r="5">
      <c r="A5" s="1" t="inlineStr">
        <is>
          <t>Data ID</t>
        </is>
      </c>
      <c r="B5" s="1" t="inlineStr">
        <is>
          <t>Entity</t>
        </is>
      </c>
      <c r="C5" s="1" t="inlineStr">
        <is>
          <t>Identifier</t>
        </is>
      </c>
      <c r="D5" s="1" t="inlineStr">
        <is>
          <t>Description / Persona</t>
        </is>
      </c>
      <c r="E5" s="1" t="inlineStr">
        <is>
          <t>Attributes &amp; Initial Values</t>
        </is>
      </c>
    </row>
    <row r="6">
      <c r="A6" s="12" t="inlineStr">
        <is>
          <t>SEED-R6-01</t>
        </is>
      </c>
      <c r="B6" s="12" t="inlineStr">
        <is>
          <t>User Account</t>
        </is>
      </c>
      <c r="C6" s="12" t="inlineStr">
        <is>
          <t>moehq</t>
        </is>
      </c>
      <c r="D6" s="12" t="inlineStr">
        <is>
          <t>MOE HQ Administrator (Mei Lin Tan)</t>
        </is>
      </c>
      <c r="E6" s="12" t="inlineStr">
        <is>
          <t>Role: MOE HQ, Scope: National (All Schools), Status: Active</t>
        </is>
      </c>
    </row>
    <row r="7">
      <c r="A7" s="13" t="inlineStr">
        <is>
          <t>SEED-R6-02</t>
        </is>
      </c>
      <c r="B7" s="13" t="inlineStr">
        <is>
          <t>User Account</t>
        </is>
      </c>
      <c r="C7" s="13" t="inlineStr">
        <is>
          <t>school</t>
        </is>
      </c>
      <c r="D7" s="13" t="inlineStr">
        <is>
          <t>School Admin (Bukit View Primary, Lan Nguyen)</t>
        </is>
      </c>
      <c r="E7" s="13" t="inlineStr">
        <is>
          <t>Role: School Admin, SchoolId: BVP-0012, Status: Active</t>
        </is>
      </c>
    </row>
    <row r="8">
      <c r="A8" s="12" t="inlineStr">
        <is>
          <t>SEED-R6-03</t>
        </is>
      </c>
      <c r="B8" s="12" t="inlineStr">
        <is>
          <t>User Account</t>
        </is>
      </c>
      <c r="C8" s="12" t="inlineStr">
        <is>
          <t>school_meridian</t>
        </is>
      </c>
      <c r="D8" s="12" t="inlineStr">
        <is>
          <t>School Admin (Meridian Secondary, Farah Tan)</t>
        </is>
      </c>
      <c r="E8" s="12" t="inlineStr">
        <is>
          <t>Role: School Admin, SchoolId: MRS-0012, Status: Active</t>
        </is>
      </c>
    </row>
    <row r="9">
      <c r="A9" s="13" t="inlineStr">
        <is>
          <t>SEED-R6-04</t>
        </is>
      </c>
      <c r="B9" s="13" t="inlineStr">
        <is>
          <t>School</t>
        </is>
      </c>
      <c r="C9" s="13" t="inlineStr">
        <is>
          <t>BVP-0012</t>
        </is>
      </c>
      <c r="D9" s="13" t="inlineStr">
        <is>
          <t>Bukit View Primary School</t>
        </is>
      </c>
      <c r="E9" s="13" t="inlineStr">
        <is>
          <t>School Type: Primary, Level: P1-P6, Active: Yes</t>
        </is>
      </c>
    </row>
    <row r="10">
      <c r="A10" s="12" t="inlineStr">
        <is>
          <t>SEED-R6-05</t>
        </is>
      </c>
      <c r="B10" s="12" t="inlineStr">
        <is>
          <t>School</t>
        </is>
      </c>
      <c r="C10" s="12" t="inlineStr">
        <is>
          <t>MRS-0012</t>
        </is>
      </c>
      <c r="D10" s="12" t="inlineStr">
        <is>
          <t>Meridian Secondary School</t>
        </is>
      </c>
      <c r="E10" s="12" t="inlineStr">
        <is>
          <t>School Type: Secondary, Level: S1-S5, Active: Yes</t>
        </is>
      </c>
    </row>
    <row r="11">
      <c r="A11" s="13" t="inlineStr">
        <is>
          <t>SEED-R6-06</t>
        </is>
      </c>
      <c r="B11" s="13" t="inlineStr">
        <is>
          <t>Academic Year</t>
        </is>
      </c>
      <c r="C11" s="13" t="inlineStr">
        <is>
          <t>2026</t>
        </is>
      </c>
      <c r="D11" s="13" t="inlineStr">
        <is>
          <t>Current Academic Year 2026</t>
        </is>
      </c>
      <c r="E11" s="13" t="inlineStr">
        <is>
          <t>Year: 2026, StartDate: 2026-01-01, EndDate: 2026-12-31, IsActive: 1</t>
        </is>
      </c>
    </row>
    <row r="12">
      <c r="A12" s="12" t="inlineStr">
        <is>
          <t>SEED-R6-07</t>
        </is>
      </c>
      <c r="B12" s="12" t="inlineStr">
        <is>
          <t>Academic Year</t>
        </is>
      </c>
      <c r="C12" s="12" t="inlineStr">
        <is>
          <t>2029</t>
        </is>
      </c>
      <c r="D12" s="12" t="inlineStr">
        <is>
          <t>Future Empty Academic Year 2029</t>
        </is>
      </c>
      <c r="E12" s="12" t="inlineStr">
        <is>
          <t>Year: 2029, IsActive: 0, Used for empty state testing</t>
        </is>
      </c>
    </row>
    <row r="13">
      <c r="A13" s="13" t="inlineStr">
        <is>
          <t>SEED-R6-08</t>
        </is>
      </c>
      <c r="B13" s="13" t="inlineStr">
        <is>
          <t>FAS Scheme</t>
        </is>
      </c>
      <c r="C13" s="13" t="inlineStr">
        <is>
          <t>MOEFAS</t>
        </is>
      </c>
      <c r="D13" s="13" t="inlineStr">
        <is>
          <t>Ministry of Education Financial Assistance Scheme</t>
        </is>
      </c>
      <c r="E13" s="13" t="inlineStr">
        <is>
          <t>Type: National, ManagedBy: MOE HQ</t>
        </is>
      </c>
    </row>
    <row r="14">
      <c r="A14" s="12" t="inlineStr">
        <is>
          <t>SEED-R6-09</t>
        </is>
      </c>
      <c r="B14" s="12" t="inlineStr">
        <is>
          <t>FAS Scheme</t>
        </is>
      </c>
      <c r="C14" s="12" t="inlineStr">
        <is>
          <t>SBFAS</t>
        </is>
      </c>
      <c r="D14" s="12" t="inlineStr">
        <is>
          <t>School-Based Financial Assistance Scheme</t>
        </is>
      </c>
      <c r="E14" s="12" t="inlineStr">
        <is>
          <t>Type: School-Based, ManagedBy: Individual Schools</t>
        </is>
      </c>
    </row>
    <row r="15">
      <c r="A15" s="13" t="inlineStr">
        <is>
          <t>SEED-R6-10</t>
        </is>
      </c>
      <c r="B15" s="13" t="inlineStr">
        <is>
          <t>Initial Budget</t>
        </is>
      </c>
      <c r="C15" s="13" t="inlineStr">
        <is>
          <t>BUD-MOE-2026</t>
        </is>
      </c>
      <c r="D15" s="13" t="inlineStr">
        <is>
          <t>National MOEFAS Budget 2026</t>
        </is>
      </c>
      <c r="E15" s="13" t="inlineStr">
        <is>
          <t>Scheme: MOEFAS, SchoolId: NULL, AllocatedBudgetAmount: S$ 5,000,000.00</t>
        </is>
      </c>
    </row>
    <row r="16">
      <c r="A16" s="12" t="inlineStr">
        <is>
          <t>SEED-R6-11</t>
        </is>
      </c>
      <c r="B16" s="12" t="inlineStr">
        <is>
          <t>Initial Budget</t>
        </is>
      </c>
      <c r="C16" s="12" t="inlineStr">
        <is>
          <t>BUD-BVP-2026</t>
        </is>
      </c>
      <c r="D16" s="12" t="inlineStr">
        <is>
          <t>SBFAS Budget Bukit View Primary 2026</t>
        </is>
      </c>
      <c r="E16" s="12" t="inlineStr">
        <is>
          <t>Scheme: SBFAS, SchoolId: BVP-0012, AllocatedBudgetAmount: S$ 150,000.00</t>
        </is>
      </c>
    </row>
    <row r="17">
      <c r="A17" s="13" t="inlineStr">
        <is>
          <t>SEED-R6-12</t>
        </is>
      </c>
      <c r="B17" s="13" t="inlineStr">
        <is>
          <t>Initial Budget</t>
        </is>
      </c>
      <c r="C17" s="13" t="inlineStr">
        <is>
          <t>BUD-MRS-2026</t>
        </is>
      </c>
      <c r="D17" s="13" t="inlineStr">
        <is>
          <t>SBFAS Budget Meridian Secondary 2026</t>
        </is>
      </c>
      <c r="E17" s="13" t="inlineStr">
        <is>
          <t>Scheme: SBFAS, SchoolId: MRS-0012, AllocatedBudgetAmount: S$ 200,000.00</t>
        </is>
      </c>
    </row>
    <row r="18">
      <c r="A18" s="12" t="inlineStr">
        <is>
          <t>SEED-R6-13</t>
        </is>
      </c>
      <c r="B18" s="12" t="inlineStr">
        <is>
          <t>FAS Application</t>
        </is>
      </c>
      <c r="C18" s="12" t="inlineStr">
        <is>
          <t>APP-SBFAS-2026-091</t>
        </is>
      </c>
      <c r="D18" s="12" t="inlineStr">
        <is>
          <t>Pending SBFAS Application (Alex Tan)</t>
        </is>
      </c>
      <c r="E18" s="12" t="inlineStr">
        <is>
          <t>Student: Alex Tan (BVP-0012), Status: Pending, Requested Subsidy: S$ 800.00</t>
        </is>
      </c>
    </row>
    <row r="19">
      <c r="A19" s="13" t="inlineStr">
        <is>
          <t>SEED-R6-14</t>
        </is>
      </c>
      <c r="B19" s="13" t="inlineStr">
        <is>
          <t>FAS Application</t>
        </is>
      </c>
      <c r="C19" s="13" t="inlineStr">
        <is>
          <t>APP-MOEFAS-2026-140</t>
        </is>
      </c>
      <c r="D19" s="13" t="inlineStr">
        <is>
          <t>Closed Form MOEFAS Application</t>
        </is>
      </c>
      <c r="E19" s="13" t="inlineStr">
        <is>
          <t>Student: Siti Nurhaliza (MRS-0012), Status: Pending Assessment</t>
        </is>
      </c>
    </row>
    <row r="20">
      <c r="A20" s="12" t="inlineStr">
        <is>
          <t>SEED-R6-15</t>
        </is>
      </c>
      <c r="B20" s="12" t="inlineStr">
        <is>
          <t>Student Subsidy</t>
        </is>
      </c>
      <c r="C20" s="12" t="inlineStr">
        <is>
          <t>SUB-BVP-001</t>
        </is>
      </c>
      <c r="D20" s="12" t="inlineStr">
        <is>
          <t>Approved SBFAS Subsidy (Textbook)</t>
        </is>
      </c>
      <c r="E20" s="12" t="inlineStr">
        <is>
          <t>Student: Alex Tan, Scheme: SBFAS, Status: Granted, Amount: S$ 300.00</t>
        </is>
      </c>
    </row>
    <row r="21">
      <c r="A21" s="13" t="inlineStr">
        <is>
          <t>SEED-R6-16</t>
        </is>
      </c>
      <c r="B21" s="13" t="inlineStr">
        <is>
          <t>Student Subsidy</t>
        </is>
      </c>
      <c r="C21" s="13" t="inlineStr">
        <is>
          <t>SUB-BVP-002</t>
        </is>
      </c>
      <c r="D21" s="13" t="inlineStr">
        <is>
          <t>Approved SBFAS Subsidy (Uniform)</t>
        </is>
      </c>
      <c r="E21" s="13" t="inlineStr">
        <is>
          <t>Student: Alex Tan, Scheme: SBFAS, Status: Granted, Amount: S$ 150.00</t>
        </is>
      </c>
    </row>
  </sheetData>
  <autoFilter ref="A5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2026-10-26T07:46:00Z</dcterms:created>
  <dcterms:modified xmlns:dcterms="http://purl.org/dc/terms/" xmlns:xsi="http://www.w3.org/2001/XMLSchema-instance" xsi:type="dcterms:W3CDTF">2026-10-26T07:46:00Z</dcterms:modified>
</cp:coreProperties>
</file>