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 sheetId="1" state="visible" r:id="rId1"/>
    <sheet xmlns:r="http://schemas.openxmlformats.org/officeDocument/2006/relationships" name="Defect Reports" sheetId="2" state="visible" r:id="rId2"/>
    <sheet xmlns:r="http://schemas.openxmlformats.org/officeDocument/2006/relationships" name="Summary" sheetId="3" state="visible" r:id="rId3"/>
    <sheet xmlns:r="http://schemas.openxmlformats.org/officeDocument/2006/relationships" name="Scenarios" sheetId="4" state="visible" r:id="rId4"/>
    <sheet xmlns:r="http://schemas.openxmlformats.org/officeDocument/2006/relationships" name="Assumptions" sheetId="5" state="visible" r:id="rId5"/>
    <sheet xmlns:r="http://schemas.openxmlformats.org/officeDocument/2006/relationships" name="Questions" sheetId="6" state="visible" r:id="rId6"/>
    <sheet xmlns:r="http://schemas.openxmlformats.org/officeDocument/2006/relationships" name="FS Trace" sheetId="7" state="visible" r:id="rId7"/>
    <sheet xmlns:r="http://schemas.openxmlformats.org/officeDocument/2006/relationships" name="Seed Data" sheetId="8" state="visible" r:id="rId8"/>
  </sheets>
  <definedNames>
    <definedName name="_xlnm._FilterDatabase" localSheetId="0" hidden="1">'Test cases '!$A$1:$T$262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sz val="11"/>
    </font>
    <font>
      <name val="Arial"/>
      <b val="1"/>
      <sz val="10"/>
    </font>
    <font>
      <name val="Arial"/>
      <sz val="10"/>
    </font>
    <font>
      <name val="Arial"/>
      <b val="1"/>
      <sz val="14"/>
    </font>
    <font>
      <name val="Arial"/>
      <b val="1"/>
      <sz val="12"/>
    </font>
  </fonts>
  <fills count="4">
    <fill>
      <patternFill/>
    </fill>
    <fill>
      <patternFill patternType="gray125"/>
    </fill>
    <fill>
      <patternFill patternType="solid">
        <fgColor rgb="FF17365D"/>
      </patternFill>
    </fill>
    <fill>
      <patternFill patternType="solid">
        <fgColor rgb="FFF7F9FC"/>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general" vertical="center" wrapText="1"/>
    </xf>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3" fillId="3" borderId="1" applyAlignment="1" pivotButton="0" quotePrefix="0" xfId="0">
      <alignment horizontal="general" vertical="top" wrapText="1"/>
    </xf>
    <xf numFmtId="0" fontId="4" fillId="3" borderId="1" applyAlignment="1" pivotButton="0" quotePrefix="0" xfId="0">
      <alignment horizontal="center" vertical="top" wrapText="1"/>
    </xf>
    <xf numFmtId="0" fontId="0" fillId="0" borderId="5" pivotButton="0" quotePrefix="0" xfId="0"/>
    <xf numFmtId="0" fontId="4" fillId="3" borderId="1" applyAlignment="1" pivotButton="0" quotePrefix="0" xfId="0">
      <alignment horizontal="general" vertical="top" wrapText="1"/>
    </xf>
    <xf numFmtId="0" fontId="0" fillId="0" borderId="4" pivotButton="0" quotePrefix="0" xfId="0"/>
  </cellXfs>
  <cellStyles count="1">
    <cellStyle name="Normal" xfId="0" builtinId="0" hidden="0"/>
  </cellStyles>
  <dxfs count="3">
    <dxf>
      <fill>
        <patternFill patternType="solid">
          <fgColor rgb="FFC6EFCE"/>
          <bgColor rgb="FFC6EFCE"/>
        </patternFill>
      </fill>
    </dxf>
    <dxf>
      <fill>
        <patternFill patternType="solid">
          <fgColor rgb="FFF4CCCC"/>
          <bgColor rgb="FFF4CCCC"/>
        </patternFill>
      </fill>
    </dxf>
    <dxf>
      <fill>
        <patternFill patternType="solid">
          <fgColor rgb="FFFFF2CC"/>
          <b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32" customWidth="1" min="3" max="3"/>
    <col width="20" customWidth="1" min="4" max="4"/>
    <col width="22" customWidth="1" min="5" max="5"/>
    <col width="12" customWidth="1" min="6" max="6"/>
    <col width="11" customWidth="1" min="7" max="7"/>
    <col width="12" customWidth="1" min="8" max="8"/>
    <col width="14" customWidth="1" min="9" max="9"/>
    <col width="24" customWidth="1" min="10" max="10"/>
    <col width="42" customWidth="1" min="11" max="11"/>
    <col width="30" customWidth="1" min="12" max="12"/>
    <col width="52" customWidth="1" min="13" max="13"/>
    <col width="52" customWidth="1" min="14" max="14"/>
    <col width="26" customWidth="1" min="15" max="15"/>
    <col width="46" customWidth="1" min="16" max="16"/>
    <col width="14" customWidth="1" min="17" max="17"/>
    <col width="34" customWidth="1" min="18" max="18"/>
    <col width="40" customWidth="1" min="19" max="19"/>
    <col width="15" customWidth="1" min="20" max="20"/>
  </cols>
  <sheetData>
    <row r="1" ht="34.5" customHeight="1">
      <c r="A1" s="1" t="inlineStr">
        <is>
          <t>ID</t>
        </is>
      </c>
      <c r="B1" s="1" t="inlineStr">
        <is>
          <t>Scenario ID</t>
        </is>
      </c>
      <c r="C1" s="1" t="inlineStr">
        <is>
          <t>Title</t>
        </is>
      </c>
      <c r="D1" s="1" t="inlineStr">
        <is>
          <t>Test Suite</t>
        </is>
      </c>
      <c r="E1" s="1" t="inlineStr">
        <is>
          <t>Page</t>
        </is>
      </c>
      <c r="F1" s="1" t="inlineStr">
        <is>
          <t>Severity</t>
        </is>
      </c>
      <c r="G1" s="1" t="inlineStr">
        <is>
          <t>Priority</t>
        </is>
      </c>
      <c r="H1" s="1" t="inlineStr">
        <is>
          <t>Execution Status</t>
        </is>
      </c>
      <c r="I1" s="1" t="inlineStr">
        <is>
          <t>Test Type</t>
        </is>
      </c>
      <c r="J1" s="1" t="inlineStr">
        <is>
          <t>Environment</t>
        </is>
      </c>
      <c r="K1" s="1" t="inlineStr">
        <is>
          <t>Preconditions</t>
        </is>
      </c>
      <c r="L1" s="1" t="inlineStr">
        <is>
          <t>Test Data</t>
        </is>
      </c>
      <c r="M1" s="1" t="inlineStr">
        <is>
          <t>Test Steps</t>
        </is>
      </c>
      <c r="N1" s="1" t="inlineStr">
        <is>
          <t>Expected Result</t>
        </is>
      </c>
      <c r="O1" s="1" t="inlineStr">
        <is>
          <t>Actual Result</t>
        </is>
      </c>
      <c r="P1" s="1" t="inlineStr">
        <is>
          <t>Assumption Ref</t>
        </is>
      </c>
      <c r="Q1" s="1" t="inlineStr">
        <is>
          <t>Defect ID</t>
        </is>
      </c>
      <c r="R1" s="1" t="inlineStr">
        <is>
          <t>Traceability</t>
        </is>
      </c>
      <c r="S1" s="1" t="inlineStr">
        <is>
          <t>Note</t>
        </is>
      </c>
      <c r="T1" s="1" t="inlineStr">
        <is>
          <t>Review Status</t>
        </is>
      </c>
    </row>
    <row r="2" ht="223.5" customHeight="1">
      <c r="A2" s="2" t="inlineStr">
        <is>
          <t>TC-001</t>
        </is>
      </c>
      <c r="B2" s="2" t="inlineStr">
        <is>
          <t>TS-001</t>
        </is>
      </c>
      <c r="C2" s="3" t="inlineStr">
        <is>
          <t>Màn Upload applications hiện đúng thành phần ở trạng thái gốc</t>
        </is>
      </c>
      <c r="D2" s="3" t="inlineStr">
        <is>
          <t>F5.1 Upload applications list</t>
        </is>
      </c>
      <c r="E2" s="3" t="inlineStr">
        <is>
          <t>Upload applications (School user)</t>
        </is>
      </c>
      <c r="F2" s="2" t="inlineStr">
        <is>
          <t>S3</t>
        </is>
      </c>
      <c r="G2" s="2" t="inlineStr">
        <is>
          <t>Medium</t>
        </is>
      </c>
      <c r="H2" s="2" t="inlineStr">
        <is>
          <t>Not Run</t>
        </is>
      </c>
      <c r="I2" s="2" t="inlineStr">
        <is>
          <t>UI</t>
        </is>
      </c>
      <c r="J2" s="3" t="inlineStr">
        <is>
          <t>Prototype: edusave.vercel.app (ngày mẫu 18/10/2026)
Chrome (latest)
Build: ghi khi chạy
Cần: ENV-R5-01</t>
        </is>
      </c>
      <c r="K2" s="3" t="inlineStr">
        <is>
          <t>1. Prototype ở trạng thái gốc (dùng Reset data).
2. Đã đăng nhập School user BVP-0012 Lan Nguyen, trường Bukit View Primary.
3. Màn Upload applications đang mở.</t>
        </is>
      </c>
      <c r="L2" s="3" t="inlineStr">
        <is>
          <t>Trạng thái gốc của prototype: 1 Draft, 1 Pending APP-2026-00412 Aisha Rahman, 1 Approved SBFAS Tier 3 APP-2026-00386 Lucas Teo</t>
        </is>
      </c>
      <c r="M2" s="3" t="inlineStr">
        <is>
          <t>1. Mở menu Financial assistance, Upload applications.
2. Đọc tiêu đề, phụ đề, nút, ba thẻ, ô Search, ba bộ lọc, các cột của bảng và chân bảng.</t>
        </is>
      </c>
      <c r="N2" s="3" t="inlineStr">
        <is>
          <t>1. Tiêu đề Upload applications, nhãn FUNCTION 5 · PAPER APPLICATIONS, phụ đề "Scan the signed paper form, check what the system read, then submit it for assessment. One form is one student."
2. Nút Upload scans ở góc phải.
3. Ba thẻ PENDING (Waiting for assessment), MOEFAS (Approved automatically), SBFAS (Decided by school), các số đúng với hình của FS: 1, 1, 2.
4. Ô Search có placeholder "Search Application ID, uploaded by or EA number". Bộ lọc Status: All, Tier: All, Uploaded: Last 7 days.
5. Bảng có các cột File, Uploaded by, Uploaded at, Student, Application ID, Status. Cột Tier không có.
6. Chân bảng "Showing 1 to 3 of 3".</t>
        </is>
      </c>
      <c r="O2" s="3" t="n"/>
      <c r="P2" s="3" t="inlineStr">
        <is>
          <t>N/A</t>
        </is>
      </c>
      <c r="Q2" s="3" t="n"/>
      <c r="R2" s="3" t="inlineStr">
        <is>
          <t>Tender R5, US-042, FS F5 v1.2: 3 mục 1 đến 5, hình Upload applications</t>
        </is>
      </c>
      <c r="S2" s="3" t="inlineStr">
        <is>
          <t>Hình của FS còn hiển thị "One form is one student" trong phụ đề, FS 4 hiển thị "One application is one student" ở hộp thoại, xem ASM-R5-02.</t>
        </is>
      </c>
      <c r="T2" s="2" t="inlineStr">
        <is>
          <t>Approve</t>
        </is>
      </c>
    </row>
    <row r="3" ht="107.5" customHeight="1">
      <c r="A3" s="2" t="inlineStr">
        <is>
          <t>TC-002</t>
        </is>
      </c>
      <c r="B3" s="2" t="inlineStr">
        <is>
          <t>TS-001</t>
        </is>
      </c>
      <c r="C3" s="3" t="inlineStr">
        <is>
          <t>Ghi chú cuối trang đúng nguyên văn</t>
        </is>
      </c>
      <c r="D3" s="3" t="inlineStr">
        <is>
          <t>F5.1 Upload applications list</t>
        </is>
      </c>
      <c r="E3" s="3" t="inlineStr">
        <is>
          <t>Upload applications (School user)</t>
        </is>
      </c>
      <c r="F3" s="2" t="inlineStr">
        <is>
          <t>S4 (lowest)</t>
        </is>
      </c>
      <c r="G3" s="2" t="inlineStr">
        <is>
          <t>Low</t>
        </is>
      </c>
      <c r="H3" s="2" t="inlineStr">
        <is>
          <t>Not Run</t>
        </is>
      </c>
      <c r="I3" s="2" t="inlineStr">
        <is>
          <t>UI</t>
        </is>
      </c>
      <c r="J3" s="3" t="inlineStr">
        <is>
          <t>Prototype: edusave.vercel.app (ngày mẫu 18/10/2026)
Chrome (latest)
Build: ghi khi chạy
Cần: ENV-R5-01</t>
        </is>
      </c>
      <c r="K3" s="3" t="inlineStr">
        <is>
          <t>1. Prototype ở trạng thái gốc (dùng Reset data).
2. Đã đăng nhập School user BVP-0012 Lan Nguyen, trường Bukit View Primary.
3. Màn Upload applications đang mở.</t>
        </is>
      </c>
      <c r="L3" s="3" t="inlineStr">
        <is>
          <t>Trạng thái gốc của prototype: 1 Draft, 1 Pending APP-2026-00412 Aisha Rahman, 1 Approved SBFAS Tier 3 APP-2026-00386 Lucas Teo</t>
        </is>
      </c>
      <c r="M3" s="3" t="inlineStr">
        <is>
          <t>1. Cuộn đến cuối màn Upload applications.
2. Đọc ghi chú dưới bảng.</t>
        </is>
      </c>
      <c r="N3" s="3" t="inlineStr">
        <is>
          <t>1. Ghi chú đọc đúng: "Student is matched by NRIC/FIN against the school's enrolment (Function 3). Applications can be submitted only while a FAS application form is open. A student who already has an application this year is blocked at submit. Drafts appear in the list with status Draft until they are submitted."</t>
        </is>
      </c>
      <c r="O3" s="3" t="n"/>
      <c r="P3" s="3" t="inlineStr">
        <is>
          <t>N/A</t>
        </is>
      </c>
      <c r="Q3" s="3" t="n"/>
      <c r="R3" s="3" t="inlineStr">
        <is>
          <t>Tender R5, US-042, FS F5 v1.2: 3 mục 8</t>
        </is>
      </c>
      <c r="S3" s="3" t="n"/>
      <c r="T3" s="2" t="inlineStr">
        <is>
          <t>Approve</t>
        </is>
      </c>
    </row>
    <row r="4" ht="93" customHeight="1">
      <c r="A4" s="2" t="inlineStr">
        <is>
          <t>TC-003</t>
        </is>
      </c>
      <c r="B4" s="2" t="inlineStr">
        <is>
          <t>TS-002</t>
        </is>
      </c>
      <c r="C4" s="3" t="inlineStr">
        <is>
          <t>Thẻ đếm đơn đã nộp của trường và không đếm bản Draft</t>
        </is>
      </c>
      <c r="D4" s="3" t="inlineStr">
        <is>
          <t>F5.1 Upload applications list</t>
        </is>
      </c>
      <c r="E4" s="3" t="inlineStr">
        <is>
          <t>Upload applications (School user)</t>
        </is>
      </c>
      <c r="F4" s="2" t="inlineStr">
        <is>
          <t>S2</t>
        </is>
      </c>
      <c r="G4" s="2" t="inlineStr">
        <is>
          <t>Medium</t>
        </is>
      </c>
      <c r="H4" s="2" t="inlineStr">
        <is>
          <t>Not Run</t>
        </is>
      </c>
      <c r="I4" s="2" t="inlineStr">
        <is>
          <t>Functional</t>
        </is>
      </c>
      <c r="J4" s="3" t="inlineStr">
        <is>
          <t>Prototype: edusave.vercel.app (ngày mẫu 18/10/2026)
Chrome (latest)
Build: ghi khi chạy
Cần: ENV-R5-01</t>
        </is>
      </c>
      <c r="K4" s="3" t="inlineStr">
        <is>
          <t>1. Prototype ở trạng thái gốc (dùng Reset data).
2. Đã đăng nhập School user BVP-0012 Lan Nguyen, trường Bukit View Primary.
3. Màn Upload applications đang mở.</t>
        </is>
      </c>
      <c r="L4" s="3" t="inlineStr">
        <is>
          <t>Trạng thái gốc của prototype: 1 Draft, 1 Pending APP-2026-00412 Aisha Rahman, 1 Approved SBFAS Tier 3 APP-2026-00386 Lucas Teo</t>
        </is>
      </c>
      <c r="M4" s="3" t="inlineStr">
        <is>
          <t>1. Đọc số trên ba thẻ PENDING, MOEFAS, SBFAS.
2. Đếm số dòng Draft, Pending, Approved trong danh sách và trong chế độ Uploaded: Any time.</t>
        </is>
      </c>
      <c r="N4" s="3" t="inlineStr">
        <is>
          <t>1. PENDING 1, MOEFAS 1, SBFAS 2 như hình của FS.
2. Dòng Draft không được tính vào thẻ nào: tổng ba thẻ không đổi khi thêm hoặc bỏ một Draft.
3. Các thẻ không đổi khi đổi bộ lọc Uploaded.</t>
        </is>
      </c>
      <c r="O4" s="3" t="n"/>
      <c r="P4" s="3" t="inlineStr">
        <is>
          <t>ASM-R5-21: Thẻ đếm đơn đã nộp của trường, không đếm Draft, và không đổi theo Search hay Uploaded. Bấm thẻ đặt bộ lọc Status tương ứng. Search, Status, Tier và Uploaded kết hợp bằng AND và quay về trang 1.</t>
        </is>
      </c>
      <c r="Q4" s="3" t="n"/>
      <c r="R4" s="3" t="inlineStr">
        <is>
          <t>Tender R5, US-042, FS F5 v1.2: 3 mục 2, hình Upload applications</t>
        </is>
      </c>
      <c r="S4" s="3" t="inlineStr">
        <is>
          <t>Suy luận từ hình: danh sách Last 7 days chỉ có 3 dòng nhưng thẻ SBFAS là 2 và thẻ MOEFAS là 1.</t>
        </is>
      </c>
      <c r="T4" s="2" t="inlineStr">
        <is>
          <t>Draft</t>
        </is>
      </c>
    </row>
    <row r="5" ht="93" customHeight="1">
      <c r="A5" s="2" t="inlineStr">
        <is>
          <t>TC-004</t>
        </is>
      </c>
      <c r="B5" s="2" t="inlineStr">
        <is>
          <t>TS-002</t>
        </is>
      </c>
      <c r="C5" s="3" t="inlineStr">
        <is>
          <t>Bấm thẻ PENDING lọc danh sách, bấm lần nữa bỏ lọc</t>
        </is>
      </c>
      <c r="D5" s="3" t="inlineStr">
        <is>
          <t>F5.1 Upload applications list</t>
        </is>
      </c>
      <c r="E5" s="3" t="inlineStr">
        <is>
          <t>Upload applications (School user)</t>
        </is>
      </c>
      <c r="F5" s="2" t="inlineStr">
        <is>
          <t>S2</t>
        </is>
      </c>
      <c r="G5" s="2" t="inlineStr">
        <is>
          <t>High</t>
        </is>
      </c>
      <c r="H5" s="2" t="inlineStr">
        <is>
          <t>Not Run</t>
        </is>
      </c>
      <c r="I5" s="2" t="inlineStr">
        <is>
          <t>Functional</t>
        </is>
      </c>
      <c r="J5" s="3" t="inlineStr">
        <is>
          <t>Prototype: edusave.vercel.app (ngày mẫu 18/10/2026)
Chrome (latest)
Build: ghi khi chạy
Cần: ENV-R5-01</t>
        </is>
      </c>
      <c r="K5" s="3" t="inlineStr">
        <is>
          <t>1. Prototype ở trạng thái gốc (dùng Reset data).
2. Đã đăng nhập School user BVP-0012 Lan Nguyen, trường Bukit View Primary.
3. Màn Upload applications đang mở.</t>
        </is>
      </c>
      <c r="L5" s="3" t="inlineStr">
        <is>
          <t>Trạng thái gốc của prototype: 1 Draft, 1 Pending APP-2026-00412 Aisha Rahman, 1 Approved SBFAS Tier 3 APP-2026-00386 Lucas Teo</t>
        </is>
      </c>
      <c r="M5" s="3" t="inlineStr">
        <is>
          <t>1. Bấm thẻ PENDING.
2. Đọc các dòng của bảng.
3. Bấm thẻ PENDING lần nữa.</t>
        </is>
      </c>
      <c r="N5" s="3" t="inlineStr">
        <is>
          <t>1. Sau lần bấm đầu thẻ ở trạng thái chọn và bảng chỉ có các dòng có trạng thái Pending, ở trạng thái gốc là APP-2026-00412 Aisha Rahman.
2. Sau lần bấm thứ hai thẻ hết trạng thái chọn và bảng quay về 3 dòng như ban đầu.</t>
        </is>
      </c>
      <c r="O5" s="3" t="n"/>
      <c r="P5" s="3" t="inlineStr">
        <is>
          <t>N/A</t>
        </is>
      </c>
      <c r="Q5" s="3" t="n"/>
      <c r="R5" s="3" t="inlineStr">
        <is>
          <t>Tender R5, US-042, FS F5 v1.2: 3 mục 2</t>
        </is>
      </c>
      <c r="S5" s="3" t="n"/>
      <c r="T5" s="2" t="inlineStr">
        <is>
          <t>Approve</t>
        </is>
      </c>
    </row>
    <row r="6" ht="93" customHeight="1">
      <c r="A6" s="2" t="inlineStr">
        <is>
          <t>TC-005</t>
        </is>
      </c>
      <c r="B6" s="2" t="inlineStr">
        <is>
          <t>TS-002</t>
        </is>
      </c>
      <c r="C6" s="3" t="inlineStr">
        <is>
          <t>Bấm thẻ SBFAS lọc các đơn SBFAS và hiện cột Tier</t>
        </is>
      </c>
      <c r="D6" s="3" t="inlineStr">
        <is>
          <t>F5.1 Upload applications list</t>
        </is>
      </c>
      <c r="E6" s="3" t="inlineStr">
        <is>
          <t>Upload applications (School user)</t>
        </is>
      </c>
      <c r="F6" s="2" t="inlineStr">
        <is>
          <t>S2</t>
        </is>
      </c>
      <c r="G6" s="2" t="inlineStr">
        <is>
          <t>Medium</t>
        </is>
      </c>
      <c r="H6" s="2" t="inlineStr">
        <is>
          <t>Not Run</t>
        </is>
      </c>
      <c r="I6" s="2" t="inlineStr">
        <is>
          <t>Functional</t>
        </is>
      </c>
      <c r="J6" s="3" t="inlineStr">
        <is>
          <t>Prototype: edusave.vercel.app (ngày mẫu 18/10/2026)
Chrome (latest)
Build: ghi khi chạy
Cần: ENV-R5-01</t>
        </is>
      </c>
      <c r="K6" s="3" t="inlineStr">
        <is>
          <t>1. Prototype ở trạng thái gốc (dùng Reset data).
2. Đã đăng nhập School user BVP-0012 Lan Nguyen, trường Bukit View Primary.
3. Màn Upload applications đang mở.</t>
        </is>
      </c>
      <c r="L6" s="3" t="inlineStr">
        <is>
          <t>Trạng thái gốc của prototype: 1 Draft, 1 Pending APP-2026-00412 Aisha Rahman, 1 Approved SBFAS Tier 3 APP-2026-00386 Lucas Teo</t>
        </is>
      </c>
      <c r="M6" s="3" t="inlineStr">
        <is>
          <t>1. Bấm thẻ SBFAS.
2. Đọc các dòng và các cột của bảng.
3. Bấm thẻ SBFAS lần nữa.</t>
        </is>
      </c>
      <c r="N6" s="3" t="inlineStr">
        <is>
          <t>1. Bảng chỉ có các dòng Approved · SBFAS, ở trạng thái gốc là APP-2026-00386 Lucas Teo, Status ghi Approved SBFAS · Tier 3.
2. Cột Tier xuất hiện trong bảng khi lọc SBFAS và biến mất khi bỏ lọc.</t>
        </is>
      </c>
      <c r="O6" s="3" t="n"/>
      <c r="P6" s="3" t="inlineStr">
        <is>
          <t>N/A</t>
        </is>
      </c>
      <c r="Q6" s="3" t="n"/>
      <c r="R6" s="3" t="inlineStr">
        <is>
          <t>Tender R5, US-042, FS F5 v1.2: 3 mục 2, 5</t>
        </is>
      </c>
      <c r="S6" s="3" t="n"/>
      <c r="T6" s="2" t="inlineStr">
        <is>
          <t>Approve</t>
        </is>
      </c>
    </row>
    <row r="7" ht="93" customHeight="1">
      <c r="A7" s="2" t="inlineStr">
        <is>
          <t>TC-006</t>
        </is>
      </c>
      <c r="B7" s="2" t="inlineStr">
        <is>
          <t>TS-002</t>
        </is>
      </c>
      <c r="C7" s="3" t="inlineStr">
        <is>
          <t>Bấm thẻ MOEFAS lọc các đơn MOEFAS đã duyệt tự động</t>
        </is>
      </c>
      <c r="D7" s="3" t="inlineStr">
        <is>
          <t>F5.1 Upload applications list</t>
        </is>
      </c>
      <c r="E7" s="3" t="inlineStr">
        <is>
          <t>Upload applications (School user)</t>
        </is>
      </c>
      <c r="F7" s="2" t="inlineStr">
        <is>
          <t>S2</t>
        </is>
      </c>
      <c r="G7" s="2" t="inlineStr">
        <is>
          <t>Medium</t>
        </is>
      </c>
      <c r="H7" s="2" t="inlineStr">
        <is>
          <t>Not Run</t>
        </is>
      </c>
      <c r="I7" s="2" t="inlineStr">
        <is>
          <t>Functional</t>
        </is>
      </c>
      <c r="J7" s="3" t="inlineStr">
        <is>
          <t>Prototype: edusave.vercel.app (ngày mẫu 18/10/2026)
Chrome (latest)
Build: ghi khi chạy
Cần: ENV-R5-01</t>
        </is>
      </c>
      <c r="K7" s="3" t="inlineStr">
        <is>
          <t>1. Prototype ở trạng thái gốc (dùng Reset data).
2. Đã đăng nhập School user BVP-0012 Lan Nguyen, trường Bukit View Primary.
3. Màn Upload applications đang mở.</t>
        </is>
      </c>
      <c r="L7" s="3" t="inlineStr">
        <is>
          <t>Trạng thái gốc của prototype: 1 Draft, 1 Pending APP-2026-00412 Aisha Rahman, 1 Approved SBFAS Tier 3 APP-2026-00386 Lucas Teo</t>
        </is>
      </c>
      <c r="M7" s="3" t="inlineStr">
        <is>
          <t>1. Đổi bộ lọc Uploaded sang Any time.
2. Bấm thẻ MOEFAS.
3. Đọc các dòng của bảng.</t>
        </is>
      </c>
      <c r="N7" s="3" t="inlineStr">
        <is>
          <t>1. Bảng chỉ có các đơn có Status Approved · MOEFAS, số dòng bằng số trên thẻ MOEFAS (1).
2. Mọi dòng hiển thị Approved MOEFAS và Application ID.</t>
        </is>
      </c>
      <c r="O7" s="3" t="n"/>
      <c r="P7" s="3" t="inlineStr">
        <is>
          <t>ASM-R5-21: Thẻ đếm đơn đã nộp của trường, không đếm Draft, và không đổi theo Search hay Uploaded. Bấm thẻ đặt bộ lọc Status tương ứng. Search, Status, Tier và Uploaded kết hợp bằng AND và quay về trang 1.</t>
        </is>
      </c>
      <c r="Q7" s="3" t="n"/>
      <c r="R7" s="3" t="inlineStr">
        <is>
          <t>Tender R5, US-042, FS F5 v1.2: 3 mục 2</t>
        </is>
      </c>
      <c r="S7" s="3" t="inlineStr">
        <is>
          <t>Thẻ có theo Uploaded hay không là điểm mở O22.</t>
        </is>
      </c>
      <c r="T7" s="2" t="inlineStr">
        <is>
          <t>Draft</t>
        </is>
      </c>
    </row>
    <row r="8" ht="93" customHeight="1">
      <c r="A8" s="2" t="inlineStr">
        <is>
          <t>TC-007</t>
        </is>
      </c>
      <c r="B8" s="2" t="inlineStr">
        <is>
          <t>TS-002</t>
        </is>
      </c>
      <c r="C8" s="3" t="inlineStr">
        <is>
          <t>Thẻ không đổi khi gõ ô Search</t>
        </is>
      </c>
      <c r="D8" s="3" t="inlineStr">
        <is>
          <t>F5.1 Upload applications list</t>
        </is>
      </c>
      <c r="E8" s="3" t="inlineStr">
        <is>
          <t>Upload applications (School user)</t>
        </is>
      </c>
      <c r="F8" s="2" t="inlineStr">
        <is>
          <t>S3</t>
        </is>
      </c>
      <c r="G8" s="2" t="inlineStr">
        <is>
          <t>Low</t>
        </is>
      </c>
      <c r="H8" s="2" t="inlineStr">
        <is>
          <t>Not Run</t>
        </is>
      </c>
      <c r="I8" s="2" t="inlineStr">
        <is>
          <t>Functional</t>
        </is>
      </c>
      <c r="J8" s="3" t="inlineStr">
        <is>
          <t>Prototype: edusave.vercel.app (ngày mẫu 18/10/2026)
Chrome (latest)
Build: ghi khi chạy
Cần: ENV-R5-01</t>
        </is>
      </c>
      <c r="K8" s="3" t="inlineStr">
        <is>
          <t>1. Prototype ở trạng thái gốc (dùng Reset data).
2. Đã đăng nhập School user BVP-0012 Lan Nguyen, trường Bukit View Primary.
3. Màn Upload applications đang mở.</t>
        </is>
      </c>
      <c r="L8" s="3" t="inlineStr">
        <is>
          <t>Trạng thái gốc của prototype: 1 Draft, 1 Pending APP-2026-00412 Aisha Rahman, 1 Approved SBFAS Tier 3 APP-2026-00386 Lucas Teo</t>
        </is>
      </c>
      <c r="M8" s="3" t="inlineStr">
        <is>
          <t>1. Gõ "Lucas" vào ô Search.
2. Đọc ba thẻ và các dòng của bảng.</t>
        </is>
      </c>
      <c r="N8" s="3" t="inlineStr">
        <is>
          <t>1. Bảng chỉ còn dòng của Lucas Teo.
2. Ba thẻ giữ nguyên PENDING 1, MOEFAS 1, SBFAS 2.</t>
        </is>
      </c>
      <c r="O8" s="3" t="n"/>
      <c r="P8" s="3" t="inlineStr">
        <is>
          <t>ASM-R5-21: Thẻ đếm đơn đã nộp của trường, không đếm Draft, và không đổi theo Search hay Uploaded. Bấm thẻ đặt bộ lọc Status tương ứng. Search, Status, Tier và Uploaded kết hợp bằng AND và quay về trang 1.</t>
        </is>
      </c>
      <c r="Q8" s="3" t="n"/>
      <c r="R8" s="3" t="inlineStr">
        <is>
          <t>Tender R5, US-042, FS F5 v1.2: 3 mục 2, 3</t>
        </is>
      </c>
      <c r="S8" s="3" t="n"/>
      <c r="T8" s="2" t="inlineStr">
        <is>
          <t>Draft</t>
        </is>
      </c>
    </row>
    <row r="9" ht="93" customHeight="1">
      <c r="A9" s="2" t="inlineStr">
        <is>
          <t>TC-008</t>
        </is>
      </c>
      <c r="B9" s="2" t="inlineStr">
        <is>
          <t>TS-003</t>
        </is>
      </c>
      <c r="C9" s="3" t="inlineStr">
        <is>
          <t>Tìm theo Application ID đầy đủ</t>
        </is>
      </c>
      <c r="D9" s="3" t="inlineStr">
        <is>
          <t>F5.1 Upload applications list</t>
        </is>
      </c>
      <c r="E9" s="3" t="inlineStr">
        <is>
          <t>Upload applications (School user)</t>
        </is>
      </c>
      <c r="F9" s="2" t="inlineStr">
        <is>
          <t>S2</t>
        </is>
      </c>
      <c r="G9" s="2" t="inlineStr">
        <is>
          <t>Medium</t>
        </is>
      </c>
      <c r="H9" s="2" t="inlineStr">
        <is>
          <t>Not Run</t>
        </is>
      </c>
      <c r="I9" s="2" t="inlineStr">
        <is>
          <t>Functional</t>
        </is>
      </c>
      <c r="J9" s="3" t="inlineStr">
        <is>
          <t>Prototype: edusave.vercel.app (ngày mẫu 18/10/2026)
Chrome (latest)
Build: ghi khi chạy
Cần: ENV-R5-01</t>
        </is>
      </c>
      <c r="K9" s="3" t="inlineStr">
        <is>
          <t>1. Prototype ở trạng thái gốc (dùng Reset data).
2. Đã đăng nhập School user BVP-0012 Lan Nguyen, trường Bukit View Primary.
3. Màn Upload applications đang mở.</t>
        </is>
      </c>
      <c r="L9" s="3" t="inlineStr">
        <is>
          <t>Search: APP-2026-00412</t>
        </is>
      </c>
      <c r="M9" s="3" t="inlineStr">
        <is>
          <t>1. Mở màn Upload applications.
2. Nhập vào ô Search: APP-2026-00412.
3. Đọc bảng.
4. Xoá ô Search.</t>
        </is>
      </c>
      <c r="N9" s="3" t="inlineStr">
        <is>
          <t>1. Bảng chỉ có APP-2026-00412 Aisha Rahman.
2. Xoá ô Search thì bảng quay về 3 dòng.</t>
        </is>
      </c>
      <c r="O9" s="3" t="n"/>
      <c r="P9" s="3" t="inlineStr">
        <is>
          <t>N/A</t>
        </is>
      </c>
      <c r="Q9" s="3" t="n"/>
      <c r="R9" s="3" t="inlineStr">
        <is>
          <t>Tender R5, US-042, FS F5 v1.2: 3 mục 3</t>
        </is>
      </c>
      <c r="S9" s="3" t="n"/>
      <c r="T9" s="2" t="inlineStr">
        <is>
          <t>Approve</t>
        </is>
      </c>
    </row>
    <row r="10" ht="93" customHeight="1">
      <c r="A10" s="2" t="inlineStr">
        <is>
          <t>TC-009</t>
        </is>
      </c>
      <c r="B10" s="2" t="inlineStr">
        <is>
          <t>TS-003</t>
        </is>
      </c>
      <c r="C10" s="3" t="inlineStr">
        <is>
          <t>Tìm theo một phần Application ID</t>
        </is>
      </c>
      <c r="D10" s="3" t="inlineStr">
        <is>
          <t>F5.1 Upload applications list</t>
        </is>
      </c>
      <c r="E10" s="3" t="inlineStr">
        <is>
          <t>Upload applications (School user)</t>
        </is>
      </c>
      <c r="F10" s="2" t="inlineStr">
        <is>
          <t>S2</t>
        </is>
      </c>
      <c r="G10" s="2" t="inlineStr">
        <is>
          <t>Medium</t>
        </is>
      </c>
      <c r="H10" s="2" t="inlineStr">
        <is>
          <t>Not Run</t>
        </is>
      </c>
      <c r="I10" s="2" t="inlineStr">
        <is>
          <t>Functional</t>
        </is>
      </c>
      <c r="J10" s="3" t="inlineStr">
        <is>
          <t>Prototype: edusave.vercel.app (ngày mẫu 18/10/2026)
Chrome (latest)
Build: ghi khi chạy
Cần: ENV-R5-01</t>
        </is>
      </c>
      <c r="K10" s="3" t="inlineStr">
        <is>
          <t>1. Prototype ở trạng thái gốc (dùng Reset data).
2. Đã đăng nhập School user BVP-0012 Lan Nguyen, trường Bukit View Primary.
3. Màn Upload applications đang mở.</t>
        </is>
      </c>
      <c r="L10" s="3" t="inlineStr">
        <is>
          <t>Search: 00386</t>
        </is>
      </c>
      <c r="M10" s="3" t="inlineStr">
        <is>
          <t>1. Mở màn Upload applications.
2. Nhập vào ô Search: 00386.
3. Đọc bảng.
4. Xoá ô Search.</t>
        </is>
      </c>
      <c r="N10" s="3" t="inlineStr">
        <is>
          <t>1. Bảng chỉ có APP-2026-00386 Lucas Teo.</t>
        </is>
      </c>
      <c r="O10" s="3" t="n"/>
      <c r="P10" s="3" t="inlineStr">
        <is>
          <t>N/A</t>
        </is>
      </c>
      <c r="Q10" s="3" t="n"/>
      <c r="R10" s="3" t="inlineStr">
        <is>
          <t>Tender R5, US-042, FS F5 v1.2: 3 mục 3</t>
        </is>
      </c>
      <c r="S10" s="3" t="n"/>
      <c r="T10" s="2" t="inlineStr">
        <is>
          <t>Approve</t>
        </is>
      </c>
    </row>
    <row r="11" ht="93" customHeight="1">
      <c r="A11" s="2" t="inlineStr">
        <is>
          <t>TC-010</t>
        </is>
      </c>
      <c r="B11" s="2" t="inlineStr">
        <is>
          <t>TS-003</t>
        </is>
      </c>
      <c r="C11" s="3" t="inlineStr">
        <is>
          <t>Tìm theo tên người tải lên</t>
        </is>
      </c>
      <c r="D11" s="3" t="inlineStr">
        <is>
          <t>F5.1 Upload applications list</t>
        </is>
      </c>
      <c r="E11" s="3" t="inlineStr">
        <is>
          <t>Upload applications (School user)</t>
        </is>
      </c>
      <c r="F11" s="2" t="inlineStr">
        <is>
          <t>S2</t>
        </is>
      </c>
      <c r="G11" s="2" t="inlineStr">
        <is>
          <t>Medium</t>
        </is>
      </c>
      <c r="H11" s="2" t="inlineStr">
        <is>
          <t>Not Run</t>
        </is>
      </c>
      <c r="I11" s="2" t="inlineStr">
        <is>
          <t>Functional</t>
        </is>
      </c>
      <c r="J11" s="3" t="inlineStr">
        <is>
          <t>Prototype: edusave.vercel.app (ngày mẫu 18/10/2026)
Chrome (latest)
Build: ghi khi chạy
Cần: ENV-R5-01</t>
        </is>
      </c>
      <c r="K11" s="3" t="inlineStr">
        <is>
          <t>1. Prototype ở trạng thái gốc (dùng Reset data).
2. Đã đăng nhập School user BVP-0012 Lan Nguyen, trường Bukit View Primary.
3. Màn Upload applications đang mở.</t>
        </is>
      </c>
      <c r="L11" s="3" t="inlineStr">
        <is>
          <t>Search: lan</t>
        </is>
      </c>
      <c r="M11" s="3" t="inlineStr">
        <is>
          <t>1. Mở màn Upload applications.
2. Nhập vào ô Search: lan.
3. Đọc bảng.
4. Xoá ô Search.</t>
        </is>
      </c>
      <c r="N11" s="3" t="inlineStr">
        <is>
          <t>1. Cả 3 dòng hiện, vì cả ba do Lan Nguyen tải lên.</t>
        </is>
      </c>
      <c r="O11" s="3" t="n"/>
      <c r="P11" s="3" t="inlineStr">
        <is>
          <t>N/A</t>
        </is>
      </c>
      <c r="Q11" s="3" t="n"/>
      <c r="R11" s="3" t="inlineStr">
        <is>
          <t>Tender R5, US-042, FS F5 v1.2: 3 mục 3</t>
        </is>
      </c>
      <c r="S11" s="3" t="n"/>
      <c r="T11" s="2" t="inlineStr">
        <is>
          <t>Approve</t>
        </is>
      </c>
    </row>
    <row r="12" ht="93" customHeight="1">
      <c r="A12" s="2" t="inlineStr">
        <is>
          <t>TC-011</t>
        </is>
      </c>
      <c r="B12" s="2" t="inlineStr">
        <is>
          <t>TS-003</t>
        </is>
      </c>
      <c r="C12" s="3" t="inlineStr">
        <is>
          <t>Tìm theo tên học sinh trong dòng Draft</t>
        </is>
      </c>
      <c r="D12" s="3" t="inlineStr">
        <is>
          <t>F5.1 Upload applications list</t>
        </is>
      </c>
      <c r="E12" s="3" t="inlineStr">
        <is>
          <t>Upload applications (School user)</t>
        </is>
      </c>
      <c r="F12" s="2" t="inlineStr">
        <is>
          <t>S2</t>
        </is>
      </c>
      <c r="G12" s="2" t="inlineStr">
        <is>
          <t>Medium</t>
        </is>
      </c>
      <c r="H12" s="2" t="inlineStr">
        <is>
          <t>Not Run</t>
        </is>
      </c>
      <c r="I12" s="2" t="inlineStr">
        <is>
          <t>Functional</t>
        </is>
      </c>
      <c r="J12" s="3" t="inlineStr">
        <is>
          <t>Prototype: edusave.vercel.app (ngày mẫu 18/10/2026)
Chrome (latest)
Build: ghi khi chạy
Cần: ENV-R5-01</t>
        </is>
      </c>
      <c r="K12" s="3" t="inlineStr">
        <is>
          <t>1. Prototype ở trạng thái gốc (dùng Reset data).
2. Đã đăng nhập School user BVP-0012 Lan Nguyen, trường Bukit View Primary.
3. Màn Upload applications đang mở.</t>
        </is>
      </c>
      <c r="L12" s="3" t="inlineStr">
        <is>
          <t>Search: Mei Ling</t>
        </is>
      </c>
      <c r="M12" s="3" t="inlineStr">
        <is>
          <t>1. Mở màn Upload applications.
2. Nhập vào ô Search: Mei Ling.
3. Đọc bảng.
4. Xoá ô Search.</t>
        </is>
      </c>
      <c r="N12" s="3" t="inlineStr">
        <is>
          <t>1. Bảng chỉ có dòng Draft của Tan Mei Ling, Application ID là Not submitted.</t>
        </is>
      </c>
      <c r="O12" s="3" t="n"/>
      <c r="P12" s="3" t="inlineStr">
        <is>
          <t>N/A</t>
        </is>
      </c>
      <c r="Q12" s="3" t="n"/>
      <c r="R12" s="3" t="inlineStr">
        <is>
          <t>Tender R5, US-042, FS F5 v1.2: 3 mục 3, 6</t>
        </is>
      </c>
      <c r="S12" s="3" t="n"/>
      <c r="T12" s="2" t="inlineStr">
        <is>
          <t>Approve</t>
        </is>
      </c>
    </row>
    <row r="13" ht="93" customHeight="1">
      <c r="A13" s="2" t="inlineStr">
        <is>
          <t>TC-012</t>
        </is>
      </c>
      <c r="B13" s="2" t="inlineStr">
        <is>
          <t>TS-003</t>
        </is>
      </c>
      <c r="C13" s="3" t="inlineStr">
        <is>
          <t>Tìm theo số EA của học sinh</t>
        </is>
      </c>
      <c r="D13" s="3" t="inlineStr">
        <is>
          <t>F5.1 Upload applications list</t>
        </is>
      </c>
      <c r="E13" s="3" t="inlineStr">
        <is>
          <t>Upload applications (School user)</t>
        </is>
      </c>
      <c r="F13" s="2" t="inlineStr">
        <is>
          <t>S2</t>
        </is>
      </c>
      <c r="G13" s="2" t="inlineStr">
        <is>
          <t>Medium</t>
        </is>
      </c>
      <c r="H13" s="2" t="inlineStr">
        <is>
          <t>Not Run</t>
        </is>
      </c>
      <c r="I13" s="2" t="inlineStr">
        <is>
          <t>Functional</t>
        </is>
      </c>
      <c r="J13" s="3" t="inlineStr">
        <is>
          <t>Prototype: edusave.vercel.app (ngày mẫu 18/10/2026)
Chrome (latest)
Build: ghi khi chạy
Cần: ENV-R5-01</t>
        </is>
      </c>
      <c r="K13" s="3" t="inlineStr">
        <is>
          <t>1. Prototype ở trạng thái gốc (dùng Reset data).
2. Đã đăng nhập School user BVP-0012 Lan Nguyen, trường Bukit View Primary.
3. Màn Upload applications đang mở.</t>
        </is>
      </c>
      <c r="L13" s="3" t="inlineStr">
        <is>
          <t>Search: số EA nhìn thấy dưới tên Aisha Rahman</t>
        </is>
      </c>
      <c r="M13" s="3" t="inlineStr">
        <is>
          <t>1. Mở màn Upload applications.
2. Nhập vào ô Search: EA của Aisha Rahman đọc trong cột Student.
3. Đọc bảng.
4. Xoá ô Search.</t>
        </is>
      </c>
      <c r="N13" s="3" t="inlineStr">
        <is>
          <t>1. Bảng chỉ có APP-2026-00412 Aisha Rahman.</t>
        </is>
      </c>
      <c r="O13" s="3" t="n"/>
      <c r="P13" s="3" t="inlineStr">
        <is>
          <t>N/A</t>
        </is>
      </c>
      <c r="Q13" s="3" t="n"/>
      <c r="R13" s="3" t="inlineStr">
        <is>
          <t>Tender R5, US-042, FS F5 v1.2: 3 mục 3, 5</t>
        </is>
      </c>
      <c r="S13" s="3" t="n"/>
      <c r="T13" s="2" t="inlineStr">
        <is>
          <t>Approve</t>
        </is>
      </c>
    </row>
    <row r="14" ht="194.5" customHeight="1">
      <c r="A14" s="2" t="inlineStr">
        <is>
          <t>TC-013</t>
        </is>
      </c>
      <c r="B14" s="2" t="inlineStr">
        <is>
          <t>TS-003</t>
        </is>
      </c>
      <c r="C14" s="3" t="inlineStr">
        <is>
          <t>Tìm không có kết quả hiện thông báo trống</t>
        </is>
      </c>
      <c r="D14" s="3" t="inlineStr">
        <is>
          <t>F5.1 Upload applications list</t>
        </is>
      </c>
      <c r="E14" s="3" t="inlineStr">
        <is>
          <t>Upload applications (School user)</t>
        </is>
      </c>
      <c r="F14" s="2" t="inlineStr">
        <is>
          <t>S3</t>
        </is>
      </c>
      <c r="G14" s="2" t="inlineStr">
        <is>
          <t>Medium</t>
        </is>
      </c>
      <c r="H14" s="2" t="inlineStr">
        <is>
          <t>Not Run</t>
        </is>
      </c>
      <c r="I14" s="2" t="inlineStr">
        <is>
          <t>Functional</t>
        </is>
      </c>
      <c r="J14" s="3" t="inlineStr">
        <is>
          <t>Prototype: edusave.vercel.app (ngày mẫu 18/10/2026)
Chrome (latest)
Build: ghi khi chạy
Cần: ENV-R5-01</t>
        </is>
      </c>
      <c r="K14" s="3" t="inlineStr">
        <is>
          <t>1. Prototype ở trạng thái gốc (dùng Reset data).
2. Đã đăng nhập School user BVP-0012 Lan Nguyen, trường Bukit View Primary.
3. Màn Upload applications đang mở.</t>
        </is>
      </c>
      <c r="L14" s="3" t="inlineStr">
        <is>
          <t>Search: zzzz</t>
        </is>
      </c>
      <c r="M14" s="3" t="inlineStr">
        <is>
          <t>1. Nhập "zzzz" vào ô Search.
2. Đọc bảng.</t>
        </is>
      </c>
      <c r="N14" s="3" t="inlineStr">
        <is>
          <t>1. Bảng không có dòng nào và hiện "No applications found."
2. Không có lỗi nào khác.</t>
        </is>
      </c>
      <c r="O14" s="3" t="n"/>
      <c r="P14"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4" s="3" t="n"/>
      <c r="R14" s="3" t="inlineStr">
        <is>
          <t>Tender R5, US-042, FS F5 v1.2: 3 mục 3</t>
        </is>
      </c>
      <c r="S14" s="3" t="n"/>
      <c r="T14" s="2" t="inlineStr">
        <is>
          <t>Draft</t>
        </is>
      </c>
    </row>
    <row r="15" ht="107.5" customHeight="1">
      <c r="A15" s="2" t="inlineStr">
        <is>
          <t>TC-014</t>
        </is>
      </c>
      <c r="B15" s="2" t="inlineStr">
        <is>
          <t>TS-003</t>
        </is>
      </c>
      <c r="C15" s="3" t="inlineStr">
        <is>
          <t>Tìm không phân biệt chữ hoa chữ thường và cắt khoảng trắng đầu cuối</t>
        </is>
      </c>
      <c r="D15" s="3" t="inlineStr">
        <is>
          <t>F5.1 Upload applications list</t>
        </is>
      </c>
      <c r="E15" s="3" t="inlineStr">
        <is>
          <t>Upload applications (School user)</t>
        </is>
      </c>
      <c r="F15" s="2" t="inlineStr">
        <is>
          <t>S3</t>
        </is>
      </c>
      <c r="G15" s="2" t="inlineStr">
        <is>
          <t>Medium</t>
        </is>
      </c>
      <c r="H15" s="2" t="inlineStr">
        <is>
          <t>Not Run</t>
        </is>
      </c>
      <c r="I15" s="2" t="inlineStr">
        <is>
          <t>Functional</t>
        </is>
      </c>
      <c r="J15" s="3" t="inlineStr">
        <is>
          <t>Prototype: edusave.vercel.app (ngày mẫu 18/10/2026)
Chrome (latest)
Build: ghi khi chạy
Cần: ENV-R5-01</t>
        </is>
      </c>
      <c r="K15" s="3" t="inlineStr">
        <is>
          <t>1. Prototype ở trạng thái gốc (dùng Reset data).
2. Đã đăng nhập School user BVP-0012 Lan Nguyen, trường Bukit View Primary.
3. Màn Upload applications đang mở.</t>
        </is>
      </c>
      <c r="L15" s="3" t="inlineStr">
        <is>
          <t>Search: "  AISHA  " rồi "aisha"</t>
        </is>
      </c>
      <c r="M15" s="3" t="inlineStr">
        <is>
          <t>1. Nhập "  AISHA  " (có hai khoảng trắng mỗi đầu) vào ô Search.
2. Đọc bảng.
3. Nhập "aisha".</t>
        </is>
      </c>
      <c r="N15" s="3" t="inlineStr">
        <is>
          <t>1. Cả hai cách nhập đều cho cùng một kết quả: dòng APP-2026-00412 Aisha Rahman.</t>
        </is>
      </c>
      <c r="O15" s="3" t="n"/>
      <c r="P15"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15" s="3" t="n"/>
      <c r="R15" s="3" t="inlineStr">
        <is>
          <t>Tender R5, US-042, FS F5 v1.2: 3 mục 3</t>
        </is>
      </c>
      <c r="S15" s="3" t="n"/>
      <c r="T15" s="2" t="inlineStr">
        <is>
          <t>Draft</t>
        </is>
      </c>
    </row>
    <row r="16" ht="296" customHeight="1">
      <c r="A16" s="2" t="inlineStr">
        <is>
          <t>TC-015</t>
        </is>
      </c>
      <c r="B16" s="2" t="inlineStr">
        <is>
          <t>TS-003</t>
        </is>
      </c>
      <c r="C16" s="3" t="inlineStr">
        <is>
          <t>Ký tự % và _ trong Search là văn bản thường</t>
        </is>
      </c>
      <c r="D16" s="3" t="inlineStr">
        <is>
          <t>F5.1 Upload applications list</t>
        </is>
      </c>
      <c r="E16" s="3" t="inlineStr">
        <is>
          <t>Upload applications (School user)</t>
        </is>
      </c>
      <c r="F16" s="2" t="inlineStr">
        <is>
          <t>S3</t>
        </is>
      </c>
      <c r="G16" s="2" t="inlineStr">
        <is>
          <t>Medium</t>
        </is>
      </c>
      <c r="H16" s="2" t="inlineStr">
        <is>
          <t>Not Run</t>
        </is>
      </c>
      <c r="I16" s="2" t="inlineStr">
        <is>
          <t>Functional</t>
        </is>
      </c>
      <c r="J16" s="3" t="inlineStr">
        <is>
          <t>Prototype: edusave.vercel.app (ngày mẫu 18/10/2026)
Chrome (latest)
Build: ghi khi chạy
Cần: ENV-R5-01</t>
        </is>
      </c>
      <c r="K16" s="3" t="inlineStr">
        <is>
          <t>1. Prototype ở trạng thái gốc (dùng Reset data).
2. Đã đăng nhập School user BVP-0012 Lan Nguyen, trường Bukit View Primary.
3. Màn Upload applications đang mở.</t>
        </is>
      </c>
      <c r="L16" s="3" t="inlineStr">
        <is>
          <t>Search: %, _, a%o</t>
        </is>
      </c>
      <c r="M16" s="3" t="inlineStr">
        <is>
          <t>1. Nhập "%" vào ô Search và đọc bảng.
2. Nhập "_" và đọc bảng.
3. Nhập "a%o" và đọc bảng.</t>
        </is>
      </c>
      <c r="N16" s="3" t="inlineStr">
        <is>
          <t>1. Mỗi lần bảng không có dòng nào khớp (không phải ký tự đại diện) và hiện "No applications found."
2. Không có lỗi nào.</t>
        </is>
      </c>
      <c r="O16" s="3" t="n"/>
      <c r="P16"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6" s="3" t="n"/>
      <c r="R16" s="3" t="inlineStr">
        <is>
          <t>Tender R5, US-042, FS F5 v1.2: 3 mục 3</t>
        </is>
      </c>
      <c r="S16" s="3" t="n"/>
      <c r="T16" s="2" t="inlineStr">
        <is>
          <t>Draft</t>
        </is>
      </c>
    </row>
    <row r="17" ht="296" customHeight="1">
      <c r="A17" s="2" t="inlineStr">
        <is>
          <t>TC-016</t>
        </is>
      </c>
      <c r="B17" s="2" t="inlineStr">
        <is>
          <t>TS-003</t>
        </is>
      </c>
      <c r="C17" s="3" t="inlineStr">
        <is>
          <t>Search giới hạn 100 ký tự</t>
        </is>
      </c>
      <c r="D17" s="3" t="inlineStr">
        <is>
          <t>F5.1 Upload applications list</t>
        </is>
      </c>
      <c r="E17" s="3" t="inlineStr">
        <is>
          <t>Upload applications (School user)</t>
        </is>
      </c>
      <c r="F17" s="2" t="inlineStr">
        <is>
          <t>S3</t>
        </is>
      </c>
      <c r="G17" s="2" t="inlineStr">
        <is>
          <t>Low</t>
        </is>
      </c>
      <c r="H17" s="2" t="inlineStr">
        <is>
          <t>Not Run</t>
        </is>
      </c>
      <c r="I17" s="2" t="inlineStr">
        <is>
          <t>Functional</t>
        </is>
      </c>
      <c r="J17" s="3" t="inlineStr">
        <is>
          <t>Prototype: edusave.vercel.app (ngày mẫu 18/10/2026)
Chrome (latest)
Build: ghi khi chạy
Cần: ENV-R5-01</t>
        </is>
      </c>
      <c r="K17" s="3" t="inlineStr">
        <is>
          <t>1. Prototype ở trạng thái gốc (dùng Reset data).
2. Đã đăng nhập School user BVP-0012 Lan Nguyen, trường Bukit View Primary.
3. Màn Upload applications đang mở.</t>
        </is>
      </c>
      <c r="L17" s="3" t="inlineStr">
        <is>
          <t>Chuỗi 100 và 101 ký tự a</t>
        </is>
      </c>
      <c r="M17" s="3" t="inlineStr">
        <is>
          <t>1. Dán chuỗi 100 ký tự a vào ô Search.
2. Đọc ô Search và bảng.
3. Dán chuỗi 101 ký tự a.
4. Đọc ô Search và thông báo.</t>
        </is>
      </c>
      <c r="N17" s="3" t="inlineStr">
        <is>
          <t>1. Chuỗi 100 ký tự được giữ nguyên và bảng không có dòng nào khớp.
2. Chuỗi 101 ký tự bị cắt còn 100 ký tự và hiện "Search is limited to 100 characters."</t>
        </is>
      </c>
      <c r="O17" s="3" t="n"/>
      <c r="P17"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7" s="3" t="n"/>
      <c r="R17" s="3" t="inlineStr">
        <is>
          <t>Tender R5, US-042, FS F5 v1.2: 3 mục 3</t>
        </is>
      </c>
      <c r="S17" s="3" t="n"/>
      <c r="T17" s="2" t="inlineStr">
        <is>
          <t>Draft</t>
        </is>
      </c>
    </row>
    <row r="18" ht="296" customHeight="1">
      <c r="A18" s="2" t="inlineStr">
        <is>
          <t>TC-017</t>
        </is>
      </c>
      <c r="B18" s="2" t="inlineStr">
        <is>
          <t>TS-003</t>
        </is>
      </c>
      <c r="C18" s="3" t="inlineStr">
        <is>
          <t>Search xử lý SQL và script như văn bản</t>
        </is>
      </c>
      <c r="D18" s="3" t="inlineStr">
        <is>
          <t>F5.1 Upload applications list</t>
        </is>
      </c>
      <c r="E18" s="3" t="inlineStr">
        <is>
          <t>Upload applications (School user)</t>
        </is>
      </c>
      <c r="F18" s="2" t="inlineStr">
        <is>
          <t>S1 (highest)</t>
        </is>
      </c>
      <c r="G18" s="2" t="inlineStr">
        <is>
          <t>High</t>
        </is>
      </c>
      <c r="H18" s="2" t="inlineStr">
        <is>
          <t>Not Run</t>
        </is>
      </c>
      <c r="I18" s="2" t="inlineStr">
        <is>
          <t>Security</t>
        </is>
      </c>
      <c r="J18" s="3" t="inlineStr">
        <is>
          <t>Prototype: edusave.vercel.app (ngày mẫu 18/10/2026)
Chrome (latest)
Build: ghi khi chạy
Cần: ENV-R5-01</t>
        </is>
      </c>
      <c r="K18" s="3" t="inlineStr">
        <is>
          <t>1. Prototype ở trạng thái gốc (dùng Reset data).
2. Đã đăng nhập School user BVP-0012 Lan Nguyen, trường Bukit View Primary.
3. Màn Upload applications đang mở.</t>
        </is>
      </c>
      <c r="L18" s="3" t="inlineStr">
        <is>
          <t>Chuỗi SQL, script, img onerror</t>
        </is>
      </c>
      <c r="M18" s="3" t="inlineStr">
        <is>
          <t>1. Nhập "' OR '1'='1" vào ô Search và đọc bảng.
2. Nhập "&lt;script&gt;alert(1)&lt;/script&gt;" và đọc bảng.
3. Nhập "&lt;img src=x onerror=alert(1)&gt;" và đọc bảng.</t>
        </is>
      </c>
      <c r="N18" s="3" t="inlineStr">
        <is>
          <t>1. Mỗi lần bảng không có dòng nào (hoặc chỉ có dòng khớp đúng chuỗi) và hiện "No applications found."
2. Không có hộp thoại alert, không dòng nào bị thêm hoặc xoá, không có lỗi hệ thống.
3. Chuỗi hiển thị trong ô Search như văn bản thường.</t>
        </is>
      </c>
      <c r="O18" s="3" t="n"/>
      <c r="P18"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8" s="3" t="n"/>
      <c r="R18" s="3" t="inlineStr">
        <is>
          <t>Tender R5, US-042, FS F5 v1.2: 3 mục 3, R5_FAS_Validation_Rules A3</t>
        </is>
      </c>
      <c r="S18" s="3" t="n"/>
      <c r="T18" s="2" t="inlineStr">
        <is>
          <t>Draft</t>
        </is>
      </c>
    </row>
    <row r="19" ht="93" customHeight="1">
      <c r="A19" s="2" t="inlineStr">
        <is>
          <t>TC-018</t>
        </is>
      </c>
      <c r="B19" s="2" t="inlineStr">
        <is>
          <t>TS-004</t>
        </is>
      </c>
      <c r="C19" s="3" t="inlineStr">
        <is>
          <t>Bộ lọc Status có đủ sáu giá trị theo FS</t>
        </is>
      </c>
      <c r="D19" s="3" t="inlineStr">
        <is>
          <t>F5.1 Upload applications list</t>
        </is>
      </c>
      <c r="E19" s="3" t="inlineStr">
        <is>
          <t>Upload applications (School user)</t>
        </is>
      </c>
      <c r="F19" s="2" t="inlineStr">
        <is>
          <t>S3</t>
        </is>
      </c>
      <c r="G19" s="2" t="inlineStr">
        <is>
          <t>Medium</t>
        </is>
      </c>
      <c r="H19" s="2" t="inlineStr">
        <is>
          <t>Not Run</t>
        </is>
      </c>
      <c r="I19" s="2" t="inlineStr">
        <is>
          <t>Functional</t>
        </is>
      </c>
      <c r="J19" s="3" t="inlineStr">
        <is>
          <t>Prototype: edusave.vercel.app (ngày mẫu 18/10/2026)
Chrome (latest)
Build: ghi khi chạy
Cần: ENV-R5-01</t>
        </is>
      </c>
      <c r="K19" s="3" t="inlineStr">
        <is>
          <t>1. Prototype ở trạng thái gốc (dùng Reset data).
2. Đã đăng nhập School user BVP-0012 Lan Nguyen, trường Bukit View Primary.
3. Màn Upload applications đang mở.</t>
        </is>
      </c>
      <c r="L19" s="3" t="inlineStr">
        <is>
          <t>Trạng thái gốc của prototype: 1 Draft, 1 Pending APP-2026-00412 Aisha Rahman, 1 Approved SBFAS Tier 3 APP-2026-00386 Lucas Teo</t>
        </is>
      </c>
      <c r="M19" s="3" t="inlineStr">
        <is>
          <t>1. Mở danh sách bộ lọc Status.
2. Đọc các giá trị và giá trị đang chọn.</t>
        </is>
      </c>
      <c r="N19" s="3" t="inlineStr">
        <is>
          <t>1. Sáu giá trị theo thứ tự: All, Draft, Pending, Approved · MOEFAS, Approved · SBFAS, Rejected.
2. Giá trị mặc định là All.</t>
        </is>
      </c>
      <c r="O19" s="3" t="n"/>
      <c r="P19" s="3" t="inlineStr">
        <is>
          <t>N/A</t>
        </is>
      </c>
      <c r="Q19" s="3" t="n"/>
      <c r="R19" s="3" t="inlineStr">
        <is>
          <t>Tender R5, US-042, FS F5 v1.2: 3 mục 4</t>
        </is>
      </c>
      <c r="S19" s="3" t="n"/>
      <c r="T19" s="2" t="inlineStr">
        <is>
          <t>Approve</t>
        </is>
      </c>
    </row>
    <row r="20" ht="93" customHeight="1">
      <c r="A20" s="2" t="inlineStr">
        <is>
          <t>TC-019</t>
        </is>
      </c>
      <c r="B20" s="2" t="inlineStr">
        <is>
          <t>TS-004</t>
        </is>
      </c>
      <c r="C20" s="3" t="inlineStr">
        <is>
          <t>Lọc Status Draft và Pending</t>
        </is>
      </c>
      <c r="D20" s="3" t="inlineStr">
        <is>
          <t>F5.1 Upload applications list</t>
        </is>
      </c>
      <c r="E20" s="3" t="inlineStr">
        <is>
          <t>Upload applications (School user)</t>
        </is>
      </c>
      <c r="F20" s="2" t="inlineStr">
        <is>
          <t>S2</t>
        </is>
      </c>
      <c r="G20" s="2" t="inlineStr">
        <is>
          <t>Medium</t>
        </is>
      </c>
      <c r="H20" s="2" t="inlineStr">
        <is>
          <t>Not Run</t>
        </is>
      </c>
      <c r="I20" s="2" t="inlineStr">
        <is>
          <t>Functional</t>
        </is>
      </c>
      <c r="J20" s="3" t="inlineStr">
        <is>
          <t>Prototype: edusave.vercel.app (ngày mẫu 18/10/2026)
Chrome (latest)
Build: ghi khi chạy
Cần: ENV-R5-01</t>
        </is>
      </c>
      <c r="K20" s="3" t="inlineStr">
        <is>
          <t>1. Prototype ở trạng thái gốc (dùng Reset data).
2. Đã đăng nhập School user BVP-0012 Lan Nguyen, trường Bukit View Primary.
3. Màn Upload applications đang mở.</t>
        </is>
      </c>
      <c r="L20" s="3" t="inlineStr">
        <is>
          <t>Trạng thái gốc của prototype: 1 Draft, 1 Pending APP-2026-00412 Aisha Rahman, 1 Approved SBFAS Tier 3 APP-2026-00386 Lucas Teo</t>
        </is>
      </c>
      <c r="M20" s="3" t="inlineStr">
        <is>
          <t>1. Chọn Status Draft và đọc bảng.
2. Chọn Status Pending và đọc bảng.</t>
        </is>
      </c>
      <c r="N20" s="3" t="inlineStr">
        <is>
          <t>1. Draft chỉ cho dòng của Tan Mei Ling, Application ID Not submitted.
2. Pending chỉ cho APP-2026-00412 Aisha Rahman.</t>
        </is>
      </c>
      <c r="O20" s="3" t="n"/>
      <c r="P20" s="3" t="inlineStr">
        <is>
          <t>N/A</t>
        </is>
      </c>
      <c r="Q20" s="3" t="n"/>
      <c r="R20" s="3" t="inlineStr">
        <is>
          <t>Tender R5, US-042, FS F5 v1.2: 3 mục 4</t>
        </is>
      </c>
      <c r="S20" s="3" t="n"/>
      <c r="T20" s="2" t="inlineStr">
        <is>
          <t>Approve</t>
        </is>
      </c>
    </row>
    <row r="21" ht="194.5" customHeight="1">
      <c r="A21" s="2" t="inlineStr">
        <is>
          <t>TC-020</t>
        </is>
      </c>
      <c r="B21" s="2" t="inlineStr">
        <is>
          <t>TS-004</t>
        </is>
      </c>
      <c r="C21" s="3" t="inlineStr">
        <is>
          <t>Lọc Status Approved SBFAS, Approved MOEFAS và Rejected</t>
        </is>
      </c>
      <c r="D21" s="3" t="inlineStr">
        <is>
          <t>F5.1 Upload applications list</t>
        </is>
      </c>
      <c r="E21" s="3" t="inlineStr">
        <is>
          <t>Upload applications (School user)</t>
        </is>
      </c>
      <c r="F21" s="2" t="inlineStr">
        <is>
          <t>S2</t>
        </is>
      </c>
      <c r="G21" s="2" t="inlineStr">
        <is>
          <t>Medium</t>
        </is>
      </c>
      <c r="H21" s="2" t="inlineStr">
        <is>
          <t>Not Run</t>
        </is>
      </c>
      <c r="I21" s="2" t="inlineStr">
        <is>
          <t>Functional</t>
        </is>
      </c>
      <c r="J21" s="3" t="inlineStr">
        <is>
          <t>Prototype: edusave.vercel.app (ngày mẫu 18/10/2026)
Chrome (latest)
Build: ghi khi chạy
Cần: ENV-R5-01</t>
        </is>
      </c>
      <c r="K21" s="3" t="inlineStr">
        <is>
          <t>1. Prototype ở trạng thái gốc (dùng Reset data).
2. Đã đăng nhập School user BVP-0012 Lan Nguyen, trường Bukit View Primary.
3. Màn Upload applications đang mở.</t>
        </is>
      </c>
      <c r="L21" s="3" t="inlineStr">
        <is>
          <t>Trạng thái gốc của prototype: 1 Draft, 1 Pending APP-2026-00412 Aisha Rahman, 1 Approved SBFAS Tier 3 APP-2026-00386 Lucas Teo</t>
        </is>
      </c>
      <c r="M21" s="3" t="inlineStr">
        <is>
          <t>1. Chọn Status Approved · SBFAS và đọc bảng.
2. Chọn Status Approved · MOEFAS và đọc bảng.
3. Chọn Status Rejected và đọc bảng.</t>
        </is>
      </c>
      <c r="N21" s="3" t="inlineStr">
        <is>
          <t>1. Approved · SBFAS cho APP-2026-00386 Lucas Teo và hiện cột Tier với giá trị Tier 3.
2. Approved · MOEFAS và Rejected không có dòng nào trong Last 7 days và hiện "No applications found."</t>
        </is>
      </c>
      <c r="O21" s="3" t="n"/>
      <c r="P21"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21" s="3" t="n"/>
      <c r="R21" s="3" t="inlineStr">
        <is>
          <t>Tender R5, US-042, FS F5 v1.2: 3 mục 4, 5</t>
        </is>
      </c>
      <c r="S21" s="3" t="n"/>
      <c r="T21" s="2" t="inlineStr">
        <is>
          <t>Draft</t>
        </is>
      </c>
    </row>
    <row r="22" ht="93" customHeight="1">
      <c r="A22" s="2" t="inlineStr">
        <is>
          <t>TC-021</t>
        </is>
      </c>
      <c r="B22" s="2" t="inlineStr">
        <is>
          <t>TS-004</t>
        </is>
      </c>
      <c r="C22" s="3" t="inlineStr">
        <is>
          <t>Bộ lọc Tier liệt kê tier SBFAS của trường và lọc đúng</t>
        </is>
      </c>
      <c r="D22" s="3" t="inlineStr">
        <is>
          <t>F5.1 Upload applications list</t>
        </is>
      </c>
      <c r="E22" s="3" t="inlineStr">
        <is>
          <t>Upload applications (School user)</t>
        </is>
      </c>
      <c r="F22" s="2" t="inlineStr">
        <is>
          <t>S2</t>
        </is>
      </c>
      <c r="G22" s="2" t="inlineStr">
        <is>
          <t>Medium</t>
        </is>
      </c>
      <c r="H22" s="2" t="inlineStr">
        <is>
          <t>Not Run</t>
        </is>
      </c>
      <c r="I22" s="2" t="inlineStr">
        <is>
          <t>Functional</t>
        </is>
      </c>
      <c r="J22" s="3" t="inlineStr">
        <is>
          <t>Prototype: edusave.vercel.app (ngày mẫu 18/10/2026)
Chrome (latest)
Build: ghi khi chạy
Cần: ENV-R5-01</t>
        </is>
      </c>
      <c r="K22" s="3" t="inlineStr">
        <is>
          <t>1. Prototype ở trạng thái gốc (dùng Reset data).
2. Đã đăng nhập School user BVP-0012 Lan Nguyen, trường Bukit View Primary.
3. Màn Upload applications đang mở.</t>
        </is>
      </c>
      <c r="L22" s="3" t="inlineStr">
        <is>
          <t>Trạng thái gốc của prototype: 1 Draft, 1 Pending APP-2026-00412 Aisha Rahman, 1 Approved SBFAS Tier 3 APP-2026-00386 Lucas Teo</t>
        </is>
      </c>
      <c r="M22" s="3" t="inlineStr">
        <is>
          <t>1. Mở bộ lọc Tier và đọc các giá trị.
2. Chọn Tier 3 và đọc bảng.</t>
        </is>
      </c>
      <c r="N22" s="3" t="inlineStr">
        <is>
          <t>1. Các giá trị gồm All và các tier SBFAS của Bukit View Primary.
2. Với Tier 3 bảng chỉ có APP-2026-00386 Lucas Teo và cột Tier hiện với giá trị Tier 3.</t>
        </is>
      </c>
      <c r="O22" s="3" t="n"/>
      <c r="P22" s="3" t="inlineStr">
        <is>
          <t>N/A</t>
        </is>
      </c>
      <c r="Q22" s="3" t="n"/>
      <c r="R22" s="3" t="inlineStr">
        <is>
          <t>Tender R5, US-042, FS F5 v1.2: 3 mục 4, 5</t>
        </is>
      </c>
      <c r="S22" s="3" t="inlineStr">
        <is>
          <t>Số tier và tên tier đọc từ các scheme SBFAS của trường tại lúc chạy.</t>
        </is>
      </c>
      <c r="T22" s="2" t="inlineStr">
        <is>
          <t>Approve</t>
        </is>
      </c>
    </row>
    <row r="23" ht="93" customHeight="1">
      <c r="A23" s="2" t="inlineStr">
        <is>
          <t>TC-022</t>
        </is>
      </c>
      <c r="B23" s="2" t="inlineStr">
        <is>
          <t>TS-004</t>
        </is>
      </c>
      <c r="C23" s="3" t="inlineStr">
        <is>
          <t>Bộ lọc Uploaded có ba giá trị và mặc định Last 7 days</t>
        </is>
      </c>
      <c r="D23" s="3" t="inlineStr">
        <is>
          <t>F5.1 Upload applications list</t>
        </is>
      </c>
      <c r="E23" s="3" t="inlineStr">
        <is>
          <t>Upload applications (School user)</t>
        </is>
      </c>
      <c r="F23" s="2" t="inlineStr">
        <is>
          <t>S3</t>
        </is>
      </c>
      <c r="G23" s="2" t="inlineStr">
        <is>
          <t>Medium</t>
        </is>
      </c>
      <c r="H23" s="2" t="inlineStr">
        <is>
          <t>Not Run</t>
        </is>
      </c>
      <c r="I23" s="2" t="inlineStr">
        <is>
          <t>Functional</t>
        </is>
      </c>
      <c r="J23" s="3" t="inlineStr">
        <is>
          <t>Prototype: edusave.vercel.app (ngày mẫu 18/10/2026)
Chrome (latest)
Build: ghi khi chạy
Cần: ENV-R5-01</t>
        </is>
      </c>
      <c r="K23" s="3" t="inlineStr">
        <is>
          <t>1. Prototype ở trạng thái gốc (dùng Reset data).
2. Đã đăng nhập School user BVP-0012 Lan Nguyen, trường Bukit View Primary.
3. Màn Upload applications đang mở.</t>
        </is>
      </c>
      <c r="L23" s="3" t="inlineStr">
        <is>
          <t>Trạng thái gốc của prototype: 1 Draft, 1 Pending APP-2026-00412 Aisha Rahman, 1 Approved SBFAS Tier 3 APP-2026-00386 Lucas Teo</t>
        </is>
      </c>
      <c r="M23" s="3" t="inlineStr">
        <is>
          <t>1. Mở màn Upload applications.
2. Đọc giá trị của bộ lọc Uploaded và mở danh sách giá trị.</t>
        </is>
      </c>
      <c r="N23" s="3" t="inlineStr">
        <is>
          <t>1. Giá trị mặc định là Last 7 days.
2. Ba giá trị: Last 7 days, Last 30 days, Any time.</t>
        </is>
      </c>
      <c r="O23" s="3" t="n"/>
      <c r="P23" s="3" t="inlineStr">
        <is>
          <t>N/A</t>
        </is>
      </c>
      <c r="Q23" s="3" t="n"/>
      <c r="R23" s="3" t="inlineStr">
        <is>
          <t>Tender R5, US-042, FS F5 v1.2: 3 mục 4</t>
        </is>
      </c>
      <c r="S23" s="3" t="n"/>
      <c r="T23" s="2" t="inlineStr">
        <is>
          <t>Approve</t>
        </is>
      </c>
    </row>
    <row r="24" ht="267" customHeight="1">
      <c r="A24" s="2" t="inlineStr">
        <is>
          <t>TC-023</t>
        </is>
      </c>
      <c r="B24" s="2" t="inlineStr">
        <is>
          <t>TS-004</t>
        </is>
      </c>
      <c r="C24" s="3" t="inlineStr">
        <is>
          <t>Search, Status, Tier và Uploaded kết hợp bằng AND</t>
        </is>
      </c>
      <c r="D24" s="3" t="inlineStr">
        <is>
          <t>F5.1 Upload applications list</t>
        </is>
      </c>
      <c r="E24" s="3" t="inlineStr">
        <is>
          <t>Upload applications (School user)</t>
        </is>
      </c>
      <c r="F24" s="2" t="inlineStr">
        <is>
          <t>S2</t>
        </is>
      </c>
      <c r="G24" s="2" t="inlineStr">
        <is>
          <t>Medium</t>
        </is>
      </c>
      <c r="H24" s="2" t="inlineStr">
        <is>
          <t>Not Run</t>
        </is>
      </c>
      <c r="I24" s="2" t="inlineStr">
        <is>
          <t>Functional</t>
        </is>
      </c>
      <c r="J24" s="3" t="inlineStr">
        <is>
          <t>Prototype: edusave.vercel.app (ngày mẫu 18/10/2026)
Chrome (latest)
Build: ghi khi chạy
Cần: ENV-R5-01</t>
        </is>
      </c>
      <c r="K24" s="3" t="inlineStr">
        <is>
          <t>1. Prototype ở trạng thái gốc (dùng Reset data).
2. Đã đăng nhập School user BVP-0012 Lan Nguyen, trường Bukit View Primary.
3. Màn Upload applications đang mở.</t>
        </is>
      </c>
      <c r="L24" s="3" t="inlineStr">
        <is>
          <t>Status Approved · SBFAS, Search Teo rồi Aisha</t>
        </is>
      </c>
      <c r="M24" s="3" t="inlineStr">
        <is>
          <t>1. Chọn Status Approved · SBFAS và nhập "Teo" vào Search.
2. Đọc bảng.
3. Đổi Search thành "Aisha" giữ Status.
4. Đọc bảng.</t>
        </is>
      </c>
      <c r="N24" s="3" t="inlineStr">
        <is>
          <t>1. Bước 2: có dòng của Lucas Teo.
2. Bước 4: không có dòng nào, hiện "No applications found."</t>
        </is>
      </c>
      <c r="O24" s="3" t="n"/>
      <c r="P24" s="3" t="inlineStr">
        <is>
          <t>ASM-R5-21: Thẻ đếm đơn đã nộp của trường, không đếm Draft, và không đổi theo Search hay Uploaded. Bấm thẻ đặt bộ lọc Status tương ứng. Search, Status, Tier và Uploaded kết hợp bằng AND và quay về trang 1.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24" s="3" t="n"/>
      <c r="R24" s="3" t="inlineStr">
        <is>
          <t>Tender R5, US-042, FS F5 v1.2: 3 mục 3, 4</t>
        </is>
      </c>
      <c r="S24" s="3" t="n"/>
      <c r="T24" s="2" t="inlineStr">
        <is>
          <t>Draft</t>
        </is>
      </c>
    </row>
    <row r="25" ht="93" customHeight="1">
      <c r="A25" s="2" t="inlineStr">
        <is>
          <t>TC-024</t>
        </is>
      </c>
      <c r="B25" s="2" t="inlineStr">
        <is>
          <t>TS-004</t>
        </is>
      </c>
      <c r="C25" s="3" t="inlineStr">
        <is>
          <t>Uploaded Any time hiện thêm các đơn cũ</t>
        </is>
      </c>
      <c r="D25" s="3" t="inlineStr">
        <is>
          <t>F5.1 Upload applications list</t>
        </is>
      </c>
      <c r="E25" s="3" t="inlineStr">
        <is>
          <t>Upload applications (School user)</t>
        </is>
      </c>
      <c r="F25" s="2" t="inlineStr">
        <is>
          <t>S2</t>
        </is>
      </c>
      <c r="G25" s="2" t="inlineStr">
        <is>
          <t>Medium</t>
        </is>
      </c>
      <c r="H25" s="2" t="inlineStr">
        <is>
          <t>Not Run</t>
        </is>
      </c>
      <c r="I25" s="2" t="inlineStr">
        <is>
          <t>Functional</t>
        </is>
      </c>
      <c r="J25" s="3" t="inlineStr">
        <is>
          <t>Prototype: edusave.vercel.app (ngày mẫu 18/10/2026)
Chrome (latest)
Build: ghi khi chạy
Cần: ENV-R5-01</t>
        </is>
      </c>
      <c r="K25" s="3" t="inlineStr">
        <is>
          <t>1. Prototype ở trạng thái gốc (dùng Reset data).
2. Đã đăng nhập School user BVP-0012 Lan Nguyen, trường Bukit View Primary.
3. Màn Upload applications đang mở.</t>
        </is>
      </c>
      <c r="L25" s="3" t="inlineStr">
        <is>
          <t>Trạng thái gốc của prototype: 1 Draft, 1 Pending APP-2026-00412 Aisha Rahman, 1 Approved SBFAS Tier 3 APP-2026-00386 Lucas Teo</t>
        </is>
      </c>
      <c r="M25" s="3" t="inlineStr">
        <is>
          <t>1. Chọn Uploaded Any time.
2. Đếm số dòng đã nộp theo từng trạng thái.</t>
        </is>
      </c>
      <c r="N25" s="3" t="inlineStr">
        <is>
          <t>1. Số dòng Approved · MOEFAS và Approved · SBFAS bằng số trên thẻ MOEFAS và SBFAS (1 và 2).
2. Dòng Pending vẫn là 1 và có đúng 1 dòng Draft.</t>
        </is>
      </c>
      <c r="O25" s="3" t="n"/>
      <c r="P25" s="3" t="inlineStr">
        <is>
          <t>ASM-R5-21: Thẻ đếm đơn đã nộp của trường, không đếm Draft, và không đổi theo Search hay Uploaded. Bấm thẻ đặt bộ lọc Status tương ứng. Search, Status, Tier và Uploaded kết hợp bằng AND và quay về trang 1.</t>
        </is>
      </c>
      <c r="Q25" s="3" t="n"/>
      <c r="R25" s="3" t="inlineStr">
        <is>
          <t>Tender R5, US-042, FS F5 v1.2: 3 mục 2, 4</t>
        </is>
      </c>
      <c r="S25" s="3" t="n"/>
      <c r="T25" s="2" t="inlineStr">
        <is>
          <t>Draft</t>
        </is>
      </c>
    </row>
    <row r="26" ht="93" customHeight="1">
      <c r="A26" s="2" t="inlineStr">
        <is>
          <t>TC-025</t>
        </is>
      </c>
      <c r="B26" s="2" t="inlineStr">
        <is>
          <t>TS-005</t>
        </is>
      </c>
      <c r="C26" s="3" t="inlineStr">
        <is>
          <t>Dòng Draft đứng đầu danh sách với Application ID Not submitted</t>
        </is>
      </c>
      <c r="D26" s="3" t="inlineStr">
        <is>
          <t>F5.1 Upload applications list</t>
        </is>
      </c>
      <c r="E26" s="3" t="inlineStr">
        <is>
          <t>Upload applications (School user)</t>
        </is>
      </c>
      <c r="F26" s="2" t="inlineStr">
        <is>
          <t>S2</t>
        </is>
      </c>
      <c r="G26" s="2" t="inlineStr">
        <is>
          <t>High</t>
        </is>
      </c>
      <c r="H26" s="2" t="inlineStr">
        <is>
          <t>Not Run</t>
        </is>
      </c>
      <c r="I26" s="2" t="inlineStr">
        <is>
          <t>Functional</t>
        </is>
      </c>
      <c r="J26" s="3" t="inlineStr">
        <is>
          <t>Prototype: edusave.vercel.app (ngày mẫu 18/10/2026)
Chrome (latest)
Build: ghi khi chạy
Cần: ENV-R5-01</t>
        </is>
      </c>
      <c r="K26" s="3" t="inlineStr">
        <is>
          <t>1. Prototype ở trạng thái gốc (dùng Reset data).
2. Đã đăng nhập School user BVP-0012 Lan Nguyen, trường Bukit View Primary.
3. Màn Upload applications đang mở.</t>
        </is>
      </c>
      <c r="L26" s="3" t="inlineStr">
        <is>
          <t>Trạng thái gốc của prototype: 1 Draft, 1 Pending APP-2026-00412 Aisha Rahman, 1 Approved SBFAS Tier 3 APP-2026-00386 Lucas Teo</t>
        </is>
      </c>
      <c r="M26" s="3" t="inlineStr">
        <is>
          <t>1. Đọc dòng đầu của bảng ở Status All.</t>
        </is>
      </c>
      <c r="N26" s="3" t="inlineStr">
        <is>
          <t>1. Dòng Draft của Tan Mei Ling đứng trước các dòng đã nộp.
2. Application ID là Not submitted, Status là Draft (nhãn vàng), Student là tên con kèm NRIC T1412345B.</t>
        </is>
      </c>
      <c r="O26" s="3" t="n"/>
      <c r="P26" s="3" t="inlineStr">
        <is>
          <t>N/A</t>
        </is>
      </c>
      <c r="Q26" s="3" t="n"/>
      <c r="R26" s="3" t="inlineStr">
        <is>
          <t>Tender R5, US-042, FS F5 v1.2: 3 mục 6, hình Upload applications</t>
        </is>
      </c>
      <c r="S26" s="3" t="n"/>
      <c r="T26" s="2" t="inlineStr">
        <is>
          <t>Approve</t>
        </is>
      </c>
    </row>
    <row r="27" ht="93" customHeight="1">
      <c r="A27" s="2" t="inlineStr">
        <is>
          <t>TC-026</t>
        </is>
      </c>
      <c r="B27" s="2" t="inlineStr">
        <is>
          <t>TS-005</t>
        </is>
      </c>
      <c r="C27" s="3" t="inlineStr">
        <is>
          <t>Dòng Draft có nút Continue và Delete</t>
        </is>
      </c>
      <c r="D27" s="3" t="inlineStr">
        <is>
          <t>F5.1 Upload applications list</t>
        </is>
      </c>
      <c r="E27" s="3" t="inlineStr">
        <is>
          <t>Upload applications (School user)</t>
        </is>
      </c>
      <c r="F27" s="2" t="inlineStr">
        <is>
          <t>S3</t>
        </is>
      </c>
      <c r="G27" s="2" t="inlineStr">
        <is>
          <t>Medium</t>
        </is>
      </c>
      <c r="H27" s="2" t="inlineStr">
        <is>
          <t>Not Run</t>
        </is>
      </c>
      <c r="I27" s="2" t="inlineStr">
        <is>
          <t>UI</t>
        </is>
      </c>
      <c r="J27" s="3" t="inlineStr">
        <is>
          <t>Prototype: edusave.vercel.app (ngày mẫu 18/10/2026)
Chrome (latest)
Build: ghi khi chạy
Cần: ENV-R5-01</t>
        </is>
      </c>
      <c r="K27" s="3" t="inlineStr">
        <is>
          <t>1. Prototype ở trạng thái gốc (dùng Reset data).
2. Đã đăng nhập School user BVP-0012 Lan Nguyen, trường Bukit View Primary.
3. Màn Upload applications đang mở.</t>
        </is>
      </c>
      <c r="L27" s="3" t="inlineStr">
        <is>
          <t>Trạng thái gốc của prototype: 1 Draft, 1 Pending APP-2026-00412 Aisha Rahman, 1 Approved SBFAS Tier 3 APP-2026-00386 Lucas Teo</t>
        </is>
      </c>
      <c r="M27" s="3" t="inlineStr">
        <is>
          <t>1. Đọc dòng Draft và tìm hai nút.</t>
        </is>
      </c>
      <c r="N27" s="3" t="inlineStr">
        <is>
          <t>1. Dòng Draft có nút Continue và nút Delete.</t>
        </is>
      </c>
      <c r="O27" s="3" t="n"/>
      <c r="P27" s="3" t="inlineStr">
        <is>
          <t>ASM-R5-22: Dòng Draft hiển thị nút Continue và Delete như FS 3 mục 6.</t>
        </is>
      </c>
      <c r="Q27" s="3" t="n"/>
      <c r="R27" s="3" t="inlineStr">
        <is>
          <t>Tender R5, US-042, FS F5 v1.2: 3 mục 6</t>
        </is>
      </c>
      <c r="S27" s="3" t="inlineStr">
        <is>
          <t>Hình của FS không hiển thị hai nút này, điểm mở O23.</t>
        </is>
      </c>
      <c r="T27" s="2" t="inlineStr">
        <is>
          <t>Draft</t>
        </is>
      </c>
    </row>
    <row r="28" ht="93" customHeight="1">
      <c r="A28" s="2" t="inlineStr">
        <is>
          <t>TC-027</t>
        </is>
      </c>
      <c r="B28" s="2" t="inlineStr">
        <is>
          <t>TS-005</t>
        </is>
      </c>
      <c r="C28" s="3" t="inlineStr">
        <is>
          <t>Bấm vào dòng Draft tiếp tục bản nháp</t>
        </is>
      </c>
      <c r="D28" s="3" t="inlineStr">
        <is>
          <t>F5.1 Upload applications list</t>
        </is>
      </c>
      <c r="E28" s="3" t="inlineStr">
        <is>
          <t>Upload applications (School user)</t>
        </is>
      </c>
      <c r="F28" s="2" t="inlineStr">
        <is>
          <t>S2</t>
        </is>
      </c>
      <c r="G28" s="2" t="inlineStr">
        <is>
          <t>High</t>
        </is>
      </c>
      <c r="H28" s="2" t="inlineStr">
        <is>
          <t>Not Run</t>
        </is>
      </c>
      <c r="I28" s="2" t="inlineStr">
        <is>
          <t>Functional</t>
        </is>
      </c>
      <c r="J28" s="3" t="inlineStr">
        <is>
          <t>Prototype: edusave.vercel.app (ngày mẫu 18/10/2026)
Chrome (latest)
Build: ghi khi chạy
Cần: ENV-R5-01</t>
        </is>
      </c>
      <c r="K28" s="3" t="inlineStr">
        <is>
          <t>1. Prototype ở trạng thái gốc (dùng Reset data).
2. Đã đăng nhập School user BVP-0012 Lan Nguyen, trường Bukit View Primary.
3. Màn Upload applications đang mở.</t>
        </is>
      </c>
      <c r="L28" s="3" t="inlineStr">
        <is>
          <t>Trạng thái gốc của prototype: 1 Draft, 1 Pending APP-2026-00412 Aisha Rahman, 1 Approved SBFAS Tier 3 APP-2026-00386 Lucas Teo</t>
        </is>
      </c>
      <c r="M28" s="3" t="inlineStr">
        <is>
          <t>1. Bấm vào dòng Draft (không bấm vào nút).</t>
        </is>
      </c>
      <c r="N28" s="3" t="inlineStr">
        <is>
          <t>1. Màn Review application mở với mẫu đơn của bản nháp, các giá trị đã lưu có mặt.</t>
        </is>
      </c>
      <c r="O28" s="3" t="n"/>
      <c r="P28" s="3" t="inlineStr">
        <is>
          <t>N/A</t>
        </is>
      </c>
      <c r="Q28" s="3" t="n"/>
      <c r="R28" s="3" t="inlineStr">
        <is>
          <t>Tender R5, US-042, FS F5 v1.2: 3 mục 6, T9</t>
        </is>
      </c>
      <c r="S28" s="3" t="n"/>
      <c r="T28" s="2" t="inlineStr">
        <is>
          <t>Approve</t>
        </is>
      </c>
    </row>
    <row r="29" ht="93" customHeight="1">
      <c r="A29" s="2" t="inlineStr">
        <is>
          <t>TC-028</t>
        </is>
      </c>
      <c r="B29" s="2" t="inlineStr">
        <is>
          <t>TS-005</t>
        </is>
      </c>
      <c r="C29" s="3" t="inlineStr">
        <is>
          <t>Bấm dòng đã nộp mở View application chỉ đọc có nút Back to list</t>
        </is>
      </c>
      <c r="D29" s="3" t="inlineStr">
        <is>
          <t>F5.1 Upload applications list</t>
        </is>
      </c>
      <c r="E29" s="3" t="inlineStr">
        <is>
          <t>Upload applications (School user)</t>
        </is>
      </c>
      <c r="F29" s="2" t="inlineStr">
        <is>
          <t>S2</t>
        </is>
      </c>
      <c r="G29" s="2" t="inlineStr">
        <is>
          <t>High</t>
        </is>
      </c>
      <c r="H29" s="2" t="inlineStr">
        <is>
          <t>Not Run</t>
        </is>
      </c>
      <c r="I29" s="2" t="inlineStr">
        <is>
          <t>Functional</t>
        </is>
      </c>
      <c r="J29" s="3" t="inlineStr">
        <is>
          <t>Prototype: edusave.vercel.app (ngày mẫu 18/10/2026)
Chrome (latest)
Build: ghi khi chạy
Cần: ENV-R5-01</t>
        </is>
      </c>
      <c r="K29" s="3" t="inlineStr">
        <is>
          <t>1. Prototype ở trạng thái gốc (dùng Reset data).
2. Đã đăng nhập School user BVP-0012 Lan Nguyen, trường Bukit View Primary.
3. Màn Upload applications đang mở.</t>
        </is>
      </c>
      <c r="L29" s="3" t="inlineStr">
        <is>
          <t>Trạng thái gốc của prototype: 1 Draft, 1 Pending APP-2026-00412 Aisha Rahman, 1 Approved SBFAS Tier 3 APP-2026-00386 Lucas Teo</t>
        </is>
      </c>
      <c r="M29" s="3" t="inlineStr">
        <is>
          <t>1. Bấm dòng APP-2026-00412 Aisha Rahman.
2. Đọc màn hình, thử gõ vào một ô.
3. Bấm Back to list.</t>
        </is>
      </c>
      <c r="N29" s="3" t="inlineStr">
        <is>
          <t>1. View application mở, cùng mẫu đơn nhưng mọi ô chỉ đọc.
2. Có nút Back to list và nút Edit vì đơn đang Pending.
3. Back to list quay về danh sách Upload applications.</t>
        </is>
      </c>
      <c r="O29" s="3" t="n"/>
      <c r="P29" s="3" t="inlineStr">
        <is>
          <t>N/A</t>
        </is>
      </c>
      <c r="Q29" s="3" t="n"/>
      <c r="R29" s="3" t="inlineStr">
        <is>
          <t>Tender R5, US-042, FS F5 v1.2: 3 mục 7, 8</t>
        </is>
      </c>
      <c r="S29" s="3" t="n"/>
      <c r="T29" s="2" t="inlineStr">
        <is>
          <t>Approve</t>
        </is>
      </c>
    </row>
    <row r="30" ht="93" customHeight="1">
      <c r="A30" s="2" t="inlineStr">
        <is>
          <t>TC-029</t>
        </is>
      </c>
      <c r="B30" s="2" t="inlineStr">
        <is>
          <t>TS-006</t>
        </is>
      </c>
      <c r="C30" s="3" t="inlineStr">
        <is>
          <t>Last 7 days gồm đúng đơn tải lên 7 ngày trước, loại đơn tải lên 8 ngày trước</t>
        </is>
      </c>
      <c r="D30" s="3" t="inlineStr">
        <is>
          <t>F5.1 Upload applications list</t>
        </is>
      </c>
      <c r="E30" s="3" t="inlineStr">
        <is>
          <t>Upload applications (School user)</t>
        </is>
      </c>
      <c r="F30" s="2" t="inlineStr">
        <is>
          <t>S2</t>
        </is>
      </c>
      <c r="G30" s="2" t="inlineStr">
        <is>
          <t>Medium</t>
        </is>
      </c>
      <c r="H30" s="2" t="inlineStr">
        <is>
          <t>Not Run</t>
        </is>
      </c>
      <c r="I30" s="2" t="inlineStr">
        <is>
          <t>Functional</t>
        </is>
      </c>
      <c r="J30" s="3" t="inlineStr">
        <is>
          <t>Bản F5 có API (chưa có)
Chrome (latest)
Build: ghi khi chạy
Cần: ENV-R5-02, ENV-R5-03</t>
        </is>
      </c>
      <c r="K30" s="3" t="inlineStr">
        <is>
          <t>1. Bản F5 có API chạy, dữ liệu SEED-R5 đã nạp.
2. Đã đăng nhập School user BVP-0012 Lan Nguyen, trường Bukit View Primary.
3. Có hai đơn tải lên 11/10/2026 và 10/10/2026.</t>
        </is>
      </c>
      <c r="L30" s="3" t="inlineStr">
        <is>
          <t>SEED-R5-30: hai đơn của trường Bukit View Primary tải lên 11/10/2026 và 10/10/2026</t>
        </is>
      </c>
      <c r="M30" s="3" t="inlineStr">
        <is>
          <t>1. Với Uploaded Last 7 days, tìm hai dòng thử.
2. Chọn Last 30 days và đọc bảng.</t>
        </is>
      </c>
      <c r="N30" s="3" t="inlineStr">
        <is>
          <t>1. Dòng tải lên ngày 11/10/2026 (7 ngày trước 18/10/2026) có trong Last 7 days.
2. Dòng tải lên ngày 10/10/2026 không có trong Last 7 days và có trong Last 30 days.</t>
        </is>
      </c>
      <c r="O30" s="3" t="n"/>
      <c r="P30" s="3" t="inlineStr">
        <is>
          <t>ASM-R5-23: 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Q30" s="3" t="n"/>
      <c r="R30" s="3" t="inlineStr">
        <is>
          <t>Tender R5, US-042, FS F5 v1.2: 3 mục 4</t>
        </is>
      </c>
      <c r="S30" s="3" t="n"/>
      <c r="T30" s="2" t="inlineStr">
        <is>
          <t>Draft</t>
        </is>
      </c>
    </row>
    <row r="31" ht="93" customHeight="1">
      <c r="A31" s="2" t="inlineStr">
        <is>
          <t>TC-030</t>
        </is>
      </c>
      <c r="B31" s="2" t="inlineStr">
        <is>
          <t>TS-006</t>
        </is>
      </c>
      <c r="C31" s="3" t="inlineStr">
        <is>
          <t>Draft đứng đầu, dòng đã nộp mới nhất trước và 10 dòng mỗi trang</t>
        </is>
      </c>
      <c r="D31" s="3" t="inlineStr">
        <is>
          <t>F5.1 Upload applications list</t>
        </is>
      </c>
      <c r="E31" s="3" t="inlineStr">
        <is>
          <t>Upload applications (School user)</t>
        </is>
      </c>
      <c r="F31" s="2" t="inlineStr">
        <is>
          <t>S3</t>
        </is>
      </c>
      <c r="G31" s="2" t="inlineStr">
        <is>
          <t>Medium</t>
        </is>
      </c>
      <c r="H31" s="2" t="inlineStr">
        <is>
          <t>Not Run</t>
        </is>
      </c>
      <c r="I31" s="2" t="inlineStr">
        <is>
          <t>Functional</t>
        </is>
      </c>
      <c r="J31" s="3" t="inlineStr">
        <is>
          <t>Bản F5 có API (chưa có)
Chrome (latest)
Build: ghi khi chạy
Cần: ENV-R5-02, ENV-R5-03</t>
        </is>
      </c>
      <c r="K31" s="3" t="inlineStr">
        <is>
          <t>1. Bản F5 có API chạy, dữ liệu SEED-R5 đã nạp.
2. Đã đăng nhập School user BVP-0012 Lan Nguyen, trường Bukit View Primary.
3. Trường có 11 đơn đã nộp và 1 Draft.</t>
        </is>
      </c>
      <c r="L31" s="3" t="inlineStr">
        <is>
          <t>SEED-R5-31: 11 đơn đã nộp của Bukit View Primary</t>
        </is>
      </c>
      <c r="M31" s="3" t="inlineStr">
        <is>
          <t>1. Mở danh sách với Uploaded Any time.
2. Đọc thứ tự và số dòng của trang 1.
3. Sang trang 2 và đọc.</t>
        </is>
      </c>
      <c r="N31" s="3" t="inlineStr">
        <is>
          <t>1. Draft đứng đầu, các dòng đã nộp theo Uploaded at mới nhất trước.
2. Trang 1 có 10 dòng, trang 2 có 1 dòng, chân bảng ghi Showing 11 to 11 of 11.</t>
        </is>
      </c>
      <c r="O31" s="3" t="n"/>
      <c r="P31" s="3" t="inlineStr">
        <is>
          <t>ASM-R5-23: 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Q31" s="3" t="n"/>
      <c r="R31" s="3" t="inlineStr">
        <is>
          <t>Tender R5, US-042, FS F5 v1.2: 3 mục 5, 6</t>
        </is>
      </c>
      <c r="S31" s="3" t="n"/>
      <c r="T31" s="2" t="inlineStr">
        <is>
          <t>Draft</t>
        </is>
      </c>
    </row>
    <row r="32" ht="165.5" customHeight="1">
      <c r="A32" s="2" t="inlineStr">
        <is>
          <t>TC-031</t>
        </is>
      </c>
      <c r="B32" s="2" t="inlineStr">
        <is>
          <t>TS-006</t>
        </is>
      </c>
      <c r="C32" s="3" t="inlineStr">
        <is>
          <t>Đổi bộ lọc về trang 1</t>
        </is>
      </c>
      <c r="D32" s="3" t="inlineStr">
        <is>
          <t>F5.1 Upload applications list</t>
        </is>
      </c>
      <c r="E32" s="3" t="inlineStr">
        <is>
          <t>Upload applications (School user)</t>
        </is>
      </c>
      <c r="F32" s="2" t="inlineStr">
        <is>
          <t>S3</t>
        </is>
      </c>
      <c r="G32" s="2" t="inlineStr">
        <is>
          <t>Low</t>
        </is>
      </c>
      <c r="H32" s="2" t="inlineStr">
        <is>
          <t>Not Run</t>
        </is>
      </c>
      <c r="I32" s="2" t="inlineStr">
        <is>
          <t>Functional</t>
        </is>
      </c>
      <c r="J32" s="3" t="inlineStr">
        <is>
          <t>Bản F5 có API (chưa có)
Chrome (latest)
Build: ghi khi chạy
Cần: ENV-R5-02, ENV-R5-03</t>
        </is>
      </c>
      <c r="K32" s="3" t="inlineStr">
        <is>
          <t>1. Bản F5 có API chạy, dữ liệu SEED-R5 đã nạp.
2. Đã đăng nhập School user BVP-0012 Lan Nguyen, trường Bukit View Primary.
3. Trường có 11 đơn đã nộp và đang ở trang 2.</t>
        </is>
      </c>
      <c r="L32" s="3" t="inlineStr">
        <is>
          <t>SEED-R5-31</t>
        </is>
      </c>
      <c r="M32" s="3" t="inlineStr">
        <is>
          <t>1. Ở trang 2 chọn Status Pending.</t>
        </is>
      </c>
      <c r="N32" s="3" t="inlineStr">
        <is>
          <t>1. Bảng quay về trang 1 với các dòng khớp bộ lọc.</t>
        </is>
      </c>
      <c r="O32" s="3" t="n"/>
      <c r="P32" s="3" t="inlineStr">
        <is>
          <t>ASM-R5-21: Thẻ đếm đơn đã nộp của trường, không đếm Draft, và không đổi theo Search hay Uploaded. Bấm thẻ đặt bộ lọc Status tương ứng. Search, Status, Tier và Uploaded kết hợp bằng AND và quay về trang 1.
ASM-R5-23: 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Q32" s="3" t="n"/>
      <c r="R32" s="3" t="inlineStr">
        <is>
          <t>Tender R5, US-042, FS F5 v1.2: 3 mục 4</t>
        </is>
      </c>
      <c r="S32" s="3" t="n"/>
      <c r="T32" s="2" t="inlineStr">
        <is>
          <t>Draft</t>
        </is>
      </c>
    </row>
    <row r="33" ht="93" customHeight="1">
      <c r="A33" s="2" t="inlineStr">
        <is>
          <t>TC-032</t>
        </is>
      </c>
      <c r="B33" s="2" t="inlineStr">
        <is>
          <t>TS-006</t>
        </is>
      </c>
      <c r="C33" s="3" t="inlineStr">
        <is>
          <t>Uploaded at hiển thị DD/MM/YYYY HH:mm giờ Singapore</t>
        </is>
      </c>
      <c r="D33" s="3" t="inlineStr">
        <is>
          <t>F5.1 Upload applications list</t>
        </is>
      </c>
      <c r="E33" s="3" t="inlineStr">
        <is>
          <t>Upload applications (School user)</t>
        </is>
      </c>
      <c r="F33" s="2" t="inlineStr">
        <is>
          <t>S3</t>
        </is>
      </c>
      <c r="G33" s="2" t="inlineStr">
        <is>
          <t>Low</t>
        </is>
      </c>
      <c r="H33" s="2" t="inlineStr">
        <is>
          <t>Not Run</t>
        </is>
      </c>
      <c r="I33" s="2" t="inlineStr">
        <is>
          <t>UI</t>
        </is>
      </c>
      <c r="J33" s="3" t="inlineStr">
        <is>
          <t>Prototype: edusave.vercel.app (ngày mẫu 18/10/2026)
Chrome (latest)
Build: ghi khi chạy
Cần: ENV-R5-01</t>
        </is>
      </c>
      <c r="K33" s="3" t="inlineStr">
        <is>
          <t>1. Prototype ở trạng thái gốc (dùng Reset data).
2. Đã đăng nhập School user BVP-0012 Lan Nguyen, trường Bukit View Primary.
3. Màn Upload applications đang mở.</t>
        </is>
      </c>
      <c r="L33" s="3" t="inlineStr">
        <is>
          <t>Trạng thái gốc của prototype: 1 Draft, 1 Pending APP-2026-00412 Aisha Rahman, 1 Approved SBFAS Tier 3 APP-2026-00386 Lucas Teo</t>
        </is>
      </c>
      <c r="M33" s="3" t="inlineStr">
        <is>
          <t>1. Đọc cột Uploaded at của các dòng.</t>
        </is>
      </c>
      <c r="N33" s="3" t="inlineStr">
        <is>
          <t>1. Mỗi giá trị theo dạng DD/MM/YYYY HH:mm, giờ Singapore, ví dụ 17/10/2026 09:12.</t>
        </is>
      </c>
      <c r="O33" s="3" t="n"/>
      <c r="P33" s="3" t="inlineStr">
        <is>
          <t>ASM-R5-23: 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Q33" s="3" t="n"/>
      <c r="R33" s="3" t="inlineStr">
        <is>
          <t>Tender R5, US-042, FS F5 v1.2: 3 mục 5, F4 8.1</t>
        </is>
      </c>
      <c r="S33" s="3" t="n"/>
      <c r="T33" s="2" t="inlineStr">
        <is>
          <t>Draft</t>
        </is>
      </c>
    </row>
    <row r="34" ht="93" customHeight="1">
      <c r="A34" s="2" t="inlineStr">
        <is>
          <t>TC-033</t>
        </is>
      </c>
      <c r="B34" s="2" t="inlineStr">
        <is>
          <t>TS-007</t>
        </is>
      </c>
      <c r="C34" s="3" t="inlineStr">
        <is>
          <t>School user chỉ thấy đơn của học sinh trường mình</t>
        </is>
      </c>
      <c r="D34" s="3" t="inlineStr">
        <is>
          <t>F5.1 Upload applications list</t>
        </is>
      </c>
      <c r="E34" s="3" t="inlineStr">
        <is>
          <t>Upload applications (School user)</t>
        </is>
      </c>
      <c r="F34" s="2" t="inlineStr">
        <is>
          <t>S1 (highest)</t>
        </is>
      </c>
      <c r="G34" s="2" t="inlineStr">
        <is>
          <t>Critical</t>
        </is>
      </c>
      <c r="H34" s="2" t="inlineStr">
        <is>
          <t>Not Run</t>
        </is>
      </c>
      <c r="I34" s="2" t="inlineStr">
        <is>
          <t>Security</t>
        </is>
      </c>
      <c r="J34" s="3" t="inlineStr">
        <is>
          <t>Prototype: edusave.vercel.app (ngày mẫu 18/10/2026)
Chrome (latest)
Build: ghi khi chạy
Cần: ENV-R5-01</t>
        </is>
      </c>
      <c r="K34" s="3" t="inlineStr">
        <is>
          <t>1. Prototype ở trạng thái gốc (dùng Reset data).
2. Đã đăng nhập School user BVP-0012 Lan Nguyen, trường Bukit View Primary.
3. Màn Upload applications đang mở.</t>
        </is>
      </c>
      <c r="L34" s="3" t="inlineStr">
        <is>
          <t>Trạng thái gốc của prototype: 1 Draft, 1 Pending APP-2026-00412 Aisha Rahman, 1 Approved SBFAS Tier 3 APP-2026-00386 Lucas Teo</t>
        </is>
      </c>
      <c r="M34" s="3" t="inlineStr">
        <is>
          <t>1. Đăng xuất, đăng nhập School user MRS-0012 Farah Tan.
2. Mở Upload applications với Uploaded Any time.
3. Đọc các dòng và ba thẻ.</t>
        </is>
      </c>
      <c r="N34" s="3" t="inlineStr">
        <is>
          <t>1. Không có dòng nào của Aisha Rahman, Lucas Teo, Tan Mei Ling hay bất kỳ học sinh nào của Bukit View Primary.
2. Các thẻ phản ánh đơn của Meridian Secondary.</t>
        </is>
      </c>
      <c r="O34" s="3" t="n"/>
      <c r="P34" s="3" t="inlineStr">
        <is>
          <t>N/A</t>
        </is>
      </c>
      <c r="Q34" s="3" t="n"/>
      <c r="R34" s="3" t="inlineStr">
        <is>
          <t>Tender R5, US-042, FS F5 v1.2: 1.2</t>
        </is>
      </c>
      <c r="S34" s="3" t="inlineStr">
        <is>
          <t>Dữ liệu của Meridian Secondary đọc tại lúc chạy.</t>
        </is>
      </c>
      <c r="T34" s="2" t="inlineStr">
        <is>
          <t>Approve</t>
        </is>
      </c>
    </row>
    <row r="35" ht="93" customHeight="1">
      <c r="A35" s="2" t="inlineStr">
        <is>
          <t>TC-034</t>
        </is>
      </c>
      <c r="B35" s="2" t="inlineStr">
        <is>
          <t>TS-007</t>
        </is>
      </c>
      <c r="C35" s="3" t="inlineStr">
        <is>
          <t>MOE HQ không truy cập được Upload applications</t>
        </is>
      </c>
      <c r="D35" s="3" t="inlineStr">
        <is>
          <t>F5.1 Upload applications list</t>
        </is>
      </c>
      <c r="E35" s="3" t="inlineStr">
        <is>
          <t>Upload applications (School user)</t>
        </is>
      </c>
      <c r="F35" s="2" t="inlineStr">
        <is>
          <t>S1 (highest)</t>
        </is>
      </c>
      <c r="G35" s="2" t="inlineStr">
        <is>
          <t>Critical</t>
        </is>
      </c>
      <c r="H35" s="2" t="inlineStr">
        <is>
          <t>Not Run</t>
        </is>
      </c>
      <c r="I35" s="2" t="inlineStr">
        <is>
          <t>Security</t>
        </is>
      </c>
      <c r="J35" s="3" t="inlineStr">
        <is>
          <t>Prototype: edusave.vercel.app (ngày mẫu 18/10/2026)
Chrome (latest)
Build: ghi khi chạy
Cần: ENV-R5-01</t>
        </is>
      </c>
      <c r="K35" s="3" t="inlineStr">
        <is>
          <t>1. Prototype ở trạng thái gốc (dùng Reset data).
2. Đăng nhập MOE HQ Mei Lin Tan.</t>
        </is>
      </c>
      <c r="L35" s="3" t="inlineStr">
        <is>
          <t>Trạng thái gốc của prototype: 1 Draft, 1 Pending APP-2026-00412 Aisha Rahman, 1 Approved SBFAS Tier 3 APP-2026-00386 Lucas Teo</t>
        </is>
      </c>
      <c r="M35" s="3" t="inlineStr">
        <is>
          <t>1. Đăng nhập MOE HQ Mei Lin Tan.
2. Tìm mục Upload applications trong menu.
3. Mở địa chỉ của màn Upload applications bằng cách gõ trực tiếp.</t>
        </is>
      </c>
      <c r="N35" s="3" t="inlineStr">
        <is>
          <t>1. Menu của MOE HQ không có mục Upload applications.
2. Mở trực tiếp bị từ chối, không có dữ liệu nào hiển thị.</t>
        </is>
      </c>
      <c r="O35" s="3" t="n"/>
      <c r="P35" s="3" t="inlineStr">
        <is>
          <t>N/A</t>
        </is>
      </c>
      <c r="Q35" s="3" t="n"/>
      <c r="R35" s="3" t="inlineStr">
        <is>
          <t>Tender R5, US-042, FS F5 v1.2: 1.2</t>
        </is>
      </c>
      <c r="S35" s="3" t="n"/>
      <c r="T35" s="2" t="inlineStr">
        <is>
          <t>Approve</t>
        </is>
      </c>
    </row>
    <row r="36" ht="107.5" customHeight="1">
      <c r="A36" s="2" t="inlineStr">
        <is>
          <t>TC-035</t>
        </is>
      </c>
      <c r="B36" s="2" t="inlineStr">
        <is>
          <t>TS-007</t>
        </is>
      </c>
      <c r="C36" s="3" t="inlineStr">
        <is>
          <t>Đơn của con học trường khác hiện ở danh sách của trường con</t>
        </is>
      </c>
      <c r="D36" s="3" t="inlineStr">
        <is>
          <t>F5.1 Upload applications list</t>
        </is>
      </c>
      <c r="E36" s="3" t="inlineStr">
        <is>
          <t>Upload applications (School user)</t>
        </is>
      </c>
      <c r="F36" s="2" t="inlineStr">
        <is>
          <t>S2</t>
        </is>
      </c>
      <c r="G36" s="2" t="inlineStr">
        <is>
          <t>High</t>
        </is>
      </c>
      <c r="H36" s="2" t="inlineStr">
        <is>
          <t>Not Run</t>
        </is>
      </c>
      <c r="I36" s="2" t="inlineStr">
        <is>
          <t>Functional</t>
        </is>
      </c>
      <c r="J36" s="3" t="inlineStr">
        <is>
          <t>Bản F5 có API (chưa có)
Chrome (latest)
Build: ghi khi chạy
Cần: ENV-R5-02, ENV-R5-03</t>
        </is>
      </c>
      <c r="K36" s="3" t="inlineStr">
        <is>
          <t>1. Bản F5 có API chạy, dữ liệu SEED-R5 đã nạp.
2. Đã đăng nhập School user BVP-0012 Lan Nguyen, trường Bukit View Primary.</t>
        </is>
      </c>
      <c r="L36" s="3" t="inlineStr">
        <is>
          <t>SEED-R5: Tan Mei Ling T1412345B (P6, BVP), Tan Jun Kai T1012345A (S4, MRS)</t>
        </is>
      </c>
      <c r="M36" s="3" t="inlineStr">
        <is>
          <t>1. Với BVP-0012 nộp mẫu có hai con Tan Mei Ling (Bukit View Primary) và Tan Jun Kai (Meridian Secondary).
2. Mở Upload applications của Bukit View Primary với Uploaded Any time.
3. Đăng xuất, đăng nhập MRS-0012 Farah Tan và mở Upload applications.</t>
        </is>
      </c>
      <c r="N36" s="3" t="inlineStr">
        <is>
          <t>1. Bukit View Primary thấy đơn của Tan Mei Ling và không thấy đơn của Tan Jun Kai.
2. Meridian Secondary thấy đơn của Tan Jun Kai và không thấy đơn của Tan Mei Ling.</t>
        </is>
      </c>
      <c r="O36" s="3" t="n"/>
      <c r="P36" s="3" t="inlineStr">
        <is>
          <t>ASM-R5-08: Mẫu có con học trường khác vẫn nộp được khi ít nhất một con học trường của người dùng. Mỗi đơn chỉ hiện trong danh sách của trường đang học của con. SBFAS của con đó do trường của con quyết định.</t>
        </is>
      </c>
      <c r="Q36" s="3" t="n"/>
      <c r="R36" s="3" t="inlineStr">
        <is>
          <t>Tender R5, US-042, FS F5 v1.2: 1.2, BR8</t>
        </is>
      </c>
      <c r="S36" s="3" t="n"/>
      <c r="T36" s="2" t="inlineStr">
        <is>
          <t>Draft</t>
        </is>
      </c>
    </row>
    <row r="37" ht="93" customHeight="1">
      <c r="A37" s="2" t="inlineStr">
        <is>
          <t>TC-036</t>
        </is>
      </c>
      <c r="B37" s="2" t="inlineStr">
        <is>
          <t>TS-008</t>
        </is>
      </c>
      <c r="C37" s="3" t="inlineStr">
        <is>
          <t>Hộp thoại mở với danh sách file trống và Upload and read tắt</t>
        </is>
      </c>
      <c r="D37" s="3" t="inlineStr">
        <is>
          <t>F5.2 Upload scans dialog</t>
        </is>
      </c>
      <c r="E37" s="3" t="inlineStr">
        <is>
          <t>Upload scans dialog</t>
        </is>
      </c>
      <c r="F37" s="2" t="inlineStr">
        <is>
          <t>S2</t>
        </is>
      </c>
      <c r="G37" s="2" t="inlineStr">
        <is>
          <t>High</t>
        </is>
      </c>
      <c r="H37" s="2" t="inlineStr">
        <is>
          <t>Not Run</t>
        </is>
      </c>
      <c r="I37" s="2" t="inlineStr">
        <is>
          <t>Functional</t>
        </is>
      </c>
      <c r="J37" s="3" t="inlineStr">
        <is>
          <t>Prototype: edusave.vercel.app (ngày mẫu 18/10/2026)
Chrome (latest)
Build: ghi khi chạy
Cần: ENV-R5-01</t>
        </is>
      </c>
      <c r="K37" s="3" t="inlineStr">
        <is>
          <t>1. Prototype ở trạng thái gốc (dùng Reset data).
2. Đã đăng nhập School user BVP-0012 Lan Nguyen, trường Bukit View Primary.
3. Màn Upload applications đang mở.</t>
        </is>
      </c>
      <c r="L37" s="3" t="inlineStr"/>
      <c r="M37" s="3" t="inlineStr">
        <is>
          <t>1. Bấm Upload scans.
2. Đọc hộp thoại.</t>
        </is>
      </c>
      <c r="N37" s="3" t="inlineStr">
        <is>
          <t>1. Hộp thoại Upload scans mở, danh sách file trống.
2. Nút Upload and read tắt, nút Cancel bật.</t>
        </is>
      </c>
      <c r="O37" s="3" t="n"/>
      <c r="P37" s="3" t="inlineStr">
        <is>
          <t>N/A</t>
        </is>
      </c>
      <c r="Q37" s="3" t="n"/>
      <c r="R37" s="3" t="inlineStr">
        <is>
          <t>Tender R5, US-042, US-043, FS F5 v1.2: 4, FS 3 mục 1</t>
        </is>
      </c>
      <c r="S37" s="3" t="n"/>
      <c r="T37" s="2" t="inlineStr">
        <is>
          <t>Approve</t>
        </is>
      </c>
    </row>
    <row r="38" ht="93" customHeight="1">
      <c r="A38" s="2" t="inlineStr">
        <is>
          <t>TC-037</t>
        </is>
      </c>
      <c r="B38" s="2" t="inlineStr">
        <is>
          <t>TS-008</t>
        </is>
      </c>
      <c r="C38" s="3" t="inlineStr">
        <is>
          <t>Cancel đóng hộp thoại và không tải gì</t>
        </is>
      </c>
      <c r="D38" s="3" t="inlineStr">
        <is>
          <t>F5.2 Upload scans dialog</t>
        </is>
      </c>
      <c r="E38" s="3" t="inlineStr">
        <is>
          <t>Upload scans dialog</t>
        </is>
      </c>
      <c r="F38" s="2" t="inlineStr">
        <is>
          <t>S3</t>
        </is>
      </c>
      <c r="G38" s="2" t="inlineStr">
        <is>
          <t>Medium</t>
        </is>
      </c>
      <c r="H38" s="2" t="inlineStr">
        <is>
          <t>Not Run</t>
        </is>
      </c>
      <c r="I38" s="2" t="inlineStr">
        <is>
          <t>Functional</t>
        </is>
      </c>
      <c r="J38" s="3" t="inlineStr">
        <is>
          <t>Prototype: edusave.vercel.app (ngày mẫu 18/10/2026)
Chrome (latest)
Build: ghi khi chạy
Cần: ENV-R5-01</t>
        </is>
      </c>
      <c r="K38" s="3" t="inlineStr">
        <is>
          <t>1. Prototype ở trạng thái gốc (dùng Reset data).
2. Đã đăng nhập School user BVP-0012 Lan Nguyen, trường Bukit View Primary.
3. Màn Upload applications đang mở.</t>
        </is>
      </c>
      <c r="L38" s="3" t="inlineStr">
        <is>
          <t>File: scan_bvp_0667.pdf 812 KB</t>
        </is>
      </c>
      <c r="M38" s="3" t="inlineStr">
        <is>
          <t>1. Bấm Upload scans.
2. Thêm file scan_bvp_0667.pdf.
3. Bấm Cancel.
4. Đọc danh sách Upload applications.
5. Bấm Upload scans lần nữa.</t>
        </is>
      </c>
      <c r="N38" s="3" t="inlineStr">
        <is>
          <t>1. Hộp thoại đóng, danh sách đơn không đổi và không có dòng Draft mới.
2. Hộp thoại mở lại với danh sách file trống.</t>
        </is>
      </c>
      <c r="O38" s="3" t="n"/>
      <c r="P38" s="3" t="inlineStr">
        <is>
          <t>N/A</t>
        </is>
      </c>
      <c r="Q38" s="3" t="n"/>
      <c r="R38" s="3" t="inlineStr">
        <is>
          <t>Tender R5, US-042, US-043, FS F5 v1.2: 4, hình Upload scans</t>
        </is>
      </c>
      <c r="S38" s="3" t="n"/>
      <c r="T38" s="2" t="inlineStr">
        <is>
          <t>Approve</t>
        </is>
      </c>
    </row>
    <row r="39" ht="93" customHeight="1">
      <c r="A39" s="2" t="inlineStr">
        <is>
          <t>TC-038</t>
        </is>
      </c>
      <c r="B39" s="2" t="inlineStr">
        <is>
          <t>TS-008</t>
        </is>
      </c>
      <c r="C39" s="3" t="inlineStr">
        <is>
          <t>Bấm đúp Upload scans chỉ mở một hộp thoại</t>
        </is>
      </c>
      <c r="D39" s="3" t="inlineStr">
        <is>
          <t>F5.2 Upload scans dialog</t>
        </is>
      </c>
      <c r="E39" s="3" t="inlineStr">
        <is>
          <t>Upload scans dialog</t>
        </is>
      </c>
      <c r="F39" s="2" t="inlineStr">
        <is>
          <t>S3</t>
        </is>
      </c>
      <c r="G39" s="2" t="inlineStr">
        <is>
          <t>Low</t>
        </is>
      </c>
      <c r="H39" s="2" t="inlineStr">
        <is>
          <t>Not Run</t>
        </is>
      </c>
      <c r="I39" s="2" t="inlineStr">
        <is>
          <t>Functional</t>
        </is>
      </c>
      <c r="J39" s="3" t="inlineStr">
        <is>
          <t>Prototype: edusave.vercel.app (ngày mẫu 18/10/2026)
Chrome (latest)
Build: ghi khi chạy
Cần: ENV-R5-01</t>
        </is>
      </c>
      <c r="K39" s="3" t="inlineStr">
        <is>
          <t>1. Prototype ở trạng thái gốc (dùng Reset data).
2. Đã đăng nhập School user BVP-0012 Lan Nguyen, trường Bukit View Primary.
3. Màn Upload applications đang mở.</t>
        </is>
      </c>
      <c r="L39" s="3" t="inlineStr"/>
      <c r="M39" s="3" t="inlineStr">
        <is>
          <t>1. Bấm đúp nhanh vào Upload scans.
2. Đọc màn hình.</t>
        </is>
      </c>
      <c r="N39" s="3" t="inlineStr">
        <is>
          <t>1. Chỉ có một hộp thoại Upload scans.</t>
        </is>
      </c>
      <c r="O39" s="3" t="n"/>
      <c r="P39" s="3" t="inlineStr">
        <is>
          <t>N/A</t>
        </is>
      </c>
      <c r="Q39" s="3" t="n"/>
      <c r="R39" s="3" t="inlineStr">
        <is>
          <t>Tender R5, US-042, US-043, FS F5 v1.2: 3 mục 1</t>
        </is>
      </c>
      <c r="S39" s="3" t="n"/>
      <c r="T39" s="2" t="inlineStr">
        <is>
          <t>Approve</t>
        </is>
      </c>
    </row>
    <row r="40" ht="107.5" customHeight="1">
      <c r="A40" s="2" t="inlineStr">
        <is>
          <t>TC-039</t>
        </is>
      </c>
      <c r="B40" s="2" t="inlineStr">
        <is>
          <t>TS-009</t>
        </is>
      </c>
      <c r="C40" s="3" t="inlineStr">
        <is>
          <t>PDF, JPG và PNG đều được nhận</t>
        </is>
      </c>
      <c r="D40" s="3" t="inlineStr">
        <is>
          <t>F5.2 Upload scans dialog</t>
        </is>
      </c>
      <c r="E40" s="3" t="inlineStr">
        <is>
          <t>Upload scans dialog</t>
        </is>
      </c>
      <c r="F40" s="2" t="inlineStr">
        <is>
          <t>S1 (highest)</t>
        </is>
      </c>
      <c r="G40" s="2" t="inlineStr">
        <is>
          <t>Critical</t>
        </is>
      </c>
      <c r="H40" s="2" t="inlineStr">
        <is>
          <t>Not Run</t>
        </is>
      </c>
      <c r="I40" s="2" t="inlineStr">
        <is>
          <t>Functional</t>
        </is>
      </c>
      <c r="J40" s="3" t="inlineStr">
        <is>
          <t>Prototype: edusave.vercel.app (ngày mẫu 18/10/2026)
Chrome (latest)
Build: ghi khi chạy
Cần: ENV-R5-01, ENV-R5-06</t>
        </is>
      </c>
      <c r="K40" s="3" t="inlineStr">
        <is>
          <t>1. Prototype ở trạng thái gốc (dùng Reset data).
2. Đã đăng nhập School user BVP-0012 Lan Nguyen, trường Bukit View Primary.
3. Màn Upload applications đang mở.</t>
        </is>
      </c>
      <c r="L40" s="3" t="inlineStr">
        <is>
          <t>a.pdf 812 KB, b.jpg 600 KB, c.png 300 KB</t>
        </is>
      </c>
      <c r="M40" s="3" t="inlineStr">
        <is>
          <t>1. Bấm Upload scans.
2. Thêm lần lượt a.pdf, b.jpg, c.png.
3. Đọc danh sách file và nút Upload and read.</t>
        </is>
      </c>
      <c r="N40" s="3" t="inlineStr">
        <is>
          <t>1. Cả ba file nằm trong danh sách, mỗi dòng có tên file, dung lượng và nút Remove.
2. Nút Upload and read bật.
3. Không có thông báo lỗi.</t>
        </is>
      </c>
      <c r="O40" s="3" t="n"/>
      <c r="P40" s="3" t="inlineStr">
        <is>
          <t>N/A</t>
        </is>
      </c>
      <c r="Q40" s="3" t="n"/>
      <c r="R40" s="3" t="inlineStr">
        <is>
          <t>Tender R5, US-042, US-043, FS F5 v1.2: 4</t>
        </is>
      </c>
      <c r="S40" s="3" t="n"/>
      <c r="T40" s="2" t="inlineStr">
        <is>
          <t>Approve</t>
        </is>
      </c>
    </row>
    <row r="41" ht="107.5" customHeight="1">
      <c r="A41" s="2" t="inlineStr">
        <is>
          <t>TC-040</t>
        </is>
      </c>
      <c r="B41" s="2" t="inlineStr">
        <is>
          <t>TS-009</t>
        </is>
      </c>
      <c r="C41" s="3" t="inlineStr">
        <is>
          <t>File .docx bị từ chối</t>
        </is>
      </c>
      <c r="D41" s="3" t="inlineStr">
        <is>
          <t>F5.2 Upload scans dialog</t>
        </is>
      </c>
      <c r="E41" s="3" t="inlineStr">
        <is>
          <t>Upload scans dialog</t>
        </is>
      </c>
      <c r="F41" s="2" t="inlineStr">
        <is>
          <t>S1 (highest)</t>
        </is>
      </c>
      <c r="G41" s="2" t="inlineStr">
        <is>
          <t>Critical</t>
        </is>
      </c>
      <c r="H41" s="2" t="inlineStr">
        <is>
          <t>Not Run</t>
        </is>
      </c>
      <c r="I41" s="2" t="inlineStr">
        <is>
          <t>Functional</t>
        </is>
      </c>
      <c r="J41" s="3" t="inlineStr">
        <is>
          <t>Prototype: edusave.vercel.app (ngày mẫu 18/10/2026)
Chrome (latest)
Build: ghi khi chạy
Cần: ENV-R5-01, ENV-R5-06</t>
        </is>
      </c>
      <c r="K41" s="3" t="inlineStr">
        <is>
          <t>1. Prototype ở trạng thái gốc (dùng Reset data).
2. Đã đăng nhập School user BVP-0012 Lan Nguyen, trường Bukit View Primary.
3. Màn Upload applications đang mở.</t>
        </is>
      </c>
      <c r="L41" s="3" t="inlineStr">
        <is>
          <t>File: form.docx</t>
        </is>
      </c>
      <c r="M41" s="3" t="inlineStr">
        <is>
          <t>1. Bấm Upload scans.
2. Thêm file form.docx.
3. Đọc danh sách file và thông báo.</t>
        </is>
      </c>
      <c r="N41" s="3" t="inlineStr">
        <is>
          <t>1. File không vào danh sách.
2. Thông báo "form.docx: only PDF, JPG or PNG files."
3. Nút Upload and read vẫn tắt.</t>
        </is>
      </c>
      <c r="O41" s="3" t="n"/>
      <c r="P41" s="3" t="inlineStr">
        <is>
          <t>N/A</t>
        </is>
      </c>
      <c r="Q41" s="3" t="n"/>
      <c r="R41" s="3" t="inlineStr">
        <is>
          <t>Tender R5, US-042, US-043, FS F5 v1.2: 4, T1</t>
        </is>
      </c>
      <c r="S41" s="3" t="n"/>
      <c r="T41" s="2" t="inlineStr">
        <is>
          <t>Approve</t>
        </is>
      </c>
    </row>
    <row r="42" ht="107.5" customHeight="1">
      <c r="A42" s="2" t="inlineStr">
        <is>
          <t>TC-041</t>
        </is>
      </c>
      <c r="B42" s="2" t="inlineStr">
        <is>
          <t>TS-009</t>
        </is>
      </c>
      <c r="C42" s="3" t="inlineStr">
        <is>
          <t>Các loại file khác bị từ chối</t>
        </is>
      </c>
      <c r="D42" s="3" t="inlineStr">
        <is>
          <t>F5.2 Upload scans dialog</t>
        </is>
      </c>
      <c r="E42" s="3" t="inlineStr">
        <is>
          <t>Upload scans dialog</t>
        </is>
      </c>
      <c r="F42" s="2" t="inlineStr">
        <is>
          <t>S2</t>
        </is>
      </c>
      <c r="G42" s="2" t="inlineStr">
        <is>
          <t>High</t>
        </is>
      </c>
      <c r="H42" s="2" t="inlineStr">
        <is>
          <t>Not Run</t>
        </is>
      </c>
      <c r="I42" s="2" t="inlineStr">
        <is>
          <t>Functional</t>
        </is>
      </c>
      <c r="J42" s="3" t="inlineStr">
        <is>
          <t>Prototype: edusave.vercel.app (ngày mẫu 18/10/2026)
Chrome (latest)
Build: ghi khi chạy
Cần: ENV-R5-01, ENV-R5-06</t>
        </is>
      </c>
      <c r="K42" s="3" t="inlineStr">
        <is>
          <t>1. Prototype ở trạng thái gốc (dùng Reset data).
2. Đã đăng nhập School user BVP-0012 Lan Nguyen, trường Bukit View Primary.
3. Màn Upload applications đang mở.</t>
        </is>
      </c>
      <c r="L42" s="3" t="inlineStr">
        <is>
          <t>photo.gif, scan.tiff, notes.txt, run.exe, pic.heic</t>
        </is>
      </c>
      <c r="M42" s="3" t="inlineStr">
        <is>
          <t>1. Bấm Upload scans.
2. Thêm lần lượt photo.gif, scan.tiff, notes.txt, run.exe, pic.heic.
3. Đọc thông báo sau mỗi lần thêm.</t>
        </is>
      </c>
      <c r="N42" s="3" t="inlineStr">
        <is>
          <t>1. Mỗi file bị từ chối với "{tên file}: only PDF, JPG or PNG files." và không vào danh sách.
2. Nút Upload and read vẫn tắt.</t>
        </is>
      </c>
      <c r="O42" s="3" t="n"/>
      <c r="P42" s="3" t="inlineStr">
        <is>
          <t>N/A</t>
        </is>
      </c>
      <c r="Q42" s="3" t="n"/>
      <c r="R42" s="3" t="inlineStr">
        <is>
          <t>Tender R5, US-042, US-043, FS F5 v1.2: 4</t>
        </is>
      </c>
      <c r="S42" s="3" t="n"/>
      <c r="T42" s="2" t="inlineStr">
        <is>
          <t>Approve</t>
        </is>
      </c>
    </row>
    <row r="43" ht="122" customHeight="1">
      <c r="A43" s="2" t="inlineStr">
        <is>
          <t>TC-042</t>
        </is>
      </c>
      <c r="B43" s="2" t="inlineStr">
        <is>
          <t>TS-009</t>
        </is>
      </c>
      <c r="C43" s="3" t="inlineStr">
        <is>
          <t>Phần mở rộng viết hoa vẫn được nhận</t>
        </is>
      </c>
      <c r="D43" s="3" t="inlineStr">
        <is>
          <t>F5.2 Upload scans dialog</t>
        </is>
      </c>
      <c r="E43" s="3" t="inlineStr">
        <is>
          <t>Upload scans dialog</t>
        </is>
      </c>
      <c r="F43" s="2" t="inlineStr">
        <is>
          <t>S3</t>
        </is>
      </c>
      <c r="G43" s="2" t="inlineStr">
        <is>
          <t>Medium</t>
        </is>
      </c>
      <c r="H43" s="2" t="inlineStr">
        <is>
          <t>Not Run</t>
        </is>
      </c>
      <c r="I43" s="2" t="inlineStr">
        <is>
          <t>Functional</t>
        </is>
      </c>
      <c r="J43" s="3" t="inlineStr">
        <is>
          <t>Prototype: edusave.vercel.app (ngày mẫu 18/10/2026)
Chrome (latest)
Build: ghi khi chạy
Cần: ENV-R5-01, ENV-R5-06</t>
        </is>
      </c>
      <c r="K43" s="3" t="inlineStr">
        <is>
          <t>1. Prototype ở trạng thái gốc (dùng Reset data).
2. Đã đăng nhập School user BVP-0012 Lan Nguyen, trường Bukit View Primary.
3. Màn Upload applications đang mở.</t>
        </is>
      </c>
      <c r="L43" s="3" t="inlineStr">
        <is>
          <t>FORM.PDF, PHOTO.JPG, SCAN.PNG</t>
        </is>
      </c>
      <c r="M43" s="3" t="inlineStr">
        <is>
          <t>1. Bấm Upload scans.
2. Thêm FORM.PDF, PHOTO.JPG, SCAN.PNG.
3. Đọc danh sách.</t>
        </is>
      </c>
      <c r="N43" s="3" t="inlineStr">
        <is>
          <t>1. Cả ba file vào danh sách, không có thông báo lỗi.</t>
        </is>
      </c>
      <c r="O43" s="3" t="n"/>
      <c r="P43"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43" s="3" t="n"/>
      <c r="R43" s="3" t="inlineStr">
        <is>
          <t>Tender R5, US-042, US-043, FS F5 v1.2: 4</t>
        </is>
      </c>
      <c r="S43" s="3" t="n"/>
      <c r="T43" s="2" t="inlineStr">
        <is>
          <t>Draft</t>
        </is>
      </c>
    </row>
    <row r="44" ht="122" customHeight="1">
      <c r="A44" s="2" t="inlineStr">
        <is>
          <t>TC-043</t>
        </is>
      </c>
      <c r="B44" s="2" t="inlineStr">
        <is>
          <t>TS-009</t>
        </is>
      </c>
      <c r="C44" s="3" t="inlineStr">
        <is>
          <t>Phần mở rộng jpeg được coi là JPG</t>
        </is>
      </c>
      <c r="D44" s="3" t="inlineStr">
        <is>
          <t>F5.2 Upload scans dialog</t>
        </is>
      </c>
      <c r="E44" s="3" t="inlineStr">
        <is>
          <t>Upload scans dialog</t>
        </is>
      </c>
      <c r="F44" s="2" t="inlineStr">
        <is>
          <t>S3</t>
        </is>
      </c>
      <c r="G44" s="2" t="inlineStr">
        <is>
          <t>Medium</t>
        </is>
      </c>
      <c r="H44" s="2" t="inlineStr">
        <is>
          <t>Not Run</t>
        </is>
      </c>
      <c r="I44" s="2" t="inlineStr">
        <is>
          <t>Functional</t>
        </is>
      </c>
      <c r="J44" s="3" t="inlineStr">
        <is>
          <t>Prototype: edusave.vercel.app (ngày mẫu 18/10/2026)
Chrome (latest)
Build: ghi khi chạy
Cần: ENV-R5-01, ENV-R5-06</t>
        </is>
      </c>
      <c r="K44" s="3" t="inlineStr">
        <is>
          <t>1. Prototype ở trạng thái gốc (dùng Reset data).
2. Đã đăng nhập School user BVP-0012 Lan Nguyen, trường Bukit View Primary.
3. Màn Upload applications đang mở.</t>
        </is>
      </c>
      <c r="L44" s="3" t="inlineStr">
        <is>
          <t>photo.jpeg</t>
        </is>
      </c>
      <c r="M44" s="3" t="inlineStr">
        <is>
          <t>1. Bấm Upload scans.
2. Thêm photo.jpeg.
3. Đọc danh sách.</t>
        </is>
      </c>
      <c r="N44" s="3" t="inlineStr">
        <is>
          <t>1. File vào danh sách, không có thông báo lỗi.</t>
        </is>
      </c>
      <c r="O44" s="3" t="n"/>
      <c r="P44"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44" s="3" t="n"/>
      <c r="R44" s="3" t="inlineStr">
        <is>
          <t>Tender R5, US-042, US-043, FS F5 v1.2: 4</t>
        </is>
      </c>
      <c r="S44" s="3" t="inlineStr">
        <is>
          <t>Điểm mở O26.</t>
        </is>
      </c>
      <c r="T44" s="2" t="inlineStr">
        <is>
          <t>Draft</t>
        </is>
      </c>
    </row>
    <row r="45" ht="310.5" customHeight="1">
      <c r="A45" s="2" t="inlineStr">
        <is>
          <t>TC-044</t>
        </is>
      </c>
      <c r="B45" s="2" t="inlineStr">
        <is>
          <t>TS-009</t>
        </is>
      </c>
      <c r="C45" s="3" t="inlineStr">
        <is>
          <t>File đổi tên phần mở rộng bị từ chối</t>
        </is>
      </c>
      <c r="D45" s="3" t="inlineStr">
        <is>
          <t>F5.2 Upload scans dialog</t>
        </is>
      </c>
      <c r="E45" s="3" t="inlineStr">
        <is>
          <t>Upload scans dialog</t>
        </is>
      </c>
      <c r="F45" s="2" t="inlineStr">
        <is>
          <t>S1 (highest)</t>
        </is>
      </c>
      <c r="G45" s="2" t="inlineStr">
        <is>
          <t>High</t>
        </is>
      </c>
      <c r="H45" s="2" t="inlineStr">
        <is>
          <t>Not Run</t>
        </is>
      </c>
      <c r="I45" s="2" t="inlineStr">
        <is>
          <t>Security</t>
        </is>
      </c>
      <c r="J45" s="3" t="inlineStr">
        <is>
          <t>Prototype: edusave.vercel.app (ngày mẫu 18/10/2026)
Chrome (latest)
Build: ghi khi chạy
Cần: ENV-R5-01, ENV-R5-06</t>
        </is>
      </c>
      <c r="K45" s="3" t="inlineStr">
        <is>
          <t>1. Prototype ở trạng thái gốc (dùng Reset data).
2. Đã đăng nhập School user BVP-0012 Lan Nguyen, trường Bukit View Primary.
3. Màn Upload applications đang mở.</t>
        </is>
      </c>
      <c r="L45" s="3" t="inlineStr">
        <is>
          <t>payload.pdf (exe), form.pdf.exe, notes.pdf (text)</t>
        </is>
      </c>
      <c r="M45" s="3" t="inlineStr">
        <is>
          <t>1. Bấm Upload scans.
2. Thêm payload.pdf (thực ra là file .exe đã đổi tên).
3. Thêm form.pdf.exe.
4. Thêm notes.txt đổi tên thành notes.pdf.
5. Đọc thông báo sau mỗi lần thêm.</t>
        </is>
      </c>
      <c r="N45" s="3" t="inlineStr">
        <is>
          <t>1. Cả ba file bị từ chối với "{tên file}: only PDF, JPG or PNG files." và không vào danh sách.</t>
        </is>
      </c>
      <c r="O45" s="3" t="n"/>
      <c r="P45"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45" s="3" t="n"/>
      <c r="R45" s="3" t="inlineStr">
        <is>
          <t>Tender R5, US-042, US-043, FS F5 v1.2: 4, R5_FAS_Validation_Rules B1</t>
        </is>
      </c>
      <c r="S45" s="3" t="n"/>
      <c r="T45" s="2" t="inlineStr">
        <is>
          <t>Draft</t>
        </is>
      </c>
    </row>
    <row r="46" ht="107.5" customHeight="1">
      <c r="A46" s="2" t="inlineStr">
        <is>
          <t>TC-045</t>
        </is>
      </c>
      <c r="B46" s="2" t="inlineStr">
        <is>
          <t>TS-010</t>
        </is>
      </c>
      <c r="C46" s="3" t="inlineStr">
        <is>
          <t>File 5 MB được nhận</t>
        </is>
      </c>
      <c r="D46" s="3" t="inlineStr">
        <is>
          <t>F5.2 Upload scans dialog</t>
        </is>
      </c>
      <c r="E46" s="3" t="inlineStr">
        <is>
          <t>Upload scans dialog</t>
        </is>
      </c>
      <c r="F46" s="2" t="inlineStr">
        <is>
          <t>S2</t>
        </is>
      </c>
      <c r="G46" s="2" t="inlineStr">
        <is>
          <t>Medium</t>
        </is>
      </c>
      <c r="H46" s="2" t="inlineStr">
        <is>
          <t>Not Run</t>
        </is>
      </c>
      <c r="I46" s="2" t="inlineStr">
        <is>
          <t>Functional</t>
        </is>
      </c>
      <c r="J46" s="3" t="inlineStr">
        <is>
          <t>Prototype: edusave.vercel.app (ngày mẫu 18/10/2026)
Chrome (latest)
Build: ghi khi chạy
Cần: ENV-R5-01, ENV-R5-06</t>
        </is>
      </c>
      <c r="K46" s="3" t="inlineStr">
        <is>
          <t>1. Prototype ở trạng thái gốc (dùng Reset data).
2. Đã đăng nhập School user BVP-0012 Lan Nguyen, trường Bukit View Primary.
3. Màn Upload applications đang mở.</t>
        </is>
      </c>
      <c r="L46" s="3" t="inlineStr">
        <is>
          <t>big5.pdf, 5 MB</t>
        </is>
      </c>
      <c r="M46" s="3" t="inlineStr">
        <is>
          <t>1. Bấm Upload scans.
2. Thêm file big5.pdf dung lượng 5 MB.</t>
        </is>
      </c>
      <c r="N46" s="3" t="inlineStr">
        <is>
          <t>1. File vào danh sách và dòng hiện dung lượng khoảng 5 MB.
2. Không có thông báo lỗi.</t>
        </is>
      </c>
      <c r="O46" s="3" t="n"/>
      <c r="P46" s="3" t="inlineStr">
        <is>
          <t>N/A</t>
        </is>
      </c>
      <c r="Q46" s="3" t="n"/>
      <c r="R46" s="3" t="inlineStr">
        <is>
          <t>Tender R5, US-042, US-043, FS F5 v1.2: 4</t>
        </is>
      </c>
      <c r="S46" s="3" t="n"/>
      <c r="T46" s="2" t="inlineStr">
        <is>
          <t>Approve</t>
        </is>
      </c>
    </row>
    <row r="47" ht="107.5" customHeight="1">
      <c r="A47" s="2" t="inlineStr">
        <is>
          <t>TC-046</t>
        </is>
      </c>
      <c r="B47" s="2" t="inlineStr">
        <is>
          <t>TS-010</t>
        </is>
      </c>
      <c r="C47" s="3" t="inlineStr">
        <is>
          <t>File 11 MB bị từ chối</t>
        </is>
      </c>
      <c r="D47" s="3" t="inlineStr">
        <is>
          <t>F5.2 Upload scans dialog</t>
        </is>
      </c>
      <c r="E47" s="3" t="inlineStr">
        <is>
          <t>Upload scans dialog</t>
        </is>
      </c>
      <c r="F47" s="2" t="inlineStr">
        <is>
          <t>S1 (highest)</t>
        </is>
      </c>
      <c r="G47" s="2" t="inlineStr">
        <is>
          <t>High</t>
        </is>
      </c>
      <c r="H47" s="2" t="inlineStr">
        <is>
          <t>Not Run</t>
        </is>
      </c>
      <c r="I47" s="2" t="inlineStr">
        <is>
          <t>Functional</t>
        </is>
      </c>
      <c r="J47" s="3" t="inlineStr">
        <is>
          <t>Prototype: edusave.vercel.app (ngày mẫu 18/10/2026)
Chrome (latest)
Build: ghi khi chạy
Cần: ENV-R5-01, ENV-R5-06</t>
        </is>
      </c>
      <c r="K47" s="3" t="inlineStr">
        <is>
          <t>1. Prototype ở trạng thái gốc (dùng Reset data).
2. Đã đăng nhập School user BVP-0012 Lan Nguyen, trường Bukit View Primary.
3. Màn Upload applications đang mở.</t>
        </is>
      </c>
      <c r="L47" s="3" t="inlineStr">
        <is>
          <t>big11.pdf, 11 MB</t>
        </is>
      </c>
      <c r="M47" s="3" t="inlineStr">
        <is>
          <t>1. Bấm Upload scans.
2. Thêm file big11.pdf dung lượng 11 MB.</t>
        </is>
      </c>
      <c r="N47" s="3" t="inlineStr">
        <is>
          <t>1. File không vào danh sách.
2. Thông báo "big11.pdf is larger than 10 MB."</t>
        </is>
      </c>
      <c r="O47" s="3" t="n"/>
      <c r="P47" s="3" t="inlineStr">
        <is>
          <t>N/A</t>
        </is>
      </c>
      <c r="Q47" s="3" t="n"/>
      <c r="R47" s="3" t="inlineStr">
        <is>
          <t>Tender R5, US-042, US-043, FS F5 v1.2: 4</t>
        </is>
      </c>
      <c r="S47" s="3" t="n"/>
      <c r="T47" s="2" t="inlineStr">
        <is>
          <t>Approve</t>
        </is>
      </c>
    </row>
    <row r="48" ht="122" customHeight="1">
      <c r="A48" s="2" t="inlineStr">
        <is>
          <t>TC-047</t>
        </is>
      </c>
      <c r="B48" s="2" t="inlineStr">
        <is>
          <t>TS-010</t>
        </is>
      </c>
      <c r="C48" s="3" t="inlineStr">
        <is>
          <t>Biên 10 MB: đúng 10 MB được nhận, 10 MB cộng 1 byte bị từ chối</t>
        </is>
      </c>
      <c r="D48" s="3" t="inlineStr">
        <is>
          <t>F5.2 Upload scans dialog</t>
        </is>
      </c>
      <c r="E48" s="3" t="inlineStr">
        <is>
          <t>Upload scans dialog</t>
        </is>
      </c>
      <c r="F48" s="2" t="inlineStr">
        <is>
          <t>S2</t>
        </is>
      </c>
      <c r="G48" s="2" t="inlineStr">
        <is>
          <t>High</t>
        </is>
      </c>
      <c r="H48" s="2" t="inlineStr">
        <is>
          <t>Not Run</t>
        </is>
      </c>
      <c r="I48" s="2" t="inlineStr">
        <is>
          <t>Functional</t>
        </is>
      </c>
      <c r="J48" s="3" t="inlineStr">
        <is>
          <t>Prototype: edusave.vercel.app (ngày mẫu 18/10/2026)
Chrome (latest)
Build: ghi khi chạy
Cần: ENV-R5-01, ENV-R5-06</t>
        </is>
      </c>
      <c r="K48" s="3" t="inlineStr">
        <is>
          <t>1. Prototype ở trạng thái gốc (dùng Reset data).
2. Đã đăng nhập School user BVP-0012 Lan Nguyen, trường Bukit View Primary.
3. Màn Upload applications đang mở.</t>
        </is>
      </c>
      <c r="L48" s="3" t="inlineStr">
        <is>
          <t>exact10.pdf 10.485.760 byte, over10.pdf 10.485.761 byte</t>
        </is>
      </c>
      <c r="M48" s="3" t="inlineStr">
        <is>
          <t>1. Bấm Upload scans.
2. Thêm file exact10.pdf dung lượng 10.485.760 byte.
3. Thêm file over10.pdf dung lượng 10.485.761 byte.
4. Đọc danh sách và thông báo.</t>
        </is>
      </c>
      <c r="N48" s="3" t="inlineStr">
        <is>
          <t>1. exact10.pdf vào danh sách.
2. over10.pdf bị từ chối với "over10.pdf is larger than 10 MB."</t>
        </is>
      </c>
      <c r="O48" s="3" t="n"/>
      <c r="P48"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48" s="3" t="n"/>
      <c r="R48" s="3" t="inlineStr">
        <is>
          <t>Tender R5, US-042, US-043, FS F5 v1.2: 4</t>
        </is>
      </c>
      <c r="S48" s="3" t="inlineStr">
        <is>
          <t>Điểm mở O26: 10 MB là 10 x 1024 x 1024 byte hay 10 triệu byte.</t>
        </is>
      </c>
      <c r="T48" s="2" t="inlineStr">
        <is>
          <t>Draft</t>
        </is>
      </c>
    </row>
    <row r="49" ht="310.5" customHeight="1">
      <c r="A49" s="2" t="inlineStr">
        <is>
          <t>TC-048</t>
        </is>
      </c>
      <c r="B49" s="2" t="inlineStr">
        <is>
          <t>TS-010</t>
        </is>
      </c>
      <c r="C49" s="3" t="inlineStr">
        <is>
          <t>File 0 byte bị từ chối</t>
        </is>
      </c>
      <c r="D49" s="3" t="inlineStr">
        <is>
          <t>F5.2 Upload scans dialog</t>
        </is>
      </c>
      <c r="E49" s="3" t="inlineStr">
        <is>
          <t>Upload scans dialog</t>
        </is>
      </c>
      <c r="F49" s="2" t="inlineStr">
        <is>
          <t>S3</t>
        </is>
      </c>
      <c r="G49" s="2" t="inlineStr">
        <is>
          <t>Medium</t>
        </is>
      </c>
      <c r="H49" s="2" t="inlineStr">
        <is>
          <t>Not Run</t>
        </is>
      </c>
      <c r="I49" s="2" t="inlineStr">
        <is>
          <t>Functional</t>
        </is>
      </c>
      <c r="J49" s="3" t="inlineStr">
        <is>
          <t>Prototype: edusave.vercel.app (ngày mẫu 18/10/2026)
Chrome (latest)
Build: ghi khi chạy
Cần: ENV-R5-01, ENV-R5-06</t>
        </is>
      </c>
      <c r="K49" s="3" t="inlineStr">
        <is>
          <t>1. Prototype ở trạng thái gốc (dùng Reset data).
2. Đã đăng nhập School user BVP-0012 Lan Nguyen, trường Bukit View Primary.
3. Màn Upload applications đang mở.</t>
        </is>
      </c>
      <c r="L49" s="3" t="inlineStr">
        <is>
          <t>empty.pdf, 0 byte</t>
        </is>
      </c>
      <c r="M49" s="3" t="inlineStr">
        <is>
          <t>1. Bấm Upload scans.
2. Thêm file empty.pdf dung lượng 0 byte.</t>
        </is>
      </c>
      <c r="N49" s="3" t="inlineStr">
        <is>
          <t>1. File không vào danh sách và hiện "empty.pdf: the file is empty."</t>
        </is>
      </c>
      <c r="O49" s="3" t="n"/>
      <c r="P49"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49" s="3" t="n"/>
      <c r="R49" s="3" t="inlineStr">
        <is>
          <t>Tender R5, US-042, US-043, FS F5 v1.2: 4</t>
        </is>
      </c>
      <c r="S49" s="3" t="n"/>
      <c r="T49" s="2" t="inlineStr">
        <is>
          <t>Draft</t>
        </is>
      </c>
    </row>
    <row r="50" ht="107.5" customHeight="1">
      <c r="A50" s="2" t="inlineStr">
        <is>
          <t>TC-049</t>
        </is>
      </c>
      <c r="B50" s="2" t="inlineStr">
        <is>
          <t>TS-011</t>
        </is>
      </c>
      <c r="C50" s="3" t="inlineStr">
        <is>
          <t>Thêm đủ 5 file được nhận</t>
        </is>
      </c>
      <c r="D50" s="3" t="inlineStr">
        <is>
          <t>F5.2 Upload scans dialog</t>
        </is>
      </c>
      <c r="E50" s="3" t="inlineStr">
        <is>
          <t>Upload scans dialog</t>
        </is>
      </c>
      <c r="F50" s="2" t="inlineStr">
        <is>
          <t>S2</t>
        </is>
      </c>
      <c r="G50" s="2" t="inlineStr">
        <is>
          <t>High</t>
        </is>
      </c>
      <c r="H50" s="2" t="inlineStr">
        <is>
          <t>Not Run</t>
        </is>
      </c>
      <c r="I50" s="2" t="inlineStr">
        <is>
          <t>Functional</t>
        </is>
      </c>
      <c r="J50" s="3" t="inlineStr">
        <is>
          <t>Prototype: edusave.vercel.app (ngày mẫu 18/10/2026)
Chrome (latest)
Build: ghi khi chạy
Cần: ENV-R5-01, ENV-R5-06</t>
        </is>
      </c>
      <c r="K50" s="3" t="inlineStr">
        <is>
          <t>1. Prototype ở trạng thái gốc (dùng Reset data).
2. Đã đăng nhập School user BVP-0012 Lan Nguyen, trường Bukit View Primary.
3. Màn Upload applications đang mở.</t>
        </is>
      </c>
      <c r="L50" s="3" t="inlineStr">
        <is>
          <t>p1.pdf đến p5.pdf, mỗi file 1 MB</t>
        </is>
      </c>
      <c r="M50" s="3" t="inlineStr">
        <is>
          <t>1. Bấm Upload scans.
2. Thêm lần lượt p1.pdf, p2.pdf, p3.pdf, p4.pdf, p5.pdf.
3. Đọc danh sách.</t>
        </is>
      </c>
      <c r="N50" s="3" t="inlineStr">
        <is>
          <t>1. Cả 5 file nằm trong danh sách.
2. Nút Upload and read bật, không có thông báo lỗi.</t>
        </is>
      </c>
      <c r="O50" s="3" t="n"/>
      <c r="P50" s="3" t="inlineStr">
        <is>
          <t>N/A</t>
        </is>
      </c>
      <c r="Q50" s="3" t="n"/>
      <c r="R50" s="3" t="inlineStr">
        <is>
          <t>Tender R5, US-042, US-043, FS F5 v1.2: 4</t>
        </is>
      </c>
      <c r="S50" s="3" t="n"/>
      <c r="T50" s="2" t="inlineStr">
        <is>
          <t>Approve</t>
        </is>
      </c>
    </row>
    <row r="51" ht="107.5" customHeight="1">
      <c r="A51" s="2" t="inlineStr">
        <is>
          <t>TC-050</t>
        </is>
      </c>
      <c r="B51" s="2" t="inlineStr">
        <is>
          <t>TS-011</t>
        </is>
      </c>
      <c r="C51" s="3" t="inlineStr">
        <is>
          <t>File thứ 6 bị từ chối</t>
        </is>
      </c>
      <c r="D51" s="3" t="inlineStr">
        <is>
          <t>F5.2 Upload scans dialog</t>
        </is>
      </c>
      <c r="E51" s="3" t="inlineStr">
        <is>
          <t>Upload scans dialog</t>
        </is>
      </c>
      <c r="F51" s="2" t="inlineStr">
        <is>
          <t>S1 (highest)</t>
        </is>
      </c>
      <c r="G51" s="2" t="inlineStr">
        <is>
          <t>High</t>
        </is>
      </c>
      <c r="H51" s="2" t="inlineStr">
        <is>
          <t>Not Run</t>
        </is>
      </c>
      <c r="I51" s="2" t="inlineStr">
        <is>
          <t>Functional</t>
        </is>
      </c>
      <c r="J51" s="3" t="inlineStr">
        <is>
          <t>Prototype: edusave.vercel.app (ngày mẫu 18/10/2026)
Chrome (latest)
Build: ghi khi chạy
Cần: ENV-R5-01, ENV-R5-06</t>
        </is>
      </c>
      <c r="K51" s="3" t="inlineStr">
        <is>
          <t>1. Prototype ở trạng thái gốc (dùng Reset data).
2. Đã đăng nhập School user BVP-0012 Lan Nguyen, trường Bukit View Primary.
3. Màn Upload applications đang mở.</t>
        </is>
      </c>
      <c r="L51" s="3" t="inlineStr">
        <is>
          <t>p1.pdf đến p6.pdf</t>
        </is>
      </c>
      <c r="M51" s="3" t="inlineStr">
        <is>
          <t>1. Bấm Upload scans.
2. Thêm p1.pdf đến p5.pdf.
3. Thêm p6.pdf.
4. Đọc danh sách và thông báo.</t>
        </is>
      </c>
      <c r="N51" s="3" t="inlineStr">
        <is>
          <t>1. p6.pdf không vào danh sách, danh sách vẫn có 5 file.
2. Thông báo "Up to 5 files per application."</t>
        </is>
      </c>
      <c r="O51" s="3" t="n"/>
      <c r="P51" s="3" t="inlineStr">
        <is>
          <t>N/A</t>
        </is>
      </c>
      <c r="Q51" s="3" t="n"/>
      <c r="R51" s="3" t="inlineStr">
        <is>
          <t>Tender R5, US-042, US-043, FS F5 v1.2: 4</t>
        </is>
      </c>
      <c r="S51" s="3" t="n"/>
      <c r="T51" s="2" t="inlineStr">
        <is>
          <t>Approve</t>
        </is>
      </c>
    </row>
    <row r="52" ht="122" customHeight="1">
      <c r="A52" s="2" t="inlineStr">
        <is>
          <t>TC-051</t>
        </is>
      </c>
      <c r="B52" s="2" t="inlineStr">
        <is>
          <t>TS-011</t>
        </is>
      </c>
      <c r="C52" s="3" t="inlineStr">
        <is>
          <t>Chọn 6 file một lần chỉ nhận 5 file đầu</t>
        </is>
      </c>
      <c r="D52" s="3" t="inlineStr">
        <is>
          <t>F5.2 Upload scans dialog</t>
        </is>
      </c>
      <c r="E52" s="3" t="inlineStr">
        <is>
          <t>Upload scans dialog</t>
        </is>
      </c>
      <c r="F52" s="2" t="inlineStr">
        <is>
          <t>S3</t>
        </is>
      </c>
      <c r="G52" s="2" t="inlineStr">
        <is>
          <t>Medium</t>
        </is>
      </c>
      <c r="H52" s="2" t="inlineStr">
        <is>
          <t>Not Run</t>
        </is>
      </c>
      <c r="I52" s="2" t="inlineStr">
        <is>
          <t>Functional</t>
        </is>
      </c>
      <c r="J52" s="3" t="inlineStr">
        <is>
          <t>Prototype: edusave.vercel.app (ngày mẫu 18/10/2026)
Chrome (latest)
Build: ghi khi chạy
Cần: ENV-R5-01, ENV-R5-06</t>
        </is>
      </c>
      <c r="K52" s="3" t="inlineStr">
        <is>
          <t>1. Prototype ở trạng thái gốc (dùng Reset data).
2. Đã đăng nhập School user BVP-0012 Lan Nguyen, trường Bukit View Primary.
3. Màn Upload applications đang mở.</t>
        </is>
      </c>
      <c r="L52" s="3" t="inlineStr">
        <is>
          <t>p1.pdf đến p6.pdf</t>
        </is>
      </c>
      <c r="M52" s="3" t="inlineStr">
        <is>
          <t>1. Bấm Upload scans.
2. Chọn đồng thời p1.pdf đến p6.pdf trong hộp chọn file.
3. Đọc danh sách và thông báo.</t>
        </is>
      </c>
      <c r="N52" s="3" t="inlineStr">
        <is>
          <t>1. 5 file đầu vào danh sách, file thứ 6 bị từ chối.
2. Thông báo "Up to 5 files per application."</t>
        </is>
      </c>
      <c r="O52" s="3" t="n"/>
      <c r="P52"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52" s="3" t="n"/>
      <c r="R52" s="3" t="inlineStr">
        <is>
          <t>Tender R5, US-042, US-043, FS F5 v1.2: 4</t>
        </is>
      </c>
      <c r="S52" s="3" t="n"/>
      <c r="T52" s="2" t="inlineStr">
        <is>
          <t>Draft</t>
        </is>
      </c>
    </row>
    <row r="53" ht="107.5" customHeight="1">
      <c r="A53" s="2" t="inlineStr">
        <is>
          <t>TC-052</t>
        </is>
      </c>
      <c r="B53" s="2" t="inlineStr">
        <is>
          <t>TS-011</t>
        </is>
      </c>
      <c r="C53" s="3" t="inlineStr">
        <is>
          <t>Bỏ một file bằng Remove rồi thêm file khác</t>
        </is>
      </c>
      <c r="D53" s="3" t="inlineStr">
        <is>
          <t>F5.2 Upload scans dialog</t>
        </is>
      </c>
      <c r="E53" s="3" t="inlineStr">
        <is>
          <t>Upload scans dialog</t>
        </is>
      </c>
      <c r="F53" s="2" t="inlineStr">
        <is>
          <t>S3</t>
        </is>
      </c>
      <c r="G53" s="2" t="inlineStr">
        <is>
          <t>Medium</t>
        </is>
      </c>
      <c r="H53" s="2" t="inlineStr">
        <is>
          <t>Not Run</t>
        </is>
      </c>
      <c r="I53" s="2" t="inlineStr">
        <is>
          <t>Functional</t>
        </is>
      </c>
      <c r="J53" s="3" t="inlineStr">
        <is>
          <t>Prototype: edusave.vercel.app (ngày mẫu 18/10/2026)
Chrome (latest)
Build: ghi khi chạy
Cần: ENV-R5-01, ENV-R5-06</t>
        </is>
      </c>
      <c r="K53" s="3" t="inlineStr">
        <is>
          <t>1. Prototype ở trạng thái gốc (dùng Reset data).
2. Đã đăng nhập School user BVP-0012 Lan Nguyen, trường Bukit View Primary.
3. Màn Upload applications đang mở.</t>
        </is>
      </c>
      <c r="L53" s="3" t="inlineStr">
        <is>
          <t>p1.pdf đến p6.pdf</t>
        </is>
      </c>
      <c r="M53" s="3" t="inlineStr">
        <is>
          <t>1. Bấm Upload scans.
2. Thêm p1.pdf đến p5.pdf.
3. Bấm Remove ở dòng p3.pdf.
4. Thêm p6.pdf.</t>
        </is>
      </c>
      <c r="N53" s="3" t="inlineStr">
        <is>
          <t>1. Sau Remove danh sách còn 4 file, không còn p3.pdf.
2. p6.pdf vào danh sách, tổng 5 file và không có thông báo lỗi.</t>
        </is>
      </c>
      <c r="O53" s="3" t="n"/>
      <c r="P53" s="3" t="inlineStr">
        <is>
          <t>N/A</t>
        </is>
      </c>
      <c r="Q53" s="3" t="n"/>
      <c r="R53" s="3" t="inlineStr">
        <is>
          <t>Tender R5, US-042, US-043, FS F5 v1.2: 4, hình Upload scans</t>
        </is>
      </c>
      <c r="S53" s="3" t="n"/>
      <c r="T53" s="2" t="inlineStr">
        <is>
          <t>Approve</t>
        </is>
      </c>
    </row>
    <row r="54" ht="107.5" customHeight="1">
      <c r="A54" s="2" t="inlineStr">
        <is>
          <t>TC-053</t>
        </is>
      </c>
      <c r="B54" s="2" t="inlineStr">
        <is>
          <t>TS-011</t>
        </is>
      </c>
      <c r="C54" s="3" t="inlineStr">
        <is>
          <t>Bỏ file cuối cùng thì Upload and read tắt</t>
        </is>
      </c>
      <c r="D54" s="3" t="inlineStr">
        <is>
          <t>F5.2 Upload scans dialog</t>
        </is>
      </c>
      <c r="E54" s="3" t="inlineStr">
        <is>
          <t>Upload scans dialog</t>
        </is>
      </c>
      <c r="F54" s="2" t="inlineStr">
        <is>
          <t>S2</t>
        </is>
      </c>
      <c r="G54" s="2" t="inlineStr">
        <is>
          <t>Medium</t>
        </is>
      </c>
      <c r="H54" s="2" t="inlineStr">
        <is>
          <t>Not Run</t>
        </is>
      </c>
      <c r="I54" s="2" t="inlineStr">
        <is>
          <t>Functional</t>
        </is>
      </c>
      <c r="J54" s="3" t="inlineStr">
        <is>
          <t>Prototype: edusave.vercel.app (ngày mẫu 18/10/2026)
Chrome (latest)
Build: ghi khi chạy
Cần: ENV-R5-01, ENV-R5-06</t>
        </is>
      </c>
      <c r="K54" s="3" t="inlineStr">
        <is>
          <t>1. Prototype ở trạng thái gốc (dùng Reset data).
2. Đã đăng nhập School user BVP-0012 Lan Nguyen, trường Bukit View Primary.
3. Màn Upload applications đang mở.</t>
        </is>
      </c>
      <c r="L54" s="3" t="inlineStr">
        <is>
          <t>p1.pdf</t>
        </is>
      </c>
      <c r="M54" s="3" t="inlineStr">
        <is>
          <t>1. Bấm Upload scans.
2. Thêm p1.pdf.
3. Bấm Remove ở dòng p1.pdf.</t>
        </is>
      </c>
      <c r="N54" s="3" t="inlineStr">
        <is>
          <t>1. Danh sách trống và nút Upload and read tắt.</t>
        </is>
      </c>
      <c r="O54" s="3" t="n"/>
      <c r="P54" s="3" t="inlineStr">
        <is>
          <t>N/A</t>
        </is>
      </c>
      <c r="Q54" s="3" t="n"/>
      <c r="R54" s="3" t="inlineStr">
        <is>
          <t>Tender R5, US-042, US-043, FS F5 v1.2: 4</t>
        </is>
      </c>
      <c r="S54" s="3" t="n"/>
      <c r="T54" s="2" t="inlineStr">
        <is>
          <t>Approve</t>
        </is>
      </c>
    </row>
    <row r="55" ht="122" customHeight="1">
      <c r="A55" s="2" t="inlineStr">
        <is>
          <t>TC-054</t>
        </is>
      </c>
      <c r="B55" s="2" t="inlineStr">
        <is>
          <t>TS-011</t>
        </is>
      </c>
      <c r="C55" s="3" t="inlineStr">
        <is>
          <t>File hợp lệ và file lỗi trong cùng một lần chọn</t>
        </is>
      </c>
      <c r="D55" s="3" t="inlineStr">
        <is>
          <t>F5.2 Upload scans dialog</t>
        </is>
      </c>
      <c r="E55" s="3" t="inlineStr">
        <is>
          <t>Upload scans dialog</t>
        </is>
      </c>
      <c r="F55" s="2" t="inlineStr">
        <is>
          <t>S3</t>
        </is>
      </c>
      <c r="G55" s="2" t="inlineStr">
        <is>
          <t>Medium</t>
        </is>
      </c>
      <c r="H55" s="2" t="inlineStr">
        <is>
          <t>Not Run</t>
        </is>
      </c>
      <c r="I55" s="2" t="inlineStr">
        <is>
          <t>Functional</t>
        </is>
      </c>
      <c r="J55" s="3" t="inlineStr">
        <is>
          <t>Prototype: edusave.vercel.app (ngày mẫu 18/10/2026)
Chrome (latest)
Build: ghi khi chạy
Cần: ENV-R5-01, ENV-R5-06</t>
        </is>
      </c>
      <c r="K55" s="3" t="inlineStr">
        <is>
          <t>1. Prototype ở trạng thái gốc (dùng Reset data).
2. Đã đăng nhập School user BVP-0012 Lan Nguyen, trường Bukit View Primary.
3. Màn Upload applications đang mở.</t>
        </is>
      </c>
      <c r="L55" s="3" t="inlineStr">
        <is>
          <t>a.pdf, b.docx, c.png</t>
        </is>
      </c>
      <c r="M55" s="3" t="inlineStr">
        <is>
          <t>1. Bấm Upload scans.
2. Chọn đồng thời a.pdf, b.docx, c.png trong hộp chọn file.
3. Đọc danh sách và thông báo.</t>
        </is>
      </c>
      <c r="N55" s="3" t="inlineStr">
        <is>
          <t>1. a.pdf và c.png vào danh sách.
2. b.docx bị từ chối với "b.docx: only PDF, JPG or PNG files."
3. Nút Upload and read bật.</t>
        </is>
      </c>
      <c r="O55" s="3" t="n"/>
      <c r="P55"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55" s="3" t="n"/>
      <c r="R55" s="3" t="inlineStr">
        <is>
          <t>Tender R5, US-042, US-043, FS F5 v1.2: 4</t>
        </is>
      </c>
      <c r="S55" s="3" t="n"/>
      <c r="T55" s="2" t="inlineStr">
        <is>
          <t>Draft</t>
        </is>
      </c>
    </row>
    <row r="56" ht="310.5" customHeight="1">
      <c r="A56" s="2" t="inlineStr">
        <is>
          <t>TC-055</t>
        </is>
      </c>
      <c r="B56" s="2" t="inlineStr">
        <is>
          <t>TS-011</t>
        </is>
      </c>
      <c r="C56" s="3" t="inlineStr">
        <is>
          <t>Thêm cùng một file hai lần</t>
        </is>
      </c>
      <c r="D56" s="3" t="inlineStr">
        <is>
          <t>F5.2 Upload scans dialog</t>
        </is>
      </c>
      <c r="E56" s="3" t="inlineStr">
        <is>
          <t>Upload scans dialog</t>
        </is>
      </c>
      <c r="F56" s="2" t="inlineStr">
        <is>
          <t>S4 (lowest)</t>
        </is>
      </c>
      <c r="G56" s="2" t="inlineStr">
        <is>
          <t>Low</t>
        </is>
      </c>
      <c r="H56" s="2" t="inlineStr">
        <is>
          <t>Not Run</t>
        </is>
      </c>
      <c r="I56" s="2" t="inlineStr">
        <is>
          <t>Functional</t>
        </is>
      </c>
      <c r="J56" s="3" t="inlineStr">
        <is>
          <t>Prototype: edusave.vercel.app (ngày mẫu 18/10/2026)
Chrome (latest)
Build: ghi khi chạy
Cần: ENV-R5-01, ENV-R5-06</t>
        </is>
      </c>
      <c r="K56" s="3" t="inlineStr">
        <is>
          <t>1. Prototype ở trạng thái gốc (dùng Reset data).
2. Đã đăng nhập School user BVP-0012 Lan Nguyen, trường Bukit View Primary.
3. Màn Upload applications đang mở.</t>
        </is>
      </c>
      <c r="L56" s="3" t="inlineStr">
        <is>
          <t>a.pdf</t>
        </is>
      </c>
      <c r="M56" s="3" t="inlineStr">
        <is>
          <t>1. Bấm Upload scans.
2. Thêm a.pdf.
3. Thêm lại đúng file a.pdf.</t>
        </is>
      </c>
      <c r="N56" s="3" t="inlineStr">
        <is>
          <t>1. Danh sách vẫn có một file a.pdf.
2. Thông báo "a.pdf is already added."</t>
        </is>
      </c>
      <c r="O56" s="3" t="n"/>
      <c r="P56"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56" s="3" t="n"/>
      <c r="R56" s="3" t="inlineStr">
        <is>
          <t>Tender R5, US-042, US-043, FS F5 v1.2: 4</t>
        </is>
      </c>
      <c r="S56" s="3" t="n"/>
      <c r="T56" s="2" t="inlineStr">
        <is>
          <t>Draft</t>
        </is>
      </c>
    </row>
    <row r="57" ht="93" customHeight="1">
      <c r="A57" s="2" t="inlineStr">
        <is>
          <t>TC-056</t>
        </is>
      </c>
      <c r="B57" s="2" t="inlineStr">
        <is>
          <t>TS-012</t>
        </is>
      </c>
      <c r="C57" s="3" t="inlineStr">
        <is>
          <t>Upload and read mở màn Review application với các giá trị đọc được</t>
        </is>
      </c>
      <c r="D57" s="3" t="inlineStr">
        <is>
          <t>F5.2 Upload scans dialog</t>
        </is>
      </c>
      <c r="E57" s="3" t="inlineStr">
        <is>
          <t>Upload scans dialog</t>
        </is>
      </c>
      <c r="F57" s="2" t="inlineStr">
        <is>
          <t>S1 (highest)</t>
        </is>
      </c>
      <c r="G57" s="2" t="inlineStr">
        <is>
          <t>Critical</t>
        </is>
      </c>
      <c r="H57" s="2" t="inlineStr">
        <is>
          <t>Not Run</t>
        </is>
      </c>
      <c r="I57" s="2" t="inlineStr">
        <is>
          <t>Functional</t>
        </is>
      </c>
      <c r="J57" s="3" t="inlineStr">
        <is>
          <t>Prototype: edusave.vercel.app (ngày mẫu 18/10/2026)
Chrome (latest)
Build: ghi khi chạy
Cần: ENV-R5-01</t>
        </is>
      </c>
      <c r="K57" s="3" t="inlineStr">
        <is>
          <t>1. Prototype ở trạng thái gốc (dùng Reset data).
2. Đã đăng nhập School user BVP-0012 Lan Nguyen, trường Bukit View Primary.
3. Màn Upload applications đang mở.</t>
        </is>
      </c>
      <c r="L57" s="3" t="inlineStr">
        <is>
          <t>scan_bvp_0667.pdf 812 KB</t>
        </is>
      </c>
      <c r="M57" s="3" t="inlineStr">
        <is>
          <t>1. Bấm Upload scans.
2. Thêm scan_bvp_0667.pdf.
3. Bấm Upload and read.
4. Đọc màn hình.</t>
        </is>
      </c>
      <c r="N57" s="3" t="inlineStr">
        <is>
          <t>1. Màn Review application mở, khung bên trái hiển thị bản scan, bên phải có Part 1 đến Part 5.
2. Các trường mà trình đọc không chắc chắn được tô vàng.
3. Các nút Discard, Save draft, Review and submit hiện ở đầu trang.</t>
        </is>
      </c>
      <c r="O57" s="3" t="n"/>
      <c r="P57" s="3" t="inlineStr">
        <is>
          <t>N/A</t>
        </is>
      </c>
      <c r="Q57" s="3" t="n"/>
      <c r="R57" s="3" t="inlineStr">
        <is>
          <t>Tender R5, US-042, US-043, FS F5 v1.2: 2 bước 1, 4, 5</t>
        </is>
      </c>
      <c r="S57" s="3" t="inlineStr">
        <is>
          <t>Engine đọc thật nằm ngoài phạm vi, prototype mô phỏng việc đọc.</t>
        </is>
      </c>
      <c r="T57" s="2" t="inlineStr">
        <is>
          <t>Approve</t>
        </is>
      </c>
    </row>
    <row r="58" ht="93" customHeight="1">
      <c r="A58" s="2" t="inlineStr">
        <is>
          <t>TC-057</t>
        </is>
      </c>
      <c r="B58" s="2" t="inlineStr">
        <is>
          <t>TS-012</t>
        </is>
      </c>
      <c r="C58" s="3" t="inlineStr">
        <is>
          <t>Bấm đúp Upload and read chỉ tải và đọc một lần</t>
        </is>
      </c>
      <c r="D58" s="3" t="inlineStr">
        <is>
          <t>F5.2 Upload scans dialog</t>
        </is>
      </c>
      <c r="E58" s="3" t="inlineStr">
        <is>
          <t>Upload scans dialog</t>
        </is>
      </c>
      <c r="F58" s="2" t="inlineStr">
        <is>
          <t>S2</t>
        </is>
      </c>
      <c r="G58" s="2" t="inlineStr">
        <is>
          <t>Medium</t>
        </is>
      </c>
      <c r="H58" s="2" t="inlineStr">
        <is>
          <t>Not Run</t>
        </is>
      </c>
      <c r="I58" s="2" t="inlineStr">
        <is>
          <t>Functional</t>
        </is>
      </c>
      <c r="J58" s="3" t="inlineStr">
        <is>
          <t>Prototype: edusave.vercel.app (ngày mẫu 18/10/2026)
Chrome (latest)
Build: ghi khi chạy
Cần: ENV-R5-01</t>
        </is>
      </c>
      <c r="K58" s="3" t="inlineStr">
        <is>
          <t>1. Prototype ở trạng thái gốc (dùng Reset data).
2. Đã đăng nhập School user BVP-0012 Lan Nguyen, trường Bukit View Primary.
3. Màn Upload applications đang mở.</t>
        </is>
      </c>
      <c r="L58" s="3" t="inlineStr">
        <is>
          <t>scan_bvp_0667.pdf</t>
        </is>
      </c>
      <c r="M58" s="3" t="inlineStr">
        <is>
          <t>1. Bấm Upload scans.
2. Thêm scan_bvp_0667.pdf.
3. Bấm đúp nhanh vào Upload and read.
4. Đóng màn Review application bằng Discard.
5. Đọc danh sách.</t>
        </is>
      </c>
      <c r="N58" s="3" t="inlineStr">
        <is>
          <t>1. Chỉ có một màn Review application.
2. Sau Discard danh sách đơn không có dòng thừa.</t>
        </is>
      </c>
      <c r="O58" s="3" t="n"/>
      <c r="P58"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t>
        </is>
      </c>
      <c r="Q58" s="3" t="n"/>
      <c r="R58" s="3" t="inlineStr">
        <is>
          <t>Tender R5, US-042, US-043, FS F5 v1.2: 4</t>
        </is>
      </c>
      <c r="S58" s="3" t="n"/>
      <c r="T58" s="2" t="inlineStr">
        <is>
          <t>Draft</t>
        </is>
      </c>
    </row>
    <row r="59" ht="107.5" customHeight="1">
      <c r="A59" s="2" t="inlineStr">
        <is>
          <t>TC-058</t>
        </is>
      </c>
      <c r="B59" s="2" t="inlineStr">
        <is>
          <t>TS-012</t>
        </is>
      </c>
      <c r="C59" s="3" t="inlineStr">
        <is>
          <t>Tải đủ 5 file là một mẫu đơn</t>
        </is>
      </c>
      <c r="D59" s="3" t="inlineStr">
        <is>
          <t>F5.2 Upload scans dialog</t>
        </is>
      </c>
      <c r="E59" s="3" t="inlineStr">
        <is>
          <t>Upload scans dialog</t>
        </is>
      </c>
      <c r="F59" s="2" t="inlineStr">
        <is>
          <t>S2</t>
        </is>
      </c>
      <c r="G59" s="2" t="inlineStr">
        <is>
          <t>High</t>
        </is>
      </c>
      <c r="H59" s="2" t="inlineStr">
        <is>
          <t>Not Run</t>
        </is>
      </c>
      <c r="I59" s="2" t="inlineStr">
        <is>
          <t>Functional</t>
        </is>
      </c>
      <c r="J59" s="3" t="inlineStr">
        <is>
          <t>Prototype: edusave.vercel.app (ngày mẫu 18/10/2026)
Chrome (latest)
Build: ghi khi chạy
Cần: ENV-R5-01, ENV-R5-06</t>
        </is>
      </c>
      <c r="K59" s="3" t="inlineStr">
        <is>
          <t>1. Prototype ở trạng thái gốc (dùng Reset data).
2. Đã đăng nhập School user BVP-0012 Lan Nguyen, trường Bukit View Primary.
3. Màn Upload applications đang mở.</t>
        </is>
      </c>
      <c r="L59" s="3" t="inlineStr">
        <is>
          <t>p1.pdf đến p5.pdf</t>
        </is>
      </c>
      <c r="M59" s="3" t="inlineStr">
        <is>
          <t>1. Bấm Upload scans.
2. Thêm p1.pdf đến p5.pdf.
3. Bấm Upload and read.
4. Đọc khung bản scan.</t>
        </is>
      </c>
      <c r="N59" s="3" t="inlineStr">
        <is>
          <t>1. Khung bên trái cho xem đủ 5 trang scan của một mẫu.
2. Chỉ có một màn Review application, không có nhiều mẫu.</t>
        </is>
      </c>
      <c r="O59" s="3" t="n"/>
      <c r="P59" s="3" t="inlineStr">
        <is>
          <t>ASM-R5-02: Một lần tải là một mẫu của một gia đình. Giới hạn 5 file tính cho cả mẫu. Lời nhắc trong hộp thoại là chữ cũ và không ảnh hưởng đến quy tắc.</t>
        </is>
      </c>
      <c r="Q59" s="3" t="n"/>
      <c r="R59" s="3" t="inlineStr">
        <is>
          <t>Tender R5, US-042, US-043, FS F5 v1.2: 4, FS 2 bước 1</t>
        </is>
      </c>
      <c r="S59" s="3" t="n"/>
      <c r="T59" s="2" t="inlineStr">
        <is>
          <t>Draft</t>
        </is>
      </c>
    </row>
    <row r="60" ht="93" customHeight="1">
      <c r="A60" s="2" t="inlineStr">
        <is>
          <t>TC-059</t>
        </is>
      </c>
      <c r="B60" s="2" t="inlineStr">
        <is>
          <t>TS-012</t>
        </is>
      </c>
      <c r="C60" s="3" t="inlineStr">
        <is>
          <t>Lời nhắc trong hộp thoại phù hợp với mẫu nhiều con</t>
        </is>
      </c>
      <c r="D60" s="3" t="inlineStr">
        <is>
          <t>F5.2 Upload scans dialog</t>
        </is>
      </c>
      <c r="E60" s="3" t="inlineStr">
        <is>
          <t>Upload scans dialog</t>
        </is>
      </c>
      <c r="F60" s="2" t="inlineStr">
        <is>
          <t>S4 (lowest)</t>
        </is>
      </c>
      <c r="G60" s="2" t="inlineStr">
        <is>
          <t>Low</t>
        </is>
      </c>
      <c r="H60" s="2" t="inlineStr">
        <is>
          <t>Not Run</t>
        </is>
      </c>
      <c r="I60" s="2" t="inlineStr">
        <is>
          <t>UI</t>
        </is>
      </c>
      <c r="J60" s="3" t="inlineStr">
        <is>
          <t>Prototype: edusave.vercel.app (ngày mẫu 18/10/2026)
Chrome (latest)
Build: ghi khi chạy
Cần: ENV-R5-01</t>
        </is>
      </c>
      <c r="K60" s="3" t="inlineStr">
        <is>
          <t>1. Prototype ở trạng thái gốc (dùng Reset data).
2. Đã đăng nhập School user BVP-0012 Lan Nguyen, trường Bukit View Primary.
3. Màn Upload applications đang mở.</t>
        </is>
      </c>
      <c r="L60" s="3" t="inlineStr"/>
      <c r="M60" s="3" t="inlineStr">
        <is>
          <t>1. Bấm Upload scans.
2. Đọc dòng nhắc trong hộp thoại.</t>
        </is>
      </c>
      <c r="N60" s="3" t="inlineStr">
        <is>
          <t>1. Dòng nhắc không nói mỗi lần tải chỉ cho một học sinh, vì một mẫu có thể có nhiều con.</t>
        </is>
      </c>
      <c r="O60" s="3" t="n"/>
      <c r="P60" s="3" t="inlineStr">
        <is>
          <t>ASM-R5-02: Một lần tải là một mẫu của một gia đình. Giới hạn 5 file tính cho cả mẫu. Lời nhắc trong hộp thoại là chữ cũ và không ảnh hưởng đến quy tắc.</t>
        </is>
      </c>
      <c r="Q60" s="3" t="n"/>
      <c r="R60" s="3" t="inlineStr">
        <is>
          <t>Tender R5, US-042, US-043, FS F5 v1.2: 4, BR1, T10</t>
        </is>
      </c>
      <c r="S60" s="3" t="inlineStr">
        <is>
          <t>Hình hộp thoại ghi "One application is one student. Add all pages of the signed form and its attachments.", điểm mở O2.</t>
        </is>
      </c>
      <c r="T60" s="2" t="inlineStr">
        <is>
          <t>Draft</t>
        </is>
      </c>
    </row>
    <row r="61" ht="281.5" customHeight="1">
      <c r="A61" s="2" t="inlineStr">
        <is>
          <t>TC-060</t>
        </is>
      </c>
      <c r="B61" s="2" t="inlineStr">
        <is>
          <t>TS-012</t>
        </is>
      </c>
      <c r="C61" s="3" t="inlineStr">
        <is>
          <t>Đọc scan lỗi: file mã hoá mật khẩu</t>
        </is>
      </c>
      <c r="D61" s="3" t="inlineStr">
        <is>
          <t>F5.2 Upload scans dialog</t>
        </is>
      </c>
      <c r="E61" s="3" t="inlineStr">
        <is>
          <t>Upload scans dialog</t>
        </is>
      </c>
      <c r="F61" s="2" t="inlineStr">
        <is>
          <t>S2</t>
        </is>
      </c>
      <c r="G61" s="2" t="inlineStr">
        <is>
          <t>Medium</t>
        </is>
      </c>
      <c r="H61" s="2" t="inlineStr">
        <is>
          <t>Not Run</t>
        </is>
      </c>
      <c r="I61" s="2" t="inlineStr">
        <is>
          <t>Functional</t>
        </is>
      </c>
      <c r="J61" s="3" t="inlineStr">
        <is>
          <t>Bản F5 có API (chưa có)
Chrome (latest)
Build: ghi khi chạy
Cần: ENV-R5-02, ENV-R5-06</t>
        </is>
      </c>
      <c r="K61" s="3" t="inlineStr">
        <is>
          <t>1. Bản F5 có API chạy, dữ liệu SEED-R5 đã nạp.
2. Đã đăng nhập School user BVP-0012 Lan Nguyen, trường Bukit View Primary.</t>
        </is>
      </c>
      <c r="L61" s="3" t="inlineStr">
        <is>
          <t>locked.pdf (mã hoá mật khẩu)</t>
        </is>
      </c>
      <c r="M61" s="3" t="inlineStr">
        <is>
          <t>1. Bấm Upload scans.
2. Thêm locked.pdf.
3. Bấm Upload and read.
4. Đọc màn hình.</t>
        </is>
      </c>
      <c r="N61" s="3" t="inlineStr">
        <is>
          <t>1. Hộp thoại giữ mở và file giữ nguyên trong danh sách.
2. Hiện "Something went wrong. Please try again."
3. Không mở màn Review application, không có dòng Draft.</t>
        </is>
      </c>
      <c r="O61" s="3" t="n"/>
      <c r="P61"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61" s="3" t="n"/>
      <c r="R61" s="3" t="inlineStr">
        <is>
          <t>Tender R5, US-042, US-043, FS F5 v1.2: 2 bước 1</t>
        </is>
      </c>
      <c r="S61" s="3" t="n"/>
      <c r="T61" s="2" t="inlineStr">
        <is>
          <t>Draft</t>
        </is>
      </c>
    </row>
    <row r="62" ht="281.5" customHeight="1">
      <c r="A62" s="2" t="inlineStr">
        <is>
          <t>TC-061</t>
        </is>
      </c>
      <c r="B62" s="2" t="inlineStr">
        <is>
          <t>TS-012</t>
        </is>
      </c>
      <c r="C62" s="3" t="inlineStr">
        <is>
          <t>Đọc scan lỗi: file hỏng và trang trắng</t>
        </is>
      </c>
      <c r="D62" s="3" t="inlineStr">
        <is>
          <t>F5.2 Upload scans dialog</t>
        </is>
      </c>
      <c r="E62" s="3" t="inlineStr">
        <is>
          <t>Upload scans dialog</t>
        </is>
      </c>
      <c r="F62" s="2" t="inlineStr">
        <is>
          <t>S2</t>
        </is>
      </c>
      <c r="G62" s="2" t="inlineStr">
        <is>
          <t>Medium</t>
        </is>
      </c>
      <c r="H62" s="2" t="inlineStr">
        <is>
          <t>Not Run</t>
        </is>
      </c>
      <c r="I62" s="2" t="inlineStr">
        <is>
          <t>Functional</t>
        </is>
      </c>
      <c r="J62" s="3" t="inlineStr">
        <is>
          <t>Bản F5 có API (chưa có)
Chrome (latest)
Build: ghi khi chạy
Cần: ENV-R5-02, ENV-R5-06</t>
        </is>
      </c>
      <c r="K62" s="3" t="inlineStr">
        <is>
          <t>1. Bản F5 có API chạy, dữ liệu SEED-R5 đã nạp.
2. Đã đăng nhập School user BVP-0012 Lan Nguyen, trường Bukit View Primary.</t>
        </is>
      </c>
      <c r="L62" s="3" t="inlineStr">
        <is>
          <t>corrupt.pdf, blank.png</t>
        </is>
      </c>
      <c r="M62" s="3" t="inlineStr">
        <is>
          <t>1. Bấm Upload scans.
2. Thêm corrupt.pdf (hỏng) và bấm Upload and read.
3. Đọc màn hình.
4. Bỏ file, thêm blank.png (trang trắng) và bấm Upload and read.
5. Đọc màn hình.</t>
        </is>
      </c>
      <c r="N62" s="3" t="inlineStr">
        <is>
          <t>1. Cả hai lần: hộp thoại giữ mở, hiện "Something went wrong. Please try again."
2. Không có dòng Draft và không có màn Review application chứa dữ liệu sai.</t>
        </is>
      </c>
      <c r="O62" s="3" t="n"/>
      <c r="P62"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62" s="3" t="n"/>
      <c r="R62" s="3" t="inlineStr">
        <is>
          <t>Tender R5, US-042, US-043, FS F5 v1.2: 2 bước 1</t>
        </is>
      </c>
      <c r="S62" s="3" t="n"/>
      <c r="T62" s="2" t="inlineStr">
        <is>
          <t>Draft</t>
        </is>
      </c>
    </row>
    <row r="63" ht="281.5" customHeight="1">
      <c r="A63" s="2" t="inlineStr">
        <is>
          <t>TC-062</t>
        </is>
      </c>
      <c r="B63" s="2" t="inlineStr">
        <is>
          <t>TS-012</t>
        </is>
      </c>
      <c r="C63" s="3" t="inlineStr">
        <is>
          <t>Lỗi máy chủ khi đọc scan</t>
        </is>
      </c>
      <c r="D63" s="3" t="inlineStr">
        <is>
          <t>F5.2 Upload scans dialog</t>
        </is>
      </c>
      <c r="E63" s="3" t="inlineStr">
        <is>
          <t>Upload scans dialog</t>
        </is>
      </c>
      <c r="F63" s="2" t="inlineStr">
        <is>
          <t>S2</t>
        </is>
      </c>
      <c r="G63" s="2" t="inlineStr">
        <is>
          <t>Medium</t>
        </is>
      </c>
      <c r="H63" s="2" t="inlineStr">
        <is>
          <t>Not Run</t>
        </is>
      </c>
      <c r="I63" s="2" t="inlineStr">
        <is>
          <t>Integration</t>
        </is>
      </c>
      <c r="J63" s="3" t="inlineStr">
        <is>
          <t>Bản F5 có API (chưa có)
Chrome (latest)
Build: ghi khi chạy
Cần: ENV-R5-02, ENV-R5-07</t>
        </is>
      </c>
      <c r="K63" s="3" t="inlineStr">
        <is>
          <t>1. Bản F5 có API chạy, dữ liệu SEED-R5 đã nạp.
2. Đã đăng nhập School user BVP-0012 Lan Nguyen, trường Bukit View Primary.</t>
        </is>
      </c>
      <c r="L63" s="3" t="inlineStr">
        <is>
          <t>scan_bvp_0667.pdf</t>
        </is>
      </c>
      <c r="M63" s="3" t="inlineStr">
        <is>
          <t>1. Bấm Upload scans.
2. Thêm scan_bvp_0667.pdf.
3. Cho dịch vụ đọc scan trả lỗi rồi bấm Upload and read.</t>
        </is>
      </c>
      <c r="N63" s="3" t="inlineStr">
        <is>
          <t>1. Hộp thoại giữ mở, file giữ nguyên.
2. Hiện "Something went wrong. Please try again."
3. Không tạo Draft hay đơn nào.</t>
        </is>
      </c>
      <c r="O63" s="3" t="n"/>
      <c r="P63"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63" s="3" t="n"/>
      <c r="R63" s="3" t="inlineStr">
        <is>
          <t>Tender R5, US-042, US-043, FS F5 v1.2: 2 bước 1</t>
        </is>
      </c>
      <c r="S63" s="3" t="n"/>
      <c r="T63" s="2" t="inlineStr">
        <is>
          <t>Draft</t>
        </is>
      </c>
    </row>
    <row r="64" ht="93" customHeight="1">
      <c r="A64" s="2" t="inlineStr">
        <is>
          <t>TC-063</t>
        </is>
      </c>
      <c r="B64" s="2" t="inlineStr">
        <is>
          <t>TS-012</t>
        </is>
      </c>
      <c r="C64" s="3" t="inlineStr">
        <is>
          <t>Đóng hộp thoại khi đang đọc scan</t>
        </is>
      </c>
      <c r="D64" s="3" t="inlineStr">
        <is>
          <t>F5.2 Upload scans dialog</t>
        </is>
      </c>
      <c r="E64" s="3" t="inlineStr">
        <is>
          <t>Upload scans dialog</t>
        </is>
      </c>
      <c r="F64" s="2" t="inlineStr">
        <is>
          <t>S3</t>
        </is>
      </c>
      <c r="G64" s="2" t="inlineStr">
        <is>
          <t>Low</t>
        </is>
      </c>
      <c r="H64" s="2" t="inlineStr">
        <is>
          <t>Not Run</t>
        </is>
      </c>
      <c r="I64" s="2" t="inlineStr">
        <is>
          <t>Functional</t>
        </is>
      </c>
      <c r="J64" s="3" t="inlineStr">
        <is>
          <t>Bản F5 có API (chưa có)
Chrome (latest)
Build: ghi khi chạy
Cần: ENV-R5-02</t>
        </is>
      </c>
      <c r="K64" s="3" t="inlineStr">
        <is>
          <t>1. Bản F5 có API chạy, dữ liệu SEED-R5 đã nạp.
2. Đã đăng nhập School user BVP-0012 Lan Nguyen, trường Bukit View Primary.</t>
        </is>
      </c>
      <c r="L64" s="3" t="inlineStr">
        <is>
          <t>scan_bvp_0667.pdf</t>
        </is>
      </c>
      <c r="M64" s="3" t="inlineStr">
        <is>
          <t>1. Bấm Upload scans.
2. Thêm scan_bvp_0667.pdf.
3. Bấm Upload and read.
4. Bấm Cancel hoặc Esc ngay khi đang đọc.
5. Đọc danh sách.</t>
        </is>
      </c>
      <c r="N64" s="3" t="inlineStr">
        <is>
          <t>1. Hộp thoại đóng và không có màn Review application hiện sau đó.
2. Không có dòng Draft hay đơn nào được tạo.</t>
        </is>
      </c>
      <c r="O64" s="3" t="n"/>
      <c r="P64"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t>
        </is>
      </c>
      <c r="Q64" s="3" t="n"/>
      <c r="R64" s="3" t="inlineStr">
        <is>
          <t>Tender R5, US-042, US-043, FS F5 v1.2: 4</t>
        </is>
      </c>
      <c r="S64" s="3" t="n"/>
      <c r="T64" s="2" t="inlineStr">
        <is>
          <t>Draft</t>
        </is>
      </c>
    </row>
    <row r="65" ht="122" customHeight="1">
      <c r="A65" s="2" t="inlineStr">
        <is>
          <t>TC-064</t>
        </is>
      </c>
      <c r="B65" s="2" t="inlineStr">
        <is>
          <t>TS-013</t>
        </is>
      </c>
      <c r="C65" s="3" t="inlineStr">
        <is>
          <t>Tên file Unicode, có khoảng trắng và dài 255 ký tự</t>
        </is>
      </c>
      <c r="D65" s="3" t="inlineStr">
        <is>
          <t>F5.2 Upload scans dialog</t>
        </is>
      </c>
      <c r="E65" s="3" t="inlineStr">
        <is>
          <t>Upload scans dialog</t>
        </is>
      </c>
      <c r="F65" s="2" t="inlineStr">
        <is>
          <t>S3</t>
        </is>
      </c>
      <c r="G65" s="2" t="inlineStr">
        <is>
          <t>Medium</t>
        </is>
      </c>
      <c r="H65" s="2" t="inlineStr">
        <is>
          <t>Not Run</t>
        </is>
      </c>
      <c r="I65" s="2" t="inlineStr">
        <is>
          <t>Functional</t>
        </is>
      </c>
      <c r="J65" s="3" t="inlineStr">
        <is>
          <t>Prototype: edusave.vercel.app (ngày mẫu 18/10/2026)
Chrome (latest)
Build: ghi khi chạy
Cần: ENV-R5-01, ENV-R5-06</t>
        </is>
      </c>
      <c r="K65" s="3" t="inlineStr">
        <is>
          <t>1. Prototype ở trạng thái gốc (dùng Reset data).
2. Đã đăng nhập School user BVP-0012 Lan Nguyen, trường Bukit View Primary.
3. Màn Upload applications đang mở.</t>
        </is>
      </c>
      <c r="L65" s="3" t="inlineStr">
        <is>
          <t>"đơn xin trợ cấp 2026.pdf", tên 255 ký tự</t>
        </is>
      </c>
      <c r="M65" s="3" t="inlineStr">
        <is>
          <t>1. Bấm Upload scans.
2. Thêm file "đơn xin trợ cấp 2026.pdf".
3. Thêm file có tên 251 ký tự a cộng ".pdf" (255 ký tự).
4. Đọc danh sách.</t>
        </is>
      </c>
      <c r="N65" s="3" t="inlineStr">
        <is>
          <t>1. Cả hai file vào danh sách, tên hiển thị đúng như văn bản.</t>
        </is>
      </c>
      <c r="O65" s="3" t="n"/>
      <c r="P65" s="3" t="inlineStr">
        <is>
          <t>ASM-R5-25: 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Q65" s="3" t="n"/>
      <c r="R65" s="3" t="inlineStr">
        <is>
          <t>Tender R5, US-042, US-043, FS F5 v1.2: 4</t>
        </is>
      </c>
      <c r="S65" s="3" t="n"/>
      <c r="T65" s="2" t="inlineStr">
        <is>
          <t>Draft</t>
        </is>
      </c>
    </row>
    <row r="66" ht="122" customHeight="1">
      <c r="A66" s="2" t="inlineStr">
        <is>
          <t>TC-065</t>
        </is>
      </c>
      <c r="B66" s="2" t="inlineStr">
        <is>
          <t>TS-013</t>
        </is>
      </c>
      <c r="C66" s="3" t="inlineStr">
        <is>
          <t>Tên file chứa mã hiển thị như văn bản</t>
        </is>
      </c>
      <c r="D66" s="3" t="inlineStr">
        <is>
          <t>F5.2 Upload scans dialog</t>
        </is>
      </c>
      <c r="E66" s="3" t="inlineStr">
        <is>
          <t>Upload scans dialog</t>
        </is>
      </c>
      <c r="F66" s="2" t="inlineStr">
        <is>
          <t>S1 (highest)</t>
        </is>
      </c>
      <c r="G66" s="2" t="inlineStr">
        <is>
          <t>High</t>
        </is>
      </c>
      <c r="H66" s="2" t="inlineStr">
        <is>
          <t>Not Run</t>
        </is>
      </c>
      <c r="I66" s="2" t="inlineStr">
        <is>
          <t>Security</t>
        </is>
      </c>
      <c r="J66" s="3" t="inlineStr">
        <is>
          <t>Prototype: edusave.vercel.app (ngày mẫu 18/10/2026)
Chrome (latest)
Build: ghi khi chạy
Cần: ENV-R5-01, ENV-R5-06</t>
        </is>
      </c>
      <c r="K66" s="3" t="inlineStr">
        <is>
          <t>1. Prototype ở trạng thái gốc (dùng Reset data).
2. Đã đăng nhập School user BVP-0012 Lan Nguyen, trường Bukit View Primary.
3. Màn Upload applications đang mở.</t>
        </is>
      </c>
      <c r="L66" s="3" t="inlineStr">
        <is>
          <t>&lt;img src=x onerror=alert(1)&gt;.pdf</t>
        </is>
      </c>
      <c r="M66" s="3" t="inlineStr">
        <is>
          <t>1. Bấm Upload scans.
2. Thêm file có tên "&lt;img src=x onerror=alert(1)&gt;.pdf".
3. Đọc danh sách và bấm Upload and read.</t>
        </is>
      </c>
      <c r="N66" s="3" t="inlineStr">
        <is>
          <t>1. Tên hiển thị đúng như văn bản trong danh sách, không có alert và không dựng thành thẻ.
2. Tên được mã hoá an toàn ở màn Review application.</t>
        </is>
      </c>
      <c r="O66" s="3" t="n"/>
      <c r="P66"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66" s="3" t="n"/>
      <c r="R66" s="3" t="inlineStr">
        <is>
          <t>Tender R5, US-042, US-043, FS F5 v1.2: 4, R5_FAS_Validation_Rules B1</t>
        </is>
      </c>
      <c r="S66" s="3" t="n"/>
      <c r="T66" s="2" t="inlineStr">
        <is>
          <t>Draft</t>
        </is>
      </c>
    </row>
    <row r="67" ht="122" customHeight="1">
      <c r="A67" s="2" t="inlineStr">
        <is>
          <t>TC-066</t>
        </is>
      </c>
      <c r="B67" s="2" t="inlineStr">
        <is>
          <t>TS-013</t>
        </is>
      </c>
      <c r="C67" s="3" t="inlineStr">
        <is>
          <t>Đường dẫn trong tên file bị loại bỏ khi lưu</t>
        </is>
      </c>
      <c r="D67" s="3" t="inlineStr">
        <is>
          <t>F5.2 Upload scans dialog</t>
        </is>
      </c>
      <c r="E67" s="3" t="inlineStr">
        <is>
          <t>Upload scans dialog</t>
        </is>
      </c>
      <c r="F67" s="2" t="inlineStr">
        <is>
          <t>S1 (highest)</t>
        </is>
      </c>
      <c r="G67" s="2" t="inlineStr">
        <is>
          <t>High</t>
        </is>
      </c>
      <c r="H67" s="2" t="inlineStr">
        <is>
          <t>Not Run</t>
        </is>
      </c>
      <c r="I67" s="2" t="inlineStr">
        <is>
          <t>Security</t>
        </is>
      </c>
      <c r="J67" s="3" t="inlineStr">
        <is>
          <t>Bản F5 có API (chưa có)
Chrome (latest)
Build: ghi khi chạy
Cần: ENV-R5-02, ENV-R5-06</t>
        </is>
      </c>
      <c r="K67" s="3" t="inlineStr">
        <is>
          <t>1. Bản F5 có API chạy, dữ liệu SEED-R5 đã nạp.
2. Đã đăng nhập School user BVP-0012 Lan Nguyen, trường Bukit View Primary.</t>
        </is>
      </c>
      <c r="L67" s="3" t="inlineStr">
        <is>
          <t>../../etc/passwd.pdf</t>
        </is>
      </c>
      <c r="M67" s="3" t="inlineStr">
        <is>
          <t>1. Bấm Upload scans.
2. Thêm file có tên "../../etc/passwd.pdf".
3. Bấm Upload and read và hoàn tất lưu nháp.
4. Kiểm tra tên file lưu trên máy chủ.</t>
        </is>
      </c>
      <c r="N67" s="3" t="inlineStr">
        <is>
          <t>1. File không ghi ra ngoài thư mục lưu trữ của F5.
2. Tên lưu do máy chủ đặt, phần ../ không có tác dụng.</t>
        </is>
      </c>
      <c r="O67" s="3" t="n"/>
      <c r="P67"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67" s="3" t="n"/>
      <c r="R67" s="3" t="inlineStr">
        <is>
          <t>Tender R5, US-042, US-043, FS F5 v1.2: 4, R5_FAS_Validation_Rules VR-F5-S09</t>
        </is>
      </c>
      <c r="S67" s="3" t="n"/>
      <c r="T67" s="2" t="inlineStr">
        <is>
          <t>Draft</t>
        </is>
      </c>
    </row>
    <row r="68" ht="122" customHeight="1">
      <c r="A68" s="2" t="inlineStr">
        <is>
          <t>TC-067</t>
        </is>
      </c>
      <c r="B68" s="2" t="inlineStr">
        <is>
          <t>TS-013</t>
        </is>
      </c>
      <c r="C68" s="3" t="inlineStr">
        <is>
          <t>PDF có JavaScript không chạy khi đọc và khi xem</t>
        </is>
      </c>
      <c r="D68" s="3" t="inlineStr">
        <is>
          <t>F5.2 Upload scans dialog</t>
        </is>
      </c>
      <c r="E68" s="3" t="inlineStr">
        <is>
          <t>Upload scans dialog</t>
        </is>
      </c>
      <c r="F68" s="2" t="inlineStr">
        <is>
          <t>S1 (highest)</t>
        </is>
      </c>
      <c r="G68" s="2" t="inlineStr">
        <is>
          <t>High</t>
        </is>
      </c>
      <c r="H68" s="2" t="inlineStr">
        <is>
          <t>Not Run</t>
        </is>
      </c>
      <c r="I68" s="2" t="inlineStr">
        <is>
          <t>Security</t>
        </is>
      </c>
      <c r="J68" s="3" t="inlineStr">
        <is>
          <t>Bản F5 có API (chưa có)
Chrome (latest)
Build: ghi khi chạy
Cần: ENV-R5-02, ENV-R5-06</t>
        </is>
      </c>
      <c r="K68" s="3" t="inlineStr">
        <is>
          <t>1. Bản F5 có API chạy, dữ liệu SEED-R5 đã nạp.
2. Đã đăng nhập School user BVP-0012 Lan Nguyen, trường Bukit View Primary.</t>
        </is>
      </c>
      <c r="L68" s="3" t="inlineStr">
        <is>
          <t>active.pdf (JavaScript, OpenAction)</t>
        </is>
      </c>
      <c r="M68" s="3" t="inlineStr">
        <is>
          <t>1. Bấm Upload scans.
2. Thêm active.pdf có JavaScript và hành động mở khi tải.
3. Bấm Upload and read và xem bản scan ở khung bên trái.</t>
        </is>
      </c>
      <c r="N68" s="3" t="inlineStr">
        <is>
          <t>1. Không có mã nào chạy, không hộp thoại, không mở tài nguyên ngoài.
2. Bản scan hiển thị như hình tĩnh.</t>
        </is>
      </c>
      <c r="O68" s="3" t="n"/>
      <c r="P68"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68" s="3" t="n"/>
      <c r="R68" s="3" t="inlineStr">
        <is>
          <t>Tender R5, US-042, US-043, FS F5 v1.2: 4, R5_FAS_Validation_Rules B1, VR-F5-S09</t>
        </is>
      </c>
      <c r="S68" s="3" t="n"/>
      <c r="T68" s="2" t="inlineStr">
        <is>
          <t>Draft</t>
        </is>
      </c>
    </row>
    <row r="69" ht="136.5" customHeight="1">
      <c r="A69" s="2" t="inlineStr">
        <is>
          <t>TC-068</t>
        </is>
      </c>
      <c r="B69" s="2" t="inlineStr">
        <is>
          <t>TS-014</t>
        </is>
      </c>
      <c r="C69" s="3" t="inlineStr">
        <is>
          <t>Nhập NRIC người khai thì tự điền các trường của Part 1</t>
        </is>
      </c>
      <c r="D69" s="3" t="inlineStr">
        <is>
          <t>F5.3 Review application, Part 1 Applicant</t>
        </is>
      </c>
      <c r="E69" s="3" t="inlineStr">
        <is>
          <t>Review application, Part 1 Applicant</t>
        </is>
      </c>
      <c r="F69" s="2" t="inlineStr">
        <is>
          <t>S1 (highest)</t>
        </is>
      </c>
      <c r="G69" s="2" t="inlineStr">
        <is>
          <t>Critical</t>
        </is>
      </c>
      <c r="H69" s="2" t="inlineStr">
        <is>
          <t>Not Run</t>
        </is>
      </c>
      <c r="I69" s="2" t="inlineStr">
        <is>
          <t>Functional</t>
        </is>
      </c>
      <c r="J69" s="3" t="inlineStr">
        <is>
          <t>Prototype: edusave.vercel.app (ngày mẫu 18/10/2026)
Chrome (latest)
Build: ghi khi chạy
Cần: ENV-R5-01</t>
        </is>
      </c>
      <c r="K69" s="3" t="inlineStr">
        <is>
          <t>1. Prototype ở trạng thái gốc (dùng Reset data).
2. Đã đăng nhập School user BVP-0012 Lan Nguyen, trường Bukit View Primary.
3. Đã bấm Upload scans, thêm scan_bvp_0667.pdf và bấm Upload and read. Màn Review application đang mở.</t>
        </is>
      </c>
      <c r="L69" s="3" t="inlineStr">
        <is>
          <t>Người khai: Tan Wei Ming S7612345A</t>
        </is>
      </c>
      <c r="M69" s="3" t="inlineStr">
        <is>
          <t>1. Gõ S7612345A vào ô NRIC của Part 1.
2. Rời ô NRIC (bấm Tab) hoặc bấm Enter.
3. Đọc các trường của Part 1.</t>
        </is>
      </c>
      <c r="N69" s="3" t="inlineStr">
        <is>
          <t>1. Full name Tan Wei Ming, Date of birth theo hồ sơ dạng DD/MM/YYYY, Gender Male, Category Singapore Citizen, Nationality Chinese.
2. Phone number, Email wm.tan@example.com và Address (bắt đầu Blk 123 Bukit Batok St 21) được điền từ hồ sơ.
3. Các ô tự điền chuyển sang nền xám (khoá).
4. Relationship to child giữ giá trị đọc từ mẫu đơn (Father), School-based FAS giữ mặc định Yes.</t>
        </is>
      </c>
      <c r="O69" s="3" t="n"/>
      <c r="P69" s="3" t="inlineStr">
        <is>
          <t>N/A</t>
        </is>
      </c>
      <c r="Q69" s="3" t="n"/>
      <c r="R69" s="3" t="inlineStr">
        <is>
          <t>Tender R5, US-042, US-043, FS F5 v1.2: 2 bước 2, 5 Part 1, T2</t>
        </is>
      </c>
      <c r="S69" s="3" t="inlineStr">
        <is>
          <t>Số điện thoại hình FS ghi +65 9123 4567, định dạng là điểm mở O5. NRIC mẫu của FS không đạt chữ cái kiểm tra công khai, điểm mở O6.</t>
        </is>
      </c>
      <c r="T69" s="2" t="inlineStr">
        <is>
          <t>Approve</t>
        </is>
      </c>
    </row>
    <row r="70" ht="107.5" customHeight="1">
      <c r="A70" s="2" t="inlineStr">
        <is>
          <t>TC-069</t>
        </is>
      </c>
      <c r="B70" s="2" t="inlineStr">
        <is>
          <t>TS-014</t>
        </is>
      </c>
      <c r="C70" s="3" t="inlineStr">
        <is>
          <t>Nhập NRIC bằng chữ thường được đổi thành chữ hoa và vẫn tự điền</t>
        </is>
      </c>
      <c r="D70" s="3" t="inlineStr">
        <is>
          <t>F5.3 Review application, Part 1 Applicant</t>
        </is>
      </c>
      <c r="E70" s="3" t="inlineStr">
        <is>
          <t>Review application, Part 1 Applicant</t>
        </is>
      </c>
      <c r="F70" s="2" t="inlineStr">
        <is>
          <t>S3</t>
        </is>
      </c>
      <c r="G70" s="2" t="inlineStr">
        <is>
          <t>Medium</t>
        </is>
      </c>
      <c r="H70" s="2" t="inlineStr">
        <is>
          <t>Not Run</t>
        </is>
      </c>
      <c r="I70" s="2" t="inlineStr">
        <is>
          <t>Functional</t>
        </is>
      </c>
      <c r="J70" s="3" t="inlineStr">
        <is>
          <t>Prototype: edusave.vercel.app (ngày mẫu 18/10/2026)
Chrome (latest)
Build: ghi khi chạy
Cần: ENV-R5-01</t>
        </is>
      </c>
      <c r="K70" s="3" t="inlineStr">
        <is>
          <t>1. Prototype ở trạng thái gốc (dùng Reset data).
2. Đã đăng nhập School user BVP-0012 Lan Nguyen, trường Bukit View Primary.
3. Đã bấm Upload scans, thêm scan_bvp_0667.pdf và bấm Upload and read. Màn Review application đang mở.</t>
        </is>
      </c>
      <c r="L70" s="3" t="inlineStr">
        <is>
          <t>NRIC gõ: s7612345a</t>
        </is>
      </c>
      <c r="M70" s="3" t="inlineStr">
        <is>
          <t>1. Gõ s7612345a vào ô NRIC.
2. Rời ô NRIC.</t>
        </is>
      </c>
      <c r="N70" s="3" t="inlineStr">
        <is>
          <t>1. Ô NRIC hiển thị S7612345A.
2. Part 1 được tự điền như với S7612345A.</t>
        </is>
      </c>
      <c r="O70" s="3" t="n"/>
      <c r="P70"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t>
        </is>
      </c>
      <c r="Q70" s="3" t="n"/>
      <c r="R70" s="3" t="inlineStr">
        <is>
          <t>Tender R5, US-042, US-043, FS F5 v1.2: 5 Part 1</t>
        </is>
      </c>
      <c r="S70" s="3" t="n"/>
      <c r="T70" s="2" t="inlineStr">
        <is>
          <t>Draft</t>
        </is>
      </c>
    </row>
    <row r="71" ht="107.5" customHeight="1">
      <c r="A71" s="2" t="inlineStr">
        <is>
          <t>TC-070</t>
        </is>
      </c>
      <c r="B71" s="2" t="inlineStr">
        <is>
          <t>TS-014</t>
        </is>
      </c>
      <c r="C71" s="3" t="inlineStr">
        <is>
          <t>Khoảng trắng đầu cuối quanh NRIC bị cắt</t>
        </is>
      </c>
      <c r="D71" s="3" t="inlineStr">
        <is>
          <t>F5.3 Review application, Part 1 Applicant</t>
        </is>
      </c>
      <c r="E71" s="3" t="inlineStr">
        <is>
          <t>Review application, Part 1 Applicant</t>
        </is>
      </c>
      <c r="F71" s="2" t="inlineStr">
        <is>
          <t>S4 (lowest)</t>
        </is>
      </c>
      <c r="G71" s="2" t="inlineStr">
        <is>
          <t>Low</t>
        </is>
      </c>
      <c r="H71" s="2" t="inlineStr">
        <is>
          <t>Not Run</t>
        </is>
      </c>
      <c r="I71" s="2" t="inlineStr">
        <is>
          <t>Functional</t>
        </is>
      </c>
      <c r="J71" s="3" t="inlineStr">
        <is>
          <t>Prototype: edusave.vercel.app (ngày mẫu 18/10/2026)
Chrome (latest)
Build: ghi khi chạy
Cần: ENV-R5-01</t>
        </is>
      </c>
      <c r="K71" s="3" t="inlineStr">
        <is>
          <t>1. Prototype ở trạng thái gốc (dùng Reset data).
2. Đã đăng nhập School user BVP-0012 Lan Nguyen, trường Bukit View Primary.
3. Đã bấm Upload scans, thêm scan_bvp_0667.pdf và bấm Upload and read. Màn Review application đang mở.</t>
        </is>
      </c>
      <c r="L71" s="3" t="inlineStr">
        <is>
          <t>NRIC gõ: "  S7612345A  "</t>
        </is>
      </c>
      <c r="M71" s="3" t="inlineStr">
        <is>
          <t>1. Gõ "  S7612345A  " (hai khoảng trắng mỗi đầu) vào ô NRIC.
2. Rời ô NRIC.</t>
        </is>
      </c>
      <c r="N71" s="3" t="inlineStr">
        <is>
          <t>1. Ô NRIC là S7612345A và Part 1 được tự điền.</t>
        </is>
      </c>
      <c r="O71" s="3" t="n"/>
      <c r="P71"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t>
        </is>
      </c>
      <c r="Q71" s="3" t="n"/>
      <c r="R71" s="3" t="inlineStr">
        <is>
          <t>Tender R5, US-042, US-043, FS F5 v1.2: 5 Part 1</t>
        </is>
      </c>
      <c r="S71" s="3" t="n"/>
      <c r="T71" s="2" t="inlineStr">
        <is>
          <t>Draft</t>
        </is>
      </c>
    </row>
    <row r="72" ht="93" customHeight="1">
      <c r="A72" s="2" t="inlineStr">
        <is>
          <t>TC-071</t>
        </is>
      </c>
      <c r="B72" s="2" t="inlineStr">
        <is>
          <t>TS-014</t>
        </is>
      </c>
      <c r="C72" s="3" t="inlineStr">
        <is>
          <t>Category Singapore PR, International ASEAN và non ASEAN tự điền đúng</t>
        </is>
      </c>
      <c r="D72" s="3" t="inlineStr">
        <is>
          <t>F5.3 Review application, Part 1 Applicant</t>
        </is>
      </c>
      <c r="E72" s="3" t="inlineStr">
        <is>
          <t>Review application, Part 1 Applicant</t>
        </is>
      </c>
      <c r="F72" s="2" t="inlineStr">
        <is>
          <t>S2</t>
        </is>
      </c>
      <c r="G72" s="2" t="inlineStr">
        <is>
          <t>High</t>
        </is>
      </c>
      <c r="H72" s="2" t="inlineStr">
        <is>
          <t>Not Run</t>
        </is>
      </c>
      <c r="I72" s="2" t="inlineStr">
        <is>
          <t>Functional</t>
        </is>
      </c>
      <c r="J72" s="3" t="inlineStr">
        <is>
          <t>Bản F5 có API (chưa có)
Chrome (latest)
Build: ghi khi chạy
Cần: ENV-R5-02, ENV-R5-03</t>
        </is>
      </c>
      <c r="K72" s="3" t="inlineStr">
        <is>
          <t>1. Bản F5 có API chạy, dữ liệu SEED-R5 đã nạp.
2. Đã đăng nhập School user BVP-0012 Lan Nguyen, trường Bukit View Primary.
3. Màn Review application đang mở.</t>
        </is>
      </c>
      <c r="L72" s="3" t="inlineStr">
        <is>
          <t>SEED-R5-01 Priya Nair S7403219B
SEED-R5-02 Nguyen Thi Hoa F2214680R
SEED-R5-03 Daniel Okoro F3358024W</t>
        </is>
      </c>
      <c r="M72" s="3" t="inlineStr">
        <is>
          <t>1. Gõ lần lượt ba NRIC người khai vào ô NRIC, mỗi lần rời ô và đọc Category.</t>
        </is>
      </c>
      <c r="N72" s="3" t="inlineStr">
        <is>
          <t>1. Priya Nair cho Singapore PR.
2. Nguyen Thi Hoa cho International ASEAN.
3. Daniel Okoro cho International non ASEAN.
4. Mỗi lần các ô tự điền chuyển sang nền xám.</t>
        </is>
      </c>
      <c r="O72" s="3" t="n"/>
      <c r="P72" s="3" t="inlineStr">
        <is>
          <t>N/A</t>
        </is>
      </c>
      <c r="Q72" s="3" t="n"/>
      <c r="R72" s="3" t="inlineStr">
        <is>
          <t>Tender R5, US-042, US-043, FS F5 v1.2: 5 Part 1</t>
        </is>
      </c>
      <c r="S72" s="3" t="n"/>
      <c r="T72" s="2" t="inlineStr">
        <is>
          <t>Approve</t>
        </is>
      </c>
    </row>
    <row r="73" ht="151" customHeight="1">
      <c r="A73" s="2" t="inlineStr">
        <is>
          <t>TC-072</t>
        </is>
      </c>
      <c r="B73" s="2" t="inlineStr">
        <is>
          <t>TS-014</t>
        </is>
      </c>
      <c r="C73" s="3" t="inlineStr">
        <is>
          <t>Nationality hiện đủ năm giá trị theo hồ sơ</t>
        </is>
      </c>
      <c r="D73" s="3" t="inlineStr">
        <is>
          <t>F5.3 Review application, Part 1 Applicant</t>
        </is>
      </c>
      <c r="E73" s="3" t="inlineStr">
        <is>
          <t>Review application, Part 1 Applicant</t>
        </is>
      </c>
      <c r="F73" s="2" t="inlineStr">
        <is>
          <t>S3</t>
        </is>
      </c>
      <c r="G73" s="2" t="inlineStr">
        <is>
          <t>Medium</t>
        </is>
      </c>
      <c r="H73" s="2" t="inlineStr">
        <is>
          <t>Not Run</t>
        </is>
      </c>
      <c r="I73" s="2" t="inlineStr">
        <is>
          <t>Functional</t>
        </is>
      </c>
      <c r="J73" s="3" t="inlineStr">
        <is>
          <t>Bản F5 có API (chưa có)
Chrome (latest)
Build: ghi khi chạy
Cần: ENV-R5-02, ENV-R5-03</t>
        </is>
      </c>
      <c r="K73" s="3" t="inlineStr">
        <is>
          <t>1. Bản F5 có API chạy, dữ liệu SEED-R5 đã nạp.
2. Đã đăng nhập School user BVP-0012 Lan Nguyen, trường Bukit View Primary.
3. Màn Review application đang mở.</t>
        </is>
      </c>
      <c r="L73" s="3" t="inlineStr">
        <is>
          <t>SEED-R5-04 Siti Noor S8205501J Malay
SEED-R5-05 Grace Pereira S7706633J Eurasian
SEED-R5-06 Ravi Kumar S7907712G Indian
SEED-R5-07 Karen Lee S8001126A Others
Tan Wei Ming S7612345A Chinese</t>
        </is>
      </c>
      <c r="M73" s="3" t="inlineStr">
        <is>
          <t>1. Gõ lần lượt năm NRIC người khai vào ô NRIC và đọc Nationality.</t>
        </is>
      </c>
      <c r="N73" s="3" t="inlineStr">
        <is>
          <t>1. Nationality hiện lần lượt Malay, Eurasian, Indian, Others, Chinese đúng theo hồ sơ.</t>
        </is>
      </c>
      <c r="O73" s="3" t="n"/>
      <c r="P73" s="3" t="inlineStr">
        <is>
          <t>N/A</t>
        </is>
      </c>
      <c r="Q73" s="3" t="n"/>
      <c r="R73" s="3" t="inlineStr">
        <is>
          <t>Tender R5, US-042, US-043, FS F5 v1.2: 5 Part 1</t>
        </is>
      </c>
      <c r="S73" s="3" t="inlineStr">
        <is>
          <t>Nhãn Nationality chứa nhóm dân tộc chứ không phải quốc tịch, điểm mở O7.</t>
        </is>
      </c>
      <c r="T73" s="2" t="inlineStr">
        <is>
          <t>Approve</t>
        </is>
      </c>
    </row>
    <row r="74" ht="107.5" customHeight="1">
      <c r="A74" s="2" t="inlineStr">
        <is>
          <t>TC-073</t>
        </is>
      </c>
      <c r="B74" s="2" t="inlineStr">
        <is>
          <t>TS-014</t>
        </is>
      </c>
      <c r="C74" s="3" t="inlineStr">
        <is>
          <t>Đổi NRIC sau khi đã tự điền thay toàn bộ giá trị tự điền</t>
        </is>
      </c>
      <c r="D74" s="3" t="inlineStr">
        <is>
          <t>F5.3 Review application, Part 1 Applicant</t>
        </is>
      </c>
      <c r="E74" s="3" t="inlineStr">
        <is>
          <t>Review application, Part 1 Applicant</t>
        </is>
      </c>
      <c r="F74" s="2" t="inlineStr">
        <is>
          <t>S2</t>
        </is>
      </c>
      <c r="G74" s="2" t="inlineStr">
        <is>
          <t>Medium</t>
        </is>
      </c>
      <c r="H74" s="2" t="inlineStr">
        <is>
          <t>Not Run</t>
        </is>
      </c>
      <c r="I74" s="2" t="inlineStr">
        <is>
          <t>Functional</t>
        </is>
      </c>
      <c r="J74" s="3" t="inlineStr">
        <is>
          <t>Bản F5 có API (chưa có)
Chrome (latest)
Build: ghi khi chạy
Cần: ENV-R5-02, ENV-R5-03</t>
        </is>
      </c>
      <c r="K74" s="3" t="inlineStr">
        <is>
          <t>1. Bản F5 có API chạy, dữ liệu SEED-R5 đã nạp.
2. Đã đăng nhập School user BVP-0012 Lan Nguyen, trường Bukit View Primary.
3. Màn Review application đang mở.</t>
        </is>
      </c>
      <c r="L74" s="3" t="inlineStr">
        <is>
          <t>S7612345A rồi S8205501J</t>
        </is>
      </c>
      <c r="M74" s="3" t="inlineStr">
        <is>
          <t>1. Gõ S7612345A, rời ô, đổi Relationship thành Mother và bỏ chọn School-based FAS.
2. Đổi NRIC người khai sang S8205501J.
3. Đọc Part 1.</t>
        </is>
      </c>
      <c r="N74" s="3" t="inlineStr">
        <is>
          <t>1. Họ tên, ngày sinh, giới tính, category, nationality, điện thoại, email, địa chỉ chuyển sang giá trị của NRIC mới.
2. Relationship to child giữ Mother và School-based FAS giữ trạng thái đã bỏ chọn.</t>
        </is>
      </c>
      <c r="O74" s="3" t="n"/>
      <c r="P74"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74" s="3" t="n"/>
      <c r="R74" s="3" t="inlineStr">
        <is>
          <t>Tender R5, US-042, US-043, FS F5 v1.2: 5 Part 1, BR3</t>
        </is>
      </c>
      <c r="S74" s="3" t="n"/>
      <c r="T74" s="2" t="inlineStr">
        <is>
          <t>Draft</t>
        </is>
      </c>
    </row>
    <row r="75" ht="93" customHeight="1">
      <c r="A75" s="2" t="inlineStr">
        <is>
          <t>TC-074</t>
        </is>
      </c>
      <c r="B75" s="2" t="inlineStr">
        <is>
          <t>TS-014</t>
        </is>
      </c>
      <c r="C75" s="3" t="inlineStr">
        <is>
          <t>NRIC người khai không có trong hồ sơ</t>
        </is>
      </c>
      <c r="D75" s="3" t="inlineStr">
        <is>
          <t>F5.3 Review application, Part 1 Applicant</t>
        </is>
      </c>
      <c r="E75" s="3" t="inlineStr">
        <is>
          <t>Review application, Part 1 Applicant</t>
        </is>
      </c>
      <c r="F75" s="2" t="inlineStr">
        <is>
          <t>S2</t>
        </is>
      </c>
      <c r="G75" s="2" t="inlineStr">
        <is>
          <t>High</t>
        </is>
      </c>
      <c r="H75" s="2" t="inlineStr">
        <is>
          <t>Not Run</t>
        </is>
      </c>
      <c r="I75" s="2" t="inlineStr">
        <is>
          <t>Functional</t>
        </is>
      </c>
      <c r="J75" s="3" t="inlineStr">
        <is>
          <t>Bản F5 có API (chưa có)
Chrome (latest)
Build: ghi khi chạy
Cần: ENV-R5-02, ENV-R5-03</t>
        </is>
      </c>
      <c r="K75" s="3" t="inlineStr">
        <is>
          <t>1. Bản F5 có API chạy, dữ liệu SEED-R5 đã nạp.
2. Đã đăng nhập School user BVP-0012 Lan Nguyen, trường Bukit View Primary.
3. Màn Review application đang mở.</t>
        </is>
      </c>
      <c r="L75" s="3" t="inlineStr">
        <is>
          <t>NRIC S8700111C không có trong hồ sơ</t>
        </is>
      </c>
      <c r="M75" s="3" t="inlineStr">
        <is>
          <t>1. Gõ NRIC S8700111C (cấu trúc đúng, không có trong hồ sơ phụ huynh và dữ liệu Chính phủ).
2. Rời ô NRIC.
3. Đọc Part 1.</t>
        </is>
      </c>
      <c r="N75" s="3" t="inlineStr">
        <is>
          <t>1. Không có kết quả xác định trong FS.</t>
        </is>
      </c>
      <c r="O75" s="3" t="n"/>
      <c r="P75" s="3" t="inlineStr">
        <is>
          <t>ASM-R5-03: Không có giả định hợp lý. Có thể để trống và cho nhập tay, hoặc chặn, hoặc báo lỗi.</t>
        </is>
      </c>
      <c r="Q75" s="3" t="n"/>
      <c r="R75" s="3" t="inlineStr">
        <is>
          <t>Tender R5, US-042, US-043, FS F5 v1.2: 2 bước 2, 5 Part 1</t>
        </is>
      </c>
      <c r="S75" s="3" t="inlineStr">
        <is>
          <t>Điểm mở O3. FS chỉ mô tả trường hợp khớp.</t>
        </is>
      </c>
      <c r="T75" s="2" t="inlineStr">
        <is>
          <t>Block</t>
        </is>
      </c>
    </row>
    <row r="76" ht="310.5" customHeight="1">
      <c r="A76" s="2" t="inlineStr">
        <is>
          <t>TC-075</t>
        </is>
      </c>
      <c r="B76" s="2" t="inlineStr">
        <is>
          <t>TS-014</t>
        </is>
      </c>
      <c r="C76" s="3" t="inlineStr">
        <is>
          <t>Hồ sơ phụ huynh lỗi thì không tự điền</t>
        </is>
      </c>
      <c r="D76" s="3" t="inlineStr">
        <is>
          <t>F5.3 Review application, Part 1 Applicant</t>
        </is>
      </c>
      <c r="E76" s="3" t="inlineStr">
        <is>
          <t>Review application, Part 1 Applicant</t>
        </is>
      </c>
      <c r="F76" s="2" t="inlineStr">
        <is>
          <t>S2</t>
        </is>
      </c>
      <c r="G76" s="2" t="inlineStr">
        <is>
          <t>Medium</t>
        </is>
      </c>
      <c r="H76" s="2" t="inlineStr">
        <is>
          <t>Not Run</t>
        </is>
      </c>
      <c r="I76" s="2" t="inlineStr">
        <is>
          <t>Integration</t>
        </is>
      </c>
      <c r="J76" s="3" t="inlineStr">
        <is>
          <t>Bản F5 có API (chưa có)
Chrome (latest)
Build: ghi khi chạy
Cần: ENV-R5-02, ENV-R5-07</t>
        </is>
      </c>
      <c r="K76" s="3" t="inlineStr">
        <is>
          <t>1. Bản F5 có API chạy, dữ liệu SEED-R5 đã nạp.
2. Đã đăng nhập School user BVP-0012 Lan Nguyen, trường Bukit View Primary.
3. Màn Review application đang mở.</t>
        </is>
      </c>
      <c r="L76" s="3" t="inlineStr">
        <is>
          <t>Người khai: Tan Wei Ming S7612345A</t>
        </is>
      </c>
      <c r="M76" s="3" t="inlineStr">
        <is>
          <t>1. Cho hồ sơ phụ huynh trả lỗi.
2. Gõ S7612345A và rời ô.</t>
        </is>
      </c>
      <c r="N76" s="3" t="inlineStr">
        <is>
          <t>1. Hiện "Something went wrong. Please try again."
2. Các trường của Part 1 không bị điền giá trị nửa chừng.
3. Màn Review application và dữ liệu đã nhập khác không mất.</t>
        </is>
      </c>
      <c r="O76" s="3" t="n"/>
      <c r="P76"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76" s="3" t="n"/>
      <c r="R76" s="3" t="inlineStr">
        <is>
          <t>Tender R5, US-042, US-043, FS F5 v1.2: 2 bước 2, R5_FAS_Validation_Rules VR-F5-S10</t>
        </is>
      </c>
      <c r="S76" s="3" t="n"/>
      <c r="T76" s="2" t="inlineStr">
        <is>
          <t>Draft</t>
        </is>
      </c>
    </row>
    <row r="77" ht="136.5" customHeight="1">
      <c r="A77" s="2" t="inlineStr">
        <is>
          <t>TC-076</t>
        </is>
      </c>
      <c r="B77" s="2" t="inlineStr">
        <is>
          <t>TS-015</t>
        </is>
      </c>
      <c r="C77" s="3" t="inlineStr">
        <is>
          <t>Các ô tự điền khoá không sửa được</t>
        </is>
      </c>
      <c r="D77" s="3" t="inlineStr">
        <is>
          <t>F5.3 Review application, Part 1 Applicant</t>
        </is>
      </c>
      <c r="E77" s="3" t="inlineStr">
        <is>
          <t>Review application, Part 1 Applicant</t>
        </is>
      </c>
      <c r="F77" s="2" t="inlineStr">
        <is>
          <t>S1 (highest)</t>
        </is>
      </c>
      <c r="G77" s="2" t="inlineStr">
        <is>
          <t>High</t>
        </is>
      </c>
      <c r="H77" s="2" t="inlineStr">
        <is>
          <t>Not Run</t>
        </is>
      </c>
      <c r="I77" s="2" t="inlineStr">
        <is>
          <t>Functional</t>
        </is>
      </c>
      <c r="J77" s="3" t="inlineStr">
        <is>
          <t>Prototype: edusave.vercel.app (ngày mẫu 18/10/2026)
Chrome (latest)
Build: ghi khi chạy
Cần: ENV-R5-01</t>
        </is>
      </c>
      <c r="K7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77" s="3" t="inlineStr">
        <is>
          <t>Người khai: Tan Wei Ming S7612345A</t>
        </is>
      </c>
      <c r="M77" s="3" t="inlineStr">
        <is>
          <t>1. Bấm vào từng ô Full name, Date of birth, Gender, Category, Nationality.
2. Thử gõ và dán giá trị khác vào từng ô.
3. Thử mở danh sách chọn của Gender, Category, Nationality.</t>
        </is>
      </c>
      <c r="N77" s="3" t="inlineStr">
        <is>
          <t>1. Không ô nào nhận thay đổi, nền ô vẫn xám và giá trị giữ nguyên.
2. Danh sách chọn không mở.</t>
        </is>
      </c>
      <c r="O77" s="3" t="n"/>
      <c r="P77" s="3" t="inlineStr">
        <is>
          <t>N/A</t>
        </is>
      </c>
      <c r="Q77" s="3" t="n"/>
      <c r="R77" s="3" t="inlineStr">
        <is>
          <t>Tender R5, US-042, US-043, FS F5 v1.2: 5 Part 1, BR3</t>
        </is>
      </c>
      <c r="S77" s="3" t="n"/>
      <c r="T77" s="2" t="inlineStr">
        <is>
          <t>Approve</t>
        </is>
      </c>
    </row>
    <row r="78" ht="136.5" customHeight="1">
      <c r="A78" s="2" t="inlineStr">
        <is>
          <t>TC-077</t>
        </is>
      </c>
      <c r="B78" s="2" t="inlineStr">
        <is>
          <t>TS-015</t>
        </is>
      </c>
      <c r="C78" s="3" t="inlineStr">
        <is>
          <t>Phone, Email và Address khoá sau khi tự điền</t>
        </is>
      </c>
      <c r="D78" s="3" t="inlineStr">
        <is>
          <t>F5.3 Review application, Part 1 Applicant</t>
        </is>
      </c>
      <c r="E78" s="3" t="inlineStr">
        <is>
          <t>Review application, Part 1 Applicant</t>
        </is>
      </c>
      <c r="F78" s="2" t="inlineStr">
        <is>
          <t>S2</t>
        </is>
      </c>
      <c r="G78" s="2" t="inlineStr">
        <is>
          <t>Medium</t>
        </is>
      </c>
      <c r="H78" s="2" t="inlineStr">
        <is>
          <t>Not Run</t>
        </is>
      </c>
      <c r="I78" s="2" t="inlineStr">
        <is>
          <t>Functional</t>
        </is>
      </c>
      <c r="J78" s="3" t="inlineStr">
        <is>
          <t>Prototype: edusave.vercel.app (ngày mẫu 18/10/2026)
Chrome (latest)
Build: ghi khi chạy
Cần: ENV-R5-01</t>
        </is>
      </c>
      <c r="K7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78" s="3" t="inlineStr">
        <is>
          <t>Người khai: Tan Wei Ming S7612345A</t>
        </is>
      </c>
      <c r="M78" s="3" t="inlineStr">
        <is>
          <t>1. Bấm vào Phone number, Email, Address.
2. Thử gõ giá trị khác vào từng ô.</t>
        </is>
      </c>
      <c r="N78" s="3" t="inlineStr">
        <is>
          <t>1. Cả ba ô không nhận thay đổi và nền ô xám.</t>
        </is>
      </c>
      <c r="O78" s="3" t="n"/>
      <c r="P78"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78" s="3" t="n"/>
      <c r="R78" s="3" t="inlineStr">
        <is>
          <t>Tender R5, US-042, US-043, FS F5 v1.2: 5 Part 1, BR3</t>
        </is>
      </c>
      <c r="S78" s="3" t="inlineStr">
        <is>
          <t>Hình Review application cho ô Phone number màu vàng và trông sửa được, điểm mở O4. Nếu ô sửa được, ghi lại và chuyển các ca Phone sang chạy với ô sửa được.</t>
        </is>
      </c>
      <c r="T78" s="2" t="inlineStr">
        <is>
          <t>Draft</t>
        </is>
      </c>
    </row>
    <row r="79" ht="136.5" customHeight="1">
      <c r="A79" s="2" t="inlineStr">
        <is>
          <t>TC-078</t>
        </is>
      </c>
      <c r="B79" s="2" t="inlineStr">
        <is>
          <t>TS-015</t>
        </is>
      </c>
      <c r="C79" s="3" t="inlineStr">
        <is>
          <t>Relationship to child và School-based FAS luôn sửa được</t>
        </is>
      </c>
      <c r="D79" s="3" t="inlineStr">
        <is>
          <t>F5.3 Review application, Part 1 Applicant</t>
        </is>
      </c>
      <c r="E79" s="3" t="inlineStr">
        <is>
          <t>Review application, Part 1 Applicant</t>
        </is>
      </c>
      <c r="F79" s="2" t="inlineStr">
        <is>
          <t>S2</t>
        </is>
      </c>
      <c r="G79" s="2" t="inlineStr">
        <is>
          <t>Medium</t>
        </is>
      </c>
      <c r="H79" s="2" t="inlineStr">
        <is>
          <t>Not Run</t>
        </is>
      </c>
      <c r="I79" s="2" t="inlineStr">
        <is>
          <t>Functional</t>
        </is>
      </c>
      <c r="J79" s="3" t="inlineStr">
        <is>
          <t>Prototype: edusave.vercel.app (ngày mẫu 18/10/2026)
Chrome (latest)
Build: ghi khi chạy
Cần: ENV-R5-01</t>
        </is>
      </c>
      <c r="K7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79" s="3" t="inlineStr">
        <is>
          <t>Người khai: Tan Wei Ming S7612345A</t>
        </is>
      </c>
      <c r="M79" s="3" t="inlineStr">
        <is>
          <t>1. Đổi Relationship to child từ Father sang Mother.
2. Bỏ chọn School-based FAS rồi chọn lại.</t>
        </is>
      </c>
      <c r="N79" s="3" t="inlineStr">
        <is>
          <t>1. Hai ô nhận thay đổi, nền trắng.
2. Giá trị mới được giữ khi bấm Save draft rồi Continue.</t>
        </is>
      </c>
      <c r="O79" s="3" t="n"/>
      <c r="P79"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79" s="3" t="n"/>
      <c r="R79" s="3" t="inlineStr">
        <is>
          <t>Tender R5, US-042, US-043, FS F5 v1.2: 5 Part 1</t>
        </is>
      </c>
      <c r="S79" s="3" t="n"/>
      <c r="T79" s="2" t="inlineStr">
        <is>
          <t>Draft</t>
        </is>
      </c>
    </row>
    <row r="80" ht="296" customHeight="1">
      <c r="A80" s="2" t="inlineStr">
        <is>
          <t>TC-079</t>
        </is>
      </c>
      <c r="B80" s="2" t="inlineStr">
        <is>
          <t>TS-016</t>
        </is>
      </c>
      <c r="C80" s="3" t="inlineStr">
        <is>
          <t>NRIC người khai sai độ dài bị chặn</t>
        </is>
      </c>
      <c r="D80" s="3" t="inlineStr">
        <is>
          <t>F5.3 Review application, Part 1 Applicant</t>
        </is>
      </c>
      <c r="E80" s="3" t="inlineStr">
        <is>
          <t>Review application, Part 1 Applicant</t>
        </is>
      </c>
      <c r="F80" s="2" t="inlineStr">
        <is>
          <t>S2</t>
        </is>
      </c>
      <c r="G80" s="2" t="inlineStr">
        <is>
          <t>High</t>
        </is>
      </c>
      <c r="H80" s="2" t="inlineStr">
        <is>
          <t>Not Run</t>
        </is>
      </c>
      <c r="I80" s="2" t="inlineStr">
        <is>
          <t>Functional</t>
        </is>
      </c>
      <c r="J80" s="3" t="inlineStr">
        <is>
          <t>Prototype: edusave.vercel.app (ngày mẫu 18/10/2026)
Chrome (latest)
Build: ghi khi chạy
Cần: ENV-R5-01</t>
        </is>
      </c>
      <c r="K80" s="3" t="inlineStr">
        <is>
          <t>1. Prototype ở trạng thái gốc (dùng Reset data).
2. Đã đăng nhập School user BVP-0012 Lan Nguyen, trường Bukit View Primary.
3. Đã bấm Upload scans, thêm scan_bvp_0667.pdf và bấm Upload and read. Màn Review application đang mở.</t>
        </is>
      </c>
      <c r="L80" s="3" t="inlineStr">
        <is>
          <t>Dưới 9 ký tự: S761234A
Trên 9 ký tự: S7612345AB
Chỉ 1 chữ cái: S</t>
        </is>
      </c>
      <c r="M80" s="3" t="inlineStr">
        <is>
          <t>1. Gõ lần lượt từng giá trị trong Test Data vào ô NRIC người khai.
2. Rời ô NRIC rồi bấm Review and submit.
3. Đọc các ghi chú đỏ và màn hình, xoá ô NRIC trước khi thử giá trị kế tiếp.</t>
        </is>
      </c>
      <c r="N80" s="3" t="inlineStr">
        <is>
          <t>1. Mỗi lần hộp thoại Review before submitting không mở.
2. Ô NRIC báo hoặc ghi chú đỏ ở đầu trang có "Enter a valid NRIC/FIN."
3. Part 1 không được tự điền.</t>
        </is>
      </c>
      <c r="O80" s="3" t="n"/>
      <c r="P80"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80" s="3" t="n"/>
      <c r="R80" s="3" t="inlineStr">
        <is>
          <t>Tender R5, US-042, US-043, FS F5 v1.2: 5 Part 1, 6</t>
        </is>
      </c>
      <c r="S80" s="3" t="n"/>
      <c r="T80" s="2" t="inlineStr">
        <is>
          <t>Draft</t>
        </is>
      </c>
    </row>
    <row r="81" ht="296" customHeight="1">
      <c r="A81" s="2" t="inlineStr">
        <is>
          <t>TC-080</t>
        </is>
      </c>
      <c r="B81" s="2" t="inlineStr">
        <is>
          <t>TS-016</t>
        </is>
      </c>
      <c r="C81" s="3" t="inlineStr">
        <is>
          <t>NRIC người khai sai cấu trúc bị chặn</t>
        </is>
      </c>
      <c r="D81" s="3" t="inlineStr">
        <is>
          <t>F5.3 Review application, Part 1 Applicant</t>
        </is>
      </c>
      <c r="E81" s="3" t="inlineStr">
        <is>
          <t>Review application, Part 1 Applicant</t>
        </is>
      </c>
      <c r="F81" s="2" t="inlineStr">
        <is>
          <t>S2</t>
        </is>
      </c>
      <c r="G81" s="2" t="inlineStr">
        <is>
          <t>High</t>
        </is>
      </c>
      <c r="H81" s="2" t="inlineStr">
        <is>
          <t>Not Run</t>
        </is>
      </c>
      <c r="I81" s="2" t="inlineStr">
        <is>
          <t>Functional</t>
        </is>
      </c>
      <c r="J81" s="3" t="inlineStr">
        <is>
          <t>Prototype: edusave.vercel.app (ngày mẫu 18/10/2026)
Chrome (latest)
Build: ghi khi chạy
Cần: ENV-R5-01</t>
        </is>
      </c>
      <c r="K81" s="3" t="inlineStr">
        <is>
          <t>1. Prototype ở trạng thái gốc (dùng Reset data).
2. Đã đăng nhập School user BVP-0012 Lan Nguyen, trường Bukit View Primary.
3. Đã bấm Upload scans, thêm scan_bvp_0667.pdf và bấm Upload and read. Màn Review application đang mở.</t>
        </is>
      </c>
      <c r="L81" s="3" t="inlineStr">
        <is>
          <t>A7612345A (chữ cái đầu không phải S, T, F, G)
S76123456 (số ở vị trí chữ cái cuối)
S76A2345A (chữ cái trong phần chữ số)
M1234567K (chữ cái đầu M)</t>
        </is>
      </c>
      <c r="M81" s="3" t="inlineStr">
        <is>
          <t>1. Gõ lần lượt từng giá trị trong Test Data vào ô NRIC người khai.
2. Rời ô NRIC rồi bấm Review and submit.
3. Đọc các ghi chú đỏ và màn hình, xoá ô NRIC trước khi thử giá trị kế tiếp.</t>
        </is>
      </c>
      <c r="N81" s="3" t="inlineStr">
        <is>
          <t>1. Mỗi lần không mở hộp thoại Review before submitting.
2. Hiện "Enter a valid NRIC/FIN." và Part 1 không được tự điền.</t>
        </is>
      </c>
      <c r="O81" s="3" t="n"/>
      <c r="P81"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81" s="3" t="n"/>
      <c r="R81" s="3" t="inlineStr">
        <is>
          <t>Tender R5, US-042, US-043, FS F5 v1.2: 5 Part 1, 6</t>
        </is>
      </c>
      <c r="S81" s="3" t="inlineStr">
        <is>
          <t>Chữ cái đầu M của FIN mới là điểm mở O6.</t>
        </is>
      </c>
      <c r="T81" s="2" t="inlineStr">
        <is>
          <t>Draft</t>
        </is>
      </c>
    </row>
    <row r="82" ht="296" customHeight="1">
      <c r="A82" s="2" t="inlineStr">
        <is>
          <t>TC-081</t>
        </is>
      </c>
      <c r="B82" s="2" t="inlineStr">
        <is>
          <t>TS-016</t>
        </is>
      </c>
      <c r="C82" s="3" t="inlineStr">
        <is>
          <t>NRIC người khai có khoảng trắng ở giữa bị chặn</t>
        </is>
      </c>
      <c r="D82" s="3" t="inlineStr">
        <is>
          <t>F5.3 Review application, Part 1 Applicant</t>
        </is>
      </c>
      <c r="E82" s="3" t="inlineStr">
        <is>
          <t>Review application, Part 1 Applicant</t>
        </is>
      </c>
      <c r="F82" s="2" t="inlineStr">
        <is>
          <t>S2</t>
        </is>
      </c>
      <c r="G82" s="2" t="inlineStr">
        <is>
          <t>High</t>
        </is>
      </c>
      <c r="H82" s="2" t="inlineStr">
        <is>
          <t>Not Run</t>
        </is>
      </c>
      <c r="I82" s="2" t="inlineStr">
        <is>
          <t>Functional</t>
        </is>
      </c>
      <c r="J82" s="3" t="inlineStr">
        <is>
          <t>Prototype: edusave.vercel.app (ngày mẫu 18/10/2026)
Chrome (latest)
Build: ghi khi chạy
Cần: ENV-R5-01</t>
        </is>
      </c>
      <c r="K82" s="3" t="inlineStr">
        <is>
          <t>1. Prototype ở trạng thái gốc (dùng Reset data).
2. Đã đăng nhập School user BVP-0012 Lan Nguyen, trường Bukit View Primary.
3. Đã bấm Upload scans, thêm scan_bvp_0667.pdf và bấm Upload and read. Màn Review application đang mở.</t>
        </is>
      </c>
      <c r="L82" s="3" t="inlineStr">
        <is>
          <t>S761 2345A
S7612 345A</t>
        </is>
      </c>
      <c r="M82" s="3" t="inlineStr">
        <is>
          <t>1. Gõ lần lượt từng giá trị trong Test Data vào ô NRIC người khai.
2. Rời ô NRIC rồi bấm Review and submit.
3. Đọc các ghi chú đỏ và màn hình, xoá ô NRIC trước khi thử giá trị kế tiếp.</t>
        </is>
      </c>
      <c r="N82" s="3" t="inlineStr">
        <is>
          <t>1. Mỗi lần hiện "Enter a valid NRIC/FIN." và hộp thoại Review before submitting không mở.</t>
        </is>
      </c>
      <c r="O82" s="3" t="n"/>
      <c r="P82"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82" s="3" t="n"/>
      <c r="R82" s="3" t="inlineStr">
        <is>
          <t>Tender R5, US-042, US-043, FS F5 v1.2: 5 Part 1, 6</t>
        </is>
      </c>
      <c r="S82" s="3" t="n"/>
      <c r="T82" s="2" t="inlineStr">
        <is>
          <t>Draft</t>
        </is>
      </c>
    </row>
    <row r="83" ht="296" customHeight="1">
      <c r="A83" s="2" t="inlineStr">
        <is>
          <t>TC-082</t>
        </is>
      </c>
      <c r="B83" s="2" t="inlineStr">
        <is>
          <t>TS-016</t>
        </is>
      </c>
      <c r="C83" s="3" t="inlineStr">
        <is>
          <t>NRIC người khai có SQL, script và ký tự đặc biệt bị chặn</t>
        </is>
      </c>
      <c r="D83" s="3" t="inlineStr">
        <is>
          <t>F5.3 Review application, Part 1 Applicant</t>
        </is>
      </c>
      <c r="E83" s="3" t="inlineStr">
        <is>
          <t>Review application, Part 1 Applicant</t>
        </is>
      </c>
      <c r="F83" s="2" t="inlineStr">
        <is>
          <t>S1 (highest)</t>
        </is>
      </c>
      <c r="G83" s="2" t="inlineStr">
        <is>
          <t>High</t>
        </is>
      </c>
      <c r="H83" s="2" t="inlineStr">
        <is>
          <t>Not Run</t>
        </is>
      </c>
      <c r="I83" s="2" t="inlineStr">
        <is>
          <t>Security</t>
        </is>
      </c>
      <c r="J83" s="3" t="inlineStr">
        <is>
          <t>Prototype: edusave.vercel.app (ngày mẫu 18/10/2026)
Chrome (latest)
Build: ghi khi chạy
Cần: ENV-R5-01</t>
        </is>
      </c>
      <c r="K83" s="3" t="inlineStr">
        <is>
          <t>1. Prototype ở trạng thái gốc (dùng Reset data).
2. Đã đăng nhập School user BVP-0012 Lan Nguyen, trường Bukit View Primary.
3. Đã bấm Upload scans, thêm scan_bvp_0667.pdf và bấm Upload and read. Màn Review application đang mở.</t>
        </is>
      </c>
      <c r="L83" s="3" t="inlineStr">
        <is>
          <t>S7612345A' OR '1'='1
&lt;script&gt;alert(1)&lt;/script&gt;
{"a":1}
../../etc/passwd
S7612345A;DROP TABLE x</t>
        </is>
      </c>
      <c r="M83" s="3" t="inlineStr">
        <is>
          <t>1. Gõ lần lượt từng giá trị trong Test Data vào ô NRIC người khai.
2. Rời ô NRIC rồi bấm Review and submit.
3. Đọc các ghi chú đỏ và màn hình, xoá ô NRIC trước khi thử giá trị kế tiếp.</t>
        </is>
      </c>
      <c r="N83" s="3" t="inlineStr">
        <is>
          <t>1. Mỗi lần hiện "Enter a valid NRIC/FIN." và không alert, không lỗi hệ thống.
2. Giá trị hiển thị như văn bản thường và không bao giờ tới câu truy vấn.</t>
        </is>
      </c>
      <c r="O83" s="3" t="n"/>
      <c r="P83"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83" s="3" t="n"/>
      <c r="R83" s="3" t="inlineStr">
        <is>
          <t>Tender R5, US-042, US-043, FS F5 v1.2: 5 Part 1, 6</t>
        </is>
      </c>
      <c r="S83" s="3" t="n"/>
      <c r="T83" s="2" t="inlineStr">
        <is>
          <t>Draft</t>
        </is>
      </c>
    </row>
    <row r="84" ht="107.5" customHeight="1">
      <c r="A84" s="2" t="inlineStr">
        <is>
          <t>TC-083</t>
        </is>
      </c>
      <c r="B84" s="2" t="inlineStr">
        <is>
          <t>TS-016</t>
        </is>
      </c>
      <c r="C84" s="3" t="inlineStr">
        <is>
          <t>Chữ cái kiểm tra cuối sai vẫn được nhận</t>
        </is>
      </c>
      <c r="D84" s="3" t="inlineStr">
        <is>
          <t>F5.3 Review application, Part 1 Applicant</t>
        </is>
      </c>
      <c r="E84" s="3" t="inlineStr">
        <is>
          <t>Review application, Part 1 Applicant</t>
        </is>
      </c>
      <c r="F84" s="2" t="inlineStr">
        <is>
          <t>S3</t>
        </is>
      </c>
      <c r="G84" s="2" t="inlineStr">
        <is>
          <t>Medium</t>
        </is>
      </c>
      <c r="H84" s="2" t="inlineStr">
        <is>
          <t>Not Run</t>
        </is>
      </c>
      <c r="I84" s="2" t="inlineStr">
        <is>
          <t>Functional</t>
        </is>
      </c>
      <c r="J84" s="3" t="inlineStr">
        <is>
          <t>Bản F5 có API (chưa có)
Chrome (latest)
Build: ghi khi chạy
Cần: ENV-R5-02, ENV-R5-03</t>
        </is>
      </c>
      <c r="K84" s="3" t="inlineStr">
        <is>
          <t>1. Bản F5 có API chạy, dữ liệu SEED-R5 đã nạp.
2. Đã đăng nhập School user BVP-0012 Lan Nguyen, trường Bukit View Primary.
3. Màn Review application đang mở.</t>
        </is>
      </c>
      <c r="L84" s="3" t="inlineStr">
        <is>
          <t>NRIC gõ: S7612345Z</t>
        </is>
      </c>
      <c r="M84" s="3" t="inlineStr">
        <is>
          <t>1. Gõ S7612345Z (chữ cái đúng theo thuật toán công khai là D) vào ô NRIC.
2. Rời ô NRIC.</t>
        </is>
      </c>
      <c r="N84" s="3" t="inlineStr">
        <is>
          <t>1. Máy chủ chỉ kiểm cấu trúc nên giá trị được nhận và tra hồ sơ như bình thường (không có thông báo định dạng).</t>
        </is>
      </c>
      <c r="O84" s="3" t="n"/>
      <c r="P84"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t>
        </is>
      </c>
      <c r="Q84" s="3" t="n"/>
      <c r="R84" s="3" t="inlineStr">
        <is>
          <t>Tender R5, US-042, US-043, FS F5 v1.2: 5 Part 1</t>
        </is>
      </c>
      <c r="S84" s="3" t="inlineStr">
        <is>
          <t>Điểm mở O6: ba NRIC mẫu của FS đều không đạt chữ cái kiểm tra.</t>
        </is>
      </c>
      <c r="T84" s="2" t="inlineStr">
        <is>
          <t>Draft</t>
        </is>
      </c>
    </row>
    <row r="85" ht="180" customHeight="1">
      <c r="A85" s="2" t="inlineStr">
        <is>
          <t>TC-084</t>
        </is>
      </c>
      <c r="B85" s="2" t="inlineStr">
        <is>
          <t>TS-017</t>
        </is>
      </c>
      <c r="C85" s="3" t="inlineStr">
        <is>
          <t>Số điện thoại chỉ nhận chữ số</t>
        </is>
      </c>
      <c r="D85" s="3" t="inlineStr">
        <is>
          <t>F5.3 Review application, Part 1 Applicant</t>
        </is>
      </c>
      <c r="E85" s="3" t="inlineStr">
        <is>
          <t>Review application, Part 1 Applicant</t>
        </is>
      </c>
      <c r="F85" s="2" t="inlineStr">
        <is>
          <t>S2</t>
        </is>
      </c>
      <c r="G85" s="2" t="inlineStr">
        <is>
          <t>Medium</t>
        </is>
      </c>
      <c r="H85" s="2" t="inlineStr">
        <is>
          <t>Not Run</t>
        </is>
      </c>
      <c r="I85" s="2" t="inlineStr">
        <is>
          <t>Functional</t>
        </is>
      </c>
      <c r="J85" s="3" t="inlineStr">
        <is>
          <t>Prototype: edusave.vercel.app (ngày mẫu 18/10/2026)
Chrome (latest)
Build: ghi khi chạy
Cần: ENV-R5-01</t>
        </is>
      </c>
      <c r="K8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85" s="3" t="inlineStr">
        <is>
          <t>Gõ: ab12-34 5+6</t>
        </is>
      </c>
      <c r="M85" s="3" t="inlineStr">
        <is>
          <t>1. Xoá ô Phone number rồi gõ "ab12-34 5+6".
2. Đọc giá trị trong ô.</t>
        </is>
      </c>
      <c r="N85" s="3" t="inlineStr">
        <is>
          <t>1. Chỉ còn các chữ số 123456; chữ cái, dấu gạch, khoảng trắng và dấu cộng không vào ô.</t>
        </is>
      </c>
      <c r="O85" s="3" t="n"/>
      <c r="P85"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85" s="3" t="n"/>
      <c r="R85" s="3" t="inlineStr">
        <is>
          <t>Tender R5, US-042, US-043, FS F5 v1.2: 5 Part 1, 6</t>
        </is>
      </c>
      <c r="S85" s="3" t="n"/>
      <c r="T85" s="2" t="inlineStr">
        <is>
          <t>Draft</t>
        </is>
      </c>
    </row>
    <row r="86" ht="180" customHeight="1">
      <c r="A86" s="2" t="inlineStr">
        <is>
          <t>TC-085</t>
        </is>
      </c>
      <c r="B86" s="2" t="inlineStr">
        <is>
          <t>TS-017</t>
        </is>
      </c>
      <c r="C86" s="3" t="inlineStr">
        <is>
          <t>Dán số điện thoại có dấu cộng và khoảng trắng</t>
        </is>
      </c>
      <c r="D86" s="3" t="inlineStr">
        <is>
          <t>F5.3 Review application, Part 1 Applicant</t>
        </is>
      </c>
      <c r="E86" s="3" t="inlineStr">
        <is>
          <t>Review application, Part 1 Applicant</t>
        </is>
      </c>
      <c r="F86" s="2" t="inlineStr">
        <is>
          <t>S2</t>
        </is>
      </c>
      <c r="G86" s="2" t="inlineStr">
        <is>
          <t>Medium</t>
        </is>
      </c>
      <c r="H86" s="2" t="inlineStr">
        <is>
          <t>Not Run</t>
        </is>
      </c>
      <c r="I86" s="2" t="inlineStr">
        <is>
          <t>Functional</t>
        </is>
      </c>
      <c r="J86" s="3" t="inlineStr">
        <is>
          <t>Prototype: edusave.vercel.app (ngày mẫu 18/10/2026)
Chrome (latest)
Build: ghi khi chạy
Cần: ENV-R5-01</t>
        </is>
      </c>
      <c r="K8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86" s="3" t="inlineStr">
        <is>
          <t>Dán: +65 9123 4567</t>
        </is>
      </c>
      <c r="M86" s="3" t="inlineStr">
        <is>
          <t>1. Dán "+65 9123 4567" vào ô Phone number.</t>
        </is>
      </c>
      <c r="N86" s="3" t="inlineStr">
        <is>
          <t>1. Ô hiển thị 6591234567 (10 chữ số).
2. Review and submit không báo lỗi điện thoại.</t>
        </is>
      </c>
      <c r="O86" s="3" t="n"/>
      <c r="P86"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86" s="3" t="n"/>
      <c r="R86" s="3" t="inlineStr">
        <is>
          <t>Tender R5, US-042, US-043, FS F5 v1.2: 5 Part 1, 6</t>
        </is>
      </c>
      <c r="S86" s="3" t="inlineStr">
        <is>
          <t>Điểm mở O5.</t>
        </is>
      </c>
      <c r="T86" s="2" t="inlineStr">
        <is>
          <t>Draft</t>
        </is>
      </c>
    </row>
    <row r="87" ht="180" customHeight="1">
      <c r="A87" s="2" t="inlineStr">
        <is>
          <t>TC-086</t>
        </is>
      </c>
      <c r="B87" s="2" t="inlineStr">
        <is>
          <t>TS-017</t>
        </is>
      </c>
      <c r="C87" s="3" t="inlineStr">
        <is>
          <t>Số điện thoại 10 chữ số được nhận, chữ số thứ 11 không vào ô</t>
        </is>
      </c>
      <c r="D87" s="3" t="inlineStr">
        <is>
          <t>F5.3 Review application, Part 1 Applicant</t>
        </is>
      </c>
      <c r="E87" s="3" t="inlineStr">
        <is>
          <t>Review application, Part 1 Applicant</t>
        </is>
      </c>
      <c r="F87" s="2" t="inlineStr">
        <is>
          <t>S1 (highest)</t>
        </is>
      </c>
      <c r="G87" s="2" t="inlineStr">
        <is>
          <t>High</t>
        </is>
      </c>
      <c r="H87" s="2" t="inlineStr">
        <is>
          <t>Not Run</t>
        </is>
      </c>
      <c r="I87" s="2" t="inlineStr">
        <is>
          <t>Functional</t>
        </is>
      </c>
      <c r="J87" s="3" t="inlineStr">
        <is>
          <t>Prototype: edusave.vercel.app (ngày mẫu 18/10/2026)
Chrome (latest)
Build: ghi khi chạy
Cần: ENV-R5-01</t>
        </is>
      </c>
      <c r="K8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87" s="3" t="inlineStr">
        <is>
          <t>6591234567 rồi gõ 8</t>
        </is>
      </c>
      <c r="M87" s="3" t="inlineStr">
        <is>
          <t>1. Nhập 6591234567.
2. Gõ thêm chữ số 8.
3. Đọc giá trị trong ô và bấm Review and submit.</t>
        </is>
      </c>
      <c r="N87" s="3" t="inlineStr">
        <is>
          <t>1. Ô vẫn là 6591234567, chữ số 8 không vào.
2. Không có ghi chú về điện thoại.</t>
        </is>
      </c>
      <c r="O87" s="3" t="n"/>
      <c r="P87"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87" s="3" t="n"/>
      <c r="R87" s="3" t="inlineStr">
        <is>
          <t>Tender R5, US-042, US-043, FS F5 v1.2: 5 Part 1, 6</t>
        </is>
      </c>
      <c r="S87" s="3" t="n"/>
      <c r="T87" s="2" t="inlineStr">
        <is>
          <t>Draft</t>
        </is>
      </c>
    </row>
    <row r="88" ht="180" customHeight="1">
      <c r="A88" s="2" t="inlineStr">
        <is>
          <t>TC-087</t>
        </is>
      </c>
      <c r="B88" s="2" t="inlineStr">
        <is>
          <t>TS-017</t>
        </is>
      </c>
      <c r="C88" s="3" t="inlineStr">
        <is>
          <t>Dán 11 chữ số bị cắt hoặc bị chặn</t>
        </is>
      </c>
      <c r="D88" s="3" t="inlineStr">
        <is>
          <t>F5.3 Review application, Part 1 Applicant</t>
        </is>
      </c>
      <c r="E88" s="3" t="inlineStr">
        <is>
          <t>Review application, Part 1 Applicant</t>
        </is>
      </c>
      <c r="F88" s="2" t="inlineStr">
        <is>
          <t>S1 (highest)</t>
        </is>
      </c>
      <c r="G88" s="2" t="inlineStr">
        <is>
          <t>High</t>
        </is>
      </c>
      <c r="H88" s="2" t="inlineStr">
        <is>
          <t>Not Run</t>
        </is>
      </c>
      <c r="I88" s="2" t="inlineStr">
        <is>
          <t>Functional</t>
        </is>
      </c>
      <c r="J88" s="3" t="inlineStr">
        <is>
          <t>Prototype: edusave.vercel.app (ngày mẫu 18/10/2026)
Chrome (latest)
Build: ghi khi chạy
Cần: ENV-R5-01</t>
        </is>
      </c>
      <c r="K8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88" s="3" t="inlineStr">
        <is>
          <t>Dán: 65912345678</t>
        </is>
      </c>
      <c r="M88" s="3" t="inlineStr">
        <is>
          <t>1. Dán 65912345678 vào ô Phone number.
2. Bấm Review and submit.</t>
        </is>
      </c>
      <c r="N88" s="3" t="inlineStr">
        <is>
          <t>1. Ô không giữ 11 chữ số: hoặc bị cắt còn 10 chữ số, hoặc hiện "Complete: Phone number (up to 10 digits)." và hộp thoại không mở.</t>
        </is>
      </c>
      <c r="O88" s="3" t="n"/>
      <c r="P88"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88" s="3" t="n"/>
      <c r="R88" s="3" t="inlineStr">
        <is>
          <t>Tender R5, US-042, US-043, FS F5 v1.2: 5 Part 1, 6</t>
        </is>
      </c>
      <c r="S88" s="3" t="n"/>
      <c r="T88" s="2" t="inlineStr">
        <is>
          <t>Draft</t>
        </is>
      </c>
    </row>
    <row r="89" ht="180" customHeight="1">
      <c r="A89" s="2" t="inlineStr">
        <is>
          <t>TC-088</t>
        </is>
      </c>
      <c r="B89" s="2" t="inlineStr">
        <is>
          <t>TS-017</t>
        </is>
      </c>
      <c r="C89" s="3" t="inlineStr">
        <is>
          <t>Số điện thoại 8 chữ số được nhận, 7 chữ số bị chặn</t>
        </is>
      </c>
      <c r="D89" s="3" t="inlineStr">
        <is>
          <t>F5.3 Review application, Part 1 Applicant</t>
        </is>
      </c>
      <c r="E89" s="3" t="inlineStr">
        <is>
          <t>Review application, Part 1 Applicant</t>
        </is>
      </c>
      <c r="F89" s="2" t="inlineStr">
        <is>
          <t>S2</t>
        </is>
      </c>
      <c r="G89" s="2" t="inlineStr">
        <is>
          <t>Medium</t>
        </is>
      </c>
      <c r="H89" s="2" t="inlineStr">
        <is>
          <t>Not Run</t>
        </is>
      </c>
      <c r="I89" s="2" t="inlineStr">
        <is>
          <t>Functional</t>
        </is>
      </c>
      <c r="J89" s="3" t="inlineStr">
        <is>
          <t>Prototype: edusave.vercel.app (ngày mẫu 18/10/2026)
Chrome (latest)
Build: ghi khi chạy
Cần: ENV-R5-01</t>
        </is>
      </c>
      <c r="K8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89" s="3" t="inlineStr">
        <is>
          <t>91234567 và 9123456</t>
        </is>
      </c>
      <c r="M89" s="3" t="inlineStr">
        <is>
          <t>1. Nhập 91234567 và bấm Review and submit.
2. Nhập 9123456 và bấm Review and submit.</t>
        </is>
      </c>
      <c r="N89" s="3" t="inlineStr">
        <is>
          <t>1. 8 chữ số: không có ghi chú về điện thoại.
2. 7 chữ số: hiện "Complete: Phone number (up to 10 digits)."</t>
        </is>
      </c>
      <c r="O89" s="3" t="n"/>
      <c r="P89"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89" s="3" t="n"/>
      <c r="R89" s="3" t="inlineStr">
        <is>
          <t>Tender R5, US-042, US-043, FS F5 v1.2: 5 Part 1, 6</t>
        </is>
      </c>
      <c r="S89" s="3" t="inlineStr">
        <is>
          <t>Số chữ số tối thiểu là đề xuất QA, điểm mở O5.</t>
        </is>
      </c>
      <c r="T89" s="2" t="inlineStr">
        <is>
          <t>Draft</t>
        </is>
      </c>
    </row>
    <row r="90" ht="194.5" customHeight="1">
      <c r="A90" s="2" t="inlineStr">
        <is>
          <t>TC-089</t>
        </is>
      </c>
      <c r="B90" s="2" t="inlineStr">
        <is>
          <t>TS-017</t>
        </is>
      </c>
      <c r="C90" s="3" t="inlineStr">
        <is>
          <t>Số điện thoại để trống bị chặn</t>
        </is>
      </c>
      <c r="D90" s="3" t="inlineStr">
        <is>
          <t>F5.3 Review application, Part 1 Applicant</t>
        </is>
      </c>
      <c r="E90" s="3" t="inlineStr">
        <is>
          <t>Review application, Part 1 Applicant</t>
        </is>
      </c>
      <c r="F90" s="2" t="inlineStr">
        <is>
          <t>S1 (highest)</t>
        </is>
      </c>
      <c r="G90" s="2" t="inlineStr">
        <is>
          <t>High</t>
        </is>
      </c>
      <c r="H90" s="2" t="inlineStr">
        <is>
          <t>Not Run</t>
        </is>
      </c>
      <c r="I90" s="2" t="inlineStr">
        <is>
          <t>Functional</t>
        </is>
      </c>
      <c r="J90" s="3" t="inlineStr">
        <is>
          <t>Prototype: edusave.vercel.app (ngày mẫu 18/10/2026)
Chrome (latest)
Build: ghi khi chạy
Cần: ENV-R5-01</t>
        </is>
      </c>
      <c r="K9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90" s="3" t="inlineStr">
        <is>
          <t>Phone number để trống</t>
        </is>
      </c>
      <c r="M90" s="3" t="inlineStr">
        <is>
          <t>1. Xoá ô Phone number.
2. Bấm Review and submit.</t>
        </is>
      </c>
      <c r="N90" s="3" t="inlineStr">
        <is>
          <t>1. Hiện "Complete: Phone number (up to 10 digits)."
2. Hộp thoại Review before submitting không mở.</t>
        </is>
      </c>
      <c r="O90" s="3" t="n"/>
      <c r="P90"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90" s="3" t="n"/>
      <c r="R90" s="3" t="inlineStr">
        <is>
          <t>Tender R5, US-042, US-043, FS F5 v1.2: 5 Part 1, 6</t>
        </is>
      </c>
      <c r="S90" s="3" t="n"/>
      <c r="T90" s="2" t="inlineStr">
        <is>
          <t>Draft</t>
        </is>
      </c>
    </row>
    <row r="91" ht="180" customHeight="1">
      <c r="A91" s="2" t="inlineStr">
        <is>
          <t>TC-090</t>
        </is>
      </c>
      <c r="B91" s="2" t="inlineStr">
        <is>
          <t>TS-017</t>
        </is>
      </c>
      <c r="C91" s="3" t="inlineStr">
        <is>
          <t>Số điện thoại chứa SQL và script chỉ giữ chữ số</t>
        </is>
      </c>
      <c r="D91" s="3" t="inlineStr">
        <is>
          <t>F5.3 Review application, Part 1 Applicant</t>
        </is>
      </c>
      <c r="E91" s="3" t="inlineStr">
        <is>
          <t>Review application, Part 1 Applicant</t>
        </is>
      </c>
      <c r="F91" s="2" t="inlineStr">
        <is>
          <t>S1 (highest)</t>
        </is>
      </c>
      <c r="G91" s="2" t="inlineStr">
        <is>
          <t>High</t>
        </is>
      </c>
      <c r="H91" s="2" t="inlineStr">
        <is>
          <t>Not Run</t>
        </is>
      </c>
      <c r="I91" s="2" t="inlineStr">
        <is>
          <t>Security</t>
        </is>
      </c>
      <c r="J91" s="3" t="inlineStr">
        <is>
          <t>Prototype: edusave.vercel.app (ngày mẫu 18/10/2026)
Chrome (latest)
Build: ghi khi chạy
Cần: ENV-R5-01</t>
        </is>
      </c>
      <c r="K9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Phone number sửa được (ô đang tô vàng).</t>
        </is>
      </c>
      <c r="L91" s="3" t="inlineStr">
        <is>
          <t>Dán hai chuỗi SQL và script</t>
        </is>
      </c>
      <c r="M91" s="3" t="inlineStr">
        <is>
          <t>1. Dán "9123' OR 1=1--" vào ô.
2. Dán "&lt;script&gt;alert(1)&lt;/script&gt;".</t>
        </is>
      </c>
      <c r="N91" s="3" t="inlineStr">
        <is>
          <t>1. Chỉ còn các chữ số (9123 và 1 1 cho lần đầu), không alert, không lỗi hệ thống.
2. Không có chữ cái hay ký tự đặc biệt nào được lưu.</t>
        </is>
      </c>
      <c r="O91" s="3" t="n"/>
      <c r="P91"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ASM-R5-05: Ô nhận chữ số 0 đến 9. Dấu cộng, khoảng trắng và chữ cái bị loại bỏ khi gõ hoặc dán. Số chữ số hợp lệ từ 8 đến 10 và mã nước 65 tính vào 10 chữ số. Số sai hiện Complete: Phone number (up to 10 digits).</t>
        </is>
      </c>
      <c r="Q91" s="3" t="n"/>
      <c r="R91" s="3" t="inlineStr">
        <is>
          <t>Tender R5, US-042, US-043, FS F5 v1.2: 5 Part 1, 6</t>
        </is>
      </c>
      <c r="S91" s="3" t="n"/>
      <c r="T91" s="2" t="inlineStr">
        <is>
          <t>Draft</t>
        </is>
      </c>
    </row>
    <row r="92" ht="209" customHeight="1">
      <c r="A92" s="2" t="inlineStr">
        <is>
          <t>TC-091</t>
        </is>
      </c>
      <c r="B92" s="2" t="inlineStr">
        <is>
          <t>TS-018</t>
        </is>
      </c>
      <c r="C92" s="3" t="inlineStr">
        <is>
          <t>Email đúng cấu trúc được nhận</t>
        </is>
      </c>
      <c r="D92" s="3" t="inlineStr">
        <is>
          <t>F5.3 Review application, Part 1 Applicant</t>
        </is>
      </c>
      <c r="E92" s="3" t="inlineStr">
        <is>
          <t>Review application, Part 1 Applicant</t>
        </is>
      </c>
      <c r="F92" s="2" t="inlineStr">
        <is>
          <t>S3</t>
        </is>
      </c>
      <c r="G92" s="2" t="inlineStr">
        <is>
          <t>Medium</t>
        </is>
      </c>
      <c r="H92" s="2" t="inlineStr">
        <is>
          <t>Not Run</t>
        </is>
      </c>
      <c r="I92" s="2" t="inlineStr">
        <is>
          <t>Functional</t>
        </is>
      </c>
      <c r="J92" s="3" t="inlineStr">
        <is>
          <t>Prototype: edusave.vercel.app (ngày mẫu 18/10/2026)
Chrome (latest)
Build: ghi khi chạy
Cần: ENV-R5-01</t>
        </is>
      </c>
      <c r="K9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Email sửa được (ô đang tô vàng).</t>
        </is>
      </c>
      <c r="L92" s="3" t="inlineStr">
        <is>
          <t>wm.tan@example.com
a.b+c@mail.example.sg
TAN@EXAMPLE.COM</t>
        </is>
      </c>
      <c r="M92" s="3" t="inlineStr">
        <is>
          <t>1. Nhập lần lượt từng giá trị trong Test Data vào ô Email.
2. Bấm Review and submit và đọc ghi chú, xoá ô Email trước giá trị kế tiếp.</t>
        </is>
      </c>
      <c r="N92" s="3" t="inlineStr">
        <is>
          <t>1. Không có ghi chú về email với cả ba giá trị.
2. Email chữ hoa được giữ và so sánh không phân biệt hoa thường.</t>
        </is>
      </c>
      <c r="O92" s="3" t="n"/>
      <c r="P92"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92" s="3" t="n"/>
      <c r="R92" s="3" t="inlineStr">
        <is>
          <t>Tender R5, US-042, US-043, FS F5 v1.2: 5 Part 1, 6</t>
        </is>
      </c>
      <c r="S92" s="3" t="n"/>
      <c r="T92" s="2" t="inlineStr">
        <is>
          <t>Draft</t>
        </is>
      </c>
    </row>
    <row r="93" ht="296" customHeight="1">
      <c r="A93" s="2" t="inlineStr">
        <is>
          <t>TC-092</t>
        </is>
      </c>
      <c r="B93" s="2" t="inlineStr">
        <is>
          <t>TS-018</t>
        </is>
      </c>
      <c r="C93" s="3" t="inlineStr">
        <is>
          <t>Email sai cấu trúc bị chặn</t>
        </is>
      </c>
      <c r="D93" s="3" t="inlineStr">
        <is>
          <t>F5.3 Review application, Part 1 Applicant</t>
        </is>
      </c>
      <c r="E93" s="3" t="inlineStr">
        <is>
          <t>Review application, Part 1 Applicant</t>
        </is>
      </c>
      <c r="F93" s="2" t="inlineStr">
        <is>
          <t>S3</t>
        </is>
      </c>
      <c r="G93" s="2" t="inlineStr">
        <is>
          <t>Medium</t>
        </is>
      </c>
      <c r="H93" s="2" t="inlineStr">
        <is>
          <t>Not Run</t>
        </is>
      </c>
      <c r="I93" s="2" t="inlineStr">
        <is>
          <t>Functional</t>
        </is>
      </c>
      <c r="J93" s="3" t="inlineStr">
        <is>
          <t>Prototype: edusave.vercel.app (ngày mẫu 18/10/2026)
Chrome (latest)
Build: ghi khi chạy
Cần: ENV-R5-01</t>
        </is>
      </c>
      <c r="K9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Email sửa được (ô đang tô vàng).</t>
        </is>
      </c>
      <c r="L93" s="3" t="inlineStr">
        <is>
          <t>wm.tan@
@example.com
wm tan@example.com
wm.tan@@example.com
wm.tan@example
.wm@example.com
wm..tan@example.com</t>
        </is>
      </c>
      <c r="M93" s="3" t="inlineStr">
        <is>
          <t>1. Nhập lần lượt từng giá trị trong Test Data vào ô Email.
2. Bấm Review and submit và đọc ghi chú, xoá ô Email trước giá trị kế tiếp.</t>
        </is>
      </c>
      <c r="N93" s="3" t="inlineStr">
        <is>
          <t>1. Mỗi lần hiện "Enter a valid email address." và hộp thoại Review before submitting không mở.</t>
        </is>
      </c>
      <c r="O93" s="3" t="n"/>
      <c r="P93"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93" s="3" t="n"/>
      <c r="R93" s="3" t="inlineStr">
        <is>
          <t>Tender R5, US-042, US-043, FS F5 v1.2: 5 Part 1, 6</t>
        </is>
      </c>
      <c r="S93" s="3" t="n"/>
      <c r="T93" s="2" t="inlineStr">
        <is>
          <t>Draft</t>
        </is>
      </c>
    </row>
    <row r="94" ht="151" customHeight="1">
      <c r="A94" s="2" t="inlineStr">
        <is>
          <t>TC-093</t>
        </is>
      </c>
      <c r="B94" s="2" t="inlineStr">
        <is>
          <t>TS-018</t>
        </is>
      </c>
      <c r="C94" s="3" t="inlineStr">
        <is>
          <t>Email để trống bị chặn</t>
        </is>
      </c>
      <c r="D94" s="3" t="inlineStr">
        <is>
          <t>F5.3 Review application, Part 1 Applicant</t>
        </is>
      </c>
      <c r="E94" s="3" t="inlineStr">
        <is>
          <t>Review application, Part 1 Applicant</t>
        </is>
      </c>
      <c r="F94" s="2" t="inlineStr">
        <is>
          <t>S1 (highest)</t>
        </is>
      </c>
      <c r="G94" s="2" t="inlineStr">
        <is>
          <t>High</t>
        </is>
      </c>
      <c r="H94" s="2" t="inlineStr">
        <is>
          <t>Not Run</t>
        </is>
      </c>
      <c r="I94" s="2" t="inlineStr">
        <is>
          <t>Functional</t>
        </is>
      </c>
      <c r="J94" s="3" t="inlineStr">
        <is>
          <t>Prototype: edusave.vercel.app (ngày mẫu 18/10/2026)
Chrome (latest)
Build: ghi khi chạy
Cần: ENV-R5-01</t>
        </is>
      </c>
      <c r="K9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Email sửa được (ô đang tô vàng).</t>
        </is>
      </c>
      <c r="L94" s="3" t="inlineStr">
        <is>
          <t>(để trống)</t>
        </is>
      </c>
      <c r="M94" s="3" t="inlineStr">
        <is>
          <t>1. Nhập lần lượt từng giá trị trong Test Data vào ô Email.
2. Bấm Review and submit và đọc ghi chú, xoá ô Email trước giá trị kế tiếp.</t>
        </is>
      </c>
      <c r="N94" s="3" t="inlineStr">
        <is>
          <t>1. Hiện "Complete: Email." và hộp thoại không mở.</t>
        </is>
      </c>
      <c r="O94" s="3" t="n"/>
      <c r="P94"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94" s="3" t="n"/>
      <c r="R94" s="3" t="inlineStr">
        <is>
          <t>Tender R5, US-042, US-043, FS F5 v1.2: 5 Part 1, 6</t>
        </is>
      </c>
      <c r="S94" s="3" t="n"/>
      <c r="T94" s="2" t="inlineStr">
        <is>
          <t>Draft</t>
        </is>
      </c>
    </row>
    <row r="95" ht="397.5" customHeight="1">
      <c r="A95" s="2" t="inlineStr">
        <is>
          <t>TC-094</t>
        </is>
      </c>
      <c r="B95" s="2" t="inlineStr">
        <is>
          <t>TS-018</t>
        </is>
      </c>
      <c r="C95" s="3" t="inlineStr">
        <is>
          <t>Giới hạn độ dài email</t>
        </is>
      </c>
      <c r="D95" s="3" t="inlineStr">
        <is>
          <t>F5.3 Review application, Part 1 Applicant</t>
        </is>
      </c>
      <c r="E95" s="3" t="inlineStr">
        <is>
          <t>Review application, Part 1 Applicant</t>
        </is>
      </c>
      <c r="F95" s="2" t="inlineStr">
        <is>
          <t>S3</t>
        </is>
      </c>
      <c r="G95" s="2" t="inlineStr">
        <is>
          <t>Medium</t>
        </is>
      </c>
      <c r="H95" s="2" t="inlineStr">
        <is>
          <t>Not Run</t>
        </is>
      </c>
      <c r="I95" s="2" t="inlineStr">
        <is>
          <t>Functional</t>
        </is>
      </c>
      <c r="J95" s="3" t="inlineStr">
        <is>
          <t>Prototype: edusave.vercel.app (ngày mẫu 18/10/2026)
Chrome (latest)
Build: ghi khi chạy
Cần: ENV-R5-01</t>
        </is>
      </c>
      <c r="K9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Email sửa được (ô đang tô vàng).</t>
        </is>
      </c>
      <c r="L95" s="3" t="inlineStr">
        <is>
          <t>64 ký tự trước @ cộng @example.com
65 ký tự trước @
Tổng 254 ký tự
Tổng 255 ký tự</t>
        </is>
      </c>
      <c r="M95" s="3" t="inlineStr">
        <is>
          <t>1. Nhập lần lượt từng giá trị trong Test Data vào ô Email.
2. Bấm Review and submit và đọc ghi chú, xoá ô Email trước giá trị kế tiếp.</t>
        </is>
      </c>
      <c r="N95" s="3" t="inlineStr">
        <is>
          <t>1. 64 ký tự trước @ và tổng 254: được nhận.
2. 65 ký tự trước @ và tổng 255: hiện "Enter a valid email address."</t>
        </is>
      </c>
      <c r="O95" s="3" t="n"/>
      <c r="P95"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95" s="3" t="n"/>
      <c r="R95" s="3" t="inlineStr">
        <is>
          <t>Tender R5, US-042, US-043, FS F5 v1.2: 5 Part 1, 6</t>
        </is>
      </c>
      <c r="S95" s="3" t="n"/>
      <c r="T95" s="2" t="inlineStr">
        <is>
          <t>Draft</t>
        </is>
      </c>
    </row>
    <row r="96" ht="296" customHeight="1">
      <c r="A96" s="2" t="inlineStr">
        <is>
          <t>TC-095</t>
        </is>
      </c>
      <c r="B96" s="2" t="inlineStr">
        <is>
          <t>TS-018</t>
        </is>
      </c>
      <c r="C96" s="3" t="inlineStr">
        <is>
          <t>Email có xuống dòng bị chặn, chống chèn tiêu đề thư</t>
        </is>
      </c>
      <c r="D96" s="3" t="inlineStr">
        <is>
          <t>F5.3 Review application, Part 1 Applicant</t>
        </is>
      </c>
      <c r="E96" s="3" t="inlineStr">
        <is>
          <t>Review application, Part 1 Applicant</t>
        </is>
      </c>
      <c r="F96" s="2" t="inlineStr">
        <is>
          <t>S1 (highest)</t>
        </is>
      </c>
      <c r="G96" s="2" t="inlineStr">
        <is>
          <t>High</t>
        </is>
      </c>
      <c r="H96" s="2" t="inlineStr">
        <is>
          <t>Not Run</t>
        </is>
      </c>
      <c r="I96" s="2" t="inlineStr">
        <is>
          <t>Security</t>
        </is>
      </c>
      <c r="J96" s="3" t="inlineStr">
        <is>
          <t>Prototype: edusave.vercel.app (ngày mẫu 18/10/2026)
Chrome (latest)
Build: ghi khi chạy
Cần: ENV-R5-01</t>
        </is>
      </c>
      <c r="K9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Email sửa được (ô đang tô vàng).</t>
        </is>
      </c>
      <c r="L96" s="3" t="inlineStr">
        <is>
          <t>wm.tan@example.com%0ABcc: x@y.com (xuống dòng thật trong giá trị)
'&gt;&lt;script&gt;@x.com</t>
        </is>
      </c>
      <c r="M96" s="3" t="inlineStr">
        <is>
          <t>1. Nhập lần lượt từng giá trị trong Test Data vào ô Email.
2. Bấm Review and submit và đọc ghi chú, xoá ô Email trước giá trị kế tiếp.</t>
        </is>
      </c>
      <c r="N96" s="3" t="inlineStr">
        <is>
          <t>1. Hiện "Enter a valid email address."
2. Không alert, không chèn thêm người nhận.</t>
        </is>
      </c>
      <c r="O96" s="3" t="n"/>
      <c r="P96"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96" s="3" t="n"/>
      <c r="R96" s="3" t="inlineStr">
        <is>
          <t>Tender R5, US-042, US-043, FS F5 v1.2: 5 Part 1, 6</t>
        </is>
      </c>
      <c r="S96" s="3" t="n"/>
      <c r="T96" s="2" t="inlineStr">
        <is>
          <t>Draft</t>
        </is>
      </c>
    </row>
    <row r="97" ht="151" customHeight="1">
      <c r="A97" s="2" t="inlineStr">
        <is>
          <t>TC-096</t>
        </is>
      </c>
      <c r="B97" s="2" t="inlineStr">
        <is>
          <t>TS-019</t>
        </is>
      </c>
      <c r="C97" s="3" t="inlineStr">
        <is>
          <t>Address để trống bị chặn</t>
        </is>
      </c>
      <c r="D97" s="3" t="inlineStr">
        <is>
          <t>F5.3 Review application, Part 1 Applicant</t>
        </is>
      </c>
      <c r="E97" s="3" t="inlineStr">
        <is>
          <t>Review application, Part 1 Applicant</t>
        </is>
      </c>
      <c r="F97" s="2" t="inlineStr">
        <is>
          <t>S1 (highest)</t>
        </is>
      </c>
      <c r="G97" s="2" t="inlineStr">
        <is>
          <t>High</t>
        </is>
      </c>
      <c r="H97" s="2" t="inlineStr">
        <is>
          <t>Not Run</t>
        </is>
      </c>
      <c r="I97" s="2" t="inlineStr">
        <is>
          <t>Functional</t>
        </is>
      </c>
      <c r="J97" s="3" t="inlineStr">
        <is>
          <t>Prototype: edusave.vercel.app (ngày mẫu 18/10/2026)
Chrome (latest)
Build: ghi khi chạy
Cần: ENV-R5-01</t>
        </is>
      </c>
      <c r="K9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Address sửa được (ô đang tô vàng).</t>
        </is>
      </c>
      <c r="L97" s="3" t="inlineStr">
        <is>
          <t>Address để trống</t>
        </is>
      </c>
      <c r="M97" s="3" t="inlineStr">
        <is>
          <t>1. Xoá ô Address.
2. Bấm Review and submit.</t>
        </is>
      </c>
      <c r="N97" s="3" t="inlineStr">
        <is>
          <t>1. Hiện "Complete: Address."
2. Hộp thoại không mở.</t>
        </is>
      </c>
      <c r="O97" s="3" t="n"/>
      <c r="P97"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97" s="3" t="n"/>
      <c r="R97" s="3" t="inlineStr">
        <is>
          <t>Tender R5, US-042, US-043, FS F5 v1.2: 5 Part 1, 6</t>
        </is>
      </c>
      <c r="S97" s="3" t="n"/>
      <c r="T97" s="2" t="inlineStr">
        <is>
          <t>Draft</t>
        </is>
      </c>
    </row>
    <row r="98" ht="397.5" customHeight="1">
      <c r="A98" s="2" t="inlineStr">
        <is>
          <t>TC-097</t>
        </is>
      </c>
      <c r="B98" s="2" t="inlineStr">
        <is>
          <t>TS-019</t>
        </is>
      </c>
      <c r="C98" s="3" t="inlineStr">
        <is>
          <t>Address 255 ký tự được nhận, 256 ký tự bị chặn</t>
        </is>
      </c>
      <c r="D98" s="3" t="inlineStr">
        <is>
          <t>F5.3 Review application, Part 1 Applicant</t>
        </is>
      </c>
      <c r="E98" s="3" t="inlineStr">
        <is>
          <t>Review application, Part 1 Applicant</t>
        </is>
      </c>
      <c r="F98" s="2" t="inlineStr">
        <is>
          <t>S3</t>
        </is>
      </c>
      <c r="G98" s="2" t="inlineStr">
        <is>
          <t>Medium</t>
        </is>
      </c>
      <c r="H98" s="2" t="inlineStr">
        <is>
          <t>Not Run</t>
        </is>
      </c>
      <c r="I98" s="2" t="inlineStr">
        <is>
          <t>Functional</t>
        </is>
      </c>
      <c r="J98" s="3" t="inlineStr">
        <is>
          <t>Prototype: edusave.vercel.app (ngày mẫu 18/10/2026)
Chrome (latest)
Build: ghi khi chạy
Cần: ENV-R5-01</t>
        </is>
      </c>
      <c r="K9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Address sửa được (ô đang tô vàng).</t>
        </is>
      </c>
      <c r="L98" s="3" t="inlineStr">
        <is>
          <t>Chuỗi 255 ký tự
Chuỗi 256 ký tự</t>
        </is>
      </c>
      <c r="M98" s="3" t="inlineStr">
        <is>
          <t>1. Dán chuỗi 255 ký tự rồi bấm Review and submit.
2. Dán chuỗi 256 ký tự rồi bấm Review and submit.</t>
        </is>
      </c>
      <c r="N98" s="3" t="inlineStr">
        <is>
          <t>1. 255 ký tự: không có ghi chú về địa chỉ.
2. 256 ký tự: hiện "Address must be 255 characters or fewer."</t>
        </is>
      </c>
      <c r="O98" s="3" t="n"/>
      <c r="P98"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98" s="3" t="n"/>
      <c r="R98" s="3" t="inlineStr">
        <is>
          <t>Tender R5, US-042, US-043, FS F5 v1.2: 5 Part 1, 6</t>
        </is>
      </c>
      <c r="S98" s="3" t="n"/>
      <c r="T98" s="2" t="inlineStr">
        <is>
          <t>Draft</t>
        </is>
      </c>
    </row>
    <row r="99" ht="223.5" customHeight="1">
      <c r="A99" s="2" t="inlineStr">
        <is>
          <t>TC-098</t>
        </is>
      </c>
      <c r="B99" s="2" t="inlineStr">
        <is>
          <t>TS-019</t>
        </is>
      </c>
      <c r="C99" s="3" t="inlineStr">
        <is>
          <t>Address có ký tự đặc biệt, SQL và script lưu như văn bản</t>
        </is>
      </c>
      <c r="D99" s="3" t="inlineStr">
        <is>
          <t>F5.3 Review application, Part 1 Applicant</t>
        </is>
      </c>
      <c r="E99" s="3" t="inlineStr">
        <is>
          <t>Review application, Part 1 Applicant</t>
        </is>
      </c>
      <c r="F99" s="2" t="inlineStr">
        <is>
          <t>S1 (highest)</t>
        </is>
      </c>
      <c r="G99" s="2" t="inlineStr">
        <is>
          <t>High</t>
        </is>
      </c>
      <c r="H99" s="2" t="inlineStr">
        <is>
          <t>Not Run</t>
        </is>
      </c>
      <c r="I99" s="2" t="inlineStr">
        <is>
          <t>Security</t>
        </is>
      </c>
      <c r="J99" s="3" t="inlineStr">
        <is>
          <t>Prototype: edusave.vercel.app (ngày mẫu 18/10/2026)
Chrome (latest)
Build: ghi khi chạy
Cần: ENV-R5-01</t>
        </is>
      </c>
      <c r="K9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Ô Address sửa được (ô đang tô vàng).</t>
        </is>
      </c>
      <c r="L99" s="3" t="inlineStr">
        <is>
          <t>Blk 123 Bukit Batok St 21, #05-12, Singapore 650123
O'Brien &amp; Sons "Unit" &lt;b&gt;5&lt;/b&gt;
' OR '1'='1
&lt;script&gt;alert(1)&lt;/script&gt;</t>
        </is>
      </c>
      <c r="M99" s="3" t="inlineStr">
        <is>
          <t>1. Nhập lần lượt từng giá trị và bấm Review and submit.
2. Mở hộp thoại Review before submitting (nếu mở được) và danh sách.</t>
        </is>
      </c>
      <c r="N99" s="3" t="inlineStr">
        <is>
          <t>1. Giá trị được lưu đúng như đã nhập.
2. Hiển thị như văn bản thường ở mọi nơi, không alert, không dựng HTML.</t>
        </is>
      </c>
      <c r="O99" s="3" t="n"/>
      <c r="P99"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99" s="3" t="n"/>
      <c r="R99" s="3" t="inlineStr">
        <is>
          <t>Tender R5, US-042, US-043, FS F5 v1.2: 5 Part 1, 6</t>
        </is>
      </c>
      <c r="S99" s="3" t="n"/>
      <c r="T99" s="2" t="inlineStr">
        <is>
          <t>Draft</t>
        </is>
      </c>
    </row>
    <row r="100" ht="136.5" customHeight="1">
      <c r="A100" s="2" t="inlineStr">
        <is>
          <t>TC-099</t>
        </is>
      </c>
      <c r="B100" s="2" t="inlineStr">
        <is>
          <t>TS-020</t>
        </is>
      </c>
      <c r="C100" s="3" t="inlineStr">
        <is>
          <t>Relationship to child có đủ mười giá trị theo FS</t>
        </is>
      </c>
      <c r="D100" s="3" t="inlineStr">
        <is>
          <t>F5.3 Review application, Part 1 Applicant</t>
        </is>
      </c>
      <c r="E100" s="3" t="inlineStr">
        <is>
          <t>Review application, Part 1 Applicant</t>
        </is>
      </c>
      <c r="F100" s="2" t="inlineStr">
        <is>
          <t>S2</t>
        </is>
      </c>
      <c r="G100" s="2" t="inlineStr">
        <is>
          <t>Medium</t>
        </is>
      </c>
      <c r="H100" s="2" t="inlineStr">
        <is>
          <t>Not Run</t>
        </is>
      </c>
      <c r="I100" s="2" t="inlineStr">
        <is>
          <t>Functional</t>
        </is>
      </c>
      <c r="J100" s="3" t="inlineStr">
        <is>
          <t>Prototype: edusave.vercel.app (ngày mẫu 18/10/2026)
Chrome (latest)
Build: ghi khi chạy
Cần: ENV-R5-01</t>
        </is>
      </c>
      <c r="K10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0" s="3" t="inlineStr">
        <is>
          <t>Người khai: Tan Wei Ming S7612345A</t>
        </is>
      </c>
      <c r="M100" s="3" t="inlineStr">
        <is>
          <t>1. Mở danh sách Relationship to child và đọc các giá trị.
2. Chọn lần lượt từng giá trị.</t>
        </is>
      </c>
      <c r="N100" s="3" t="inlineStr">
        <is>
          <t>1. Mười giá trị: Father, Mother, Legal guardian, Grandfather, Grandmother, Sibling, Uncle, Aunt, Cousin, Other.
2. Mỗi giá trị chọn được và hiển thị đúng trong hộp thoại Review before submitting.</t>
        </is>
      </c>
      <c r="O100" s="3" t="n"/>
      <c r="P100" s="3" t="inlineStr">
        <is>
          <t>N/A</t>
        </is>
      </c>
      <c r="Q100" s="3" t="n"/>
      <c r="R100" s="3" t="inlineStr">
        <is>
          <t>Tender R5, US-042, US-043, FS F5 v1.2: 5 Part 1</t>
        </is>
      </c>
      <c r="S100" s="3" t="n"/>
      <c r="T100" s="2" t="inlineStr">
        <is>
          <t>Approve</t>
        </is>
      </c>
    </row>
    <row r="101" ht="136.5" customHeight="1">
      <c r="A101" s="2" t="inlineStr">
        <is>
          <t>TC-100</t>
        </is>
      </c>
      <c r="B101" s="2" t="inlineStr">
        <is>
          <t>TS-020</t>
        </is>
      </c>
      <c r="C101" s="3" t="inlineStr">
        <is>
          <t>School-based FAS mặc định chọn Yes và đổi được sang No</t>
        </is>
      </c>
      <c r="D101" s="3" t="inlineStr">
        <is>
          <t>F5.3 Review application, Part 1 Applicant</t>
        </is>
      </c>
      <c r="E101" s="3" t="inlineStr">
        <is>
          <t>Review application, Part 1 Applicant</t>
        </is>
      </c>
      <c r="F101" s="2" t="inlineStr">
        <is>
          <t>S2</t>
        </is>
      </c>
      <c r="G101" s="2" t="inlineStr">
        <is>
          <t>High</t>
        </is>
      </c>
      <c r="H101" s="2" t="inlineStr">
        <is>
          <t>Not Run</t>
        </is>
      </c>
      <c r="I101" s="2" t="inlineStr">
        <is>
          <t>Functional</t>
        </is>
      </c>
      <c r="J101" s="3" t="inlineStr">
        <is>
          <t>Prototype: edusave.vercel.app (ngày mẫu 18/10/2026)
Chrome (latest)
Build: ghi khi chạy
Cần: ENV-R5-01</t>
        </is>
      </c>
      <c r="K10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1" s="3" t="inlineStr">
        <is>
          <t>Người khai: Tan Wei Ming S7612345A</t>
        </is>
      </c>
      <c r="M101" s="3" t="inlineStr">
        <is>
          <t>1. Đọc ô School-based FAS ngay sau khi nhập NRIC người khai.
2. Bỏ chọn ô.
3. Bấm Review and submit (các phần khác hợp lệ) và đọc dòng School-based FAS của hộp thoại.
4. Bấm Back to edit và chọn lại ô.</t>
        </is>
      </c>
      <c r="N101" s="3" t="inlineStr">
        <is>
          <t>1. Ô mặc định được chọn, nhãn "Also consider for SBFAS" kèm lời giải thích.
2. Sau khi bỏ chọn hộp thoại hiển thị School-based FAS: No.
3. Sau khi chọn lại hộp thoại hiển thị Yes.</t>
        </is>
      </c>
      <c r="O101" s="3" t="n"/>
      <c r="P101" s="3" t="inlineStr">
        <is>
          <t>N/A</t>
        </is>
      </c>
      <c r="Q101" s="3" t="n"/>
      <c r="R101" s="3" t="inlineStr">
        <is>
          <t>Tender R5, US-042, US-043, FS F5 v1.2: 5 Part 1, 7</t>
        </is>
      </c>
      <c r="S101" s="3" t="n"/>
      <c r="T101" s="2" t="inlineStr">
        <is>
          <t>Approve</t>
        </is>
      </c>
    </row>
    <row r="102" ht="136.5" customHeight="1">
      <c r="A102" s="2" t="inlineStr">
        <is>
          <t>TC-101</t>
        </is>
      </c>
      <c r="B102" s="2" t="inlineStr">
        <is>
          <t>TS-020</t>
        </is>
      </c>
      <c r="C102" s="3" t="inlineStr">
        <is>
          <t>Relationship to child để trống bị chặn</t>
        </is>
      </c>
      <c r="D102" s="3" t="inlineStr">
        <is>
          <t>F5.3 Review application, Part 1 Applicant</t>
        </is>
      </c>
      <c r="E102" s="3" t="inlineStr">
        <is>
          <t>Review application, Part 1 Applicant</t>
        </is>
      </c>
      <c r="F102" s="2" t="inlineStr">
        <is>
          <t>S2</t>
        </is>
      </c>
      <c r="G102" s="2" t="inlineStr">
        <is>
          <t>High</t>
        </is>
      </c>
      <c r="H102" s="2" t="inlineStr">
        <is>
          <t>Not Run</t>
        </is>
      </c>
      <c r="I102" s="2" t="inlineStr">
        <is>
          <t>Functional</t>
        </is>
      </c>
      <c r="J102" s="3" t="inlineStr">
        <is>
          <t>Prototype: edusave.vercel.app (ngày mẫu 18/10/2026)
Chrome (latest)
Build: ghi khi chạy
Cần: ENV-R5-01</t>
        </is>
      </c>
      <c r="K10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2" s="3" t="inlineStr">
        <is>
          <t>Người khai: Tan Wei Ming S7612345A</t>
        </is>
      </c>
      <c r="M102" s="3" t="inlineStr">
        <is>
          <t>1. Cho Relationship to child chưa chọn (xoá giá trị đọc từ mẫu đơn).
2. Bấm Review and submit.</t>
        </is>
      </c>
      <c r="N102" s="3" t="inlineStr">
        <is>
          <t>1. Hiện "Complete: Relationship to child."
2. Hộp thoại không mở.</t>
        </is>
      </c>
      <c r="O102" s="3" t="n"/>
      <c r="P102" s="3" t="inlineStr">
        <is>
          <t>N/A</t>
        </is>
      </c>
      <c r="Q102" s="3" t="n"/>
      <c r="R102" s="3" t="inlineStr">
        <is>
          <t>Tender R5, US-042, US-043, FS F5 v1.2: 6</t>
        </is>
      </c>
      <c r="S102" s="3" t="inlineStr">
        <is>
          <t>Cách xoá giá trị tuỳ giao diện: chọn lại ô trống nếu có hoặc dùng bản scan không đọc được Relationship.</t>
        </is>
      </c>
      <c r="T102" s="2" t="inlineStr">
        <is>
          <t>Approve</t>
        </is>
      </c>
    </row>
    <row r="103" ht="136.5" customHeight="1">
      <c r="A103" s="2" t="inlineStr">
        <is>
          <t>TC-102</t>
        </is>
      </c>
      <c r="B103" s="2" t="inlineStr">
        <is>
          <t>TS-021</t>
        </is>
      </c>
      <c r="C103" s="3" t="inlineStr">
        <is>
          <t>Nhập NRIC con tự điền thông tin con từ hồ sơ MOE</t>
        </is>
      </c>
      <c r="D103" s="3" t="inlineStr">
        <is>
          <t>F5.4 Review application, Part 2 Children</t>
        </is>
      </c>
      <c r="E103" s="3" t="inlineStr">
        <is>
          <t>Review application, Part 2 Children</t>
        </is>
      </c>
      <c r="F103" s="2" t="inlineStr">
        <is>
          <t>S1 (highest)</t>
        </is>
      </c>
      <c r="G103" s="2" t="inlineStr">
        <is>
          <t>Critical</t>
        </is>
      </c>
      <c r="H103" s="2" t="inlineStr">
        <is>
          <t>Not Run</t>
        </is>
      </c>
      <c r="I103" s="2" t="inlineStr">
        <is>
          <t>Functional</t>
        </is>
      </c>
      <c r="J103" s="3" t="inlineStr">
        <is>
          <t>Prototype: edusave.vercel.app (ngày mẫu 18/10/2026)
Chrome (latest)
Build: ghi khi chạy
Cần: ENV-R5-01</t>
        </is>
      </c>
      <c r="K10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3" s="3" t="inlineStr">
        <is>
          <t>Con 1: Tan Mei Ling T1412345B</t>
        </is>
      </c>
      <c r="M103" s="3" t="inlineStr">
        <is>
          <t>1. Gõ T1412345B vào ô NRIC của con 1.
2. Rời ô NRIC.
3. Đọc dòng con.</t>
        </is>
      </c>
      <c r="N103" s="3" t="inlineStr">
        <is>
          <t>1. Full name Tan Mei Ling, Date of birth dạng DD/MM/YYYY, Gender F, School Bukit View Primary, Level Primary, Grade P6, Class P6 Integrity.
2. Các ô tự điền chuyển sang nền xám.</t>
        </is>
      </c>
      <c r="O103" s="3" t="n"/>
      <c r="P103" s="3" t="inlineStr">
        <is>
          <t>N/A</t>
        </is>
      </c>
      <c r="Q103" s="3" t="n"/>
      <c r="R103" s="3" t="inlineStr">
        <is>
          <t>Tender R5, US-042, US-043, FS F5 v1.2: 5 Part 2, T3</t>
        </is>
      </c>
      <c r="S103" s="3" t="inlineStr">
        <is>
          <t>Ngày sinh trong hình FS không đọc rõ, ghi lại khi chạy.</t>
        </is>
      </c>
      <c r="T103" s="2" t="inlineStr">
        <is>
          <t>Approve</t>
        </is>
      </c>
    </row>
    <row r="104" ht="136.5" customHeight="1">
      <c r="A104" s="2" t="inlineStr">
        <is>
          <t>TC-103</t>
        </is>
      </c>
      <c r="B104" s="2" t="inlineStr">
        <is>
          <t>TS-021</t>
        </is>
      </c>
      <c r="C104" s="3" t="inlineStr">
        <is>
          <t>Nhập thêm con học trường khác tự điền đúng trường và khối</t>
        </is>
      </c>
      <c r="D104" s="3" t="inlineStr">
        <is>
          <t>F5.4 Review application, Part 2 Children</t>
        </is>
      </c>
      <c r="E104" s="3" t="inlineStr">
        <is>
          <t>Review application, Part 2 Children</t>
        </is>
      </c>
      <c r="F104" s="2" t="inlineStr">
        <is>
          <t>S2</t>
        </is>
      </c>
      <c r="G104" s="2" t="inlineStr">
        <is>
          <t>High</t>
        </is>
      </c>
      <c r="H104" s="2" t="inlineStr">
        <is>
          <t>Not Run</t>
        </is>
      </c>
      <c r="I104" s="2" t="inlineStr">
        <is>
          <t>Functional</t>
        </is>
      </c>
      <c r="J104" s="3" t="inlineStr">
        <is>
          <t>Prototype: edusave.vercel.app (ngày mẫu 18/10/2026)
Chrome (latest)
Build: ghi khi chạy
Cần: ENV-R5-01</t>
        </is>
      </c>
      <c r="K10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4" s="3" t="inlineStr">
        <is>
          <t>Con 2: Tan Jun Kai T1012345A</t>
        </is>
      </c>
      <c r="M104" s="3" t="inlineStr">
        <is>
          <t>1. Gõ T1412345B vào dòng con 1.
2. Bấm Add child.
3. Gõ T1012345A vào dòng con 2.</t>
        </is>
      </c>
      <c r="N104" s="3" t="inlineStr">
        <is>
          <t>1. Dòng con 2: Tan Jun Kai, Gender M, School Meridian Secondary, Level Secondary, Grade S4, Class S4 Excellence.
2. Dòng con 1 không đổi.</t>
        </is>
      </c>
      <c r="O104" s="3" t="n"/>
      <c r="P104" s="3" t="inlineStr">
        <is>
          <t>ASM-R5-08: Mẫu có con học trường khác vẫn nộp được khi ít nhất một con học trường của người dùng. Mỗi đơn chỉ hiện trong danh sách của trường đang học của con. SBFAS của con đó do trường của con quyết định.</t>
        </is>
      </c>
      <c r="Q104" s="3" t="n"/>
      <c r="R104" s="3" t="inlineStr">
        <is>
          <t>Tender R5, US-042, US-043, FS F5 v1.2: 5 Part 2, T10</t>
        </is>
      </c>
      <c r="S104" s="3" t="n"/>
      <c r="T104" s="2" t="inlineStr">
        <is>
          <t>Draft</t>
        </is>
      </c>
    </row>
    <row r="105" ht="151" customHeight="1">
      <c r="A105" s="2" t="inlineStr">
        <is>
          <t>TC-104</t>
        </is>
      </c>
      <c r="B105" s="2" t="inlineStr">
        <is>
          <t>TS-021</t>
        </is>
      </c>
      <c r="C105" s="3" t="inlineStr">
        <is>
          <t>Các ô thông tin con khoá không sửa được</t>
        </is>
      </c>
      <c r="D105" s="3" t="inlineStr">
        <is>
          <t>F5.4 Review application, Part 2 Children</t>
        </is>
      </c>
      <c r="E105" s="3" t="inlineStr">
        <is>
          <t>Review application, Part 2 Children</t>
        </is>
      </c>
      <c r="F105" s="2" t="inlineStr">
        <is>
          <t>S1 (highest)</t>
        </is>
      </c>
      <c r="G105" s="2" t="inlineStr">
        <is>
          <t>High</t>
        </is>
      </c>
      <c r="H105" s="2" t="inlineStr">
        <is>
          <t>Not Run</t>
        </is>
      </c>
      <c r="I105" s="2" t="inlineStr">
        <is>
          <t>Functional</t>
        </is>
      </c>
      <c r="J105" s="3" t="inlineStr">
        <is>
          <t>Prototype: edusave.vercel.app (ngày mẫu 18/10/2026)
Chrome (latest)
Build: ghi khi chạy
Cần: ENV-R5-01</t>
        </is>
      </c>
      <c r="K10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05" s="3" t="inlineStr">
        <is>
          <t>Con 1: T1412345B</t>
        </is>
      </c>
      <c r="M105" s="3" t="inlineStr">
        <is>
          <t>1. Sau khi tự điền, bấm và thử gõ vào Full name, Date of birth, Gender, School, Level, Grade, Class của con 1.</t>
        </is>
      </c>
      <c r="N105" s="3" t="inlineStr">
        <is>
          <t>1. Không ô nào nhận thay đổi, giá trị giữ nguyên.</t>
        </is>
      </c>
      <c r="O105" s="3" t="n"/>
      <c r="P105" s="3" t="inlineStr">
        <is>
          <t>N/A</t>
        </is>
      </c>
      <c r="Q105" s="3" t="n"/>
      <c r="R105" s="3" t="inlineStr">
        <is>
          <t>Tender R5, US-042, US-043, FS F5 v1.2: 5 Part 2, BR3</t>
        </is>
      </c>
      <c r="S105" s="3" t="n"/>
      <c r="T105" s="2" t="inlineStr">
        <is>
          <t>Approve</t>
        </is>
      </c>
    </row>
    <row r="106" ht="107.5" customHeight="1">
      <c r="A106" s="2" t="inlineStr">
        <is>
          <t>TC-105</t>
        </is>
      </c>
      <c r="B106" s="2" t="inlineStr">
        <is>
          <t>TS-021</t>
        </is>
      </c>
      <c r="C106" s="3" t="inlineStr">
        <is>
          <t>Đổi NRIC con thay toàn bộ dữ liệu con</t>
        </is>
      </c>
      <c r="D106" s="3" t="inlineStr">
        <is>
          <t>F5.4 Review application, Part 2 Children</t>
        </is>
      </c>
      <c r="E106" s="3" t="inlineStr">
        <is>
          <t>Review application, Part 2 Children</t>
        </is>
      </c>
      <c r="F106" s="2" t="inlineStr">
        <is>
          <t>S3</t>
        </is>
      </c>
      <c r="G106" s="2" t="inlineStr">
        <is>
          <t>Medium</t>
        </is>
      </c>
      <c r="H106" s="2" t="inlineStr">
        <is>
          <t>Not Run</t>
        </is>
      </c>
      <c r="I106" s="2" t="inlineStr">
        <is>
          <t>Functional</t>
        </is>
      </c>
      <c r="J106" s="3" t="inlineStr">
        <is>
          <t>Bản F5 có API (chưa có)
Chrome (latest)
Build: ghi khi chạy
Cần: ENV-R5-02, ENV-R5-03</t>
        </is>
      </c>
      <c r="K106" s="3" t="inlineStr">
        <is>
          <t>1. Bản F5 có API chạy, dữ liệu SEED-R5 đã nạp.
2. Đã đăng nhập School user BVP-0012 Lan Nguyen, trường Bukit View Primary.
3. Màn Review application đang mở.</t>
        </is>
      </c>
      <c r="L106" s="3" t="inlineStr">
        <is>
          <t>T1412345B rồi T1711010H</t>
        </is>
      </c>
      <c r="M106" s="3" t="inlineStr">
        <is>
          <t>1. Gõ T1412345B vào con 1.
2. Đổi NRIC con 1 thành T1711010H.
3. Đọc dòng con.</t>
        </is>
      </c>
      <c r="N106" s="3" t="inlineStr">
        <is>
          <t>1. Dòng con chuyển sang dữ liệu của NRIC mới, không còn giá trị của Tan Mei Ling.</t>
        </is>
      </c>
      <c r="O106" s="3" t="n"/>
      <c r="P106" s="3" t="inlineStr">
        <is>
          <t>ASM-R5-04: 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Q106" s="3" t="n"/>
      <c r="R106" s="3" t="inlineStr">
        <is>
          <t>Tender R5, US-042, US-043, FS F5 v1.2: 5 Part 2, BR3</t>
        </is>
      </c>
      <c r="S106" s="3" t="n"/>
      <c r="T106" s="2" t="inlineStr">
        <is>
          <t>Draft</t>
        </is>
      </c>
    </row>
    <row r="107" ht="296" customHeight="1">
      <c r="A107" s="2" t="inlineStr">
        <is>
          <t>TC-106</t>
        </is>
      </c>
      <c r="B107" s="2" t="inlineStr">
        <is>
          <t>TS-021</t>
        </is>
      </c>
      <c r="C107" s="3" t="inlineStr">
        <is>
          <t>NRIC con sai cấu trúc bị chặn</t>
        </is>
      </c>
      <c r="D107" s="3" t="inlineStr">
        <is>
          <t>F5.4 Review application, Part 2 Children</t>
        </is>
      </c>
      <c r="E107" s="3" t="inlineStr">
        <is>
          <t>Review application, Part 2 Children</t>
        </is>
      </c>
      <c r="F107" s="2" t="inlineStr">
        <is>
          <t>S2</t>
        </is>
      </c>
      <c r="G107" s="2" t="inlineStr">
        <is>
          <t>High</t>
        </is>
      </c>
      <c r="H107" s="2" t="inlineStr">
        <is>
          <t>Not Run</t>
        </is>
      </c>
      <c r="I107" s="2" t="inlineStr">
        <is>
          <t>Functional</t>
        </is>
      </c>
      <c r="J107" s="3" t="inlineStr">
        <is>
          <t>Prototype: edusave.vercel.app (ngày mẫu 18/10/2026)
Chrome (latest)
Build: ghi khi chạy
Cần: ENV-R5-01</t>
        </is>
      </c>
      <c r="K10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07" s="3" t="inlineStr">
        <is>
          <t>Bốn giá trị sai cấu trúc</t>
        </is>
      </c>
      <c r="M107" s="3" t="inlineStr">
        <is>
          <t>1. Gõ lần lượt vào NRIC con 1: T141234B, T1412345BC, B1412345T, T14A2345B.
2. Bấm Review and submit sau mỗi giá trị.</t>
        </is>
      </c>
      <c r="N107" s="3" t="inlineStr">
        <is>
          <t>1. Mỗi lần hiện "Enter a valid NRIC/FIN." và hộp thoại không mở.
2. Dòng con không được tự điền.</t>
        </is>
      </c>
      <c r="O107" s="3" t="n"/>
      <c r="P107"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07" s="3" t="n"/>
      <c r="R107" s="3" t="inlineStr">
        <is>
          <t>Tender R5, US-042, US-043, FS F5 v1.2: 5 Part 2, 6</t>
        </is>
      </c>
      <c r="S107" s="3" t="n"/>
      <c r="T107" s="2" t="inlineStr">
        <is>
          <t>Draft</t>
        </is>
      </c>
    </row>
    <row r="108" ht="310.5" customHeight="1">
      <c r="A108" s="2" t="inlineStr">
        <is>
          <t>TC-107</t>
        </is>
      </c>
      <c r="B108" s="2" t="inlineStr">
        <is>
          <t>TS-021</t>
        </is>
      </c>
      <c r="C108" s="3" t="inlineStr">
        <is>
          <t>Hồ sơ MOE lỗi thì không tự điền thông tin con</t>
        </is>
      </c>
      <c r="D108" s="3" t="inlineStr">
        <is>
          <t>F5.4 Review application, Part 2 Children</t>
        </is>
      </c>
      <c r="E108" s="3" t="inlineStr">
        <is>
          <t>Review application, Part 2 Children</t>
        </is>
      </c>
      <c r="F108" s="2" t="inlineStr">
        <is>
          <t>S2</t>
        </is>
      </c>
      <c r="G108" s="2" t="inlineStr">
        <is>
          <t>Medium</t>
        </is>
      </c>
      <c r="H108" s="2" t="inlineStr">
        <is>
          <t>Not Run</t>
        </is>
      </c>
      <c r="I108" s="2" t="inlineStr">
        <is>
          <t>Integration</t>
        </is>
      </c>
      <c r="J108" s="3" t="inlineStr">
        <is>
          <t>Bản F5 có API (chưa có)
Chrome (latest)
Build: ghi khi chạy
Cần: ENV-R5-02, ENV-R5-07</t>
        </is>
      </c>
      <c r="K108" s="3" t="inlineStr">
        <is>
          <t>1. Bản F5 có API chạy, dữ liệu SEED-R5 đã nạp.
2. Đã đăng nhập School user BVP-0012 Lan Nguyen, trường Bukit View Primary.
3. Màn Review application đang mở, Part 1 đã tự điền.</t>
        </is>
      </c>
      <c r="L108" s="3" t="inlineStr"/>
      <c r="M108" s="3" t="inlineStr">
        <is>
          <t>1. Cho hồ sơ MOE trả lỗi.
2. Gõ T1412345B vào con 1.</t>
        </is>
      </c>
      <c r="N108" s="3" t="inlineStr">
        <is>
          <t>1. Hiện "Something went wrong. Please try again."
2. Dòng con không bị điền nửa chừng và phần Part 1 không mất.</t>
        </is>
      </c>
      <c r="O108" s="3" t="n"/>
      <c r="P108"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108" s="3" t="n"/>
      <c r="R108" s="3" t="inlineStr">
        <is>
          <t>Tender R5, US-042, US-043, FS F5 v1.2: 2 bước 2, VR-F5-S10</t>
        </is>
      </c>
      <c r="S108" s="3" t="n"/>
      <c r="T108" s="2" t="inlineStr">
        <is>
          <t>Draft</t>
        </is>
      </c>
    </row>
    <row r="109" ht="180" customHeight="1">
      <c r="A109" s="2" t="inlineStr">
        <is>
          <t>TC-108</t>
        </is>
      </c>
      <c r="B109" s="2" t="inlineStr">
        <is>
          <t>TS-022</t>
        </is>
      </c>
      <c r="C109" s="3" t="inlineStr">
        <is>
          <t>Level suy ra đúng từ Grade ở các biên P1, P6, S1, S5, PU1, PU3</t>
        </is>
      </c>
      <c r="D109" s="3" t="inlineStr">
        <is>
          <t>F5.4 Review application, Part 2 Children</t>
        </is>
      </c>
      <c r="E109" s="3" t="inlineStr">
        <is>
          <t>Review application, Part 2 Children</t>
        </is>
      </c>
      <c r="F109" s="2" t="inlineStr">
        <is>
          <t>S2</t>
        </is>
      </c>
      <c r="G109" s="2" t="inlineStr">
        <is>
          <t>High</t>
        </is>
      </c>
      <c r="H109" s="2" t="inlineStr">
        <is>
          <t>Not Run</t>
        </is>
      </c>
      <c r="I109" s="2" t="inlineStr">
        <is>
          <t>Functional</t>
        </is>
      </c>
      <c r="J109" s="3" t="inlineStr">
        <is>
          <t>Bản F5 có API (chưa có)
Chrome (latest)
Build: ghi khi chạy
Cần: ENV-R5-02, ENV-R5-03</t>
        </is>
      </c>
      <c r="K109" s="3" t="inlineStr">
        <is>
          <t>1. Bản F5 có API chạy, dữ liệu SEED-R5 đã nạp.
2. Đã đăng nhập School user BVP-0012 Lan Nguyen, trường Bukit View Primary.
3. Màn Review application đang mở.</t>
        </is>
      </c>
      <c r="L109" s="3" t="inlineStr">
        <is>
          <t>P1: T2010808D (Level Primary)
P6: T1412345B (Level Primary)
S1: T1380707D (Level Secondary)
S5: T0990505C (Level Secondary)
PU1: T0890101A (Level Pre-University)
PU3: T0690202I (Level Pre-University)</t>
        </is>
      </c>
      <c r="M109" s="3" t="inlineStr">
        <is>
          <t>1. Gõ lần lượt từng NRIC trong Test Data vào dòng con 1.
2. Đọc Grade và Level sau mỗi lần.</t>
        </is>
      </c>
      <c r="N109" s="3" t="inlineStr">
        <is>
          <t>1. P1 và P6 cho Primary.
2. S1 và S5 cho Secondary.
3. PU1 và PU3 cho Pre-University.</t>
        </is>
      </c>
      <c r="O109" s="3" t="n"/>
      <c r="P109" s="3" t="inlineStr">
        <is>
          <t>N/A</t>
        </is>
      </c>
      <c r="Q109" s="3" t="n"/>
      <c r="R109" s="3" t="inlineStr">
        <is>
          <t>Tender R5, US-042, US-043, FS F5 v1.2: 5 Part 2</t>
        </is>
      </c>
      <c r="S109" s="3" t="inlineStr">
        <is>
          <t>Các con này chỉ để kiểm tra hiển thị Level, tuổi có thể ngoài 7 đến 16 và bị chặn ở bước nộp.</t>
        </is>
      </c>
      <c r="T109" s="2" t="inlineStr">
        <is>
          <t>Approve</t>
        </is>
      </c>
    </row>
    <row r="110" ht="93" customHeight="1">
      <c r="A110" s="2" t="inlineStr">
        <is>
          <t>TC-109</t>
        </is>
      </c>
      <c r="B110" s="2" t="inlineStr">
        <is>
          <t>TS-022</t>
        </is>
      </c>
      <c r="C110" s="3" t="inlineStr">
        <is>
          <t>Grade ngoài danh sách thì Level hiển thị thế nào</t>
        </is>
      </c>
      <c r="D110" s="3" t="inlineStr">
        <is>
          <t>F5.4 Review application, Part 2 Children</t>
        </is>
      </c>
      <c r="E110" s="3" t="inlineStr">
        <is>
          <t>Review application, Part 2 Children</t>
        </is>
      </c>
      <c r="F110" s="2" t="inlineStr">
        <is>
          <t>S3</t>
        </is>
      </c>
      <c r="G110" s="2" t="inlineStr">
        <is>
          <t>Medium</t>
        </is>
      </c>
      <c r="H110" s="2" t="inlineStr">
        <is>
          <t>Not Run</t>
        </is>
      </c>
      <c r="I110" s="2" t="inlineStr">
        <is>
          <t>Functional</t>
        </is>
      </c>
      <c r="J110" s="3" t="inlineStr">
        <is>
          <t>Bản F5 có API (chưa có)
Chrome (latest)
Build: ghi khi chạy
Cần: ENV-R5-02, ENV-R5-03</t>
        </is>
      </c>
      <c r="K110" s="3" t="inlineStr">
        <is>
          <t>1. Bản F5 có API chạy, dữ liệu SEED-R5 đã nạp.
2. Đã đăng nhập School user BVP-0012 Lan Nguyen, trường Bukit View Primary.
3. Màn Review application đang mở.</t>
        </is>
      </c>
      <c r="L110" s="3" t="inlineStr">
        <is>
          <t>SEED-R5-20 Grade SP1</t>
        </is>
      </c>
      <c r="M110" s="3" t="inlineStr">
        <is>
          <t>1. Gõ NRIC T1511212Z (Grade SP1) vào dòng con 1.
2. Đọc Level.</t>
        </is>
      </c>
      <c r="N110" s="3" t="inlineStr">
        <is>
          <t>1. Không có kết quả xác định trong FS.</t>
        </is>
      </c>
      <c r="O110" s="3" t="n"/>
      <c r="P110" s="3" t="inlineStr">
        <is>
          <t>ASM-R5-07: Không có giả định hợp lý. Level có thể để trống, báo lỗi hoặc chặn.</t>
        </is>
      </c>
      <c r="Q110" s="3" t="n"/>
      <c r="R110" s="3" t="inlineStr">
        <is>
          <t>Tender R5, US-042, US-043, FS F5 v1.2: 5 Part 2</t>
        </is>
      </c>
      <c r="S110" s="3" t="inlineStr">
        <is>
          <t>Điểm mở O8.</t>
        </is>
      </c>
      <c r="T110" s="2" t="inlineStr">
        <is>
          <t>Block</t>
        </is>
      </c>
    </row>
    <row r="111" ht="136.5" customHeight="1">
      <c r="A111" s="2" t="inlineStr">
        <is>
          <t>TC-110</t>
        </is>
      </c>
      <c r="B111" s="2" t="inlineStr">
        <is>
          <t>TS-023</t>
        </is>
      </c>
      <c r="C111" s="3" t="inlineStr">
        <is>
          <t>Add child thêm một dòng con trống và giữ dòng đã nhập</t>
        </is>
      </c>
      <c r="D111" s="3" t="inlineStr">
        <is>
          <t>F5.4 Review application, Part 2 Children</t>
        </is>
      </c>
      <c r="E111" s="3" t="inlineStr">
        <is>
          <t>Review application, Part 2 Children</t>
        </is>
      </c>
      <c r="F111" s="2" t="inlineStr">
        <is>
          <t>S2</t>
        </is>
      </c>
      <c r="G111" s="2" t="inlineStr">
        <is>
          <t>High</t>
        </is>
      </c>
      <c r="H111" s="2" t="inlineStr">
        <is>
          <t>Not Run</t>
        </is>
      </c>
      <c r="I111" s="2" t="inlineStr">
        <is>
          <t>Functional</t>
        </is>
      </c>
      <c r="J111" s="3" t="inlineStr">
        <is>
          <t>Prototype: edusave.vercel.app (ngày mẫu 18/10/2026)
Chrome (latest)
Build: ghi khi chạy
Cần: ENV-R5-01</t>
        </is>
      </c>
      <c r="K11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11" s="3" t="inlineStr">
        <is>
          <t>T1412345B</t>
        </is>
      </c>
      <c r="M111" s="3" t="inlineStr">
        <is>
          <t>1. Nhập con 1 T1412345B.
2. Bấm Add child.
3. Đọc các dòng con.</t>
        </is>
      </c>
      <c r="N111" s="3" t="inlineStr">
        <is>
          <t>1. Có hai dòng con, dòng 1 giữ dữ liệu, dòng 2 có NRIC trống và các cột còn lại trống.</t>
        </is>
      </c>
      <c r="O111" s="3" t="n"/>
      <c r="P111" s="3" t="inlineStr">
        <is>
          <t>N/A</t>
        </is>
      </c>
      <c r="Q111" s="3" t="n"/>
      <c r="R111" s="3" t="inlineStr">
        <is>
          <t>Tender R5, US-042, US-043, FS F5 v1.2: 5 Part 2</t>
        </is>
      </c>
      <c r="S111" s="3" t="n"/>
      <c r="T111" s="2" t="inlineStr">
        <is>
          <t>Approve</t>
        </is>
      </c>
    </row>
    <row r="112" ht="136.5" customHeight="1">
      <c r="A112" s="2" t="inlineStr">
        <is>
          <t>TC-111</t>
        </is>
      </c>
      <c r="B112" s="2" t="inlineStr">
        <is>
          <t>TS-023</t>
        </is>
      </c>
      <c r="C112" s="3" t="inlineStr">
        <is>
          <t>Mẫu có hai con: một con ở trường người dùng, một con ở trường khác</t>
        </is>
      </c>
      <c r="D112" s="3" t="inlineStr">
        <is>
          <t>F5.4 Review application, Part 2 Children</t>
        </is>
      </c>
      <c r="E112" s="3" t="inlineStr">
        <is>
          <t>Review application, Part 2 Children</t>
        </is>
      </c>
      <c r="F112" s="2" t="inlineStr">
        <is>
          <t>S1 (highest)</t>
        </is>
      </c>
      <c r="G112" s="2" t="inlineStr">
        <is>
          <t>Critical</t>
        </is>
      </c>
      <c r="H112" s="2" t="inlineStr">
        <is>
          <t>Not Run</t>
        </is>
      </c>
      <c r="I112" s="2" t="inlineStr">
        <is>
          <t>Functional</t>
        </is>
      </c>
      <c r="J112" s="3" t="inlineStr">
        <is>
          <t>Prototype: edusave.vercel.app (ngày mẫu 18/10/2026)
Chrome (latest)
Build: ghi khi chạy
Cần: ENV-R5-01</t>
        </is>
      </c>
      <c r="K11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12" s="3" t="inlineStr">
        <is>
          <t>Con 1 T1412345B (BVP P6), con 2 T1012345A (MRS S4)</t>
        </is>
      </c>
      <c r="M112" s="3" t="inlineStr">
        <is>
          <t>1. Nhập con 1 T1412345B và con 2 T1012345A.
2. Hoàn tất các phần khác với dữ liệu hợp lệ.
3. Bấm Review and submit.</t>
        </is>
      </c>
      <c r="N112" s="3" t="inlineStr">
        <is>
          <t>1. Không có ghi chú chặn về trường của con.
2. Hộp thoại Review before submitting mở và liệt kê Children (2): Tan Mei Ling (Bukit View Primary) và Tan Jun Kai (Meridian Secondary).</t>
        </is>
      </c>
      <c r="O112" s="3" t="n"/>
      <c r="P112" s="3" t="inlineStr">
        <is>
          <t>ASM-R5-08: Mẫu có con học trường khác vẫn nộp được khi ít nhất một con học trường của người dùng. Mỗi đơn chỉ hiện trong danh sách của trường đang học của con. SBFAS của con đó do trường của con quyết định.</t>
        </is>
      </c>
      <c r="Q112" s="3" t="n"/>
      <c r="R112" s="3" t="inlineStr">
        <is>
          <t>Tender R5, US-042, US-043, FS F5 v1.2: 6, BR2, T10, hình Review before submitting</t>
        </is>
      </c>
      <c r="S112" s="3" t="n"/>
      <c r="T112" s="2" t="inlineStr">
        <is>
          <t>Draft</t>
        </is>
      </c>
    </row>
    <row r="113" ht="136.5" customHeight="1">
      <c r="A113" s="2" t="inlineStr">
        <is>
          <t>TC-112</t>
        </is>
      </c>
      <c r="B113" s="2" t="inlineStr">
        <is>
          <t>TS-023</t>
        </is>
      </c>
      <c r="C113" s="3" t="inlineStr">
        <is>
          <t>Thêm đến 5 dòng con và 5 dòng thành viên không lỗi</t>
        </is>
      </c>
      <c r="D113" s="3" t="inlineStr">
        <is>
          <t>F5.4 Review application, Part 2 Children</t>
        </is>
      </c>
      <c r="E113" s="3" t="inlineStr">
        <is>
          <t>Review application, Part 2 Children</t>
        </is>
      </c>
      <c r="F113" s="2" t="inlineStr">
        <is>
          <t>S3</t>
        </is>
      </c>
      <c r="G113" s="2" t="inlineStr">
        <is>
          <t>Low</t>
        </is>
      </c>
      <c r="H113" s="2" t="inlineStr">
        <is>
          <t>Not Run</t>
        </is>
      </c>
      <c r="I113" s="2" t="inlineStr">
        <is>
          <t>Functional</t>
        </is>
      </c>
      <c r="J113" s="3" t="inlineStr">
        <is>
          <t>Prototype: edusave.vercel.app (ngày mẫu 18/10/2026)
Chrome (latest)
Build: ghi khi chạy
Cần: ENV-R5-01</t>
        </is>
      </c>
      <c r="K11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13" s="3" t="inlineStr">
        <is>
          <t>Không nhập NRIC</t>
        </is>
      </c>
      <c r="M113" s="3" t="inlineStr">
        <is>
          <t>1. Bấm Add child bốn lần và Add member bốn lần.
2. Đọc màn hình.</t>
        </is>
      </c>
      <c r="N113" s="3" t="inlineStr">
        <is>
          <t>1. Có 5 dòng con và 5 dòng thành viên, không có lỗi và bố cục không vỡ.</t>
        </is>
      </c>
      <c r="O113" s="3" t="n"/>
      <c r="P113" s="3" t="inlineStr">
        <is>
          <t>ASM-R5-09: Không giới hạn số dòng trong FS. QA chạy tới 5 con và 5 thành viên và kỳ vọng không lỗi. Dòng thêm nhầm được bỏ bằng cách để trống, không có nút xoá.</t>
        </is>
      </c>
      <c r="Q113" s="3" t="n"/>
      <c r="R113" s="3" t="inlineStr">
        <is>
          <t>Tender R5, US-042, US-043, FS F5 v1.2: 5 Part 2, Part 3</t>
        </is>
      </c>
      <c r="S113" s="3" t="inlineStr">
        <is>
          <t>FS không nêu số tối đa, điểm mở O10.</t>
        </is>
      </c>
      <c r="T113" s="2" t="inlineStr">
        <is>
          <t>Draft</t>
        </is>
      </c>
    </row>
    <row r="114" ht="136.5" customHeight="1">
      <c r="A114" s="2" t="inlineStr">
        <is>
          <t>TC-113</t>
        </is>
      </c>
      <c r="B114" s="2" t="inlineStr">
        <is>
          <t>TS-023</t>
        </is>
      </c>
      <c r="C114" s="3" t="inlineStr">
        <is>
          <t>Dòng con để trống NRIC bị bỏ qua hay bị chặn</t>
        </is>
      </c>
      <c r="D114" s="3" t="inlineStr">
        <is>
          <t>F5.4 Review application, Part 2 Children</t>
        </is>
      </c>
      <c r="E114" s="3" t="inlineStr">
        <is>
          <t>Review application, Part 2 Children</t>
        </is>
      </c>
      <c r="F114" s="2" t="inlineStr">
        <is>
          <t>S2</t>
        </is>
      </c>
      <c r="G114" s="2" t="inlineStr">
        <is>
          <t>Medium</t>
        </is>
      </c>
      <c r="H114" s="2" t="inlineStr">
        <is>
          <t>Not Run</t>
        </is>
      </c>
      <c r="I114" s="2" t="inlineStr">
        <is>
          <t>Functional</t>
        </is>
      </c>
      <c r="J114" s="3" t="inlineStr">
        <is>
          <t>Prototype: edusave.vercel.app (ngày mẫu 18/10/2026)
Chrome (latest)
Build: ghi khi chạy
Cần: ENV-R5-01</t>
        </is>
      </c>
      <c r="K11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t>
        </is>
      </c>
      <c r="L114" s="3" t="inlineStr">
        <is>
          <t>Con 1 T1412345B, con 2 trống</t>
        </is>
      </c>
      <c r="M114" s="3" t="inlineStr">
        <is>
          <t>1. Nhập con 1 T1412345B và bấm Add child, để con 2 trống.
2. Bấm Review and submit.</t>
        </is>
      </c>
      <c r="N114" s="3" t="inlineStr">
        <is>
          <t>1. Hiện "Child 2: enter the NRIC/FIN."
2. Hộp thoại Review before submitting không mở.</t>
        </is>
      </c>
      <c r="O114" s="3" t="n"/>
      <c r="P114" s="3" t="inlineStr">
        <is>
          <t>N/A</t>
        </is>
      </c>
      <c r="Q114" s="3" t="n"/>
      <c r="R114" s="3" t="inlineStr">
        <is>
          <t>Tender R5, US-042, US-043, FS F5 v1.2: 6</t>
        </is>
      </c>
      <c r="S114" s="3" t="n"/>
      <c r="T114" s="2" t="inlineStr">
        <is>
          <t>Approve</t>
        </is>
      </c>
    </row>
    <row r="115" ht="93" customHeight="1">
      <c r="A115" s="2" t="inlineStr">
        <is>
          <t>TC-114</t>
        </is>
      </c>
      <c r="B115" s="2" t="inlineStr">
        <is>
          <t>TS-024</t>
        </is>
      </c>
      <c r="C115" s="3" t="inlineStr">
        <is>
          <t>Tên con khác dữ liệu Chính phủ hiện cảnh báo và vẫn nộp được</t>
        </is>
      </c>
      <c r="D115" s="3" t="inlineStr">
        <is>
          <t>F5.4 Review application, Part 2 Children</t>
        </is>
      </c>
      <c r="E115" s="3" t="inlineStr">
        <is>
          <t>Review application, Part 2 Children</t>
        </is>
      </c>
      <c r="F115" s="2" t="inlineStr">
        <is>
          <t>S2</t>
        </is>
      </c>
      <c r="G115" s="2" t="inlineStr">
        <is>
          <t>High</t>
        </is>
      </c>
      <c r="H115" s="2" t="inlineStr">
        <is>
          <t>Not Run</t>
        </is>
      </c>
      <c r="I115" s="2" t="inlineStr">
        <is>
          <t>Functional</t>
        </is>
      </c>
      <c r="J115" s="3" t="inlineStr">
        <is>
          <t>Bản F5 có API (chưa có)
Chrome (latest)
Build: ghi khi chạy
Cần: ENV-R5-02, ENV-R5-03</t>
        </is>
      </c>
      <c r="K115" s="3" t="inlineStr">
        <is>
          <t>1. Bản F5 có API chạy, dữ liệu SEED-R5 đã nạp.
2. Đã đăng nhập School user BVP-0012 Lan Nguyen, trường Bukit View Primary.
3. Màn Review application đang mở.</t>
        </is>
      </c>
      <c r="L115" s="3" t="inlineStr">
        <is>
          <t>SEED-R5-21 con có tên MOE khác dữ liệu Chính phủ</t>
        </is>
      </c>
      <c r="M115" s="3" t="inlineStr">
        <is>
          <t>1. Nhập con có tên trong hồ sơ MOE khác dữ liệu Chính phủ.
2. Đọc dòng con và ghi chú.
3. Hoàn tất các phần khác và bấm Review and submit.</t>
        </is>
      </c>
      <c r="N115" s="3" t="inlineStr">
        <is>
          <t>1. Có ghi chú cho biết MOE sẽ thấy cảnh báo sai lệch dữ liệu của con đó.
2. Review and submit không bị chặn, hộp thoại Review before submitting mở.</t>
        </is>
      </c>
      <c r="O115" s="3" t="n"/>
      <c r="P115"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115" s="3" t="n"/>
      <c r="R115" s="3" t="inlineStr">
        <is>
          <t>Tender R5, US-042, US-043, FS F5 v1.2: 5 Part 2 ghi chú cuối</t>
        </is>
      </c>
      <c r="S115" s="3" t="inlineStr">
        <is>
          <t>Nội dung và vị trí cảnh báo là điểm mở O17.</t>
        </is>
      </c>
      <c r="T115" s="2" t="inlineStr">
        <is>
          <t>Draft</t>
        </is>
      </c>
    </row>
    <row r="116" ht="151" customHeight="1">
      <c r="A116" s="2" t="inlineStr">
        <is>
          <t>TC-115</t>
        </is>
      </c>
      <c r="B116" s="2" t="inlineStr">
        <is>
          <t>TS-025</t>
        </is>
      </c>
      <c r="C116" s="3" t="inlineStr">
        <is>
          <t>Add member thêm một dòng thành viên trống</t>
        </is>
      </c>
      <c r="D116" s="3" t="inlineStr">
        <is>
          <t>F5.5 Review application, Part 3 Family and household</t>
        </is>
      </c>
      <c r="E116" s="3" t="inlineStr">
        <is>
          <t>Review application, Part 3 Family members</t>
        </is>
      </c>
      <c r="F116" s="2" t="inlineStr">
        <is>
          <t>S2</t>
        </is>
      </c>
      <c r="G116" s="2" t="inlineStr">
        <is>
          <t>Medium</t>
        </is>
      </c>
      <c r="H116" s="2" t="inlineStr">
        <is>
          <t>Not Run</t>
        </is>
      </c>
      <c r="I116" s="2" t="inlineStr">
        <is>
          <t>Functional</t>
        </is>
      </c>
      <c r="J116" s="3" t="inlineStr">
        <is>
          <t>Prototype: edusave.vercel.app (ngày mẫu 18/10/2026)
Chrome (latest)
Build: ghi khi chạy
Cần: ENV-R5-01</t>
        </is>
      </c>
      <c r="K11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16" s="3" t="inlineStr">
        <is>
          <t>Con 1 T1412345B (Tan Mei Ling, Bukit View Primary P6)</t>
        </is>
      </c>
      <c r="M116" s="3" t="inlineStr">
        <is>
          <t>1. Bấm Add member.
2. Đọc Part 3.</t>
        </is>
      </c>
      <c r="N116" s="3" t="inlineStr">
        <is>
          <t>1. Có một dòng thành viên mới với Full name, NRIC, Gender trống.
2. Part 1 và Part 2 không đổi.</t>
        </is>
      </c>
      <c r="O116" s="3" t="n"/>
      <c r="P116" s="3" t="inlineStr">
        <is>
          <t>N/A</t>
        </is>
      </c>
      <c r="Q116" s="3" t="n"/>
      <c r="R116" s="3" t="inlineStr">
        <is>
          <t>Tender R5, US-042, FS F5 v1.2: 5 Part 3</t>
        </is>
      </c>
      <c r="S116" s="3" t="n"/>
      <c r="T116" s="2" t="inlineStr">
        <is>
          <t>Approve</t>
        </is>
      </c>
    </row>
    <row r="117" ht="151" customHeight="1">
      <c r="A117" s="2" t="inlineStr">
        <is>
          <t>TC-116</t>
        </is>
      </c>
      <c r="B117" s="2" t="inlineStr">
        <is>
          <t>TS-025</t>
        </is>
      </c>
      <c r="C117" s="3" t="inlineStr">
        <is>
          <t>Part 3 tuỳ chọn: mẫu không có thành viên vẫn nộp được</t>
        </is>
      </c>
      <c r="D117" s="3" t="inlineStr">
        <is>
          <t>F5.5 Review application, Part 3 Family and household</t>
        </is>
      </c>
      <c r="E117" s="3" t="inlineStr">
        <is>
          <t>Review application, Part 3 Family members</t>
        </is>
      </c>
      <c r="F117" s="2" t="inlineStr">
        <is>
          <t>S1 (highest)</t>
        </is>
      </c>
      <c r="G117" s="2" t="inlineStr">
        <is>
          <t>High</t>
        </is>
      </c>
      <c r="H117" s="2" t="inlineStr">
        <is>
          <t>Not Run</t>
        </is>
      </c>
      <c r="I117" s="2" t="inlineStr">
        <is>
          <t>Functional</t>
        </is>
      </c>
      <c r="J117" s="3" t="inlineStr">
        <is>
          <t>Prototype: edusave.vercel.app (ngày mẫu 18/10/2026)
Chrome (latest)
Build: ghi khi chạy
Cần: ENV-R5-01</t>
        </is>
      </c>
      <c r="K11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17" s="3" t="inlineStr">
        <is>
          <t>Con 1 T1412345B (Tan Mei Ling, Bukit View Primary P6), không có thành viên</t>
        </is>
      </c>
      <c r="M117" s="3" t="inlineStr">
        <is>
          <t>1. Không thêm thành viên nào.
2. Hoàn tất các phần khác hợp lệ.
3. Bấm Review and submit.</t>
        </is>
      </c>
      <c r="N117" s="3" t="inlineStr">
        <is>
          <t>1. Không có ghi chú về Part 3.
2. Hộp thoại Review before submitting mở với Household size 3 (người khai và hai con) hoặc 2 nếu chỉ một con.</t>
        </is>
      </c>
      <c r="O117" s="3" t="n"/>
      <c r="P117" s="3" t="inlineStr">
        <is>
          <t>N/A</t>
        </is>
      </c>
      <c r="Q117" s="3" t="n"/>
      <c r="R117" s="3" t="inlineStr">
        <is>
          <t>Tender R5, US-042, FS F5 v1.2: 5 Part 3</t>
        </is>
      </c>
      <c r="S117" s="3" t="n"/>
      <c r="T117" s="2" t="inlineStr">
        <is>
          <t>Approve</t>
        </is>
      </c>
    </row>
    <row r="118" ht="151" customHeight="1">
      <c r="A118" s="2" t="inlineStr">
        <is>
          <t>TC-117</t>
        </is>
      </c>
      <c r="B118" s="2" t="inlineStr">
        <is>
          <t>TS-025</t>
        </is>
      </c>
      <c r="C118" s="3" t="inlineStr">
        <is>
          <t>Dòng thành viên có tên mà thiếu NRIC bị chặn</t>
        </is>
      </c>
      <c r="D118" s="3" t="inlineStr">
        <is>
          <t>F5.5 Review application, Part 3 Family and household</t>
        </is>
      </c>
      <c r="E118" s="3" t="inlineStr">
        <is>
          <t>Review application, Part 3 Family members</t>
        </is>
      </c>
      <c r="F118" s="2" t="inlineStr">
        <is>
          <t>S2</t>
        </is>
      </c>
      <c r="G118" s="2" t="inlineStr">
        <is>
          <t>High</t>
        </is>
      </c>
      <c r="H118" s="2" t="inlineStr">
        <is>
          <t>Not Run</t>
        </is>
      </c>
      <c r="I118" s="2" t="inlineStr">
        <is>
          <t>Functional</t>
        </is>
      </c>
      <c r="J118" s="3" t="inlineStr">
        <is>
          <t>Prototype: edusave.vercel.app (ngày mẫu 18/10/2026)
Chrome (latest)
Build: ghi khi chạy
Cần: ENV-R5-01</t>
        </is>
      </c>
      <c r="K11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18" s="3" t="inlineStr">
        <is>
          <t>Lim Hui Min, NRIC trống</t>
        </is>
      </c>
      <c r="M118" s="3" t="inlineStr">
        <is>
          <t>1. Bấm Add member, nhập Full name "Lim Hui Min" và để NRIC trống.
2. Bấm Review and submit.</t>
        </is>
      </c>
      <c r="N118" s="3" t="inlineStr">
        <is>
          <t>1. Hiện "Complete: Family members (name and NRIC)."
2. Hộp thoại không mở.</t>
        </is>
      </c>
      <c r="O118" s="3" t="n"/>
      <c r="P118" s="3" t="inlineStr">
        <is>
          <t>N/A</t>
        </is>
      </c>
      <c r="Q118" s="3" t="n"/>
      <c r="R118" s="3" t="inlineStr">
        <is>
          <t>Tender R5, US-042, FS F5 v1.2: 6</t>
        </is>
      </c>
      <c r="S118" s="3" t="n"/>
      <c r="T118" s="2" t="inlineStr">
        <is>
          <t>Approve</t>
        </is>
      </c>
    </row>
    <row r="119" ht="151" customHeight="1">
      <c r="A119" s="2" t="inlineStr">
        <is>
          <t>TC-118</t>
        </is>
      </c>
      <c r="B119" s="2" t="inlineStr">
        <is>
          <t>TS-025</t>
        </is>
      </c>
      <c r="C119" s="3" t="inlineStr">
        <is>
          <t>Dòng thành viên có NRIC mà thiếu tên bị chặn</t>
        </is>
      </c>
      <c r="D119" s="3" t="inlineStr">
        <is>
          <t>F5.5 Review application, Part 3 Family and household</t>
        </is>
      </c>
      <c r="E119" s="3" t="inlineStr">
        <is>
          <t>Review application, Part 3 Family members</t>
        </is>
      </c>
      <c r="F119" s="2" t="inlineStr">
        <is>
          <t>S2</t>
        </is>
      </c>
      <c r="G119" s="2" t="inlineStr">
        <is>
          <t>High</t>
        </is>
      </c>
      <c r="H119" s="2" t="inlineStr">
        <is>
          <t>Not Run</t>
        </is>
      </c>
      <c r="I119" s="2" t="inlineStr">
        <is>
          <t>Functional</t>
        </is>
      </c>
      <c r="J119" s="3" t="inlineStr">
        <is>
          <t>Prototype: edusave.vercel.app (ngày mẫu 18/10/2026)
Chrome (latest)
Build: ghi khi chạy
Cần: ENV-R5-01</t>
        </is>
      </c>
      <c r="K11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19" s="3" t="inlineStr">
        <is>
          <t>NRIC S8512301G, tên trống</t>
        </is>
      </c>
      <c r="M119" s="3" t="inlineStr">
        <is>
          <t>1. Bấm Add member, nhập NRIC S8512301G và để Full name trống.
2. Bấm Review and submit.</t>
        </is>
      </c>
      <c r="N119" s="3" t="inlineStr">
        <is>
          <t>1. Hiện "Complete: Family members (name and NRIC)."
2. Hộp thoại không mở.</t>
        </is>
      </c>
      <c r="O119" s="3" t="n"/>
      <c r="P119" s="3" t="inlineStr">
        <is>
          <t>N/A</t>
        </is>
      </c>
      <c r="Q119" s="3" t="n"/>
      <c r="R119" s="3" t="inlineStr">
        <is>
          <t>Tender R5, US-042, FS F5 v1.2: 6</t>
        </is>
      </c>
      <c r="S119" s="3" t="n"/>
      <c r="T119" s="2" t="inlineStr">
        <is>
          <t>Approve</t>
        </is>
      </c>
    </row>
    <row r="120" ht="151" customHeight="1">
      <c r="A120" s="2" t="inlineStr">
        <is>
          <t>TC-119</t>
        </is>
      </c>
      <c r="B120" s="2" t="inlineStr">
        <is>
          <t>TS-025</t>
        </is>
      </c>
      <c r="C120" s="3" t="inlineStr">
        <is>
          <t>Dòng thành viên trống hoàn toàn không chặn nộp</t>
        </is>
      </c>
      <c r="D120" s="3" t="inlineStr">
        <is>
          <t>F5.5 Review application, Part 3 Family and household</t>
        </is>
      </c>
      <c r="E120" s="3" t="inlineStr">
        <is>
          <t>Review application, Part 3 Family members</t>
        </is>
      </c>
      <c r="F120" s="2" t="inlineStr">
        <is>
          <t>S3</t>
        </is>
      </c>
      <c r="G120" s="2" t="inlineStr">
        <is>
          <t>Medium</t>
        </is>
      </c>
      <c r="H120" s="2" t="inlineStr">
        <is>
          <t>Not Run</t>
        </is>
      </c>
      <c r="I120" s="2" t="inlineStr">
        <is>
          <t>Functional</t>
        </is>
      </c>
      <c r="J120" s="3" t="inlineStr">
        <is>
          <t>Prototype: edusave.vercel.app (ngày mẫu 18/10/2026)
Chrome (latest)
Build: ghi khi chạy
Cần: ENV-R5-01</t>
        </is>
      </c>
      <c r="K12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0" s="3" t="inlineStr">
        <is>
          <t>Một dòng thành viên trống</t>
        </is>
      </c>
      <c r="M120" s="3" t="inlineStr">
        <is>
          <t>1. Bấm Add member và để trống cả dòng.
2. Bấm Review and submit.</t>
        </is>
      </c>
      <c r="N120" s="3" t="inlineStr">
        <is>
          <t>1. Dòng trống bị bỏ qua, không có ghi chú Family members, Household size không tính dòng trống.</t>
        </is>
      </c>
      <c r="O120" s="3" t="n"/>
      <c r="P120" s="3" t="inlineStr">
        <is>
          <t>ASM-R5-09: Không giới hạn số dòng trong FS. QA chạy tới 5 con và 5 thành viên và kỳ vọng không lỗi. Dòng thêm nhầm được bỏ bằng cách để trống, không có nút xoá.</t>
        </is>
      </c>
      <c r="Q120" s="3" t="n"/>
      <c r="R120" s="3" t="inlineStr">
        <is>
          <t>Tender R5, US-042, FS F5 v1.2: 5 Part 3</t>
        </is>
      </c>
      <c r="S120" s="3" t="n"/>
      <c r="T120" s="2" t="inlineStr">
        <is>
          <t>Draft</t>
        </is>
      </c>
    </row>
    <row r="121" ht="93" customHeight="1">
      <c r="A121" s="2" t="inlineStr">
        <is>
          <t>TC-120</t>
        </is>
      </c>
      <c r="B121" s="2" t="inlineStr">
        <is>
          <t>TS-025</t>
        </is>
      </c>
      <c r="C121" s="3" t="inlineStr">
        <is>
          <t>Thêm tới 5 thành viên</t>
        </is>
      </c>
      <c r="D121" s="3" t="inlineStr">
        <is>
          <t>F5.5 Review application, Part 3 Family and household</t>
        </is>
      </c>
      <c r="E121" s="3" t="inlineStr">
        <is>
          <t>Review application, Part 3 Family members</t>
        </is>
      </c>
      <c r="F121" s="2" t="inlineStr">
        <is>
          <t>S3</t>
        </is>
      </c>
      <c r="G121" s="2" t="inlineStr">
        <is>
          <t>Low</t>
        </is>
      </c>
      <c r="H121" s="2" t="inlineStr">
        <is>
          <t>Not Run</t>
        </is>
      </c>
      <c r="I121" s="2" t="inlineStr">
        <is>
          <t>Functional</t>
        </is>
      </c>
      <c r="J121" s="3" t="inlineStr">
        <is>
          <t>Bản F5 có API (chưa có)
Chrome (latest)
Build: ghi khi chạy
Cần: ENV-R5-02, ENV-R5-03</t>
        </is>
      </c>
      <c r="K121" s="3" t="inlineStr">
        <is>
          <t>1. Bản F5 có API chạy, dữ liệu SEED-R5 đã nạp.
2. Đã đăng nhập School user BVP-0012 Lan Nguyen, trường Bukit View Primary.
3. Màn Review application đang mở, Part 1 và con 1 đã tự điền.</t>
        </is>
      </c>
      <c r="L121" s="3" t="inlineStr">
        <is>
          <t>S8512301G
S5811122H
T0211133G
G1555566T
S6611144Z</t>
        </is>
      </c>
      <c r="M121" s="3" t="inlineStr">
        <is>
          <t>1. Bấm Add member bốn lần và nhập đủ 5 thành viên hợp lệ.
2. Bấm Review and submit.</t>
        </is>
      </c>
      <c r="N121" s="3" t="inlineStr">
        <is>
          <t>1. Hộp thoại mở, Household size bằng 1 cộng số con cộng 5, mọi thành viên được liệt kê.</t>
        </is>
      </c>
      <c r="O121" s="3" t="n"/>
      <c r="P121" s="3" t="inlineStr">
        <is>
          <t>ASM-R5-09: Không giới hạn số dòng trong FS. QA chạy tới 5 con và 5 thành viên và kỳ vọng không lỗi. Dòng thêm nhầm được bỏ bằng cách để trống, không có nút xoá.</t>
        </is>
      </c>
      <c r="Q121" s="3" t="n"/>
      <c r="R121" s="3" t="inlineStr">
        <is>
          <t>Tender R5, US-042, FS F5 v1.2: 5 Part 3</t>
        </is>
      </c>
      <c r="S121" s="3" t="n"/>
      <c r="T121" s="2" t="inlineStr">
        <is>
          <t>Draft</t>
        </is>
      </c>
    </row>
    <row r="122" ht="151" customHeight="1">
      <c r="A122" s="2" t="inlineStr">
        <is>
          <t>TC-121</t>
        </is>
      </c>
      <c r="B122" s="2" t="inlineStr">
        <is>
          <t>TS-026</t>
        </is>
      </c>
      <c r="C122" s="3" t="inlineStr">
        <is>
          <t>Thành viên trùng NRIC người khai (T7) bị chặn</t>
        </is>
      </c>
      <c r="D122" s="3" t="inlineStr">
        <is>
          <t>F5.5 Review application, Part 3 Family and household</t>
        </is>
      </c>
      <c r="E122" s="3" t="inlineStr">
        <is>
          <t>Review application, Part 3 Family members</t>
        </is>
      </c>
      <c r="F122" s="2" t="inlineStr">
        <is>
          <t>S1 (highest)</t>
        </is>
      </c>
      <c r="G122" s="2" t="inlineStr">
        <is>
          <t>High</t>
        </is>
      </c>
      <c r="H122" s="2" t="inlineStr">
        <is>
          <t>Not Run</t>
        </is>
      </c>
      <c r="I122" s="2" t="inlineStr">
        <is>
          <t>Functional</t>
        </is>
      </c>
      <c r="J122" s="3" t="inlineStr">
        <is>
          <t>Prototype: edusave.vercel.app (ngày mẫu 18/10/2026)
Chrome (latest)
Build: ghi khi chạy
Cần: ENV-R5-01</t>
        </is>
      </c>
      <c r="K12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2" s="3" t="inlineStr">
        <is>
          <t>Thành viên S7612345A</t>
        </is>
      </c>
      <c r="M122" s="3" t="inlineStr">
        <is>
          <t>1. Bấm Add member, nhập Full name và NRIC S7612345A (trùng người khai).
2. Bấm Review and submit.</t>
        </is>
      </c>
      <c r="N122" s="3" t="inlineStr">
        <is>
          <t>1. Hiện "The same NRIC/FIN appears twice. The applicant, each child and each family member must have a different NRIC/FIN."
2. Hộp thoại Review before submitting không mở.</t>
        </is>
      </c>
      <c r="O122" s="3" t="n"/>
      <c r="P122" s="3" t="inlineStr">
        <is>
          <t>N/A</t>
        </is>
      </c>
      <c r="Q122" s="3" t="n"/>
      <c r="R122" s="3" t="inlineStr">
        <is>
          <t>Tender R5, US-042, FS F5 v1.2: 6, BR4, T7</t>
        </is>
      </c>
      <c r="S122" s="3" t="n"/>
      <c r="T122" s="2" t="inlineStr">
        <is>
          <t>Approve</t>
        </is>
      </c>
    </row>
    <row r="123" ht="151" customHeight="1">
      <c r="A123" s="2" t="inlineStr">
        <is>
          <t>TC-122</t>
        </is>
      </c>
      <c r="B123" s="2" t="inlineStr">
        <is>
          <t>TS-026</t>
        </is>
      </c>
      <c r="C123" s="3" t="inlineStr">
        <is>
          <t>Con trùng NRIC người khai bị chặn</t>
        </is>
      </c>
      <c r="D123" s="3" t="inlineStr">
        <is>
          <t>F5.5 Review application, Part 3 Family and household</t>
        </is>
      </c>
      <c r="E123" s="3" t="inlineStr">
        <is>
          <t>Review application, Part 3 Family members</t>
        </is>
      </c>
      <c r="F123" s="2" t="inlineStr">
        <is>
          <t>S1 (highest)</t>
        </is>
      </c>
      <c r="G123" s="2" t="inlineStr">
        <is>
          <t>High</t>
        </is>
      </c>
      <c r="H123" s="2" t="inlineStr">
        <is>
          <t>Not Run</t>
        </is>
      </c>
      <c r="I123" s="2" t="inlineStr">
        <is>
          <t>Functional</t>
        </is>
      </c>
      <c r="J123" s="3" t="inlineStr">
        <is>
          <t>Prototype: edusave.vercel.app (ngày mẫu 18/10/2026)
Chrome (latest)
Build: ghi khi chạy
Cần: ENV-R5-01</t>
        </is>
      </c>
      <c r="K12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3" s="3" t="inlineStr">
        <is>
          <t>Con 2 S7612345A</t>
        </is>
      </c>
      <c r="M123" s="3" t="inlineStr">
        <is>
          <t>1. Bấm Add child và nhập NRIC con 2 là S7612345A.
2. Bấm Review and submit.</t>
        </is>
      </c>
      <c r="N123" s="3" t="inlineStr">
        <is>
          <t>1. Hiện "The same NRIC/FIN appears twice. The applicant, each child and each family member must have a different NRIC/FIN."
2. Hộp thoại Review before submitting không mở.</t>
        </is>
      </c>
      <c r="O123" s="3" t="n"/>
      <c r="P123" s="3" t="inlineStr">
        <is>
          <t>N/A</t>
        </is>
      </c>
      <c r="Q123" s="3" t="n"/>
      <c r="R123" s="3" t="inlineStr">
        <is>
          <t>Tender R5, US-042, FS F5 v1.2: 6, BR4, T7</t>
        </is>
      </c>
      <c r="S123" s="3" t="n"/>
      <c r="T123" s="2" t="inlineStr">
        <is>
          <t>Approve</t>
        </is>
      </c>
    </row>
    <row r="124" ht="151" customHeight="1">
      <c r="A124" s="2" t="inlineStr">
        <is>
          <t>TC-123</t>
        </is>
      </c>
      <c r="B124" s="2" t="inlineStr">
        <is>
          <t>TS-026</t>
        </is>
      </c>
      <c r="C124" s="3" t="inlineStr">
        <is>
          <t>Hai thành viên trùng NRIC nhau bị chặn</t>
        </is>
      </c>
      <c r="D124" s="3" t="inlineStr">
        <is>
          <t>F5.5 Review application, Part 3 Family and household</t>
        </is>
      </c>
      <c r="E124" s="3" t="inlineStr">
        <is>
          <t>Review application, Part 3 Family members</t>
        </is>
      </c>
      <c r="F124" s="2" t="inlineStr">
        <is>
          <t>S1 (highest)</t>
        </is>
      </c>
      <c r="G124" s="2" t="inlineStr">
        <is>
          <t>High</t>
        </is>
      </c>
      <c r="H124" s="2" t="inlineStr">
        <is>
          <t>Not Run</t>
        </is>
      </c>
      <c r="I124" s="2" t="inlineStr">
        <is>
          <t>Functional</t>
        </is>
      </c>
      <c r="J124" s="3" t="inlineStr">
        <is>
          <t>Prototype: edusave.vercel.app (ngày mẫu 18/10/2026)
Chrome (latest)
Build: ghi khi chạy
Cần: ENV-R5-01</t>
        </is>
      </c>
      <c r="K12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4" s="3" t="inlineStr">
        <is>
          <t>Hai thành viên S8512301G</t>
        </is>
      </c>
      <c r="M124" s="3" t="inlineStr">
        <is>
          <t>1. Thêm hai thành viên cùng NRIC S8512301G.
2. Bấm Review and submit.</t>
        </is>
      </c>
      <c r="N124" s="3" t="inlineStr">
        <is>
          <t>1. Hiện "The same NRIC/FIN appears twice. The applicant, each child and each family member must have a different NRIC/FIN."
2. Hộp thoại Review before submitting không mở.</t>
        </is>
      </c>
      <c r="O124" s="3" t="n"/>
      <c r="P124" s="3" t="inlineStr">
        <is>
          <t>N/A</t>
        </is>
      </c>
      <c r="Q124" s="3" t="n"/>
      <c r="R124" s="3" t="inlineStr">
        <is>
          <t>Tender R5, US-042, FS F5 v1.2: 6, BR4, T7</t>
        </is>
      </c>
      <c r="S124" s="3" t="n"/>
      <c r="T124" s="2" t="inlineStr">
        <is>
          <t>Approve</t>
        </is>
      </c>
    </row>
    <row r="125" ht="151" customHeight="1">
      <c r="A125" s="2" t="inlineStr">
        <is>
          <t>TC-124</t>
        </is>
      </c>
      <c r="B125" s="2" t="inlineStr">
        <is>
          <t>TS-026</t>
        </is>
      </c>
      <c r="C125" s="3" t="inlineStr">
        <is>
          <t>Thành viên trùng NRIC của con bị chặn</t>
        </is>
      </c>
      <c r="D125" s="3" t="inlineStr">
        <is>
          <t>F5.5 Review application, Part 3 Family and household</t>
        </is>
      </c>
      <c r="E125" s="3" t="inlineStr">
        <is>
          <t>Review application, Part 3 Family members</t>
        </is>
      </c>
      <c r="F125" s="2" t="inlineStr">
        <is>
          <t>S1 (highest)</t>
        </is>
      </c>
      <c r="G125" s="2" t="inlineStr">
        <is>
          <t>High</t>
        </is>
      </c>
      <c r="H125" s="2" t="inlineStr">
        <is>
          <t>Not Run</t>
        </is>
      </c>
      <c r="I125" s="2" t="inlineStr">
        <is>
          <t>Functional</t>
        </is>
      </c>
      <c r="J125" s="3" t="inlineStr">
        <is>
          <t>Prototype: edusave.vercel.app (ngày mẫu 18/10/2026)
Chrome (latest)
Build: ghi khi chạy
Cần: ENV-R5-01</t>
        </is>
      </c>
      <c r="K12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5" s="3" t="inlineStr">
        <is>
          <t>Thành viên T1412345B</t>
        </is>
      </c>
      <c r="M125" s="3" t="inlineStr">
        <is>
          <t>1. Bấm Add member, nhập NRIC T1412345B (trùng con 1).
2. Bấm Review and submit.</t>
        </is>
      </c>
      <c r="N125" s="3" t="inlineStr">
        <is>
          <t>1. Hiện "The same NRIC/FIN appears twice. The applicant, each child and each family member must have a different NRIC/FIN."
2. Hộp thoại Review before submitting không mở.</t>
        </is>
      </c>
      <c r="O125" s="3" t="n"/>
      <c r="P125" s="3" t="inlineStr">
        <is>
          <t>N/A</t>
        </is>
      </c>
      <c r="Q125" s="3" t="n"/>
      <c r="R125" s="3" t="inlineStr">
        <is>
          <t>Tender R5, US-042, FS F5 v1.2: 6, BR4, T7</t>
        </is>
      </c>
      <c r="S125" s="3" t="n"/>
      <c r="T125" s="2" t="inlineStr">
        <is>
          <t>Approve</t>
        </is>
      </c>
    </row>
    <row r="126" ht="151" customHeight="1">
      <c r="A126" s="2" t="inlineStr">
        <is>
          <t>TC-125</t>
        </is>
      </c>
      <c r="B126" s="2" t="inlineStr">
        <is>
          <t>TS-026</t>
        </is>
      </c>
      <c r="C126" s="3" t="inlineStr">
        <is>
          <t>Con 2 trùng NRIC con 1 bị chặn</t>
        </is>
      </c>
      <c r="D126" s="3" t="inlineStr">
        <is>
          <t>F5.5 Review application, Part 3 Family and household</t>
        </is>
      </c>
      <c r="E126" s="3" t="inlineStr">
        <is>
          <t>Review application, Part 3 Family members</t>
        </is>
      </c>
      <c r="F126" s="2" t="inlineStr">
        <is>
          <t>S1 (highest)</t>
        </is>
      </c>
      <c r="G126" s="2" t="inlineStr">
        <is>
          <t>High</t>
        </is>
      </c>
      <c r="H126" s="2" t="inlineStr">
        <is>
          <t>Not Run</t>
        </is>
      </c>
      <c r="I126" s="2" t="inlineStr">
        <is>
          <t>Functional</t>
        </is>
      </c>
      <c r="J126" s="3" t="inlineStr">
        <is>
          <t>Prototype: edusave.vercel.app (ngày mẫu 18/10/2026)
Chrome (latest)
Build: ghi khi chạy
Cần: ENV-R5-01</t>
        </is>
      </c>
      <c r="K12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6" s="3" t="inlineStr">
        <is>
          <t>Con 2 T1412345B</t>
        </is>
      </c>
      <c r="M126" s="3" t="inlineStr">
        <is>
          <t>1. Bấm Add child và nhập NRIC con 2 là T1412345B.
2. Bấm Review and submit.</t>
        </is>
      </c>
      <c r="N126" s="3" t="inlineStr">
        <is>
          <t>1. Hiện "The same NRIC/FIN appears twice. The applicant, each child and each family member must have a different NRIC/FIN."
2. Hộp thoại Review before submitting không mở.</t>
        </is>
      </c>
      <c r="O126" s="3" t="n"/>
      <c r="P126" s="3" t="inlineStr">
        <is>
          <t>N/A</t>
        </is>
      </c>
      <c r="Q126" s="3" t="n"/>
      <c r="R126" s="3" t="inlineStr">
        <is>
          <t>Tender R5, US-042, FS F5 v1.2: 6, BR4, T7</t>
        </is>
      </c>
      <c r="S126" s="3" t="n"/>
      <c r="T126" s="2" t="inlineStr">
        <is>
          <t>Approve</t>
        </is>
      </c>
    </row>
    <row r="127" ht="151" customHeight="1">
      <c r="A127" s="2" t="inlineStr">
        <is>
          <t>TC-126</t>
        </is>
      </c>
      <c r="B127" s="2" t="inlineStr">
        <is>
          <t>TS-026</t>
        </is>
      </c>
      <c r="C127" s="3" t="inlineStr">
        <is>
          <t>NRIC trùng khác chữ hoa chữ thường và khoảng trắng vẫn bị coi là trùng</t>
        </is>
      </c>
      <c r="D127" s="3" t="inlineStr">
        <is>
          <t>F5.5 Review application, Part 3 Family and household</t>
        </is>
      </c>
      <c r="E127" s="3" t="inlineStr">
        <is>
          <t>Review application, Part 3 Family members</t>
        </is>
      </c>
      <c r="F127" s="2" t="inlineStr">
        <is>
          <t>S2</t>
        </is>
      </c>
      <c r="G127" s="2" t="inlineStr">
        <is>
          <t>Medium</t>
        </is>
      </c>
      <c r="H127" s="2" t="inlineStr">
        <is>
          <t>Not Run</t>
        </is>
      </c>
      <c r="I127" s="2" t="inlineStr">
        <is>
          <t>Functional</t>
        </is>
      </c>
      <c r="J127" s="3" t="inlineStr">
        <is>
          <t>Prototype: edusave.vercel.app (ngày mẫu 18/10/2026)
Chrome (latest)
Build: ghi khi chạy
Cần: ENV-R5-01</t>
        </is>
      </c>
      <c r="K12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7" s="3" t="inlineStr">
        <is>
          <t>Thành viên " s7612345a "</t>
        </is>
      </c>
      <c r="M127" s="3" t="inlineStr">
        <is>
          <t>1. Thêm thành viên với NRIC " s7612345a ".
2. Bấm Review and submit.</t>
        </is>
      </c>
      <c r="N127" s="3" t="inlineStr">
        <is>
          <t>1. Hiện "The same NRIC/FIN appears twice. ..." vì sau khi chuẩn hoá là S7612345A.</t>
        </is>
      </c>
      <c r="O127" s="3" t="n"/>
      <c r="P127"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t>
        </is>
      </c>
      <c r="Q127" s="3" t="n"/>
      <c r="R127" s="3" t="inlineStr">
        <is>
          <t>Tender R5, US-042, FS F5 v1.2: 6, BR4</t>
        </is>
      </c>
      <c r="S127" s="3" t="n"/>
      <c r="T127" s="2" t="inlineStr">
        <is>
          <t>Draft</t>
        </is>
      </c>
    </row>
    <row r="128" ht="296" customHeight="1">
      <c r="A128" s="2" t="inlineStr">
        <is>
          <t>TC-127</t>
        </is>
      </c>
      <c r="B128" s="2" t="inlineStr">
        <is>
          <t>TS-027</t>
        </is>
      </c>
      <c r="C128" s="3" t="inlineStr">
        <is>
          <t>Full name thành viên 100 ký tự được nhận, 101 ký tự bị chặn</t>
        </is>
      </c>
      <c r="D128" s="3" t="inlineStr">
        <is>
          <t>F5.5 Review application, Part 3 Family and household</t>
        </is>
      </c>
      <c r="E128" s="3" t="inlineStr">
        <is>
          <t>Review application, Part 3 Family members</t>
        </is>
      </c>
      <c r="F128" s="2" t="inlineStr">
        <is>
          <t>S3</t>
        </is>
      </c>
      <c r="G128" s="2" t="inlineStr">
        <is>
          <t>Medium</t>
        </is>
      </c>
      <c r="H128" s="2" t="inlineStr">
        <is>
          <t>Not Run</t>
        </is>
      </c>
      <c r="I128" s="2" t="inlineStr">
        <is>
          <t>Functional</t>
        </is>
      </c>
      <c r="J128" s="3" t="inlineStr">
        <is>
          <t>Prototype: edusave.vercel.app (ngày mẫu 18/10/2026)
Chrome (latest)
Build: ghi khi chạy
Cần: ENV-R5-01</t>
        </is>
      </c>
      <c r="K12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8" s="3" t="inlineStr">
        <is>
          <t>Full name 100 và 101 ký tự a, NRIC S8512301G</t>
        </is>
      </c>
      <c r="M128" s="3" t="inlineStr">
        <is>
          <t>1. Thêm thành viên với Full name 100 ký tự chữ và NRIC S8512301G, bấm Review and submit.
2. Đổi Full name thành 101 ký tự và bấm Review and submit.</t>
        </is>
      </c>
      <c r="N128" s="3" t="inlineStr">
        <is>
          <t>1. 100 ký tự: không có ghi chú.
2. 101 ký tự: hiện "Full name must be 100 characters or fewer."</t>
        </is>
      </c>
      <c r="O128" s="3" t="n"/>
      <c r="P128"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28" s="3" t="n"/>
      <c r="R128" s="3" t="inlineStr">
        <is>
          <t>Tender R5, US-042, FS F5 v1.2: 5 Part 3</t>
        </is>
      </c>
      <c r="S128" s="3" t="n"/>
      <c r="T128" s="2" t="inlineStr">
        <is>
          <t>Draft</t>
        </is>
      </c>
    </row>
    <row r="129" ht="151" customHeight="1">
      <c r="A129" s="2" t="inlineStr">
        <is>
          <t>TC-128</t>
        </is>
      </c>
      <c r="B129" s="2" t="inlineStr">
        <is>
          <t>TS-027</t>
        </is>
      </c>
      <c r="C129" s="3" t="inlineStr">
        <is>
          <t>Full name nhận chữ mọi hệ chữ viết và dấu câu cho phép</t>
        </is>
      </c>
      <c r="D129" s="3" t="inlineStr">
        <is>
          <t>F5.5 Review application, Part 3 Family and household</t>
        </is>
      </c>
      <c r="E129" s="3" t="inlineStr">
        <is>
          <t>Review application, Part 3 Family members</t>
        </is>
      </c>
      <c r="F129" s="2" t="inlineStr">
        <is>
          <t>S3</t>
        </is>
      </c>
      <c r="G129" s="2" t="inlineStr">
        <is>
          <t>Medium</t>
        </is>
      </c>
      <c r="H129" s="2" t="inlineStr">
        <is>
          <t>Not Run</t>
        </is>
      </c>
      <c r="I129" s="2" t="inlineStr">
        <is>
          <t>Functional</t>
        </is>
      </c>
      <c r="J129" s="3" t="inlineStr">
        <is>
          <t>Prototype: edusave.vercel.app (ngày mẫu 18/10/2026)
Chrome (latest)
Build: ghi khi chạy
Cần: ENV-R5-01</t>
        </is>
      </c>
      <c r="K12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29" s="3" t="inlineStr">
        <is>
          <t>Lim Hui Min
Nguyễn Thị Hoa
O'Brien-Tan
李慧敏
Ali bin Abdullah</t>
        </is>
      </c>
      <c r="M129" s="3" t="inlineStr">
        <is>
          <t>1. Nhập lần lượt các tên trong Test Data vào dòng thành viên (NRIC S8512301G) và bấm Review and submit.</t>
        </is>
      </c>
      <c r="N129" s="3" t="inlineStr">
        <is>
          <t>1. Mọi tên được nhận, không có thông báo ký tự không hợp lệ.</t>
        </is>
      </c>
      <c r="O129" s="3" t="n"/>
      <c r="P129"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129" s="3" t="n"/>
      <c r="R129" s="3" t="inlineStr">
        <is>
          <t>Tender R5, US-042, FS F5 v1.2: 5 Part 3</t>
        </is>
      </c>
      <c r="S129" s="3" t="n"/>
      <c r="T129" s="2" t="inlineStr">
        <is>
          <t>Draft</t>
        </is>
      </c>
    </row>
    <row r="130" ht="296" customHeight="1">
      <c r="A130" s="2" t="inlineStr">
        <is>
          <t>TC-129</t>
        </is>
      </c>
      <c r="B130" s="2" t="inlineStr">
        <is>
          <t>TS-027</t>
        </is>
      </c>
      <c r="C130" s="3" t="inlineStr">
        <is>
          <t>Full name có chữ số hoặc ký tự đặc biệt bị chặn</t>
        </is>
      </c>
      <c r="D130" s="3" t="inlineStr">
        <is>
          <t>F5.5 Review application, Part 3 Family and household</t>
        </is>
      </c>
      <c r="E130" s="3" t="inlineStr">
        <is>
          <t>Review application, Part 3 Family members</t>
        </is>
      </c>
      <c r="F130" s="2" t="inlineStr">
        <is>
          <t>S2</t>
        </is>
      </c>
      <c r="G130" s="2" t="inlineStr">
        <is>
          <t>Medium</t>
        </is>
      </c>
      <c r="H130" s="2" t="inlineStr">
        <is>
          <t>Not Run</t>
        </is>
      </c>
      <c r="I130" s="2" t="inlineStr">
        <is>
          <t>Functional</t>
        </is>
      </c>
      <c r="J130" s="3" t="inlineStr">
        <is>
          <t>Prototype: edusave.vercel.app (ngày mẫu 18/10/2026)
Chrome (latest)
Build: ghi khi chạy
Cần: ENV-R5-01</t>
        </is>
      </c>
      <c r="K13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0" s="3" t="inlineStr">
        <is>
          <t>Lim 123
Lim&lt;Hui&gt;
Lim;Hui
Lim{Hui}</t>
        </is>
      </c>
      <c r="M130" s="3" t="inlineStr">
        <is>
          <t>1. Nhập lần lượt các tên trong Test Data vào dòng thành viên (NRIC S8512301G) và bấm Review and submit.</t>
        </is>
      </c>
      <c r="N130" s="3" t="inlineStr">
        <is>
          <t>1. Mỗi lần hiện "Full name contains invalid characters." và hộp thoại không mở.</t>
        </is>
      </c>
      <c r="O130" s="3" t="n"/>
      <c r="P130"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30" s="3" t="n"/>
      <c r="R130" s="3" t="inlineStr">
        <is>
          <t>Tender R5, US-042, FS F5 v1.2: 5 Part 3</t>
        </is>
      </c>
      <c r="S130" s="3" t="n"/>
      <c r="T130" s="2" t="inlineStr">
        <is>
          <t>Draft</t>
        </is>
      </c>
    </row>
    <row r="131" ht="296" customHeight="1">
      <c r="A131" s="2" t="inlineStr">
        <is>
          <t>TC-130</t>
        </is>
      </c>
      <c r="B131" s="2" t="inlineStr">
        <is>
          <t>TS-027</t>
        </is>
      </c>
      <c r="C131" s="3" t="inlineStr">
        <is>
          <t>Full name chứa script và SQL bị từ chối và không chạy</t>
        </is>
      </c>
      <c r="D131" s="3" t="inlineStr">
        <is>
          <t>F5.5 Review application, Part 3 Family and household</t>
        </is>
      </c>
      <c r="E131" s="3" t="inlineStr">
        <is>
          <t>Review application, Part 3 Family members</t>
        </is>
      </c>
      <c r="F131" s="2" t="inlineStr">
        <is>
          <t>S1 (highest)</t>
        </is>
      </c>
      <c r="G131" s="2" t="inlineStr">
        <is>
          <t>High</t>
        </is>
      </c>
      <c r="H131" s="2" t="inlineStr">
        <is>
          <t>Not Run</t>
        </is>
      </c>
      <c r="I131" s="2" t="inlineStr">
        <is>
          <t>Security</t>
        </is>
      </c>
      <c r="J131" s="3" t="inlineStr">
        <is>
          <t>Prototype: edusave.vercel.app (ngày mẫu 18/10/2026)
Chrome (latest)
Build: ghi khi chạy
Cần: ENV-R5-01</t>
        </is>
      </c>
      <c r="K13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1" s="3" t="inlineStr">
        <is>
          <t>&lt;script&gt;alert(1)&lt;/script&gt;
' OR '1'='1
${jndi:ldap://x}
{{7*7}}</t>
        </is>
      </c>
      <c r="M131" s="3" t="inlineStr">
        <is>
          <t>1. Nhập lần lượt các chuỗi trong Test Data vào Full name thành viên và bấm Review and submit.</t>
        </is>
      </c>
      <c r="N131" s="3" t="inlineStr">
        <is>
          <t>1. Mỗi lần hiện "Full name contains invalid characters.", không alert, không lỗi hệ thống.
2. Không dữ liệu nào bị đổi.</t>
        </is>
      </c>
      <c r="O131" s="3" t="n"/>
      <c r="P131" s="3" t="inlineStr">
        <is>
          <t>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31" s="3" t="n"/>
      <c r="R131" s="3" t="inlineStr">
        <is>
          <t>Tender R5, US-042, FS F5 v1.2: 5 Part 3, R5_FAS_Validation_Rules C19</t>
        </is>
      </c>
      <c r="S131" s="3" t="n"/>
      <c r="T131" s="2" t="inlineStr">
        <is>
          <t>Draft</t>
        </is>
      </c>
    </row>
    <row r="132" ht="296" customHeight="1">
      <c r="A132" s="2" t="inlineStr">
        <is>
          <t>TC-131</t>
        </is>
      </c>
      <c r="B132" s="2" t="inlineStr">
        <is>
          <t>TS-027</t>
        </is>
      </c>
      <c r="C132" s="3" t="inlineStr">
        <is>
          <t>NRIC thành viên sai cấu trúc bị chặn</t>
        </is>
      </c>
      <c r="D132" s="3" t="inlineStr">
        <is>
          <t>F5.5 Review application, Part 3 Family and household</t>
        </is>
      </c>
      <c r="E132" s="3" t="inlineStr">
        <is>
          <t>Review application, Part 3 Family members</t>
        </is>
      </c>
      <c r="F132" s="2" t="inlineStr">
        <is>
          <t>S2</t>
        </is>
      </c>
      <c r="G132" s="2" t="inlineStr">
        <is>
          <t>Medium</t>
        </is>
      </c>
      <c r="H132" s="2" t="inlineStr">
        <is>
          <t>Not Run</t>
        </is>
      </c>
      <c r="I132" s="2" t="inlineStr">
        <is>
          <t>Functional</t>
        </is>
      </c>
      <c r="J132" s="3" t="inlineStr">
        <is>
          <t>Prototype: edusave.vercel.app (ngày mẫu 18/10/2026)
Chrome (latest)
Build: ghi khi chạy
Cần: ENV-R5-01</t>
        </is>
      </c>
      <c r="K13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2" s="3" t="inlineStr">
        <is>
          <t>S761234A
S7612345AB
A7612345B
S76A2345B</t>
        </is>
      </c>
      <c r="M132" s="3" t="inlineStr">
        <is>
          <t>1. Nhập lần lượt các NRIC trong Test Data vào dòng thành viên (Full name Lim Hui Min) và bấm Review and submit.</t>
        </is>
      </c>
      <c r="N132" s="3" t="inlineStr">
        <is>
          <t>1. Mỗi lần hiện "Enter a valid NRIC/FIN." và hộp thoại không mở.
2. NRIC thành viên không bị khoá và không tra hồ sơ MOE.</t>
        </is>
      </c>
      <c r="O132" s="3" t="n"/>
      <c r="P132" s="3" t="inlineStr">
        <is>
          <t>ASM-R5-06: 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32" s="3" t="n"/>
      <c r="R132" s="3" t="inlineStr">
        <is>
          <t>Tender R5, US-042, FS F5 v1.2: 5 Part 3</t>
        </is>
      </c>
      <c r="S132" s="3" t="n"/>
      <c r="T132" s="2" t="inlineStr">
        <is>
          <t>Draft</t>
        </is>
      </c>
    </row>
    <row r="133" ht="151" customHeight="1">
      <c r="A133" s="2" t="inlineStr">
        <is>
          <t>TC-132</t>
        </is>
      </c>
      <c r="B133" s="2" t="inlineStr">
        <is>
          <t>TS-027</t>
        </is>
      </c>
      <c r="C133" s="3" t="inlineStr">
        <is>
          <t>Gender của thành viên có Male, Female, Other</t>
        </is>
      </c>
      <c r="D133" s="3" t="inlineStr">
        <is>
          <t>F5.5 Review application, Part 3 Family and household</t>
        </is>
      </c>
      <c r="E133" s="3" t="inlineStr">
        <is>
          <t>Review application, Part 3 Family members</t>
        </is>
      </c>
      <c r="F133" s="2" t="inlineStr">
        <is>
          <t>S3</t>
        </is>
      </c>
      <c r="G133" s="2" t="inlineStr">
        <is>
          <t>Low</t>
        </is>
      </c>
      <c r="H133" s="2" t="inlineStr">
        <is>
          <t>Not Run</t>
        </is>
      </c>
      <c r="I133" s="2" t="inlineStr">
        <is>
          <t>Functional</t>
        </is>
      </c>
      <c r="J133" s="3" t="inlineStr">
        <is>
          <t>Prototype: edusave.vercel.app (ngày mẫu 18/10/2026)
Chrome (latest)
Build: ghi khi chạy
Cần: ENV-R5-01</t>
        </is>
      </c>
      <c r="K13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3" s="3" t="inlineStr">
        <is>
          <t>Dòng thành viên Lim Hui Min</t>
        </is>
      </c>
      <c r="M133" s="3" t="inlineStr">
        <is>
          <t>1. Mở danh sách Gender của dòng thành viên và đọc các giá trị.
2. Chọn từng giá trị.</t>
        </is>
      </c>
      <c r="N133" s="3" t="inlineStr">
        <is>
          <t>1. Ba giá trị Male, Female, Other, chọn được từng giá trị.
2. Để trống Gender không chặn nộp.</t>
        </is>
      </c>
      <c r="O133" s="3" t="n"/>
      <c r="P133" s="3" t="inlineStr">
        <is>
          <t>ASM-R5-10: Gender của thành viên có Male, Female, Other như Part 1 và tuỳ chọn khi dòng thành viên để trống.</t>
        </is>
      </c>
      <c r="Q133" s="3" t="n"/>
      <c r="R133" s="3" t="inlineStr">
        <is>
          <t>Tender R5, US-042, FS F5 v1.2: 5 Part 3</t>
        </is>
      </c>
      <c r="S133" s="3" t="n"/>
      <c r="T133" s="2" t="inlineStr">
        <is>
          <t>Draft</t>
        </is>
      </c>
    </row>
    <row r="134" ht="151" customHeight="1">
      <c r="A134" s="2" t="inlineStr">
        <is>
          <t>TC-133</t>
        </is>
      </c>
      <c r="B134" s="2" t="inlineStr">
        <is>
          <t>TS-028</t>
        </is>
      </c>
      <c r="C134" s="3" t="inlineStr">
        <is>
          <t>Household summary theo hình FS: GHI 4,300.00, 4 người, PCI 1,075.00</t>
        </is>
      </c>
      <c r="D134" s="3" t="inlineStr">
        <is>
          <t>F5.5 Review application, Part 3 Family and household</t>
        </is>
      </c>
      <c r="E134" s="3" t="inlineStr">
        <is>
          <t>Review application, Part 3 Family members</t>
        </is>
      </c>
      <c r="F134" s="2" t="inlineStr">
        <is>
          <t>S1 (highest)</t>
        </is>
      </c>
      <c r="G134" s="2" t="inlineStr">
        <is>
          <t>Critical</t>
        </is>
      </c>
      <c r="H134" s="2" t="inlineStr">
        <is>
          <t>Not Run</t>
        </is>
      </c>
      <c r="I134" s="2" t="inlineStr">
        <is>
          <t>Functional</t>
        </is>
      </c>
      <c r="J134" s="3" t="inlineStr">
        <is>
          <t>Prototype: edusave.vercel.app (ngày mẫu 18/10/2026)
Chrome (latest)
Build: ghi khi chạy
Cần: ENV-R5-01</t>
        </is>
      </c>
      <c r="K13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4" s="3" t="inlineStr">
        <is>
          <t>Người khai S7612345A, con T1412345B và T1012345A, thành viên Lim Hui Min</t>
        </is>
      </c>
      <c r="M134" s="3" t="inlineStr">
        <is>
          <t>1. Nhập con 2 T1012345A (Add child).
2. Thêm thành viên Lim Hui Min với NRIC theo FS.
3. Đọc phần tóm tắt hộ gia đình ở Part 3.</t>
        </is>
      </c>
      <c r="N134" s="3" t="inlineStr">
        <is>
          <t>1. Household size 4 (1 người khai, 2 con, 1 thành viên).
2. Gross household income S$ 4,300.00 mỗi tháng.
3. Per capita income S$ 1,075.00.</t>
        </is>
      </c>
      <c r="O134" s="3" t="n"/>
      <c r="P134" s="3" t="inlineStr">
        <is>
          <t>N/A</t>
        </is>
      </c>
      <c r="Q134" s="3" t="n"/>
      <c r="R134" s="3" t="inlineStr">
        <is>
          <t>Tender R5, US-042, FS F5 v1.2: 5 Part 3, FS 7, hình Review application</t>
        </is>
      </c>
      <c r="S134" s="3" t="inlineStr">
        <is>
          <t>Thu nhập của từng người đọc từ dữ liệu Chính phủ tại lúc chạy, tổng phải là 4,300.00.</t>
        </is>
      </c>
      <c r="T134" s="2" t="inlineStr">
        <is>
          <t>Approve</t>
        </is>
      </c>
    </row>
    <row r="135" ht="151" customHeight="1">
      <c r="A135" s="2" t="inlineStr">
        <is>
          <t>TC-134</t>
        </is>
      </c>
      <c r="B135" s="2" t="inlineStr">
        <is>
          <t>TS-028</t>
        </is>
      </c>
      <c r="C135" s="3" t="inlineStr">
        <is>
          <t>Part 3 không có ô nhập thu nhập</t>
        </is>
      </c>
      <c r="D135" s="3" t="inlineStr">
        <is>
          <t>F5.5 Review application, Part 3 Family and household</t>
        </is>
      </c>
      <c r="E135" s="3" t="inlineStr">
        <is>
          <t>Review application, Part 3 Family members</t>
        </is>
      </c>
      <c r="F135" s="2" t="inlineStr">
        <is>
          <t>S2</t>
        </is>
      </c>
      <c r="G135" s="2" t="inlineStr">
        <is>
          <t>Medium</t>
        </is>
      </c>
      <c r="H135" s="2" t="inlineStr">
        <is>
          <t>Not Run</t>
        </is>
      </c>
      <c r="I135" s="2" t="inlineStr">
        <is>
          <t>Functional</t>
        </is>
      </c>
      <c r="J135" s="3" t="inlineStr">
        <is>
          <t>Prototype: edusave.vercel.app (ngày mẫu 18/10/2026)
Chrome (latest)
Build: ghi khi chạy
Cần: ENV-R5-01</t>
        </is>
      </c>
      <c r="K13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5" s="3" t="inlineStr"/>
      <c r="M135" s="3" t="inlineStr">
        <is>
          <t>1. Đọc các ô của dòng thành viên và của phần tóm tắt.</t>
        </is>
      </c>
      <c r="N135" s="3" t="inlineStr">
        <is>
          <t>1. Chỉ có Full name, NRIC, Gender cho mỗi thành viên.
2. GHI, Household size, PCI chỉ hiển thị, không gõ được.</t>
        </is>
      </c>
      <c r="O135" s="3" t="n"/>
      <c r="P135" s="3" t="inlineStr">
        <is>
          <t>N/A</t>
        </is>
      </c>
      <c r="Q135" s="3" t="n"/>
      <c r="R135" s="3" t="inlineStr">
        <is>
          <t>Tender R5, US-042, FS F5 v1.2: 5 Part 3, BR4</t>
        </is>
      </c>
      <c r="S135" s="3" t="n"/>
      <c r="T135" s="2" t="inlineStr">
        <is>
          <t>Approve</t>
        </is>
      </c>
    </row>
    <row r="136" ht="151" customHeight="1">
      <c r="A136" s="2" t="inlineStr">
        <is>
          <t>TC-135</t>
        </is>
      </c>
      <c r="B136" s="2" t="inlineStr">
        <is>
          <t>TS-028</t>
        </is>
      </c>
      <c r="C136" s="3" t="inlineStr">
        <is>
          <t>Household size đổi khi thêm con hoặc thành viên</t>
        </is>
      </c>
      <c r="D136" s="3" t="inlineStr">
        <is>
          <t>F5.5 Review application, Part 3 Family and household</t>
        </is>
      </c>
      <c r="E136" s="3" t="inlineStr">
        <is>
          <t>Review application, Part 3 Family members</t>
        </is>
      </c>
      <c r="F136" s="2" t="inlineStr">
        <is>
          <t>S2</t>
        </is>
      </c>
      <c r="G136" s="2" t="inlineStr">
        <is>
          <t>Medium</t>
        </is>
      </c>
      <c r="H136" s="2" t="inlineStr">
        <is>
          <t>Not Run</t>
        </is>
      </c>
      <c r="I136" s="2" t="inlineStr">
        <is>
          <t>Functional</t>
        </is>
      </c>
      <c r="J136" s="3" t="inlineStr">
        <is>
          <t>Prototype: edusave.vercel.app (ngày mẫu 18/10/2026)
Chrome (latest)
Build: ghi khi chạy
Cần: ENV-R5-01</t>
        </is>
      </c>
      <c r="K13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6" s="3" t="inlineStr">
        <is>
          <t>Con 1 T1412345B (Tan Mei Ling, Bukit View Primary P6); con 2 T1012345A; thành viên S8512301G</t>
        </is>
      </c>
      <c r="M136" s="3" t="inlineStr">
        <is>
          <t>1. Đọc Household size với 1 con và không thành viên.
2. Thêm con 2 T1012345A, đọc.
3. Thêm thành viên S8512301G, đọc.</t>
        </is>
      </c>
      <c r="N136" s="3" t="inlineStr">
        <is>
          <t>1. Household size lần lượt 2, 3, 4.</t>
        </is>
      </c>
      <c r="O136" s="3" t="n"/>
      <c r="P136" s="3" t="inlineStr">
        <is>
          <t>ASM-R5-11: 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Q136" s="3" t="n"/>
      <c r="R136" s="3" t="inlineStr">
        <is>
          <t>Tender R5, US-042, FS F5 v1.2: 5 Part 3, FS 7</t>
        </is>
      </c>
      <c r="S136" s="3" t="n"/>
      <c r="T136" s="2" t="inlineStr">
        <is>
          <t>Draft</t>
        </is>
      </c>
    </row>
    <row r="137" ht="107.5" customHeight="1">
      <c r="A137" s="2" t="inlineStr">
        <is>
          <t>TC-136</t>
        </is>
      </c>
      <c r="B137" s="2" t="inlineStr">
        <is>
          <t>TS-028</t>
        </is>
      </c>
      <c r="C137" s="3" t="inlineStr">
        <is>
          <t>Thu nhập của thành viên lấy từ dữ liệu Chính phủ và tính lại khi đổi NRIC</t>
        </is>
      </c>
      <c r="D137" s="3" t="inlineStr">
        <is>
          <t>F5.5 Review application, Part 3 Family and household</t>
        </is>
      </c>
      <c r="E137" s="3" t="inlineStr">
        <is>
          <t>Review application, Part 3 Family members</t>
        </is>
      </c>
      <c r="F137" s="2" t="inlineStr">
        <is>
          <t>S2</t>
        </is>
      </c>
      <c r="G137" s="2" t="inlineStr">
        <is>
          <t>High</t>
        </is>
      </c>
      <c r="H137" s="2" t="inlineStr">
        <is>
          <t>Not Run</t>
        </is>
      </c>
      <c r="I137" s="2" t="inlineStr">
        <is>
          <t>Functional</t>
        </is>
      </c>
      <c r="J137" s="3" t="inlineStr">
        <is>
          <t>Bản F5 có API (chưa có)
Chrome (latest)
Build: ghi khi chạy
Cần: ENV-R5-02, ENV-R5-03</t>
        </is>
      </c>
      <c r="K137" s="3" t="inlineStr">
        <is>
          <t>1. Bản F5 có API chạy, dữ liệu SEED-R5 đã nạp.
2. Đã đăng nhập School user BVP-0012 Lan Nguyen, trường Bukit View Primary.
3. Màn Review application đang mở, Part 1 và con 1 đã tự điền.</t>
        </is>
      </c>
      <c r="L137" s="3" t="inlineStr">
        <is>
          <t>S8512301G: S$ 2,000.00 mỗi tháng
S5811122H: S$ 3,000.00 mỗi tháng
Thu nhập người khai: giá trị tại SEED-R5-22</t>
        </is>
      </c>
      <c r="M137" s="3" t="inlineStr">
        <is>
          <t>1. Thêm thành viên với NRIC S8512301G và đọc GHI.
2. Đổi NRIC thành viên sang S5811122H và đọc GHI.</t>
        </is>
      </c>
      <c r="N137" s="3" t="inlineStr">
        <is>
          <t>1. GHI bằng thu nhập của người khai cộng thu nhập của thành viên theo dữ liệu Chính phủ.
2. Sau khi đổi NRIC GHI được tính lại theo thành viên mới.</t>
        </is>
      </c>
      <c r="O137" s="3" t="n"/>
      <c r="P137" s="3" t="inlineStr">
        <is>
          <t>ASM-R5-11: 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Q137" s="3" t="n"/>
      <c r="R137" s="3" t="inlineStr">
        <is>
          <t>Tender R5, US-042, FS F5 v1.2: 2 bước 3, BR4</t>
        </is>
      </c>
      <c r="S137" s="3" t="inlineStr">
        <is>
          <t>Các số tiền là giá trị seed, ghi lại giá trị thật khi nạp.</t>
        </is>
      </c>
      <c r="T137" s="2" t="inlineStr">
        <is>
          <t>Draft</t>
        </is>
      </c>
    </row>
    <row r="138" ht="151" customHeight="1">
      <c r="A138" s="2" t="inlineStr">
        <is>
          <t>TC-137</t>
        </is>
      </c>
      <c r="B138" s="2" t="inlineStr">
        <is>
          <t>TS-028</t>
        </is>
      </c>
      <c r="C138" s="3" t="inlineStr">
        <is>
          <t>Thu nhập của các con không tính vào GHI</t>
        </is>
      </c>
      <c r="D138" s="3" t="inlineStr">
        <is>
          <t>F5.5 Review application, Part 3 Family and household</t>
        </is>
      </c>
      <c r="E138" s="3" t="inlineStr">
        <is>
          <t>Review application, Part 3 Family members</t>
        </is>
      </c>
      <c r="F138" s="2" t="inlineStr">
        <is>
          <t>S2</t>
        </is>
      </c>
      <c r="G138" s="2" t="inlineStr">
        <is>
          <t>Medium</t>
        </is>
      </c>
      <c r="H138" s="2" t="inlineStr">
        <is>
          <t>Not Run</t>
        </is>
      </c>
      <c r="I138" s="2" t="inlineStr">
        <is>
          <t>Functional</t>
        </is>
      </c>
      <c r="J138" s="3" t="inlineStr">
        <is>
          <t>Prototype: edusave.vercel.app (ngày mẫu 18/10/2026)
Chrome (latest)
Build: ghi khi chạy
Cần: ENV-R5-01</t>
        </is>
      </c>
      <c r="K13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38" s="3" t="inlineStr">
        <is>
          <t>Con 1 T1412345B (Tan Mei Ling, Bukit View Primary P6); con 2 T1012345A</t>
        </is>
      </c>
      <c r="M138" s="3" t="inlineStr">
        <is>
          <t>1. Đọc GHI với 1 con.
2. Thêm con 2 và đọc lại GHI.</t>
        </is>
      </c>
      <c r="N138" s="3" t="inlineStr">
        <is>
          <t>1. GHI không đổi khi thêm con, chỉ Household size và PCI đổi.</t>
        </is>
      </c>
      <c r="O138" s="3" t="n"/>
      <c r="P138" s="3" t="inlineStr">
        <is>
          <t>ASM-R5-11: 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Q138" s="3" t="n"/>
      <c r="R138" s="3" t="inlineStr">
        <is>
          <t>Tender R5, US-042, FS F5 v1.2: 5 Part 3</t>
        </is>
      </c>
      <c r="S138" s="3" t="inlineStr">
        <is>
          <t>Điểm mở O12.</t>
        </is>
      </c>
      <c r="T138" s="2" t="inlineStr">
        <is>
          <t>Draft</t>
        </is>
      </c>
    </row>
    <row r="139" ht="107.5" customHeight="1">
      <c r="A139" s="2" t="inlineStr">
        <is>
          <t>TC-138</t>
        </is>
      </c>
      <c r="B139" s="2" t="inlineStr">
        <is>
          <t>TS-028</t>
        </is>
      </c>
      <c r="C139" s="3" t="inlineStr">
        <is>
          <t>PCI hiển thị S$ hai chữ số thập phân theo giá trị chính xác</t>
        </is>
      </c>
      <c r="D139" s="3" t="inlineStr">
        <is>
          <t>F5.5 Review application, Part 3 Family and household</t>
        </is>
      </c>
      <c r="E139" s="3" t="inlineStr">
        <is>
          <t>Review application, Part 3 Family members</t>
        </is>
      </c>
      <c r="F139" s="2" t="inlineStr">
        <is>
          <t>S2</t>
        </is>
      </c>
      <c r="G139" s="2" t="inlineStr">
        <is>
          <t>Medium</t>
        </is>
      </c>
      <c r="H139" s="2" t="inlineStr">
        <is>
          <t>Not Run</t>
        </is>
      </c>
      <c r="I139" s="2" t="inlineStr">
        <is>
          <t>Functional</t>
        </is>
      </c>
      <c r="J139" s="3" t="inlineStr">
        <is>
          <t>Bản F5 có API (chưa có)
Chrome (latest)
Build: ghi khi chạy
Cần: ENV-R5-02, ENV-R5-03</t>
        </is>
      </c>
      <c r="K139" s="3" t="inlineStr">
        <is>
          <t>1. Bản F5 có API chạy, dữ liệu SEED-R5 đã nạp.
2. Đã đăng nhập School user BVP-0012 Lan Nguyen, trường Bukit View Primary.
3. Màn Review application đang mở.</t>
        </is>
      </c>
      <c r="L139" s="3" t="inlineStr">
        <is>
          <t>SEED-R5-22: các tổ hợp thu nhập cho hai mẫu</t>
        </is>
      </c>
      <c r="M139" s="3" t="inlineStr">
        <is>
          <t>1. Dựng mẫu có GHI 4,350.00 và Household size 4.
2. Đọc PCI.
3. Dựng mẫu có GHI 1,000.00 và Household size 3.
4. Đọc PCI.</t>
        </is>
      </c>
      <c r="N139" s="3" t="inlineStr">
        <is>
          <t>1. GHI 4,350.00 chia 4 cho PCI S$ 1,087.50.
2. GHI 1,000.00 chia 3 cho PCI S$ 333.33.</t>
        </is>
      </c>
      <c r="O139" s="3" t="n"/>
      <c r="P139" s="3" t="inlineStr">
        <is>
          <t>ASM-R5-11: 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Q139" s="3" t="n"/>
      <c r="R139" s="3" t="inlineStr">
        <is>
          <t>Tender R5, US-042, FS F5 v1.2: 5 Part 3, FS 7</t>
        </is>
      </c>
      <c r="S139" s="3" t="inlineStr">
        <is>
          <t>Prototype của F4 hiển thị PCI làm tròn (1,088.00 cho 1,087.50), kiểm tra F5 có cùng lỗi không.</t>
        </is>
      </c>
      <c r="T139" s="2" t="inlineStr">
        <is>
          <t>Draft</t>
        </is>
      </c>
    </row>
    <row r="140" ht="107.5" customHeight="1">
      <c r="A140" s="2" t="inlineStr">
        <is>
          <t>TC-139</t>
        </is>
      </c>
      <c r="B140" s="2" t="inlineStr">
        <is>
          <t>TS-028</t>
        </is>
      </c>
      <c r="C140" s="3" t="inlineStr">
        <is>
          <t>Thành viên không có dữ liệu thu nhập</t>
        </is>
      </c>
      <c r="D140" s="3" t="inlineStr">
        <is>
          <t>F5.5 Review application, Part 3 Family and household</t>
        </is>
      </c>
      <c r="E140" s="3" t="inlineStr">
        <is>
          <t>Review application, Part 3 Family members</t>
        </is>
      </c>
      <c r="F140" s="2" t="inlineStr">
        <is>
          <t>S2</t>
        </is>
      </c>
      <c r="G140" s="2" t="inlineStr">
        <is>
          <t>Medium</t>
        </is>
      </c>
      <c r="H140" s="2" t="inlineStr">
        <is>
          <t>Not Run</t>
        </is>
      </c>
      <c r="I140" s="2" t="inlineStr">
        <is>
          <t>Functional</t>
        </is>
      </c>
      <c r="J140" s="3" t="inlineStr">
        <is>
          <t>Bản F5 có API (chưa có)
Chrome (latest)
Build: ghi khi chạy
Cần: ENV-R5-02, ENV-R5-03, ENV-R5-07</t>
        </is>
      </c>
      <c r="K140" s="3" t="inlineStr">
        <is>
          <t>1. Bản F5 có API chạy, dữ liệu SEED-R5 đã nạp.
2. Đã đăng nhập School user BVP-0012 Lan Nguyen, trường Bukit View Primary.
3. Màn Review application đang mở.</t>
        </is>
      </c>
      <c r="L140" s="3" t="inlineStr">
        <is>
          <t>Thành viên S6611144Z không có dữ liệu thu nhập</t>
        </is>
      </c>
      <c r="M140" s="3" t="inlineStr">
        <is>
          <t>1. Thêm thành viên với NRIC không có dữ liệu thu nhập trong dữ liệu Chính phủ.
2. Đọc GHI và bấm Review and submit.</t>
        </is>
      </c>
      <c r="N140" s="3" t="inlineStr">
        <is>
          <t>1. Thu nhập của thành viên đó tính 0, GHI bằng tổng thu nhập của những người còn lại.
2. Household size vẫn tính thành viên đó và PCI chia cho số người đã tính.
3. Review and submit không bị chặn vì thiếu dữ liệu thu nhập của thành viên.</t>
        </is>
      </c>
      <c r="O140" s="3" t="n"/>
      <c r="P140" s="3" t="inlineStr">
        <is>
          <t>ASM-R5-11: 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Q140" s="3" t="n"/>
      <c r="R140" s="3" t="inlineStr">
        <is>
          <t>Tender R5, US-042, FS F5 v1.2: 5 Part 3, BR4</t>
        </is>
      </c>
      <c r="S140" s="3" t="inlineStr">
        <is>
          <t>Điểm mở O12: tính 0 hay chặn nộp. FS không nêu, kết quả theo ASM-R5-11.</t>
        </is>
      </c>
      <c r="T140" s="2" t="inlineStr">
        <is>
          <t>Draft</t>
        </is>
      </c>
    </row>
    <row r="141" ht="310.5" customHeight="1">
      <c r="A141" s="2" t="inlineStr">
        <is>
          <t>TC-140</t>
        </is>
      </c>
      <c r="B141" s="2" t="inlineStr">
        <is>
          <t>TS-028</t>
        </is>
      </c>
      <c r="C141" s="3" t="inlineStr">
        <is>
          <t>API thu nhập Chính phủ lỗi thì không nộp được</t>
        </is>
      </c>
      <c r="D141" s="3" t="inlineStr">
        <is>
          <t>F5.5 Review application, Part 3 Family and household</t>
        </is>
      </c>
      <c r="E141" s="3" t="inlineStr">
        <is>
          <t>Review application, Part 3 Family members</t>
        </is>
      </c>
      <c r="F141" s="2" t="inlineStr">
        <is>
          <t>S1 (highest)</t>
        </is>
      </c>
      <c r="G141" s="2" t="inlineStr">
        <is>
          <t>High</t>
        </is>
      </c>
      <c r="H141" s="2" t="inlineStr">
        <is>
          <t>Not Run</t>
        </is>
      </c>
      <c r="I141" s="2" t="inlineStr">
        <is>
          <t>Integration</t>
        </is>
      </c>
      <c r="J141" s="3" t="inlineStr">
        <is>
          <t>Bản F5 có API (chưa có)
Chrome (latest)
Build: ghi khi chạy
Cần: ENV-R5-02, ENV-R5-07</t>
        </is>
      </c>
      <c r="K141" s="3" t="inlineStr">
        <is>
          <t>1. Bản F5 có API chạy, dữ liệu SEED-R5 đã nạp.
2. Đã đăng nhập School user BVP-0012 Lan Nguyen, trường Bukit View Primary.
3. Màn Review application đang mở, Part 1 và con 1 đã tự điền.</t>
        </is>
      </c>
      <c r="L141" s="3" t="inlineStr"/>
      <c r="M141" s="3" t="inlineStr">
        <is>
          <t>1. Cho API thu nhập Chính phủ trả lỗi.
2. Thêm thành viên S8512301G.
3. Bấm Review and submit.</t>
        </is>
      </c>
      <c r="N141" s="3" t="inlineStr">
        <is>
          <t>1. Hiện "Something went wrong. Please try again."
2. Hộp thoại Review before submitting không mở, không tạo đơn nào.</t>
        </is>
      </c>
      <c r="O141" s="3" t="n"/>
      <c r="P141"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141" s="3" t="n"/>
      <c r="R141" s="3" t="inlineStr">
        <is>
          <t>Tender R5, US-042, FS F5 v1.2: 2 bước 3, VR-F5-S10</t>
        </is>
      </c>
      <c r="S141" s="3" t="n"/>
      <c r="T141" s="2" t="inlineStr">
        <is>
          <t>Draft</t>
        </is>
      </c>
    </row>
    <row r="142" ht="151" customHeight="1">
      <c r="A142" s="2" t="inlineStr">
        <is>
          <t>TC-141</t>
        </is>
      </c>
      <c r="B142" s="2" t="inlineStr">
        <is>
          <t>TS-029</t>
        </is>
      </c>
      <c r="C142" s="3" t="inlineStr">
        <is>
          <t>Context để trống vẫn nộp được</t>
        </is>
      </c>
      <c r="D142" s="3" t="inlineStr">
        <is>
          <t>F5.6 Review application, Part 4 Context and Part 5 Declaration</t>
        </is>
      </c>
      <c r="E142" s="3" t="inlineStr">
        <is>
          <t>Review application, Part 4 and Part 5</t>
        </is>
      </c>
      <c r="F142" s="2" t="inlineStr">
        <is>
          <t>S2</t>
        </is>
      </c>
      <c r="G142" s="2" t="inlineStr">
        <is>
          <t>High</t>
        </is>
      </c>
      <c r="H142" s="2" t="inlineStr">
        <is>
          <t>Not Run</t>
        </is>
      </c>
      <c r="I142" s="2" t="inlineStr">
        <is>
          <t>Functional</t>
        </is>
      </c>
      <c r="J142" s="3" t="inlineStr">
        <is>
          <t>Prototype: edusave.vercel.app (ngày mẫu 18/10/2026)
Chrome (latest)
Build: ghi khi chạy
Cần: ENV-R5-01</t>
        </is>
      </c>
      <c r="K14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2" s="3" t="inlineStr">
        <is>
          <t>Context trống</t>
        </is>
      </c>
      <c r="M142" s="3" t="inlineStr">
        <is>
          <t>1. Để trống Context.
2. Hoàn tất các phần khác hợp lệ và bấm Review and submit.</t>
        </is>
      </c>
      <c r="N142" s="3" t="inlineStr">
        <is>
          <t>1. Không có ghi chú về Context, hộp thoại Review before submitting mở.</t>
        </is>
      </c>
      <c r="O142" s="3" t="n"/>
      <c r="P142" s="3" t="inlineStr">
        <is>
          <t>N/A</t>
        </is>
      </c>
      <c r="Q142" s="3" t="n"/>
      <c r="R142" s="3" t="inlineStr">
        <is>
          <t>Tender R5, US-042, FS F5 v1.2: 5 Part 4, BR5</t>
        </is>
      </c>
      <c r="S142" s="3" t="n"/>
      <c r="T142" s="2" t="inlineStr">
        <is>
          <t>Approve</t>
        </is>
      </c>
    </row>
    <row r="143" ht="151" customHeight="1">
      <c r="A143" s="2" t="inlineStr">
        <is>
          <t>TC-142</t>
        </is>
      </c>
      <c r="B143" s="2" t="inlineStr">
        <is>
          <t>TS-029</t>
        </is>
      </c>
      <c r="C143" s="3" t="inlineStr">
        <is>
          <t>Context hiện đúng ở hộp thoại Review before submitting</t>
        </is>
      </c>
      <c r="D143" s="3" t="inlineStr">
        <is>
          <t>F5.6 Review application, Part 4 Context and Part 5 Declaration</t>
        </is>
      </c>
      <c r="E143" s="3" t="inlineStr">
        <is>
          <t>Review application, Part 4 and Part 5</t>
        </is>
      </c>
      <c r="F143" s="2" t="inlineStr">
        <is>
          <t>S1 (highest)</t>
        </is>
      </c>
      <c r="G143" s="2" t="inlineStr">
        <is>
          <t>High</t>
        </is>
      </c>
      <c r="H143" s="2" t="inlineStr">
        <is>
          <t>Not Run</t>
        </is>
      </c>
      <c r="I143" s="2" t="inlineStr">
        <is>
          <t>Functional</t>
        </is>
      </c>
      <c r="J143" s="3" t="inlineStr">
        <is>
          <t>Prototype: edusave.vercel.app (ngày mẫu 18/10/2026)
Chrome (latest)
Build: ghi khi chạy
Cần: ENV-R5-01</t>
        </is>
      </c>
      <c r="K14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3" s="3" t="inlineStr">
        <is>
          <t>Context: Father works shifts; the family hopes for help with transport.</t>
        </is>
      </c>
      <c r="M143" s="3" t="inlineStr">
        <is>
          <t>1. Nhập Context "Father works shifts; the family hopes for help with transport.".
2. Hoàn tất các phần khác hợp lệ, bấm Review and submit.
3. Đọc Part 4 của hộp thoại.</t>
        </is>
      </c>
      <c r="N143" s="3" t="inlineStr">
        <is>
          <t>1. Part 4 · Context hiện đúng nội dung "Father works shifts; the family hopes for help with transport.".</t>
        </is>
      </c>
      <c r="O143" s="3" t="n"/>
      <c r="P143" s="3" t="inlineStr">
        <is>
          <t>N/A</t>
        </is>
      </c>
      <c r="Q143" s="3" t="n"/>
      <c r="R143" s="3" t="inlineStr">
        <is>
          <t>Tender R5, US-042, FS F5 v1.2: 5 Part 4, 7, T11</t>
        </is>
      </c>
      <c r="S143" s="3" t="n"/>
      <c r="T143" s="2" t="inlineStr">
        <is>
          <t>Approve</t>
        </is>
      </c>
    </row>
    <row r="144" ht="93" customHeight="1">
      <c r="A144" s="2" t="inlineStr">
        <is>
          <t>TC-143</t>
        </is>
      </c>
      <c r="B144" s="2" t="inlineStr">
        <is>
          <t>TS-029</t>
        </is>
      </c>
      <c r="C144" s="3" t="inlineStr">
        <is>
          <t>Context lưu cùng đơn và hiện ở drawer của F4</t>
        </is>
      </c>
      <c r="D144" s="3" t="inlineStr">
        <is>
          <t>F5.6 Review application, Part 4 Context and Part 5 Declaration</t>
        </is>
      </c>
      <c r="E144" s="3" t="inlineStr">
        <is>
          <t>Review application, Part 4 and Part 5</t>
        </is>
      </c>
      <c r="F144" s="2" t="inlineStr">
        <is>
          <t>S2</t>
        </is>
      </c>
      <c r="G144" s="2" t="inlineStr">
        <is>
          <t>High</t>
        </is>
      </c>
      <c r="H144" s="2" t="inlineStr">
        <is>
          <t>Not Run</t>
        </is>
      </c>
      <c r="I144" s="2" t="inlineStr">
        <is>
          <t>Integration</t>
        </is>
      </c>
      <c r="J144" s="3" t="inlineStr">
        <is>
          <t>Bản F5 có API (chưa có)
Chrome (latest)
Build: ghi khi chạy
Cần: ENV-R5-02, ENV-R5-03</t>
        </is>
      </c>
      <c r="K144" s="3" t="inlineStr">
        <is>
          <t>1. Bản F5 có API chạy, dữ liệu SEED-R5 đã nạp.
2. Đã đăng nhập School user BVP-0012 Lan Nguyen, trường Bukit View Primary.
3. Màn Review application đang mở, mẫu hợp lệ.</t>
        </is>
      </c>
      <c r="L144" s="3" t="inlineStr">
        <is>
          <t>Context: Father works shifts; the family hopes for help with transport.</t>
        </is>
      </c>
      <c r="M144" s="3" t="inlineStr">
        <is>
          <t>1. Nộp mẫu có Context "Father works shifts; the family hopes for help with transport.".
2. Mở drawer của đơn vừa nộp trong F4 (FAS applications).
3. Đọc phần Context.</t>
        </is>
      </c>
      <c r="N144" s="3" t="inlineStr">
        <is>
          <t>1. Context hiện đúng, nguyên văn, trong drawer cho người xét đơn.</t>
        </is>
      </c>
      <c r="O144" s="3" t="n"/>
      <c r="P144" s="3" t="inlineStr">
        <is>
          <t>N/A</t>
        </is>
      </c>
      <c r="Q144" s="3" t="n"/>
      <c r="R144" s="3" t="inlineStr">
        <is>
          <t>Tender R5, US-042, FS F5 v1.2: 5 Part 4, BR5, T11</t>
        </is>
      </c>
      <c r="S144" s="3" t="n"/>
      <c r="T144" s="2" t="inlineStr">
        <is>
          <t>Approve</t>
        </is>
      </c>
    </row>
    <row r="145" ht="296" customHeight="1">
      <c r="A145" s="2" t="inlineStr">
        <is>
          <t>TC-144</t>
        </is>
      </c>
      <c r="B145" s="2" t="inlineStr">
        <is>
          <t>TS-029</t>
        </is>
      </c>
      <c r="C145" s="3" t="inlineStr">
        <is>
          <t>Context đúng 2000 ký tự được nhận, 2001 ký tự bị chặn</t>
        </is>
      </c>
      <c r="D145" s="3" t="inlineStr">
        <is>
          <t>F5.6 Review application, Part 4 Context and Part 5 Declaration</t>
        </is>
      </c>
      <c r="E145" s="3" t="inlineStr">
        <is>
          <t>Review application, Part 4 and Part 5</t>
        </is>
      </c>
      <c r="F145" s="2" t="inlineStr">
        <is>
          <t>S2</t>
        </is>
      </c>
      <c r="G145" s="2" t="inlineStr">
        <is>
          <t>High</t>
        </is>
      </c>
      <c r="H145" s="2" t="inlineStr">
        <is>
          <t>Not Run</t>
        </is>
      </c>
      <c r="I145" s="2" t="inlineStr">
        <is>
          <t>Functional</t>
        </is>
      </c>
      <c r="J145" s="3" t="inlineStr">
        <is>
          <t>Prototype: edusave.vercel.app (ngày mẫu 18/10/2026)
Chrome (latest)
Build: ghi khi chạy
Cần: ENV-R5-01</t>
        </is>
      </c>
      <c r="K14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5" s="3" t="inlineStr">
        <is>
          <t>Chuỗi 2000 và 2001 ký tự a</t>
        </is>
      </c>
      <c r="M145" s="3" t="inlineStr">
        <is>
          <t>1. Dán chuỗi 2000 ký tự vào Context, bấm Review and submit.
2. Dán chuỗi 2001 ký tự, bấm Review and submit.</t>
        </is>
      </c>
      <c r="N145" s="3" t="inlineStr">
        <is>
          <t>1. 2000 ký tự: không có ghi chú về Context.
2. 2001 ký tự: hiện "Context must be 2000 characters or fewer." và hộp thoại không mở.</t>
        </is>
      </c>
      <c r="O145" s="3" t="n"/>
      <c r="P145"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145" s="3" t="n"/>
      <c r="R145" s="3" t="inlineStr">
        <is>
          <t>Tender R5, US-042, FS F5 v1.2: 5 Part 4, BR5</t>
        </is>
      </c>
      <c r="S145" s="3" t="inlineStr">
        <is>
          <t>FS nói tối đa 2000, thông báo là đề xuất QA.</t>
        </is>
      </c>
      <c r="T145" s="2" t="inlineStr">
        <is>
          <t>Draft</t>
        </is>
      </c>
    </row>
    <row r="146" ht="296" customHeight="1">
      <c r="A146" s="2" t="inlineStr">
        <is>
          <t>TC-145</t>
        </is>
      </c>
      <c r="B146" s="2" t="inlineStr">
        <is>
          <t>TS-029</t>
        </is>
      </c>
      <c r="C146" s="3" t="inlineStr">
        <is>
          <t>Xuống dòng trong Context được giữ và tính một ký tự</t>
        </is>
      </c>
      <c r="D146" s="3" t="inlineStr">
        <is>
          <t>F5.6 Review application, Part 4 Context and Part 5 Declaration</t>
        </is>
      </c>
      <c r="E146" s="3" t="inlineStr">
        <is>
          <t>Review application, Part 4 and Part 5</t>
        </is>
      </c>
      <c r="F146" s="2" t="inlineStr">
        <is>
          <t>S3</t>
        </is>
      </c>
      <c r="G146" s="2" t="inlineStr">
        <is>
          <t>Medium</t>
        </is>
      </c>
      <c r="H146" s="2" t="inlineStr">
        <is>
          <t>Not Run</t>
        </is>
      </c>
      <c r="I146" s="2" t="inlineStr">
        <is>
          <t>Functional</t>
        </is>
      </c>
      <c r="J146" s="3" t="inlineStr">
        <is>
          <t>Prototype: edusave.vercel.app (ngày mẫu 18/10/2026)
Chrome (latest)
Build: ghi khi chạy
Cần: ENV-R5-01</t>
        </is>
      </c>
      <c r="K14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6" s="3" t="inlineStr">
        <is>
          <t>1998 ký tự a, xuống dòng, 1 ký tự a</t>
        </is>
      </c>
      <c r="M146" s="3" t="inlineStr">
        <is>
          <t>1. Nhập 1998 ký tự, xuống dòng, 1 ký tự (tổng 2000 tính cả xuống dòng).
2. Bấm Review and submit.
3. Thêm một xuống dòng nữa (tổng 2001).
4. Bấm Review and submit.</t>
        </is>
      </c>
      <c r="N146" s="3" t="inlineStr">
        <is>
          <t>1. Tổng 2000: nhận, hộp thoại giữ ngắt dòng.
2. Tổng 2001: hiện "Context must be 2000 characters or fewer."</t>
        </is>
      </c>
      <c r="O146" s="3" t="n"/>
      <c r="P146"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146" s="3" t="n"/>
      <c r="R146" s="3" t="inlineStr">
        <is>
          <t>Tender R5, US-042, FS F5 v1.2: 5 Part 4, BR5</t>
        </is>
      </c>
      <c r="S146" s="3" t="n"/>
      <c r="T146" s="2" t="inlineStr">
        <is>
          <t>Draft</t>
        </is>
      </c>
    </row>
    <row r="147" ht="151" customHeight="1">
      <c r="A147" s="2" t="inlineStr">
        <is>
          <t>TC-146</t>
        </is>
      </c>
      <c r="B147" s="2" t="inlineStr">
        <is>
          <t>TS-029</t>
        </is>
      </c>
      <c r="C147" s="3" t="inlineStr">
        <is>
          <t>Context chứa HTML và script hiển thị như văn bản</t>
        </is>
      </c>
      <c r="D147" s="3" t="inlineStr">
        <is>
          <t>F5.6 Review application, Part 4 Context and Part 5 Declaration</t>
        </is>
      </c>
      <c r="E147" s="3" t="inlineStr">
        <is>
          <t>Review application, Part 4 and Part 5</t>
        </is>
      </c>
      <c r="F147" s="2" t="inlineStr">
        <is>
          <t>S1 (highest)</t>
        </is>
      </c>
      <c r="G147" s="2" t="inlineStr">
        <is>
          <t>High</t>
        </is>
      </c>
      <c r="H147" s="2" t="inlineStr">
        <is>
          <t>Not Run</t>
        </is>
      </c>
      <c r="I147" s="2" t="inlineStr">
        <is>
          <t>Security</t>
        </is>
      </c>
      <c r="J147" s="3" t="inlineStr">
        <is>
          <t>Prototype: edusave.vercel.app (ngày mẫu 18/10/2026)
Chrome (latest)
Build: ghi khi chạy
Cần: ENV-R5-01</t>
        </is>
      </c>
      <c r="K14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7" s="3" t="inlineStr">
        <is>
          <t>Context HTML và SQL</t>
        </is>
      </c>
      <c r="M147" s="3" t="inlineStr">
        <is>
          <t>1. Nhập Context "&lt;b&gt;ok&lt;/b&gt; &lt;script&gt;alert(1)&lt;/script&gt; ' OR '1'='1".
2. Bấm Review and submit và đọc hộp thoại.
3. Nộp và mở drawer ở F4.</t>
        </is>
      </c>
      <c r="N147" s="3" t="inlineStr">
        <is>
          <t>1. Hiển thị đúng như chuỗi đã nhập, không in đậm, không alert.
2. Lưu và hiển thị như văn bản thuần ở mọi nơi (BR5).</t>
        </is>
      </c>
      <c r="O147" s="3" t="n"/>
      <c r="P147" s="3" t="inlineStr">
        <is>
          <t>N/A</t>
        </is>
      </c>
      <c r="Q147" s="3" t="n"/>
      <c r="R147" s="3" t="inlineStr">
        <is>
          <t>Tender R5, US-042, FS F5 v1.2: 5 Part 4, BR5</t>
        </is>
      </c>
      <c r="S147" s="3" t="n"/>
      <c r="T147" s="2" t="inlineStr">
        <is>
          <t>Approve</t>
        </is>
      </c>
    </row>
    <row r="148" ht="151" customHeight="1">
      <c r="A148" s="2" t="inlineStr">
        <is>
          <t>TC-147</t>
        </is>
      </c>
      <c r="B148" s="2" t="inlineStr">
        <is>
          <t>TS-029</t>
        </is>
      </c>
      <c r="C148" s="3" t="inlineStr">
        <is>
          <t>Context chứa tiếng Việt, emoji và nhiều hệ chữ</t>
        </is>
      </c>
      <c r="D148" s="3" t="inlineStr">
        <is>
          <t>F5.6 Review application, Part 4 Context and Part 5 Declaration</t>
        </is>
      </c>
      <c r="E148" s="3" t="inlineStr">
        <is>
          <t>Review application, Part 4 and Part 5</t>
        </is>
      </c>
      <c r="F148" s="2" t="inlineStr">
        <is>
          <t>S3</t>
        </is>
      </c>
      <c r="G148" s="2" t="inlineStr">
        <is>
          <t>Low</t>
        </is>
      </c>
      <c r="H148" s="2" t="inlineStr">
        <is>
          <t>Not Run</t>
        </is>
      </c>
      <c r="I148" s="2" t="inlineStr">
        <is>
          <t>Functional</t>
        </is>
      </c>
      <c r="J148" s="3" t="inlineStr">
        <is>
          <t>Prototype: edusave.vercel.app (ngày mẫu 18/10/2026)
Chrome (latest)
Build: ghi khi chạy
Cần: ENV-R5-01</t>
        </is>
      </c>
      <c r="K14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8" s="3" t="inlineStr">
        <is>
          <t>Context đa ngôn ngữ</t>
        </is>
      </c>
      <c r="M148" s="3" t="inlineStr">
        <is>
          <t>1. Nhập Context "Gia đình khó khăn 🙏 家庭 உதவி".
2. Bấm Review and submit và đọc hộp thoại.</t>
        </is>
      </c>
      <c r="N148" s="3" t="inlineStr">
        <is>
          <t>1. Hộp thoại hiển thị đúng chuỗi, không lỗi hiển thị.</t>
        </is>
      </c>
      <c r="O148" s="3" t="n"/>
      <c r="P148" s="3" t="inlineStr">
        <is>
          <t>N/A</t>
        </is>
      </c>
      <c r="Q148" s="3" t="n"/>
      <c r="R148" s="3" t="inlineStr">
        <is>
          <t>Tender R5, US-042, FS F5 v1.2: 5 Part 4, BR5</t>
        </is>
      </c>
      <c r="S148" s="3" t="n"/>
      <c r="T148" s="2" t="inlineStr">
        <is>
          <t>Approve</t>
        </is>
      </c>
    </row>
    <row r="149" ht="151" customHeight="1">
      <c r="A149" s="2" t="inlineStr">
        <is>
          <t>TC-148</t>
        </is>
      </c>
      <c r="B149" s="2" t="inlineStr">
        <is>
          <t>TS-030</t>
        </is>
      </c>
      <c r="C149" s="3" t="inlineStr">
        <is>
          <t>Chưa tick Declaration bị chặn</t>
        </is>
      </c>
      <c r="D149" s="3" t="inlineStr">
        <is>
          <t>F5.6 Review application, Part 4 Context and Part 5 Declaration</t>
        </is>
      </c>
      <c r="E149" s="3" t="inlineStr">
        <is>
          <t>Review application, Part 4 and Part 5</t>
        </is>
      </c>
      <c r="F149" s="2" t="inlineStr">
        <is>
          <t>S1 (highest)</t>
        </is>
      </c>
      <c r="G149" s="2" t="inlineStr">
        <is>
          <t>High</t>
        </is>
      </c>
      <c r="H149" s="2" t="inlineStr">
        <is>
          <t>Not Run</t>
        </is>
      </c>
      <c r="I149" s="2" t="inlineStr">
        <is>
          <t>Functional</t>
        </is>
      </c>
      <c r="J149" s="3" t="inlineStr">
        <is>
          <t>Prototype: edusave.vercel.app (ngày mẫu 18/10/2026)
Chrome (latest)
Build: ghi khi chạy
Cần: ENV-R5-01</t>
        </is>
      </c>
      <c r="K14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49" s="3" t="inlineStr">
        <is>
          <t>Declaration ticked: không, signature checked: có</t>
        </is>
      </c>
      <c r="M149" s="3" t="inlineStr">
        <is>
          <t>1. Bỏ tick "The applicant ticked the declaration".
2. Bấm Review and submit.</t>
        </is>
      </c>
      <c r="N149" s="3" t="inlineStr">
        <is>
          <t>1. Hiện "Complete: Declaration."
2. Hộp thoại không mở.</t>
        </is>
      </c>
      <c r="O149" s="3" t="n"/>
      <c r="P149" s="3" t="inlineStr">
        <is>
          <t>N/A</t>
        </is>
      </c>
      <c r="Q149" s="3" t="n"/>
      <c r="R149" s="3" t="inlineStr">
        <is>
          <t>Tender R5, US-042, FS F5 v1.2: 5 Part 5, 6</t>
        </is>
      </c>
      <c r="S149" s="3" t="n"/>
      <c r="T149" s="2" t="inlineStr">
        <is>
          <t>Approve</t>
        </is>
      </c>
    </row>
    <row r="150" ht="151" customHeight="1">
      <c r="A150" s="2" t="inlineStr">
        <is>
          <t>TC-149</t>
        </is>
      </c>
      <c r="B150" s="2" t="inlineStr">
        <is>
          <t>TS-030</t>
        </is>
      </c>
      <c r="C150" s="3" t="inlineStr">
        <is>
          <t>Chưa kiểm tra chữ ký bị chặn (T8)</t>
        </is>
      </c>
      <c r="D150" s="3" t="inlineStr">
        <is>
          <t>F5.6 Review application, Part 4 Context and Part 5 Declaration</t>
        </is>
      </c>
      <c r="E150" s="3" t="inlineStr">
        <is>
          <t>Review application, Part 4 and Part 5</t>
        </is>
      </c>
      <c r="F150" s="2" t="inlineStr">
        <is>
          <t>S1 (highest)</t>
        </is>
      </c>
      <c r="G150" s="2" t="inlineStr">
        <is>
          <t>Critical</t>
        </is>
      </c>
      <c r="H150" s="2" t="inlineStr">
        <is>
          <t>Not Run</t>
        </is>
      </c>
      <c r="I150" s="2" t="inlineStr">
        <is>
          <t>Functional</t>
        </is>
      </c>
      <c r="J150" s="3" t="inlineStr">
        <is>
          <t>Prototype: edusave.vercel.app (ngày mẫu 18/10/2026)
Chrome (latest)
Build: ghi khi chạy
Cần: ENV-R5-01</t>
        </is>
      </c>
      <c r="K15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0" s="3" t="inlineStr">
        <is>
          <t>Declaration ticked: có, signature checked: không</t>
        </is>
      </c>
      <c r="M150" s="3" t="inlineStr">
        <is>
          <t>1. Bỏ tick "Applicant's signature checked".
2. Bấm Review and submit.</t>
        </is>
      </c>
      <c r="N150" s="3" t="inlineStr">
        <is>
          <t>1. Hiện "Complete: Applicant signature checked."
2. Hộp thoại không mở.</t>
        </is>
      </c>
      <c r="O150" s="3" t="n"/>
      <c r="P150" s="3" t="inlineStr">
        <is>
          <t>N/A</t>
        </is>
      </c>
      <c r="Q150" s="3" t="n"/>
      <c r="R150" s="3" t="inlineStr">
        <is>
          <t>Tender R5, US-042, FS F5 v1.2: 5 Part 5, 6, T8</t>
        </is>
      </c>
      <c r="S150" s="3" t="n"/>
      <c r="T150" s="2" t="inlineStr">
        <is>
          <t>Approve</t>
        </is>
      </c>
    </row>
    <row r="151" ht="151" customHeight="1">
      <c r="A151" s="2" t="inlineStr">
        <is>
          <t>TC-150</t>
        </is>
      </c>
      <c r="B151" s="2" t="inlineStr">
        <is>
          <t>TS-030</t>
        </is>
      </c>
      <c r="C151" s="3" t="inlineStr">
        <is>
          <t>Hai ô cam kết và Date signed cùng thiếu: một ghi chú liệt kê đủ</t>
        </is>
      </c>
      <c r="D151" s="3" t="inlineStr">
        <is>
          <t>F5.6 Review application, Part 4 Context and Part 5 Declaration</t>
        </is>
      </c>
      <c r="E151" s="3" t="inlineStr">
        <is>
          <t>Review application, Part 4 and Part 5</t>
        </is>
      </c>
      <c r="F151" s="2" t="inlineStr">
        <is>
          <t>S2</t>
        </is>
      </c>
      <c r="G151" s="2" t="inlineStr">
        <is>
          <t>High</t>
        </is>
      </c>
      <c r="H151" s="2" t="inlineStr">
        <is>
          <t>Not Run</t>
        </is>
      </c>
      <c r="I151" s="2" t="inlineStr">
        <is>
          <t>Functional</t>
        </is>
      </c>
      <c r="J151" s="3" t="inlineStr">
        <is>
          <t>Prototype: edusave.vercel.app (ngày mẫu 18/10/2026)
Chrome (latest)
Build: ghi khi chạy
Cần: ENV-R5-01</t>
        </is>
      </c>
      <c r="K15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1" s="3" t="inlineStr">
        <is>
          <t>Cả ba để trống</t>
        </is>
      </c>
      <c r="M151" s="3" t="inlineStr">
        <is>
          <t>1. Bỏ tick Declaration và Signature checked, xoá Date signed.
2. Bấm Review and submit.</t>
        </is>
      </c>
      <c r="N151" s="3" t="inlineStr">
        <is>
          <t>1. Hiện "Complete: Declaration, Applicant signature checked, Date signed." theo thứ tự trong FS 6.</t>
        </is>
      </c>
      <c r="O151" s="3" t="n"/>
      <c r="P151"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151" s="3" t="n"/>
      <c r="R151" s="3" t="inlineStr">
        <is>
          <t>Tender R5, US-042, FS F5 v1.2: 6, T8</t>
        </is>
      </c>
      <c r="S151" s="3" t="n"/>
      <c r="T151" s="2" t="inlineStr">
        <is>
          <t>Draft</t>
        </is>
      </c>
    </row>
    <row r="152" ht="151" customHeight="1">
      <c r="A152" s="2" t="inlineStr">
        <is>
          <t>TC-151</t>
        </is>
      </c>
      <c r="B152" s="2" t="inlineStr">
        <is>
          <t>TS-030</t>
        </is>
      </c>
      <c r="C152" s="3" t="inlineStr">
        <is>
          <t>Hai ô cam kết có thể tick và bỏ tick</t>
        </is>
      </c>
      <c r="D152" s="3" t="inlineStr">
        <is>
          <t>F5.6 Review application, Part 4 Context and Part 5 Declaration</t>
        </is>
      </c>
      <c r="E152" s="3" t="inlineStr">
        <is>
          <t>Review application, Part 4 and Part 5</t>
        </is>
      </c>
      <c r="F152" s="2" t="inlineStr">
        <is>
          <t>S3</t>
        </is>
      </c>
      <c r="G152" s="2" t="inlineStr">
        <is>
          <t>Low</t>
        </is>
      </c>
      <c r="H152" s="2" t="inlineStr">
        <is>
          <t>Not Run</t>
        </is>
      </c>
      <c r="I152" s="2" t="inlineStr">
        <is>
          <t>Functional</t>
        </is>
      </c>
      <c r="J152" s="3" t="inlineStr">
        <is>
          <t>Prototype: edusave.vercel.app (ngày mẫu 18/10/2026)
Chrome (latest)
Build: ghi khi chạy
Cần: ENV-R5-01</t>
        </is>
      </c>
      <c r="K15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2" s="3" t="inlineStr"/>
      <c r="M152" s="3" t="inlineStr">
        <is>
          <t>1. Tick rồi bỏ tick từng ô hai lần.</t>
        </is>
      </c>
      <c r="N152" s="3" t="inlineStr">
        <is>
          <t>1. Ô đổi trạng thái đúng sau mỗi lần bấm, mặc định bỏ tick khi mở một mẫu mới.</t>
        </is>
      </c>
      <c r="O152" s="3" t="n"/>
      <c r="P152" s="3" t="inlineStr">
        <is>
          <t>ASM-R5-26: 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t>
        </is>
      </c>
      <c r="Q152" s="3" t="n"/>
      <c r="R152" s="3" t="inlineStr">
        <is>
          <t>Tender R5, US-042, FS F5 v1.2: 5 Part 5</t>
        </is>
      </c>
      <c r="S152" s="3" t="inlineStr">
        <is>
          <t>Nếu trình đọc scan nhận ô đánh dấu thì ô có thể tick sẵn, điểm mở O27.</t>
        </is>
      </c>
      <c r="T152" s="2" t="inlineStr">
        <is>
          <t>Draft</t>
        </is>
      </c>
    </row>
    <row r="153" ht="151" customHeight="1">
      <c r="A153" s="2" t="inlineStr">
        <is>
          <t>TC-152</t>
        </is>
      </c>
      <c r="B153" s="2" t="inlineStr">
        <is>
          <t>TS-031</t>
        </is>
      </c>
      <c r="C153" s="3" t="inlineStr">
        <is>
          <t>Received by hiển thị School user đang đăng nhập và chỉ đọc</t>
        </is>
      </c>
      <c r="D153" s="3" t="inlineStr">
        <is>
          <t>F5.6 Review application, Part 4 Context and Part 5 Declaration</t>
        </is>
      </c>
      <c r="E153" s="3" t="inlineStr">
        <is>
          <t>Review application, Part 4 and Part 5</t>
        </is>
      </c>
      <c r="F153" s="2" t="inlineStr">
        <is>
          <t>S2</t>
        </is>
      </c>
      <c r="G153" s="2" t="inlineStr">
        <is>
          <t>Medium</t>
        </is>
      </c>
      <c r="H153" s="2" t="inlineStr">
        <is>
          <t>Not Run</t>
        </is>
      </c>
      <c r="I153" s="2" t="inlineStr">
        <is>
          <t>Functional</t>
        </is>
      </c>
      <c r="J153" s="3" t="inlineStr">
        <is>
          <t>Prototype: edusave.vercel.app (ngày mẫu 18/10/2026)
Chrome (latest)
Build: ghi khi chạy
Cần: ENV-R5-01</t>
        </is>
      </c>
      <c r="K15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3" s="3" t="inlineStr">
        <is>
          <t>Lan Nguyen BVP-0012; Farah Tan MRS-0012</t>
        </is>
      </c>
      <c r="M153" s="3" t="inlineStr">
        <is>
          <t>1. Đọc Received by (trường).
2. Thử gõ vào ô.
3. Đăng nhập Farah Tan và mở một mẫu mới.</t>
        </is>
      </c>
      <c r="N153" s="3" t="inlineStr">
        <is>
          <t>1. Với Lan Nguyen ô ghi Lan Nguyen, không sửa được.
2. Với Farah Tan ô ghi Farah Tan.</t>
        </is>
      </c>
      <c r="O153" s="3" t="n"/>
      <c r="P153" s="3" t="inlineStr">
        <is>
          <t>N/A</t>
        </is>
      </c>
      <c r="Q153" s="3" t="n"/>
      <c r="R153" s="3" t="inlineStr">
        <is>
          <t>Tender R5, US-042, FS F5 v1.2: 5 Part 5</t>
        </is>
      </c>
      <c r="S153" s="3" t="n"/>
      <c r="T153" s="2" t="inlineStr">
        <is>
          <t>Approve</t>
        </is>
      </c>
    </row>
    <row r="154" ht="151" customHeight="1">
      <c r="A154" s="2" t="inlineStr">
        <is>
          <t>TC-153</t>
        </is>
      </c>
      <c r="B154" s="2" t="inlineStr">
        <is>
          <t>TS-031</t>
        </is>
      </c>
      <c r="C154" s="3" t="inlineStr">
        <is>
          <t>Date received là hôm nay và chỉ đọc</t>
        </is>
      </c>
      <c r="D154" s="3" t="inlineStr">
        <is>
          <t>F5.6 Review application, Part 4 Context and Part 5 Declaration</t>
        </is>
      </c>
      <c r="E154" s="3" t="inlineStr">
        <is>
          <t>Review application, Part 4 and Part 5</t>
        </is>
      </c>
      <c r="F154" s="2" t="inlineStr">
        <is>
          <t>S2</t>
        </is>
      </c>
      <c r="G154" s="2" t="inlineStr">
        <is>
          <t>Medium</t>
        </is>
      </c>
      <c r="H154" s="2" t="inlineStr">
        <is>
          <t>Not Run</t>
        </is>
      </c>
      <c r="I154" s="2" t="inlineStr">
        <is>
          <t>Functional</t>
        </is>
      </c>
      <c r="J154" s="3" t="inlineStr">
        <is>
          <t>Prototype: edusave.vercel.app (ngày mẫu 18/10/2026)
Chrome (latest)
Build: ghi khi chạy
Cần: ENV-R5-01</t>
        </is>
      </c>
      <c r="K15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4" s="3" t="inlineStr">
        <is>
          <t>Ngày mẫu 18/10/2026</t>
        </is>
      </c>
      <c r="M154" s="3" t="inlineStr">
        <is>
          <t>1. Đọc Date received.
2. Thử gõ vào ô.</t>
        </is>
      </c>
      <c r="N154" s="3" t="inlineStr">
        <is>
          <t>1. Hiển thị 18/10/2026 (ngày hôm nay của prototype), định dạng DD/MM/YYYY, không sửa được.</t>
        </is>
      </c>
      <c r="O154" s="3" t="n"/>
      <c r="P154" s="3" t="inlineStr">
        <is>
          <t>N/A</t>
        </is>
      </c>
      <c r="Q154" s="3" t="n"/>
      <c r="R154" s="3" t="inlineStr">
        <is>
          <t>Tender R5, US-042, FS F5 v1.2: 5 Part 5</t>
        </is>
      </c>
      <c r="S154" s="3" t="n"/>
      <c r="T154" s="2" t="inlineStr">
        <is>
          <t>Approve</t>
        </is>
      </c>
    </row>
    <row r="155" ht="93" customHeight="1">
      <c r="A155" s="2" t="inlineStr">
        <is>
          <t>TC-154</t>
        </is>
      </c>
      <c r="B155" s="2" t="inlineStr">
        <is>
          <t>TS-031</t>
        </is>
      </c>
      <c r="C155" s="3" t="inlineStr">
        <is>
          <t>Date received đổi sang ngày hôm nay khi tiếp tục bản nháp ở ngày khác</t>
        </is>
      </c>
      <c r="D155" s="3" t="inlineStr">
        <is>
          <t>F5.6 Review application, Part 4 Context and Part 5 Declaration</t>
        </is>
      </c>
      <c r="E155" s="3" t="inlineStr">
        <is>
          <t>Review application, Part 4 and Part 5</t>
        </is>
      </c>
      <c r="F155" s="2" t="inlineStr">
        <is>
          <t>S3</t>
        </is>
      </c>
      <c r="G155" s="2" t="inlineStr">
        <is>
          <t>Medium</t>
        </is>
      </c>
      <c r="H155" s="2" t="inlineStr">
        <is>
          <t>Not Run</t>
        </is>
      </c>
      <c r="I155" s="2" t="inlineStr">
        <is>
          <t>Functional</t>
        </is>
      </c>
      <c r="J155" s="3" t="inlineStr">
        <is>
          <t>Bản F5 có API (chưa có)
Chrome (latest)
Build: ghi khi chạy
Cần: ENV-R5-02, ENV-R5-04</t>
        </is>
      </c>
      <c r="K155" s="3" t="inlineStr">
        <is>
          <t>1. Bản F5 có API chạy, dữ liệu SEED-R5 đã nạp.
2. Đã đăng nhập School user BVP-0012 Lan Nguyen, trường Bukit View Primary.
3. Đã có một bản nháp lưu 18/10/2026.</t>
        </is>
      </c>
      <c r="L155" s="3" t="inlineStr">
        <is>
          <t>Draft lưu 18/10/2026</t>
        </is>
      </c>
      <c r="M155" s="3" t="inlineStr">
        <is>
          <t>1. Save draft ngày 18/10/2026.
2. Đổi đồng hồ sang 19/10/2026.
3. Bấm Continue và đọc Date received.</t>
        </is>
      </c>
      <c r="N155" s="3" t="inlineStr">
        <is>
          <t>1. Date received là 19/10/2026.</t>
        </is>
      </c>
      <c r="O155" s="3" t="n"/>
      <c r="P155" s="3" t="inlineStr">
        <is>
          <t>ASM-R5-14: Date signed là ngày có thật theo DD/MM/YYYY, không sau Date received và không có giới hạn dưới. Date received luôn là ngày hôm nay theo giờ Singapore, kể cả khi tiếp tục một bản nháp ở ngày khác.</t>
        </is>
      </c>
      <c r="Q155" s="3" t="n"/>
      <c r="R155" s="3" t="inlineStr">
        <is>
          <t>Tender R5, US-042, FS F5 v1.2: 5 Part 5</t>
        </is>
      </c>
      <c r="S155" s="3" t="n"/>
      <c r="T155" s="2" t="inlineStr">
        <is>
          <t>Draft</t>
        </is>
      </c>
    </row>
    <row r="156" ht="151" customHeight="1">
      <c r="A156" s="2" t="inlineStr">
        <is>
          <t>TC-155</t>
        </is>
      </c>
      <c r="B156" s="2" t="inlineStr">
        <is>
          <t>TS-032</t>
        </is>
      </c>
      <c r="C156" s="3" t="inlineStr">
        <is>
          <t>Date signed để trống bị chặn</t>
        </is>
      </c>
      <c r="D156" s="3" t="inlineStr">
        <is>
          <t>F5.6 Review application, Part 4 Context and Part 5 Declaration</t>
        </is>
      </c>
      <c r="E156" s="3" t="inlineStr">
        <is>
          <t>Review application, Part 4 and Part 5</t>
        </is>
      </c>
      <c r="F156" s="2" t="inlineStr">
        <is>
          <t>S1 (highest)</t>
        </is>
      </c>
      <c r="G156" s="2" t="inlineStr">
        <is>
          <t>High</t>
        </is>
      </c>
      <c r="H156" s="2" t="inlineStr">
        <is>
          <t>Not Run</t>
        </is>
      </c>
      <c r="I156" s="2" t="inlineStr">
        <is>
          <t>Functional</t>
        </is>
      </c>
      <c r="J156" s="3" t="inlineStr">
        <is>
          <t>Prototype: edusave.vercel.app (ngày mẫu 18/10/2026)
Chrome (latest)
Build: ghi khi chạy
Cần: ENV-R5-01</t>
        </is>
      </c>
      <c r="K15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6" s="3" t="inlineStr">
        <is>
          <t>(để trống)</t>
        </is>
      </c>
      <c r="M156" s="3" t="inlineStr">
        <is>
          <t>1. Nhập lần lượt từng giá trị trong Test Data vào ô Date signed.
2. Bấm Review and submit sau mỗi giá trị và đọc ghi chú.</t>
        </is>
      </c>
      <c r="N156" s="3" t="inlineStr">
        <is>
          <t>1. Hiện "Complete: Date signed."</t>
        </is>
      </c>
      <c r="O156" s="3" t="n"/>
      <c r="P156" s="3" t="inlineStr">
        <is>
          <t>ASM-R5-14: Date signed là ngày có thật theo DD/MM/YYYY, không sau Date received và không có giới hạn dưới. Date received luôn là ngày hôm nay theo giờ Singapore, kể cả khi tiếp tục một bản nháp ở ngày khác.</t>
        </is>
      </c>
      <c r="Q156" s="3" t="n"/>
      <c r="R156" s="3" t="inlineStr">
        <is>
          <t>Tender R5, US-042, FS F5 v1.2: 5 Part 5, 6</t>
        </is>
      </c>
      <c r="S156" s="3" t="inlineStr">
        <is>
          <t>Điểm mở O15.</t>
        </is>
      </c>
      <c r="T156" s="2" t="inlineStr">
        <is>
          <t>Draft</t>
        </is>
      </c>
    </row>
    <row r="157" ht="151" customHeight="1">
      <c r="A157" s="2" t="inlineStr">
        <is>
          <t>TC-156</t>
        </is>
      </c>
      <c r="B157" s="2" t="inlineStr">
        <is>
          <t>TS-032</t>
        </is>
      </c>
      <c r="C157" s="3" t="inlineStr">
        <is>
          <t>Date signed đúng định dạng và ngày có thật được nhận</t>
        </is>
      </c>
      <c r="D157" s="3" t="inlineStr">
        <is>
          <t>F5.6 Review application, Part 4 Context and Part 5 Declaration</t>
        </is>
      </c>
      <c r="E157" s="3" t="inlineStr">
        <is>
          <t>Review application, Part 4 and Part 5</t>
        </is>
      </c>
      <c r="F157" s="2" t="inlineStr">
        <is>
          <t>S2</t>
        </is>
      </c>
      <c r="G157" s="2" t="inlineStr">
        <is>
          <t>High</t>
        </is>
      </c>
      <c r="H157" s="2" t="inlineStr">
        <is>
          <t>Not Run</t>
        </is>
      </c>
      <c r="I157" s="2" t="inlineStr">
        <is>
          <t>Functional</t>
        </is>
      </c>
      <c r="J157" s="3" t="inlineStr">
        <is>
          <t>Prototype: edusave.vercel.app (ngày mẫu 18/10/2026)
Chrome (latest)
Build: ghi khi chạy
Cần: ENV-R5-01</t>
        </is>
      </c>
      <c r="K15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7" s="3" t="inlineStr">
        <is>
          <t>15/10/2026, 18/10/2026, 29/02/2024</t>
        </is>
      </c>
      <c r="M157" s="3" t="inlineStr">
        <is>
          <t>1. Nhập lần lượt từng giá trị trong Test Data vào ô Date signed.
2. Bấm Review and submit sau mỗi giá trị và đọc ghi chú.</t>
        </is>
      </c>
      <c r="N157" s="3" t="inlineStr">
        <is>
          <t>1. Mỗi giá trị không có ghi chú về Date signed.</t>
        </is>
      </c>
      <c r="O157" s="3" t="n"/>
      <c r="P157" s="3" t="inlineStr">
        <is>
          <t>ASM-R5-14: Date signed là ngày có thật theo DD/MM/YYYY, không sau Date received và không có giới hạn dưới. Date received luôn là ngày hôm nay theo giờ Singapore, kể cả khi tiếp tục một bản nháp ở ngày khác.</t>
        </is>
      </c>
      <c r="Q157" s="3" t="n"/>
      <c r="R157" s="3" t="inlineStr">
        <is>
          <t>Tender R5, US-042, FS F5 v1.2: 5 Part 5, 6</t>
        </is>
      </c>
      <c r="S157" s="3" t="inlineStr">
        <is>
          <t>Điểm mở O15.</t>
        </is>
      </c>
      <c r="T157" s="2" t="inlineStr">
        <is>
          <t>Draft</t>
        </is>
      </c>
    </row>
    <row r="158" ht="267" customHeight="1">
      <c r="A158" s="2" t="inlineStr">
        <is>
          <t>TC-157</t>
        </is>
      </c>
      <c r="B158" s="2" t="inlineStr">
        <is>
          <t>TS-032</t>
        </is>
      </c>
      <c r="C158" s="3" t="inlineStr">
        <is>
          <t>Date signed sai định dạng bị chặn</t>
        </is>
      </c>
      <c r="D158" s="3" t="inlineStr">
        <is>
          <t>F5.6 Review application, Part 4 Context and Part 5 Declaration</t>
        </is>
      </c>
      <c r="E158" s="3" t="inlineStr">
        <is>
          <t>Review application, Part 4 and Part 5</t>
        </is>
      </c>
      <c r="F158" s="2" t="inlineStr">
        <is>
          <t>S2</t>
        </is>
      </c>
      <c r="G158" s="2" t="inlineStr">
        <is>
          <t>Medium</t>
        </is>
      </c>
      <c r="H158" s="2" t="inlineStr">
        <is>
          <t>Not Run</t>
        </is>
      </c>
      <c r="I158" s="2" t="inlineStr">
        <is>
          <t>Functional</t>
        </is>
      </c>
      <c r="J158" s="3" t="inlineStr">
        <is>
          <t>Prototype: edusave.vercel.app (ngày mẫu 18/10/2026)
Chrome (latest)
Build: ghi khi chạy
Cần: ENV-R5-01</t>
        </is>
      </c>
      <c r="K15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8" s="3" t="inlineStr">
        <is>
          <t>15-10-2026, 15/10/26, 2026/10/15, 15.10.2026</t>
        </is>
      </c>
      <c r="M158" s="3" t="inlineStr">
        <is>
          <t>1. Nhập lần lượt từng giá trị trong Test Data vào ô Date signed.
2. Bấm Review and submit sau mỗi giá trị và đọc ghi chú.</t>
        </is>
      </c>
      <c r="N158" s="3" t="inlineStr">
        <is>
          <t>1. Mỗi giá trị hiện "Enter a valid date (DD/MM/YYYY)."</t>
        </is>
      </c>
      <c r="O158" s="3" t="n"/>
      <c r="P158" s="3" t="inlineStr">
        <is>
          <t>ASM-R5-14: Date signed là ngày có thật theo DD/MM/YYYY, không sau Date received và không có giới hạn dưới. Date received luôn là ngày hôm nay theo giờ Singapore, kể cả khi tiếp tục một bản nháp ở ngày khác.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58" s="3" t="n"/>
      <c r="R158" s="3" t="inlineStr">
        <is>
          <t>Tender R5, US-042, FS F5 v1.2: 5 Part 5, 6</t>
        </is>
      </c>
      <c r="S158" s="3" t="inlineStr">
        <is>
          <t>Điểm mở O15.</t>
        </is>
      </c>
      <c r="T158" s="2" t="inlineStr">
        <is>
          <t>Draft</t>
        </is>
      </c>
    </row>
    <row r="159" ht="267" customHeight="1">
      <c r="A159" s="2" t="inlineStr">
        <is>
          <t>TC-158</t>
        </is>
      </c>
      <c r="B159" s="2" t="inlineStr">
        <is>
          <t>TS-032</t>
        </is>
      </c>
      <c r="C159" s="3" t="inlineStr">
        <is>
          <t>Date signed không có thật bị chặn</t>
        </is>
      </c>
      <c r="D159" s="3" t="inlineStr">
        <is>
          <t>F5.6 Review application, Part 4 Context and Part 5 Declaration</t>
        </is>
      </c>
      <c r="E159" s="3" t="inlineStr">
        <is>
          <t>Review application, Part 4 and Part 5</t>
        </is>
      </c>
      <c r="F159" s="2" t="inlineStr">
        <is>
          <t>S2</t>
        </is>
      </c>
      <c r="G159" s="2" t="inlineStr">
        <is>
          <t>Medium</t>
        </is>
      </c>
      <c r="H159" s="2" t="inlineStr">
        <is>
          <t>Not Run</t>
        </is>
      </c>
      <c r="I159" s="2" t="inlineStr">
        <is>
          <t>Functional</t>
        </is>
      </c>
      <c r="J159" s="3" t="inlineStr">
        <is>
          <t>Prototype: edusave.vercel.app (ngày mẫu 18/10/2026)
Chrome (latest)
Build: ghi khi chạy
Cần: ENV-R5-01</t>
        </is>
      </c>
      <c r="K159"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59" s="3" t="inlineStr">
        <is>
          <t>31/04/2026, 29/02/2027, 00/10/2026, 15/13/2026</t>
        </is>
      </c>
      <c r="M159" s="3" t="inlineStr">
        <is>
          <t>1. Nhập lần lượt từng giá trị trong Test Data vào ô Date signed.
2. Bấm Review and submit sau mỗi giá trị và đọc ghi chú.</t>
        </is>
      </c>
      <c r="N159" s="3" t="inlineStr">
        <is>
          <t>1. Mỗi giá trị hiện "Enter a valid date (DD/MM/YYYY)."</t>
        </is>
      </c>
      <c r="O159" s="3" t="n"/>
      <c r="P159" s="3" t="inlineStr">
        <is>
          <t>ASM-R5-14: Date signed là ngày có thật theo DD/MM/YYYY, không sau Date received và không có giới hạn dưới. Date received luôn là ngày hôm nay theo giờ Singapore, kể cả khi tiếp tục một bản nháp ở ngày khác.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59" s="3" t="n"/>
      <c r="R159" s="3" t="inlineStr">
        <is>
          <t>Tender R5, US-042, FS F5 v1.2: 5 Part 5, 6</t>
        </is>
      </c>
      <c r="S159" s="3" t="inlineStr">
        <is>
          <t>Điểm mở O15.</t>
        </is>
      </c>
      <c r="T159" s="2" t="inlineStr">
        <is>
          <t>Draft</t>
        </is>
      </c>
    </row>
    <row r="160" ht="267" customHeight="1">
      <c r="A160" s="2" t="inlineStr">
        <is>
          <t>TC-159</t>
        </is>
      </c>
      <c r="B160" s="2" t="inlineStr">
        <is>
          <t>TS-032</t>
        </is>
      </c>
      <c r="C160" s="3" t="inlineStr">
        <is>
          <t>Date signed sau Date received bị chặn, đúng ngày nhận được nhận</t>
        </is>
      </c>
      <c r="D160" s="3" t="inlineStr">
        <is>
          <t>F5.6 Review application, Part 4 Context and Part 5 Declaration</t>
        </is>
      </c>
      <c r="E160" s="3" t="inlineStr">
        <is>
          <t>Review application, Part 4 and Part 5</t>
        </is>
      </c>
      <c r="F160" s="2" t="inlineStr">
        <is>
          <t>S2</t>
        </is>
      </c>
      <c r="G160" s="2" t="inlineStr">
        <is>
          <t>High</t>
        </is>
      </c>
      <c r="H160" s="2" t="inlineStr">
        <is>
          <t>Not Run</t>
        </is>
      </c>
      <c r="I160" s="2" t="inlineStr">
        <is>
          <t>Functional</t>
        </is>
      </c>
      <c r="J160" s="3" t="inlineStr">
        <is>
          <t>Prototype: edusave.vercel.app (ngày mẫu 18/10/2026)
Chrome (latest)
Build: ghi khi chạy
Cần: ENV-R5-01</t>
        </is>
      </c>
      <c r="K16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0" s="3" t="inlineStr">
        <is>
          <t>18/10/2026 và 19/10/2026</t>
        </is>
      </c>
      <c r="M160" s="3" t="inlineStr">
        <is>
          <t>1. Nhập lần lượt từng giá trị trong Test Data vào ô Date signed.
2. Bấm Review and submit sau mỗi giá trị và đọc ghi chú.</t>
        </is>
      </c>
      <c r="N160" s="3" t="inlineStr">
        <is>
          <t>1. 18/10/2026: không có ghi chú.
2. 19/10/2026: hiện "Date signed cannot be after the date received."</t>
        </is>
      </c>
      <c r="O160" s="3" t="n"/>
      <c r="P160" s="3" t="inlineStr">
        <is>
          <t>ASM-R5-14: Date signed là ngày có thật theo DD/MM/YYYY, không sau Date received và không có giới hạn dưới. Date received luôn là ngày hôm nay theo giờ Singapore, kể cả khi tiếp tục một bản nháp ở ngày khác.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60" s="3" t="n"/>
      <c r="R160" s="3" t="inlineStr">
        <is>
          <t>Tender R5, US-042, FS F5 v1.2: 5 Part 5, 6</t>
        </is>
      </c>
      <c r="S160" s="3" t="inlineStr">
        <is>
          <t>Điểm mở O15.</t>
        </is>
      </c>
      <c r="T160" s="2" t="inlineStr">
        <is>
          <t>Draft</t>
        </is>
      </c>
    </row>
    <row r="161" ht="151" customHeight="1">
      <c r="A161" s="2" t="inlineStr">
        <is>
          <t>TC-160</t>
        </is>
      </c>
      <c r="B161" s="2" t="inlineStr">
        <is>
          <t>TS-032</t>
        </is>
      </c>
      <c r="C161" s="3" t="inlineStr">
        <is>
          <t>Date signed rất cũ không bị giới hạn dưới</t>
        </is>
      </c>
      <c r="D161" s="3" t="inlineStr">
        <is>
          <t>F5.6 Review application, Part 4 Context and Part 5 Declaration</t>
        </is>
      </c>
      <c r="E161" s="3" t="inlineStr">
        <is>
          <t>Review application, Part 4 and Part 5</t>
        </is>
      </c>
      <c r="F161" s="2" t="inlineStr">
        <is>
          <t>S4 (lowest)</t>
        </is>
      </c>
      <c r="G161" s="2" t="inlineStr">
        <is>
          <t>Low</t>
        </is>
      </c>
      <c r="H161" s="2" t="inlineStr">
        <is>
          <t>Not Run</t>
        </is>
      </c>
      <c r="I161" s="2" t="inlineStr">
        <is>
          <t>Functional</t>
        </is>
      </c>
      <c r="J161" s="3" t="inlineStr">
        <is>
          <t>Prototype: edusave.vercel.app (ngày mẫu 18/10/2026)
Chrome (latest)
Build: ghi khi chạy
Cần: ENV-R5-01</t>
        </is>
      </c>
      <c r="K161"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1" s="3" t="inlineStr">
        <is>
          <t>01/01/1990</t>
        </is>
      </c>
      <c r="M161" s="3" t="inlineStr">
        <is>
          <t>1. Nhập lần lượt từng giá trị trong Test Data vào ô Date signed.
2. Bấm Review and submit sau mỗi giá trị và đọc ghi chú.</t>
        </is>
      </c>
      <c r="N161" s="3" t="inlineStr">
        <is>
          <t>1. Không có ghi chú về Date signed.</t>
        </is>
      </c>
      <c r="O161" s="3" t="n"/>
      <c r="P161" s="3" t="inlineStr">
        <is>
          <t>ASM-R5-14: Date signed là ngày có thật theo DD/MM/YYYY, không sau Date received và không có giới hạn dưới. Date received luôn là ngày hôm nay theo giờ Singapore, kể cả khi tiếp tục một bản nháp ở ngày khác.</t>
        </is>
      </c>
      <c r="Q161" s="3" t="n"/>
      <c r="R161" s="3" t="inlineStr">
        <is>
          <t>Tender R5, US-042, FS F5 v1.2: 5 Part 5, 6</t>
        </is>
      </c>
      <c r="S161" s="3" t="inlineStr">
        <is>
          <t>Điểm mở O15.</t>
        </is>
      </c>
      <c r="T161" s="2" t="inlineStr">
        <is>
          <t>Draft</t>
        </is>
      </c>
    </row>
    <row r="162" ht="267" customHeight="1">
      <c r="A162" s="2" t="inlineStr">
        <is>
          <t>TC-161</t>
        </is>
      </c>
      <c r="B162" s="2" t="inlineStr">
        <is>
          <t>TS-032</t>
        </is>
      </c>
      <c r="C162" s="3" t="inlineStr">
        <is>
          <t>Date signed chứa chữ, SQL và script bị chặn</t>
        </is>
      </c>
      <c r="D162" s="3" t="inlineStr">
        <is>
          <t>F5.6 Review application, Part 4 Context and Part 5 Declaration</t>
        </is>
      </c>
      <c r="E162" s="3" t="inlineStr">
        <is>
          <t>Review application, Part 4 and Part 5</t>
        </is>
      </c>
      <c r="F162" s="2" t="inlineStr">
        <is>
          <t>S2</t>
        </is>
      </c>
      <c r="G162" s="2" t="inlineStr">
        <is>
          <t>Medium</t>
        </is>
      </c>
      <c r="H162" s="2" t="inlineStr">
        <is>
          <t>Not Run</t>
        </is>
      </c>
      <c r="I162" s="2" t="inlineStr">
        <is>
          <t>Functional</t>
        </is>
      </c>
      <c r="J162" s="3" t="inlineStr">
        <is>
          <t>Prototype: edusave.vercel.app (ngày mẫu 18/10/2026)
Chrome (latest)
Build: ghi khi chạy
Cần: ENV-R5-01</t>
        </is>
      </c>
      <c r="K162"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2" s="3" t="inlineStr">
        <is>
          <t>abc, ' OR '1'='1, &lt;script&gt;alert(1)&lt;/script&gt;</t>
        </is>
      </c>
      <c r="M162" s="3" t="inlineStr">
        <is>
          <t>1. Nhập lần lượt từng giá trị trong Test Data vào ô Date signed.
2. Bấm Review and submit sau mỗi giá trị và đọc ghi chú.</t>
        </is>
      </c>
      <c r="N162" s="3" t="inlineStr">
        <is>
          <t>1. Mỗi giá trị hiện "Enter a valid date (DD/MM/YYYY)." và không alert.</t>
        </is>
      </c>
      <c r="O162" s="3" t="n"/>
      <c r="P162" s="3" t="inlineStr">
        <is>
          <t>ASM-R5-14: Date signed là ngày có thật theo DD/MM/YYYY, không sau Date received và không có giới hạn dưới. Date received luôn là ngày hôm nay theo giờ Singapore, kể cả khi tiếp tục một bản nháp ở ngày khác.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162" s="3" t="n"/>
      <c r="R162" s="3" t="inlineStr">
        <is>
          <t>Tender R5, US-042, FS F5 v1.2: 5 Part 5, 6</t>
        </is>
      </c>
      <c r="S162" s="3" t="inlineStr">
        <is>
          <t>Điểm mở O15.</t>
        </is>
      </c>
      <c r="T162" s="2" t="inlineStr">
        <is>
          <t>Draft</t>
        </is>
      </c>
    </row>
    <row r="163" ht="151" customHeight="1">
      <c r="A163" s="2" t="inlineStr">
        <is>
          <t>TC-162</t>
        </is>
      </c>
      <c r="B163" s="2" t="inlineStr">
        <is>
          <t>TS-033</t>
        </is>
      </c>
      <c r="C163" s="3" t="inlineStr">
        <is>
          <t>Save draft rồi Continue khôi phục đúng mẫu đơn (T9)</t>
        </is>
      </c>
      <c r="D163" s="3" t="inlineStr">
        <is>
          <t>F5.7 Drafts</t>
        </is>
      </c>
      <c r="E163" s="3" t="inlineStr">
        <is>
          <t>Upload applications and Review application</t>
        </is>
      </c>
      <c r="F163" s="2" t="inlineStr">
        <is>
          <t>S1 (highest)</t>
        </is>
      </c>
      <c r="G163" s="2" t="inlineStr">
        <is>
          <t>Critical</t>
        </is>
      </c>
      <c r="H163" s="2" t="inlineStr">
        <is>
          <t>Not Run</t>
        </is>
      </c>
      <c r="I163" s="2" t="inlineStr">
        <is>
          <t>Functional</t>
        </is>
      </c>
      <c r="J163" s="3" t="inlineStr">
        <is>
          <t>Prototype: edusave.vercel.app (ngày mẫu 18/10/2026)
Chrome (latest)
Build: ghi khi chạy
Cần: ENV-R5-01</t>
        </is>
      </c>
      <c r="K163"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3" s="3" t="inlineStr">
        <is>
          <t>Con 1 T1412345B (Tan Mei Ling, Bukit View Primary P6); Lim Hui Min; Context Father works shifts; the family hopes for help with transport.</t>
        </is>
      </c>
      <c r="M163" s="3" t="inlineStr">
        <is>
          <t>1. Nhập con 1 T1412345B, thành viên Lim Hui Min, Context "Father works shifts; the family hopes for help with transport.", đổi Relationship thành Mother.
2. Bấm Save draft.
3. Đọc danh sách Upload applications.
4. Bấm Continue ở dòng Draft.
5. So sánh các trường với lúc lưu.</t>
        </is>
      </c>
      <c r="N163" s="3" t="inlineStr">
        <is>
          <t>1. Danh sách có một dòng Draft với tên Tan Mei Ling, Application ID Not submitted.
2. Mẫu khôi phục đúng: NRIC người khai, con, thành viên, Context, Relationship Mother, School-based FAS và các ô cam kết.</t>
        </is>
      </c>
      <c r="O163" s="3" t="n"/>
      <c r="P163" s="3" t="inlineStr">
        <is>
          <t>N/A</t>
        </is>
      </c>
      <c r="Q163" s="3" t="n"/>
      <c r="R163" s="3" t="inlineStr">
        <is>
          <t>Tender R5, US-042, FS F5 v1.2: 2 bước 4a, 3 mục 6, BR6, T9, VR-F5-S08</t>
        </is>
      </c>
      <c r="S163" s="3" t="n"/>
      <c r="T163" s="2" t="inlineStr">
        <is>
          <t>Approve</t>
        </is>
      </c>
    </row>
    <row r="164" ht="151" customHeight="1">
      <c r="A164" s="2" t="inlineStr">
        <is>
          <t>TC-163</t>
        </is>
      </c>
      <c r="B164" s="2" t="inlineStr">
        <is>
          <t>TS-033</t>
        </is>
      </c>
      <c r="C164" s="3" t="inlineStr">
        <is>
          <t>Save draft với mẫu chưa đầy đủ vẫn lưu được</t>
        </is>
      </c>
      <c r="D164" s="3" t="inlineStr">
        <is>
          <t>F5.7 Drafts</t>
        </is>
      </c>
      <c r="E164" s="3" t="inlineStr">
        <is>
          <t>Upload applications and Review application</t>
        </is>
      </c>
      <c r="F164" s="2" t="inlineStr">
        <is>
          <t>S2</t>
        </is>
      </c>
      <c r="G164" s="2" t="inlineStr">
        <is>
          <t>High</t>
        </is>
      </c>
      <c r="H164" s="2" t="inlineStr">
        <is>
          <t>Not Run</t>
        </is>
      </c>
      <c r="I164" s="2" t="inlineStr">
        <is>
          <t>Functional</t>
        </is>
      </c>
      <c r="J164" s="3" t="inlineStr">
        <is>
          <t>Prototype: edusave.vercel.app (ngày mẫu 18/10/2026)
Chrome (latest)
Build: ghi khi chạy
Cần: ENV-R5-01</t>
        </is>
      </c>
      <c r="K164"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4" s="3" t="inlineStr">
        <is>
          <t>Chỉ có NRIC người khai</t>
        </is>
      </c>
      <c r="M164" s="3" t="inlineStr">
        <is>
          <t>1. Chỉ nhập NRIC người khai S7612345A.
2. Bấm Save draft.
3. Mở lại bằng Continue.</t>
        </is>
      </c>
      <c r="N164" s="3" t="inlineStr">
        <is>
          <t>1. Không có ghi chú Complete nào khi lưu nháp.
2. Dòng Draft xuất hiện, mẫu khôi phục chỉ với NRIC người khai và phần tự điền.</t>
        </is>
      </c>
      <c r="O164" s="3" t="n"/>
      <c r="P164"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64" s="3" t="n"/>
      <c r="R164" s="3" t="inlineStr">
        <is>
          <t>Tender R5, US-042, FS F5 v1.2: 2 bước 4a, BR6</t>
        </is>
      </c>
      <c r="S164" s="3" t="n"/>
      <c r="T164" s="2" t="inlineStr">
        <is>
          <t>Draft</t>
        </is>
      </c>
    </row>
    <row r="165" ht="151" customHeight="1">
      <c r="A165" s="2" t="inlineStr">
        <is>
          <t>TC-164</t>
        </is>
      </c>
      <c r="B165" s="2" t="inlineStr">
        <is>
          <t>TS-033</t>
        </is>
      </c>
      <c r="C165" s="3" t="inlineStr">
        <is>
          <t>Save draft với dữ liệu sai vẫn lưu nguyên giá trị đã nhập</t>
        </is>
      </c>
      <c r="D165" s="3" t="inlineStr">
        <is>
          <t>F5.7 Drafts</t>
        </is>
      </c>
      <c r="E165" s="3" t="inlineStr">
        <is>
          <t>Upload applications and Review application</t>
        </is>
      </c>
      <c r="F165" s="2" t="inlineStr">
        <is>
          <t>S2</t>
        </is>
      </c>
      <c r="G165" s="2" t="inlineStr">
        <is>
          <t>Medium</t>
        </is>
      </c>
      <c r="H165" s="2" t="inlineStr">
        <is>
          <t>Not Run</t>
        </is>
      </c>
      <c r="I165" s="2" t="inlineStr">
        <is>
          <t>Functional</t>
        </is>
      </c>
      <c r="J165" s="3" t="inlineStr">
        <is>
          <t>Prototype: edusave.vercel.app (ngày mẫu 18/10/2026)
Chrome (latest)
Build: ghi khi chạy
Cần: ENV-R5-01</t>
        </is>
      </c>
      <c r="K165"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5" s="3" t="inlineStr">
        <is>
          <t>Context 2100 ký tự; Date signed 31/04/2026</t>
        </is>
      </c>
      <c r="M165" s="3" t="inlineStr">
        <is>
          <t>1. Nhập Context 2100 ký tự và Date signed "31/04/2026".
2. Bấm Save draft rồi Continue.</t>
        </is>
      </c>
      <c r="N165" s="3" t="inlineStr">
        <is>
          <t>1. Draft được lưu, hai giá trị khôi phục đúng như đã nhập.
2. Chặn xảy ra ở Review and submit, không ở Save draft.</t>
        </is>
      </c>
      <c r="O165" s="3" t="n"/>
      <c r="P165"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65" s="3" t="n"/>
      <c r="R165" s="3" t="inlineStr">
        <is>
          <t>Tender R5, US-042, FS F5 v1.2: 2 bước 4a, 4b</t>
        </is>
      </c>
      <c r="S165" s="3" t="n"/>
      <c r="T165" s="2" t="inlineStr">
        <is>
          <t>Draft</t>
        </is>
      </c>
    </row>
    <row r="166" ht="151" customHeight="1">
      <c r="A166" s="2" t="inlineStr">
        <is>
          <t>TC-165</t>
        </is>
      </c>
      <c r="B166" s="2" t="inlineStr">
        <is>
          <t>TS-033</t>
        </is>
      </c>
      <c r="C166" s="3" t="inlineStr">
        <is>
          <t>Save draft hai lần cập nhật cùng một bản nháp</t>
        </is>
      </c>
      <c r="D166" s="3" t="inlineStr">
        <is>
          <t>F5.7 Drafts</t>
        </is>
      </c>
      <c r="E166" s="3" t="inlineStr">
        <is>
          <t>Upload applications and Review application</t>
        </is>
      </c>
      <c r="F166" s="2" t="inlineStr">
        <is>
          <t>S2</t>
        </is>
      </c>
      <c r="G166" s="2" t="inlineStr">
        <is>
          <t>Medium</t>
        </is>
      </c>
      <c r="H166" s="2" t="inlineStr">
        <is>
          <t>Not Run</t>
        </is>
      </c>
      <c r="I166" s="2" t="inlineStr">
        <is>
          <t>Functional</t>
        </is>
      </c>
      <c r="J166" s="3" t="inlineStr">
        <is>
          <t>Prototype: edusave.vercel.app (ngày mẫu 18/10/2026)
Chrome (latest)
Build: ghi khi chạy
Cần: ENV-R5-01</t>
        </is>
      </c>
      <c r="K166"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6" s="3" t="inlineStr">
        <is>
          <t>Hai lần lưu</t>
        </is>
      </c>
      <c r="M166" s="3" t="inlineStr">
        <is>
          <t>1. Bấm Save draft, đổi Context, bấm Save draft lần nữa.
2. Đọc danh sách.</t>
        </is>
      </c>
      <c r="N166" s="3" t="inlineStr">
        <is>
          <t>1. Danh sách vẫn một dòng Draft, Continue mở ra Context mới.</t>
        </is>
      </c>
      <c r="O166" s="3" t="n"/>
      <c r="P166"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66" s="3" t="n"/>
      <c r="R166" s="3" t="inlineStr">
        <is>
          <t>Tender R5, US-042, FS F5 v1.2: BR6</t>
        </is>
      </c>
      <c r="S166" s="3" t="n"/>
      <c r="T166" s="2" t="inlineStr">
        <is>
          <t>Draft</t>
        </is>
      </c>
    </row>
    <row r="167" ht="151" customHeight="1">
      <c r="A167" s="2" t="inlineStr">
        <is>
          <t>TC-166</t>
        </is>
      </c>
      <c r="B167" s="2" t="inlineStr">
        <is>
          <t>TS-033</t>
        </is>
      </c>
      <c r="C167" s="3" t="inlineStr">
        <is>
          <t>Bấm đúp Save draft chỉ tạo một bản nháp</t>
        </is>
      </c>
      <c r="D167" s="3" t="inlineStr">
        <is>
          <t>F5.7 Drafts</t>
        </is>
      </c>
      <c r="E167" s="3" t="inlineStr">
        <is>
          <t>Upload applications and Review application</t>
        </is>
      </c>
      <c r="F167" s="2" t="inlineStr">
        <is>
          <t>S3</t>
        </is>
      </c>
      <c r="G167" s="2" t="inlineStr">
        <is>
          <t>Medium</t>
        </is>
      </c>
      <c r="H167" s="2" t="inlineStr">
        <is>
          <t>Not Run</t>
        </is>
      </c>
      <c r="I167" s="2" t="inlineStr">
        <is>
          <t>Functional</t>
        </is>
      </c>
      <c r="J167" s="3" t="inlineStr">
        <is>
          <t>Prototype: edusave.vercel.app (ngày mẫu 18/10/2026)
Chrome (latest)
Build: ghi khi chạy
Cần: ENV-R5-01</t>
        </is>
      </c>
      <c r="K167"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7" s="3" t="inlineStr"/>
      <c r="M167" s="3" t="inlineStr">
        <is>
          <t>1. Bấm đúp nhanh Save draft.
2. Đọc danh sách.</t>
        </is>
      </c>
      <c r="N167" s="3" t="inlineStr">
        <is>
          <t>1. Chỉ có một dòng Draft.</t>
        </is>
      </c>
      <c r="O167" s="3" t="n"/>
      <c r="P167"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67" s="3" t="n"/>
      <c r="R167" s="3" t="inlineStr">
        <is>
          <t>Tender R5, US-042, FS F5 v1.2: BR6</t>
        </is>
      </c>
      <c r="S167" s="3" t="n"/>
      <c r="T167" s="2" t="inlineStr">
        <is>
          <t>Draft</t>
        </is>
      </c>
    </row>
    <row r="168" ht="180" customHeight="1">
      <c r="A168" s="2" t="inlineStr">
        <is>
          <t>TC-167</t>
        </is>
      </c>
      <c r="B168" s="2" t="inlineStr">
        <is>
          <t>TS-033</t>
        </is>
      </c>
      <c r="C168" s="3" t="inlineStr">
        <is>
          <t>Bản nháp ghi người lưu và thời gian lưu</t>
        </is>
      </c>
      <c r="D168" s="3" t="inlineStr">
        <is>
          <t>F5.7 Drafts</t>
        </is>
      </c>
      <c r="E168" s="3" t="inlineStr">
        <is>
          <t>Upload applications and Review application</t>
        </is>
      </c>
      <c r="F168" s="2" t="inlineStr">
        <is>
          <t>S3</t>
        </is>
      </c>
      <c r="G168" s="2" t="inlineStr">
        <is>
          <t>Medium</t>
        </is>
      </c>
      <c r="H168" s="2" t="inlineStr">
        <is>
          <t>Not Run</t>
        </is>
      </c>
      <c r="I168" s="2" t="inlineStr">
        <is>
          <t>Functional</t>
        </is>
      </c>
      <c r="J168" s="3" t="inlineStr">
        <is>
          <t>Prototype: edusave.vercel.app (ngày mẫu 18/10/2026)
Chrome (latest)
Build: ghi khi chạy
Cần: ENV-R5-01</t>
        </is>
      </c>
      <c r="K168"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68" s="3" t="inlineStr"/>
      <c r="M168" s="3" t="inlineStr">
        <is>
          <t>1. Bấm Save draft.
2. Đọc dòng Draft: cột Uploaded by và Uploaded at.</t>
        </is>
      </c>
      <c r="N168" s="3" t="inlineStr">
        <is>
          <t>1. Uploaded by là Lan Nguyen, Uploaded at là thời điểm lưu theo DD/MM/YYYY HH:mm giờ Singapore.</t>
        </is>
      </c>
      <c r="O168" s="3" t="n"/>
      <c r="P168"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
ASM-R5-23: 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Q168" s="3" t="n"/>
      <c r="R168" s="3" t="inlineStr">
        <is>
          <t>Tender R5, US-042, FS F5 v1.2: BR6, 3 mục 5, VR-F5-S08</t>
        </is>
      </c>
      <c r="S168" s="3" t="inlineStr">
        <is>
          <t>FS chỉ nói lưu theo trường kèm người lưu và thời gian lưu, chỗ hiển thị là suy luận từ cột của bảng.</t>
        </is>
      </c>
      <c r="T168" s="2" t="inlineStr">
        <is>
          <t>Draft</t>
        </is>
      </c>
    </row>
    <row r="169" ht="93" customHeight="1">
      <c r="A169" s="2" t="inlineStr">
        <is>
          <t>TC-168</t>
        </is>
      </c>
      <c r="B169" s="2" t="inlineStr">
        <is>
          <t>TS-033</t>
        </is>
      </c>
      <c r="C169" s="3" t="inlineStr">
        <is>
          <t>Bản nháp còn nguyên sau khi đăng xuất và đăng nhập lại</t>
        </is>
      </c>
      <c r="D169" s="3" t="inlineStr">
        <is>
          <t>F5.7 Drafts</t>
        </is>
      </c>
      <c r="E169" s="3" t="inlineStr">
        <is>
          <t>Upload applications and Review application</t>
        </is>
      </c>
      <c r="F169" s="2" t="inlineStr">
        <is>
          <t>S2</t>
        </is>
      </c>
      <c r="G169" s="2" t="inlineStr">
        <is>
          <t>Medium</t>
        </is>
      </c>
      <c r="H169" s="2" t="inlineStr">
        <is>
          <t>Not Run</t>
        </is>
      </c>
      <c r="I169" s="2" t="inlineStr">
        <is>
          <t>Functional</t>
        </is>
      </c>
      <c r="J169" s="3" t="inlineStr">
        <is>
          <t>Bản F5 có API (chưa có)
Chrome (latest)
Build: ghi khi chạy
Cần: ENV-R5-02</t>
        </is>
      </c>
      <c r="K169" s="3" t="inlineStr">
        <is>
          <t>1. Bản F5 có API chạy, dữ liệu SEED-R5 đã nạp.
2. Đã đăng nhập School user BVP-0012 Lan Nguyen, trường Bukit View Primary.
3. Đang ở màn Review application với dữ liệu hợp lệ.</t>
        </is>
      </c>
      <c r="L169" s="3" t="inlineStr"/>
      <c r="M169" s="3" t="inlineStr">
        <is>
          <t>1. Bấm Save draft.
2. Đăng xuất rồi đăng nhập lại BVP-0012.
3. Mở Upload applications.</t>
        </is>
      </c>
      <c r="N169" s="3" t="inlineStr">
        <is>
          <t>1. Dòng Draft vẫn còn và Continue khôi phục đúng mẫu.</t>
        </is>
      </c>
      <c r="O169" s="3" t="n"/>
      <c r="P169" s="3" t="inlineStr">
        <is>
          <t>N/A</t>
        </is>
      </c>
      <c r="Q169" s="3" t="n"/>
      <c r="R169" s="3" t="inlineStr">
        <is>
          <t>Tender R5, US-042, FS F5 v1.2: BR6</t>
        </is>
      </c>
      <c r="S169" s="3" t="n"/>
      <c r="T169" s="2" t="inlineStr">
        <is>
          <t>Approve</t>
        </is>
      </c>
    </row>
    <row r="170" ht="151" customHeight="1">
      <c r="A170" s="2" t="inlineStr">
        <is>
          <t>TC-169</t>
        </is>
      </c>
      <c r="B170" s="2" t="inlineStr">
        <is>
          <t>TS-034</t>
        </is>
      </c>
      <c r="C170" s="3" t="inlineStr">
        <is>
          <t>Discard trên bản scan vừa tải xoá scan và không tạo bản nháp</t>
        </is>
      </c>
      <c r="D170" s="3" t="inlineStr">
        <is>
          <t>F5.7 Drafts</t>
        </is>
      </c>
      <c r="E170" s="3" t="inlineStr">
        <is>
          <t>Upload applications and Review application</t>
        </is>
      </c>
      <c r="F170" s="2" t="inlineStr">
        <is>
          <t>S2</t>
        </is>
      </c>
      <c r="G170" s="2" t="inlineStr">
        <is>
          <t>High</t>
        </is>
      </c>
      <c r="H170" s="2" t="inlineStr">
        <is>
          <t>Not Run</t>
        </is>
      </c>
      <c r="I170" s="2" t="inlineStr">
        <is>
          <t>Functional</t>
        </is>
      </c>
      <c r="J170" s="3" t="inlineStr">
        <is>
          <t>Prototype: edusave.vercel.app (ngày mẫu 18/10/2026)
Chrome (latest)
Build: ghi khi chạy
Cần: ENV-R5-01</t>
        </is>
      </c>
      <c r="K170" s="3" t="inlineStr">
        <is>
          <t>1. Prototype ở trạng thái gốc (dùng Reset data).
2. Đã đăng nhập School user BVP-0012 Lan Nguyen, trường Bukit View Primary.
3. Đã bấm Upload scans, thêm scan_bvp_0667.pdf và bấm Upload and read. Màn Review application đang mở.
4. NRIC người khai S7612345A đã nhập, Part 1 đã tự điền và khoá.
5. Con 1 T1412345B đã nhập và tự điền.</t>
        </is>
      </c>
      <c r="L170" s="3" t="inlineStr">
        <is>
          <t>scan_bvp_0667.pdf chưa lưu nháp</t>
        </is>
      </c>
      <c r="M170" s="3" t="inlineStr">
        <is>
          <t>1. Bấm Discard.
2. Đọc danh sách.</t>
        </is>
      </c>
      <c r="N170" s="3" t="inlineStr">
        <is>
          <t>1. Về danh sách Upload applications.
2. Không có dòng Draft mới và scan bị bỏ.</t>
        </is>
      </c>
      <c r="O170" s="3" t="n"/>
      <c r="P170"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70" s="3" t="n"/>
      <c r="R170" s="3" t="inlineStr">
        <is>
          <t>Tender R5, US-042, FS F5 v1.2: 5 nút ở đầu trang, BR6</t>
        </is>
      </c>
      <c r="S170" s="3" t="n"/>
      <c r="T170" s="2" t="inlineStr">
        <is>
          <t>Draft</t>
        </is>
      </c>
    </row>
    <row r="171" ht="93" customHeight="1">
      <c r="A171" s="2" t="inlineStr">
        <is>
          <t>TC-170</t>
        </is>
      </c>
      <c r="B171" s="2" t="inlineStr">
        <is>
          <t>TS-034</t>
        </is>
      </c>
      <c r="C171" s="3" t="inlineStr">
        <is>
          <t>Discard trên bản nháp đã mở xoá bản nháp</t>
        </is>
      </c>
      <c r="D171" s="3" t="inlineStr">
        <is>
          <t>F5.7 Drafts</t>
        </is>
      </c>
      <c r="E171" s="3" t="inlineStr">
        <is>
          <t>Upload applications and Review application</t>
        </is>
      </c>
      <c r="F171" s="2" t="inlineStr">
        <is>
          <t>S2</t>
        </is>
      </c>
      <c r="G171" s="2" t="inlineStr">
        <is>
          <t>High</t>
        </is>
      </c>
      <c r="H171" s="2" t="inlineStr">
        <is>
          <t>Not Run</t>
        </is>
      </c>
      <c r="I171" s="2" t="inlineStr">
        <is>
          <t>Functional</t>
        </is>
      </c>
      <c r="J171" s="3" t="inlineStr">
        <is>
          <t>Prototype: edusave.vercel.app (ngày mẫu 18/10/2026)
Chrome (latest)
Build: ghi khi chạy
Cần: ENV-R5-01</t>
        </is>
      </c>
      <c r="K171" s="3" t="inlineStr">
        <is>
          <t>1. Prototype ở trạng thái gốc (dùng Reset data).
2. Đã đăng nhập School user BVP-0012 Lan Nguyen, trường Bukit View Primary.
3. Màn Upload applications đang mở.</t>
        </is>
      </c>
      <c r="L171" s="3" t="inlineStr"/>
      <c r="M171" s="3" t="inlineStr">
        <is>
          <t>1. Bấm Continue ở dòng Draft.
2. Bấm Discard (xác nhận nếu có hộp thoại).
3. Đọc danh sách.</t>
        </is>
      </c>
      <c r="N171" s="3" t="inlineStr">
        <is>
          <t>1. Dòng Draft biến mất khỏi danh sách và không khôi phục được.</t>
        </is>
      </c>
      <c r="O171" s="3" t="n"/>
      <c r="P171"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71" s="3" t="n"/>
      <c r="R171" s="3" t="inlineStr">
        <is>
          <t>Tender R5, US-042, FS F5 v1.2: 5 nút ở đầu trang, BR6</t>
        </is>
      </c>
      <c r="S171" s="3" t="n"/>
      <c r="T171" s="2" t="inlineStr">
        <is>
          <t>Draft</t>
        </is>
      </c>
    </row>
    <row r="172" ht="122" customHeight="1">
      <c r="A172" s="2" t="inlineStr">
        <is>
          <t>TC-171</t>
        </is>
      </c>
      <c r="B172" s="2" t="inlineStr">
        <is>
          <t>TS-034</t>
        </is>
      </c>
      <c r="C172" s="3" t="inlineStr">
        <is>
          <t>Delete trên dòng Draft xoá bản nháp và scan</t>
        </is>
      </c>
      <c r="D172" s="3" t="inlineStr">
        <is>
          <t>F5.7 Drafts</t>
        </is>
      </c>
      <c r="E172" s="3" t="inlineStr">
        <is>
          <t>Upload applications and Review application</t>
        </is>
      </c>
      <c r="F172" s="2" t="inlineStr">
        <is>
          <t>S2</t>
        </is>
      </c>
      <c r="G172" s="2" t="inlineStr">
        <is>
          <t>High</t>
        </is>
      </c>
      <c r="H172" s="2" t="inlineStr">
        <is>
          <t>Not Run</t>
        </is>
      </c>
      <c r="I172" s="2" t="inlineStr">
        <is>
          <t>Functional</t>
        </is>
      </c>
      <c r="J172" s="3" t="inlineStr">
        <is>
          <t>Prototype: edusave.vercel.app (ngày mẫu 18/10/2026)
Chrome (latest)
Build: ghi khi chạy
Cần: ENV-R5-01</t>
        </is>
      </c>
      <c r="K172" s="3" t="inlineStr">
        <is>
          <t>1. Prototype ở trạng thái gốc (dùng Reset data).
2. Đã đăng nhập School user BVP-0012 Lan Nguyen, trường Bukit View Primary.
3. Màn Upload applications đang mở.</t>
        </is>
      </c>
      <c r="L172" s="3" t="inlineStr"/>
      <c r="M172" s="3" t="inlineStr">
        <is>
          <t>1. Bấm Delete ở dòng Draft (xác nhận nếu có hộp thoại).
2. Đọc danh sách và các thẻ.</t>
        </is>
      </c>
      <c r="N172" s="3" t="inlineStr">
        <is>
          <t>1. Dòng Draft biến mất, tổng các thẻ không đổi.
2. Bản nháp và scan đi kèm không còn.</t>
        </is>
      </c>
      <c r="O172" s="3" t="n"/>
      <c r="P172"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
ASM-R5-22: Dòng Draft hiển thị nút Continue và Delete như FS 3 mục 6.</t>
        </is>
      </c>
      <c r="Q172" s="3" t="n"/>
      <c r="R172" s="3" t="inlineStr">
        <is>
          <t>Tender R5, US-042, FS F5 v1.2: 3 mục 6, BR6</t>
        </is>
      </c>
      <c r="S172" s="3" t="n"/>
      <c r="T172" s="2" t="inlineStr">
        <is>
          <t>Draft</t>
        </is>
      </c>
    </row>
    <row r="173" ht="93" customHeight="1">
      <c r="A173" s="2" t="inlineStr">
        <is>
          <t>TC-172</t>
        </is>
      </c>
      <c r="B173" s="2" t="inlineStr">
        <is>
          <t>TS-035</t>
        </is>
      </c>
      <c r="C173" s="3" t="inlineStr">
        <is>
          <t>Bản nháp bị xoá khi nộp thành công</t>
        </is>
      </c>
      <c r="D173" s="3" t="inlineStr">
        <is>
          <t>F5.7 Drafts</t>
        </is>
      </c>
      <c r="E173" s="3" t="inlineStr">
        <is>
          <t>Upload applications and Review application</t>
        </is>
      </c>
      <c r="F173" s="2" t="inlineStr">
        <is>
          <t>S1 (highest)</t>
        </is>
      </c>
      <c r="G173" s="2" t="inlineStr">
        <is>
          <t>High</t>
        </is>
      </c>
      <c r="H173" s="2" t="inlineStr">
        <is>
          <t>Not Run</t>
        </is>
      </c>
      <c r="I173" s="2" t="inlineStr">
        <is>
          <t>Functional</t>
        </is>
      </c>
      <c r="J173" s="3" t="inlineStr">
        <is>
          <t>Prototype: edusave.vercel.app (ngày mẫu 18/10/2026)
Chrome (latest)
Build: ghi khi chạy
Cần: ENV-R5-01</t>
        </is>
      </c>
      <c r="K173" s="3" t="inlineStr">
        <is>
          <t>1. Prototype ở trạng thái gốc (dùng Reset data).
2. Đã đăng nhập School user BVP-0012 Lan Nguyen, trường Bukit View Primary.
3. Màn Upload applications đang mở.</t>
        </is>
      </c>
      <c r="L173" s="3" t="inlineStr">
        <is>
          <t>Draft của Tan Mei Ling</t>
        </is>
      </c>
      <c r="M173" s="3" t="inlineStr">
        <is>
          <t>1. Bấm Continue ở dòng Draft và hoàn tất các phần thiếu.
2. Bấm Review and submit rồi Confirm and submit.
3. Đọc danh sách.</t>
        </is>
      </c>
      <c r="N173" s="3" t="inlineStr">
        <is>
          <t>1. Dòng Draft biến mất, xuất hiện đơn đã nộp với Application ID thật.</t>
        </is>
      </c>
      <c r="O173" s="3" t="n"/>
      <c r="P173" s="3" t="inlineStr">
        <is>
          <t>N/A</t>
        </is>
      </c>
      <c r="Q173" s="3" t="n"/>
      <c r="R173" s="3" t="inlineStr">
        <is>
          <t>Tender R5, US-042, FS F5 v1.2: 2 bước 5, BR6, VR-F5-S08</t>
        </is>
      </c>
      <c r="S173" s="3" t="n"/>
      <c r="T173" s="2" t="inlineStr">
        <is>
          <t>Approve</t>
        </is>
      </c>
    </row>
    <row r="174" ht="93" customHeight="1">
      <c r="A174" s="2" t="inlineStr">
        <is>
          <t>TC-173</t>
        </is>
      </c>
      <c r="B174" s="2" t="inlineStr">
        <is>
          <t>TS-035</t>
        </is>
      </c>
      <c r="C174" s="3" t="inlineStr">
        <is>
          <t>Draft chỉ thuộc trường của người tạo</t>
        </is>
      </c>
      <c r="D174" s="3" t="inlineStr">
        <is>
          <t>F5.7 Drafts</t>
        </is>
      </c>
      <c r="E174" s="3" t="inlineStr">
        <is>
          <t>Upload applications and Review application</t>
        </is>
      </c>
      <c r="F174" s="2" t="inlineStr">
        <is>
          <t>S1 (highest)</t>
        </is>
      </c>
      <c r="G174" s="2" t="inlineStr">
        <is>
          <t>High</t>
        </is>
      </c>
      <c r="H174" s="2" t="inlineStr">
        <is>
          <t>Not Run</t>
        </is>
      </c>
      <c r="I174" s="2" t="inlineStr">
        <is>
          <t>Security</t>
        </is>
      </c>
      <c r="J174" s="3" t="inlineStr">
        <is>
          <t>Prototype: edusave.vercel.app (ngày mẫu 18/10/2026)
Chrome (latest)
Build: ghi khi chạy
Cần: ENV-R5-01</t>
        </is>
      </c>
      <c r="K174" s="3" t="inlineStr">
        <is>
          <t>1. Prototype ở trạng thái gốc (dùng Reset data).
2. Đã đăng nhập School user BVP-0012 Lan Nguyen, trường Bukit View Primary.
3. Màn Upload applications đang mở.</t>
        </is>
      </c>
      <c r="L174" s="3" t="inlineStr">
        <is>
          <t>Draft của BVP-0012</t>
        </is>
      </c>
      <c r="M174" s="3" t="inlineStr">
        <is>
          <t>1. Đăng nhập Farah Tan (Meridian Secondary) và mở Upload applications với Uploaded Any time.</t>
        </is>
      </c>
      <c r="N174" s="3" t="inlineStr">
        <is>
          <t>1. Dòng Draft của Tan Mei Ling không có trong danh sách của Meridian Secondary.</t>
        </is>
      </c>
      <c r="O174" s="3" t="n"/>
      <c r="P174" s="3" t="inlineStr">
        <is>
          <t>N/A</t>
        </is>
      </c>
      <c r="Q174" s="3" t="n"/>
      <c r="R174" s="3" t="inlineStr">
        <is>
          <t>Tender R5, US-042, FS F5 v1.2: 1.2, BR6</t>
        </is>
      </c>
      <c r="S174" s="3" t="n"/>
      <c r="T174" s="2" t="inlineStr">
        <is>
          <t>Approve</t>
        </is>
      </c>
    </row>
    <row r="175" ht="93" customHeight="1">
      <c r="A175" s="2" t="inlineStr">
        <is>
          <t>TC-174</t>
        </is>
      </c>
      <c r="B175" s="2" t="inlineStr">
        <is>
          <t>TS-035</t>
        </is>
      </c>
      <c r="C175" s="3" t="inlineStr">
        <is>
          <t>Hai người cùng mở một bản nháp, lần lưu sau ghi đè</t>
        </is>
      </c>
      <c r="D175" s="3" t="inlineStr">
        <is>
          <t>F5.7 Drafts</t>
        </is>
      </c>
      <c r="E175" s="3" t="inlineStr">
        <is>
          <t>Upload applications and Review application</t>
        </is>
      </c>
      <c r="F175" s="2" t="inlineStr">
        <is>
          <t>S3</t>
        </is>
      </c>
      <c r="G175" s="2" t="inlineStr">
        <is>
          <t>Low</t>
        </is>
      </c>
      <c r="H175" s="2" t="inlineStr">
        <is>
          <t>Not Run</t>
        </is>
      </c>
      <c r="I175" s="2" t="inlineStr">
        <is>
          <t>Functional</t>
        </is>
      </c>
      <c r="J175" s="3" t="inlineStr">
        <is>
          <t>Bản F5 có API (chưa có)
Chrome (latest)
Build: ghi khi chạy
Cần: ENV-R5-02, ENV-R5-05</t>
        </is>
      </c>
      <c r="K175" s="3" t="inlineStr">
        <is>
          <t>1. Bản F5 có API chạy, dữ liệu SEED-R5 đã nạp.
2. Đã đăng nhập School user BVP-0012 Lan Nguyen, trường Bukit View Primary.
3. Có một bản nháp.</t>
        </is>
      </c>
      <c r="L175" s="3" t="inlineStr"/>
      <c r="M175" s="3" t="inlineStr">
        <is>
          <t>1. Phiên A và phiên B cùng Continue bản nháp.
2. Phiên A đổi Context và Save draft.
3. Phiên B đổi Relationship và Save draft.
4. Mở lại bản nháp.</t>
        </is>
      </c>
      <c r="N175" s="3" t="inlineStr">
        <is>
          <t>1. Bản nháp có nội dung của lần lưu sau (phiên B) và không lỗi hệ thống.</t>
        </is>
      </c>
      <c r="O175" s="3" t="n"/>
      <c r="P175" s="3" t="inlineStr">
        <is>
          <t>ASM-R5-12: 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Q175" s="3" t="n"/>
      <c r="R175" s="3" t="inlineStr">
        <is>
          <t>Tender R5, US-042, FS F5 v1.2: BR6</t>
        </is>
      </c>
      <c r="S175" s="3" t="n"/>
      <c r="T175" s="2" t="inlineStr">
        <is>
          <t>Draft</t>
        </is>
      </c>
    </row>
    <row r="176" ht="93" customHeight="1">
      <c r="A176" s="2" t="inlineStr">
        <is>
          <t>TC-175</t>
        </is>
      </c>
      <c r="B176" s="2" t="inlineStr">
        <is>
          <t>TS-035</t>
        </is>
      </c>
      <c r="C176" s="3" t="inlineStr">
        <is>
          <t>Con đã có đơn khi bản nháp được nộp bị chặn lúc nộp</t>
        </is>
      </c>
      <c r="D176" s="3" t="inlineStr">
        <is>
          <t>F5.7 Drafts</t>
        </is>
      </c>
      <c r="E176" s="3" t="inlineStr">
        <is>
          <t>Upload applications and Review application</t>
        </is>
      </c>
      <c r="F176" s="2" t="inlineStr">
        <is>
          <t>S1 (highest)</t>
        </is>
      </c>
      <c r="G176" s="2" t="inlineStr">
        <is>
          <t>High</t>
        </is>
      </c>
      <c r="H176" s="2" t="inlineStr">
        <is>
          <t>Not Run</t>
        </is>
      </c>
      <c r="I176" s="2" t="inlineStr">
        <is>
          <t>Functional</t>
        </is>
      </c>
      <c r="J176" s="3" t="inlineStr">
        <is>
          <t>Bản F5 có API (chưa có)
Chrome (latest)
Build: ghi khi chạy
Cần: ENV-R5-02, ENV-R5-03, ENV-R5-05</t>
        </is>
      </c>
      <c r="K176" s="3" t="inlineStr">
        <is>
          <t>1. Bản F5 có API chạy, dữ liệu SEED-R5 đã nạp.
2. Đã đăng nhập School user BVP-0012 Lan Nguyen, trường Bukit View Primary.
3. Hai phiên đăng nhập BVP-0012.</t>
        </is>
      </c>
      <c r="L176" s="3" t="inlineStr">
        <is>
          <t>Con T1711010H (SEED-R5-23)</t>
        </is>
      </c>
      <c r="M176" s="3" t="inlineStr">
        <is>
          <t>1. Phiên A lưu bản nháp có con T1711010H.
2. Phiên B nộp một mẫu hợp lệ cho cùng con đó.
3. Phiên A Continue bản nháp và bấm Review and submit.</t>
        </is>
      </c>
      <c r="N176" s="3" t="inlineStr">
        <is>
          <t>1. Phiên A hiện "{tên} already has an application this year ({id}, {status})." với mã đơn do phiên B tạo.
2. Hộp thoại Review before submitting không mở.</t>
        </is>
      </c>
      <c r="O176" s="3" t="n"/>
      <c r="P176" s="3" t="inlineStr">
        <is>
          <t>N/A</t>
        </is>
      </c>
      <c r="Q176" s="3" t="n"/>
      <c r="R176" s="3" t="inlineStr">
        <is>
          <t>Tender R5, US-042, FS F5 v1.2: 6, BR2</t>
        </is>
      </c>
      <c r="S176" s="3" t="n"/>
      <c r="T176" s="2" t="inlineStr">
        <is>
          <t>Approve</t>
        </is>
      </c>
    </row>
    <row r="177" ht="165.5" customHeight="1">
      <c r="A177" s="2" t="inlineStr">
        <is>
          <t>TC-176</t>
        </is>
      </c>
      <c r="B177" s="2" t="inlineStr">
        <is>
          <t>TS-036</t>
        </is>
      </c>
      <c r="C177" s="3" t="inlineStr">
        <is>
          <t>Mẫu hợp lệ mở hộp thoại Review before submitting</t>
        </is>
      </c>
      <c r="D177" s="3" t="inlineStr">
        <is>
          <t>F5.8 Review and submit validation</t>
        </is>
      </c>
      <c r="E177" s="3" t="inlineStr">
        <is>
          <t>Review application (kiểm tra khi Review and submit)</t>
        </is>
      </c>
      <c r="F177" s="2" t="inlineStr">
        <is>
          <t>S1 (highest)</t>
        </is>
      </c>
      <c r="G177" s="2" t="inlineStr">
        <is>
          <t>Critical</t>
        </is>
      </c>
      <c r="H177" s="2" t="inlineStr">
        <is>
          <t>Not Run</t>
        </is>
      </c>
      <c r="I177" s="2" t="inlineStr">
        <is>
          <t>Functional</t>
        </is>
      </c>
      <c r="J177" s="3" t="inlineStr">
        <is>
          <t>Prototype: edusave.vercel.app (ngày mẫu 18/10/2026)
Chrome (latest)
Build: ghi khi chạy
Cần: ENV-R5-01</t>
        </is>
      </c>
      <c r="K177"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77" s="3" t="inlineStr"/>
      <c r="M177" s="3" t="inlineStr">
        <is>
          <t>1. Bấm Review and submit.</t>
        </is>
      </c>
      <c r="N177" s="3" t="inlineStr">
        <is>
          <t>1. Không có ghi chú đỏ nào.
2. Hộp thoại Review before submitting mở.</t>
        </is>
      </c>
      <c r="O177" s="3" t="n"/>
      <c r="P177" s="3" t="inlineStr">
        <is>
          <t>N/A</t>
        </is>
      </c>
      <c r="Q177" s="3" t="n"/>
      <c r="R177" s="3" t="inlineStr">
        <is>
          <t>Tender R5, US-042, FS F5 v1.2: 2 bước 4b, 6, BR7</t>
        </is>
      </c>
      <c r="S177" s="3" t="n"/>
      <c r="T177" s="2" t="inlineStr">
        <is>
          <t>Approve</t>
        </is>
      </c>
    </row>
    <row r="178" ht="136.5" customHeight="1">
      <c r="A178" s="2" t="inlineStr">
        <is>
          <t>TC-177</t>
        </is>
      </c>
      <c r="B178" s="2" t="inlineStr">
        <is>
          <t>TS-036</t>
        </is>
      </c>
      <c r="C178" s="3" t="inlineStr">
        <is>
          <t>Mẫu trống hoàn toàn liệt kê mọi trường bắt buộc theo thứ tự FS</t>
        </is>
      </c>
      <c r="D178" s="3" t="inlineStr">
        <is>
          <t>F5.8 Review and submit validation</t>
        </is>
      </c>
      <c r="E178" s="3" t="inlineStr">
        <is>
          <t>Review application (kiểm tra khi Review and submit)</t>
        </is>
      </c>
      <c r="F178" s="2" t="inlineStr">
        <is>
          <t>S1 (highest)</t>
        </is>
      </c>
      <c r="G178" s="2" t="inlineStr">
        <is>
          <t>High</t>
        </is>
      </c>
      <c r="H178" s="2" t="inlineStr">
        <is>
          <t>Not Run</t>
        </is>
      </c>
      <c r="I178" s="2" t="inlineStr">
        <is>
          <t>Functional</t>
        </is>
      </c>
      <c r="J178" s="3" t="inlineStr">
        <is>
          <t>Prototype: edusave.vercel.app (ngày mẫu 18/10/2026)
Chrome (latest)
Build: ghi khi chạy
Cần: ENV-R5-01</t>
        </is>
      </c>
      <c r="K178" s="3" t="inlineStr">
        <is>
          <t>1. Prototype ở trạng thái gốc (dùng Reset data).
2. Đã đăng nhập School user BVP-0012 Lan Nguyen, trường Bukit View Primary.
3. Đã bấm Upload scans, thêm scan_bvp_0667.pdf và bấm Upload and read. Màn Review application đang mở.</t>
        </is>
      </c>
      <c r="L178" s="3" t="inlineStr">
        <is>
          <t>Mẫu trống</t>
        </is>
      </c>
      <c r="M178" s="3" t="inlineStr">
        <is>
          <t>1. Mở một mẫu mới chưa nhập gì (Upload and read file không đọc được giá trị nào).
2. Bấm Review and submit.</t>
        </is>
      </c>
      <c r="N178" s="3" t="inlineStr">
        <is>
          <t>1. Một ghi chú đỏ: "Complete: Applicant NRIC, Applicant full name, Applicant date of birth, Gender, Category, Nationality, Relationship to child, Phone number (up to 10 digits), Email, Address, At least one child, Declaration, Applicant signature checked, Date signed."
2. Mục Family members không có vì Part 3 trống và tuỳ chọn.
3. Hộp thoại không mở.</t>
        </is>
      </c>
      <c r="O178" s="3" t="n"/>
      <c r="P178"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178" s="3" t="n"/>
      <c r="R178" s="3" t="inlineStr">
        <is>
          <t>Tender R5, US-042, FS F5 v1.2: 6</t>
        </is>
      </c>
      <c r="S178" s="3" t="inlineStr">
        <is>
          <t>Thứ tự và mục Family members lấy từ danh sách của FS 6.</t>
        </is>
      </c>
      <c r="T178" s="2" t="inlineStr">
        <is>
          <t>Draft</t>
        </is>
      </c>
    </row>
    <row r="179" ht="165.5" customHeight="1">
      <c r="A179" s="2" t="inlineStr">
        <is>
          <t>TC-178</t>
        </is>
      </c>
      <c r="B179" s="2" t="inlineStr">
        <is>
          <t>TS-036</t>
        </is>
      </c>
      <c r="C179" s="3" t="inlineStr">
        <is>
          <t>Thiếu đúng một trường: Date signed</t>
        </is>
      </c>
      <c r="D179" s="3" t="inlineStr">
        <is>
          <t>F5.8 Review and submit validation</t>
        </is>
      </c>
      <c r="E179" s="3" t="inlineStr">
        <is>
          <t>Review application (kiểm tra khi Review and submit)</t>
        </is>
      </c>
      <c r="F179" s="2" t="inlineStr">
        <is>
          <t>S2</t>
        </is>
      </c>
      <c r="G179" s="2" t="inlineStr">
        <is>
          <t>High</t>
        </is>
      </c>
      <c r="H179" s="2" t="inlineStr">
        <is>
          <t>Not Run</t>
        </is>
      </c>
      <c r="I179" s="2" t="inlineStr">
        <is>
          <t>Functional</t>
        </is>
      </c>
      <c r="J179" s="3" t="inlineStr">
        <is>
          <t>Prototype: edusave.vercel.app (ngày mẫu 18/10/2026)
Chrome (latest)
Build: ghi khi chạy
Cần: ENV-R5-01</t>
        </is>
      </c>
      <c r="K179"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79" s="3" t="inlineStr"/>
      <c r="M179" s="3" t="inlineStr">
        <is>
          <t>1. Xoá Date signed.
2. Bấm Review and submit.</t>
        </is>
      </c>
      <c r="N179" s="3" t="inlineStr">
        <is>
          <t>1. Hiện "Complete: Date signed."</t>
        </is>
      </c>
      <c r="O179" s="3" t="n"/>
      <c r="P179" s="3" t="inlineStr">
        <is>
          <t>N/A</t>
        </is>
      </c>
      <c r="Q179" s="3" t="n"/>
      <c r="R179" s="3" t="inlineStr">
        <is>
          <t>Tender R5, US-042, FS F5 v1.2: 6</t>
        </is>
      </c>
      <c r="S179" s="3" t="n"/>
      <c r="T179" s="2" t="inlineStr">
        <is>
          <t>Approve</t>
        </is>
      </c>
    </row>
    <row r="180" ht="165.5" customHeight="1">
      <c r="A180" s="2" t="inlineStr">
        <is>
          <t>TC-179</t>
        </is>
      </c>
      <c r="B180" s="2" t="inlineStr">
        <is>
          <t>TS-036</t>
        </is>
      </c>
      <c r="C180" s="3" t="inlineStr">
        <is>
          <t>Thiếu hai trường: chữ ký và Date signed</t>
        </is>
      </c>
      <c r="D180" s="3" t="inlineStr">
        <is>
          <t>F5.8 Review and submit validation</t>
        </is>
      </c>
      <c r="E180" s="3" t="inlineStr">
        <is>
          <t>Review application (kiểm tra khi Review and submit)</t>
        </is>
      </c>
      <c r="F180" s="2" t="inlineStr">
        <is>
          <t>S2</t>
        </is>
      </c>
      <c r="G180" s="2" t="inlineStr">
        <is>
          <t>High</t>
        </is>
      </c>
      <c r="H180" s="2" t="inlineStr">
        <is>
          <t>Not Run</t>
        </is>
      </c>
      <c r="I180" s="2" t="inlineStr">
        <is>
          <t>Functional</t>
        </is>
      </c>
      <c r="J180" s="3" t="inlineStr">
        <is>
          <t>Prototype: edusave.vercel.app (ngày mẫu 18/10/2026)
Chrome (latest)
Build: ghi khi chạy
Cần: ENV-R5-01</t>
        </is>
      </c>
      <c r="K180"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0" s="3" t="inlineStr"/>
      <c r="M180" s="3" t="inlineStr">
        <is>
          <t>1. Bỏ tick Applicant signature checked, xoá Date signed.
2. Bấm Review and submit.</t>
        </is>
      </c>
      <c r="N180" s="3" t="inlineStr">
        <is>
          <t>1. Hiện "Complete: Applicant signature checked, Date signed."</t>
        </is>
      </c>
      <c r="O180" s="3" t="n"/>
      <c r="P180"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180" s="3" t="n"/>
      <c r="R180" s="3" t="inlineStr">
        <is>
          <t>Tender R5, US-042, FS F5 v1.2: 6, T8</t>
        </is>
      </c>
      <c r="S180" s="3" t="n"/>
      <c r="T180" s="2" t="inlineStr">
        <is>
          <t>Draft</t>
        </is>
      </c>
    </row>
    <row r="181" ht="165.5" customHeight="1">
      <c r="A181" s="2" t="inlineStr">
        <is>
          <t>TC-180</t>
        </is>
      </c>
      <c r="B181" s="2" t="inlineStr">
        <is>
          <t>TS-036</t>
        </is>
      </c>
      <c r="C181" s="3" t="inlineStr">
        <is>
          <t>Con chưa nhập NRIC</t>
        </is>
      </c>
      <c r="D181" s="3" t="inlineStr">
        <is>
          <t>F5.8 Review and submit validation</t>
        </is>
      </c>
      <c r="E181" s="3" t="inlineStr">
        <is>
          <t>Review application (kiểm tra khi Review and submit)</t>
        </is>
      </c>
      <c r="F181" s="2" t="inlineStr">
        <is>
          <t>S1 (highest)</t>
        </is>
      </c>
      <c r="G181" s="2" t="inlineStr">
        <is>
          <t>High</t>
        </is>
      </c>
      <c r="H181" s="2" t="inlineStr">
        <is>
          <t>Not Run</t>
        </is>
      </c>
      <c r="I181" s="2" t="inlineStr">
        <is>
          <t>Functional</t>
        </is>
      </c>
      <c r="J181" s="3" t="inlineStr">
        <is>
          <t>Prototype: edusave.vercel.app (ngày mẫu 18/10/2026)
Chrome (latest)
Build: ghi khi chạy
Cần: ENV-R5-01</t>
        </is>
      </c>
      <c r="K181"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1" s="3" t="inlineStr">
        <is>
          <t>Con 1 để trống</t>
        </is>
      </c>
      <c r="M181" s="3" t="inlineStr">
        <is>
          <t>1. Xoá NRIC của con 1.
2. Bấm Review and submit.</t>
        </is>
      </c>
      <c r="N181" s="3" t="inlineStr">
        <is>
          <t>1. Hiện "Child 1: enter the NRIC/FIN."
2. Hộp thoại không mở.</t>
        </is>
      </c>
      <c r="O181" s="3" t="n"/>
      <c r="P181" s="3" t="inlineStr">
        <is>
          <t>N/A</t>
        </is>
      </c>
      <c r="Q181" s="3" t="n"/>
      <c r="R181" s="3" t="inlineStr">
        <is>
          <t>Tender R5, US-042, FS F5 v1.2: 6</t>
        </is>
      </c>
      <c r="S181" s="3" t="inlineStr">
        <is>
          <t>Có thêm "Complete: At least one child." hay không là điểm mở của F5, ghi lại khi chạy.</t>
        </is>
      </c>
      <c r="T181" s="2" t="inlineStr">
        <is>
          <t>Approve</t>
        </is>
      </c>
    </row>
    <row r="182" ht="165.5" customHeight="1">
      <c r="A182" s="2" t="inlineStr">
        <is>
          <t>TC-181</t>
        </is>
      </c>
      <c r="B182" s="2" t="inlineStr">
        <is>
          <t>TS-037</t>
        </is>
      </c>
      <c r="C182" s="3" t="inlineStr">
        <is>
          <t>NRIC của con không có trong hồ sơ MOE (T4)</t>
        </is>
      </c>
      <c r="D182" s="3" t="inlineStr">
        <is>
          <t>F5.8 Review and submit validation</t>
        </is>
      </c>
      <c r="E182" s="3" t="inlineStr">
        <is>
          <t>Review application (kiểm tra khi Review and submit)</t>
        </is>
      </c>
      <c r="F182" s="2" t="inlineStr">
        <is>
          <t>S1 (highest)</t>
        </is>
      </c>
      <c r="G182" s="2" t="inlineStr">
        <is>
          <t>Critical</t>
        </is>
      </c>
      <c r="H182" s="2" t="inlineStr">
        <is>
          <t>Not Run</t>
        </is>
      </c>
      <c r="I182" s="2" t="inlineStr">
        <is>
          <t>Functional</t>
        </is>
      </c>
      <c r="J182" s="3" t="inlineStr">
        <is>
          <t>Prototype: edusave.vercel.app (ngày mẫu 18/10/2026)
Chrome (latest)
Build: ghi khi chạy
Cần: ENV-R5-01</t>
        </is>
      </c>
      <c r="K182"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2" s="3" t="inlineStr">
        <is>
          <t>NRIC T2300001B không có trong hồ sơ MOE</t>
        </is>
      </c>
      <c r="M182" s="3" t="inlineStr">
        <is>
          <t>1. Nhập NRIC T2300001B vào con 1.
2. Bấm Review and submit.</t>
        </is>
      </c>
      <c r="N182" s="3" t="inlineStr">
        <is>
          <t>1. Hiện "Child 1: no student with NRIC/FIN T2300001B in MOE records."
2. Hộp thoại không mở.</t>
        </is>
      </c>
      <c r="O182" s="3" t="n"/>
      <c r="P182" s="3" t="inlineStr">
        <is>
          <t>N/A</t>
        </is>
      </c>
      <c r="Q182" s="3" t="n"/>
      <c r="R182" s="3" t="inlineStr">
        <is>
          <t>Tender R5, US-042, FS F5 v1.2: 6, T4</t>
        </is>
      </c>
      <c r="S182" s="3" t="n"/>
      <c r="T182" s="2" t="inlineStr">
        <is>
          <t>Approve</t>
        </is>
      </c>
    </row>
    <row r="183" ht="136.5" customHeight="1">
      <c r="A183" s="2" t="inlineStr">
        <is>
          <t>TC-182</t>
        </is>
      </c>
      <c r="B183" s="2" t="inlineStr">
        <is>
          <t>TS-037</t>
        </is>
      </c>
      <c r="C183" s="3" t="inlineStr">
        <is>
          <t>Con 17 tuổi bị chặn (T5)</t>
        </is>
      </c>
      <c r="D183" s="3" t="inlineStr">
        <is>
          <t>F5.8 Review and submit validation</t>
        </is>
      </c>
      <c r="E183" s="3" t="inlineStr">
        <is>
          <t>Review application (kiểm tra khi Review and submit)</t>
        </is>
      </c>
      <c r="F183" s="2" t="inlineStr">
        <is>
          <t>S1 (highest)</t>
        </is>
      </c>
      <c r="G183" s="2" t="inlineStr">
        <is>
          <t>Critical</t>
        </is>
      </c>
      <c r="H183" s="2" t="inlineStr">
        <is>
          <t>Not Run</t>
        </is>
      </c>
      <c r="I183" s="2" t="inlineStr">
        <is>
          <t>Functional</t>
        </is>
      </c>
      <c r="J183" s="3" t="inlineStr">
        <is>
          <t>Bản F5 có API (chưa có)
Chrome (latest)
Build: ghi khi chạy
Cần: ENV-R5-02, ENV-R5-03</t>
        </is>
      </c>
      <c r="K183" s="3" t="inlineStr">
        <is>
          <t>1. Bản F5 có API chạy, dữ liệu SEED-R5 đã nạp.
2. Đã đăng nhập School user MRS-0012 Farah Tan, trường Meridian Secondary.
3. Đã bấm Upload scans, thêm scan_bvp_0667.pdf và bấm Upload and read. Màn Review application đang mở.
4. Mẫu hợp lệ khác như Test Data của F5.8.</t>
        </is>
      </c>
      <c r="L183" s="3" t="inlineStr">
        <is>
          <t>SEED-R5-12 Teo Jun Hao T0990505C, sinh 18/10/2009, MRS S5</t>
        </is>
      </c>
      <c r="M183" s="3" t="inlineStr">
        <is>
          <t>1. Đăng nhập Farah Tan, nhập NRIC T0990505C vào con 1.
2. Bấm Review and submit.</t>
        </is>
      </c>
      <c r="N183" s="3" t="inlineStr">
        <is>
          <t>1. Hiện "Teo Jun Hao must be 7 to 16 years old (now 17)."
2. Hộp thoại không mở.</t>
        </is>
      </c>
      <c r="O183" s="3" t="n"/>
      <c r="P183" s="3" t="inlineStr">
        <is>
          <t>N/A</t>
        </is>
      </c>
      <c r="Q183" s="3" t="n"/>
      <c r="R183" s="3" t="inlineStr">
        <is>
          <t>Tender R5, US-042, FS F5 v1.2: 6, BR2, T5</t>
        </is>
      </c>
      <c r="S183" s="3" t="n"/>
      <c r="T183" s="2" t="inlineStr">
        <is>
          <t>Approve</t>
        </is>
      </c>
    </row>
    <row r="184" ht="165.5" customHeight="1">
      <c r="A184" s="2" t="inlineStr">
        <is>
          <t>TC-183</t>
        </is>
      </c>
      <c r="B184" s="2" t="inlineStr">
        <is>
          <t>TS-037</t>
        </is>
      </c>
      <c r="C184" s="3" t="inlineStr">
        <is>
          <t>Con đã có đơn Pending trong năm nay bị chặn</t>
        </is>
      </c>
      <c r="D184" s="3" t="inlineStr">
        <is>
          <t>F5.8 Review and submit validation</t>
        </is>
      </c>
      <c r="E184" s="3" t="inlineStr">
        <is>
          <t>Review application (kiểm tra khi Review and submit)</t>
        </is>
      </c>
      <c r="F184" s="2" t="inlineStr">
        <is>
          <t>S1 (highest)</t>
        </is>
      </c>
      <c r="G184" s="2" t="inlineStr">
        <is>
          <t>Critical</t>
        </is>
      </c>
      <c r="H184" s="2" t="inlineStr">
        <is>
          <t>Not Run</t>
        </is>
      </c>
      <c r="I184" s="2" t="inlineStr">
        <is>
          <t>Functional</t>
        </is>
      </c>
      <c r="J184" s="3" t="inlineStr">
        <is>
          <t>Prototype: edusave.vercel.app (ngày mẫu 18/10/2026)
Chrome (latest)
Build: ghi khi chạy
Cần: ENV-R5-01</t>
        </is>
      </c>
      <c r="K184"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4" s="3" t="inlineStr">
        <is>
          <t>Aisha Rahman T1801177H có APP-2026-00412 Pending</t>
        </is>
      </c>
      <c r="M184" s="3" t="inlineStr">
        <is>
          <t>1. Nhập NRIC T1801177H (Aisha Rahman) vào con 1.
2. Bấm Review and submit.</t>
        </is>
      </c>
      <c r="N184" s="3" t="inlineStr">
        <is>
          <t>1. Hiện "Aisha Rahman already has an application this year (APP-2026-00412, Pending)."
2. Hộp thoại không mở.</t>
        </is>
      </c>
      <c r="O184" s="3" t="n"/>
      <c r="P184" s="3" t="inlineStr">
        <is>
          <t>N/A</t>
        </is>
      </c>
      <c r="Q184" s="3" t="n"/>
      <c r="R184" s="3" t="inlineStr">
        <is>
          <t>Tender R5, US-042, FS F5 v1.2: 6, BR2, 3 mục 8</t>
        </is>
      </c>
      <c r="S184" s="3" t="n"/>
      <c r="T184" s="2" t="inlineStr">
        <is>
          <t>Approve</t>
        </is>
      </c>
    </row>
    <row r="185" ht="165.5" customHeight="1">
      <c r="A185" s="2" t="inlineStr">
        <is>
          <t>TC-184</t>
        </is>
      </c>
      <c r="B185" s="2" t="inlineStr">
        <is>
          <t>TS-037</t>
        </is>
      </c>
      <c r="C185" s="3" t="inlineStr">
        <is>
          <t>Con đã có đơn đã duyệt trong năm nay bị chặn</t>
        </is>
      </c>
      <c r="D185" s="3" t="inlineStr">
        <is>
          <t>F5.8 Review and submit validation</t>
        </is>
      </c>
      <c r="E185" s="3" t="inlineStr">
        <is>
          <t>Review application (kiểm tra khi Review and submit)</t>
        </is>
      </c>
      <c r="F185" s="2" t="inlineStr">
        <is>
          <t>S1 (highest)</t>
        </is>
      </c>
      <c r="G185" s="2" t="inlineStr">
        <is>
          <t>High</t>
        </is>
      </c>
      <c r="H185" s="2" t="inlineStr">
        <is>
          <t>Not Run</t>
        </is>
      </c>
      <c r="I185" s="2" t="inlineStr">
        <is>
          <t>Functional</t>
        </is>
      </c>
      <c r="J185" s="3" t="inlineStr">
        <is>
          <t>Prototype: edusave.vercel.app (ngày mẫu 18/10/2026)
Chrome (latest)
Build: ghi khi chạy
Cần: ENV-R5-01</t>
        </is>
      </c>
      <c r="K185"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5" s="3" t="inlineStr">
        <is>
          <t>Lucas Teo T1780445K có APP-2026-00386 Approved SBFAS Tier 3</t>
        </is>
      </c>
      <c r="M185" s="3" t="inlineStr">
        <is>
          <t>1. Nhập NRIC T1780445K (Lucas Teo) vào con 1.
2. Bấm Review and submit.</t>
        </is>
      </c>
      <c r="N185" s="3" t="inlineStr">
        <is>
          <t>1. Hiện "Lucas Teo already has an application this year (APP-2026-00386, {status})." với status của đơn như danh sách hiển thị.
2. Hộp thoại không mở.</t>
        </is>
      </c>
      <c r="O185" s="3" t="n"/>
      <c r="P185" s="3" t="inlineStr">
        <is>
          <t>N/A</t>
        </is>
      </c>
      <c r="Q185" s="3" t="n"/>
      <c r="R185" s="3" t="inlineStr">
        <is>
          <t>Tender R5, US-042, FS F5 v1.2: 6, BR2</t>
        </is>
      </c>
      <c r="S185" s="3" t="inlineStr">
        <is>
          <t>Cách viết {status} là điểm cần ghi lại khi chạy (Approved hay Approved · SBFAS).</t>
        </is>
      </c>
      <c r="T185" s="2" t="inlineStr">
        <is>
          <t>Approve</t>
        </is>
      </c>
    </row>
    <row r="186" ht="165.5" customHeight="1">
      <c r="A186" s="2" t="inlineStr">
        <is>
          <t>TC-185</t>
        </is>
      </c>
      <c r="B186" s="2" t="inlineStr">
        <is>
          <t>TS-037</t>
        </is>
      </c>
      <c r="C186" s="3" t="inlineStr">
        <is>
          <t>Đơn của năm trước có chặn hay không</t>
        </is>
      </c>
      <c r="D186" s="3" t="inlineStr">
        <is>
          <t>F5.8 Review and submit validation</t>
        </is>
      </c>
      <c r="E186" s="3" t="inlineStr">
        <is>
          <t>Review application (kiểm tra khi Review and submit)</t>
        </is>
      </c>
      <c r="F186" s="2" t="inlineStr">
        <is>
          <t>S2</t>
        </is>
      </c>
      <c r="G186" s="2" t="inlineStr">
        <is>
          <t>Medium</t>
        </is>
      </c>
      <c r="H186" s="2" t="inlineStr">
        <is>
          <t>Not Run</t>
        </is>
      </c>
      <c r="I186" s="2" t="inlineStr">
        <is>
          <t>Functional</t>
        </is>
      </c>
      <c r="J186" s="3" t="inlineStr">
        <is>
          <t>Prototype: edusave.vercel.app (ngày mẫu 18/10/2026)
Chrome (latest)
Build: ghi khi chạy
Cần: ENV-R5-01</t>
        </is>
      </c>
      <c r="K186"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86" s="3" t="inlineStr">
        <is>
          <t>Chen Xin Yi T1775532J có APP-2026-00390 nộp 14/11/2025 cho MOEFAS 2026</t>
        </is>
      </c>
      <c r="M186" s="3" t="inlineStr">
        <is>
          <t>1. Nhập NRIC T1775532J (Chen Xin Yi) vào con 1.
2. Bấm Review and submit.</t>
        </is>
      </c>
      <c r="N186" s="3" t="inlineStr">
        <is>
          <t>1. Không có kết quả xác định trong FS.</t>
        </is>
      </c>
      <c r="O186" s="3" t="n"/>
      <c r="P186" s="3" t="inlineStr">
        <is>
          <t>ASM-R5-29: Không có giả định hợp lý. Đơn APP-2026-00390 nộp 14/11/2025 cho MOEFAS 2026 thuộc năm 2025 theo ngày nộp nhưng thuộc năm 2026 theo scheme.</t>
        </is>
      </c>
      <c r="Q186" s="3" t="n"/>
      <c r="R186" s="3" t="inlineStr">
        <is>
          <t>Tender R5, US-042, FS F5 v1.2: 6, BR2</t>
        </is>
      </c>
      <c r="S186" s="3" t="inlineStr">
        <is>
          <t>Điểm mới O29: "năm nay" tính theo ngày nộp hay năm của scheme.</t>
        </is>
      </c>
      <c r="T186" s="2" t="inlineStr">
        <is>
          <t>Block</t>
        </is>
      </c>
    </row>
    <row r="187" ht="136.5" customHeight="1">
      <c r="A187" s="2" t="inlineStr">
        <is>
          <t>TC-186</t>
        </is>
      </c>
      <c r="B187" s="2" t="inlineStr">
        <is>
          <t>TS-037</t>
        </is>
      </c>
      <c r="C187" s="3" t="inlineStr">
        <is>
          <t>Không con nào học tại trường của người dùng (T6)</t>
        </is>
      </c>
      <c r="D187" s="3" t="inlineStr">
        <is>
          <t>F5.8 Review and submit validation</t>
        </is>
      </c>
      <c r="E187" s="3" t="inlineStr">
        <is>
          <t>Review application (kiểm tra khi Review and submit)</t>
        </is>
      </c>
      <c r="F187" s="2" t="inlineStr">
        <is>
          <t>S1 (highest)</t>
        </is>
      </c>
      <c r="G187" s="2" t="inlineStr">
        <is>
          <t>Critical</t>
        </is>
      </c>
      <c r="H187" s="2" t="inlineStr">
        <is>
          <t>Not Run</t>
        </is>
      </c>
      <c r="I187" s="2" t="inlineStr">
        <is>
          <t>Functional</t>
        </is>
      </c>
      <c r="J187" s="3" t="inlineStr">
        <is>
          <t>Bản F5 có API (chưa có)
Chrome (latest)
Build: ghi khi chạy
Cần: ENV-R5-02, ENV-R5-03</t>
        </is>
      </c>
      <c r="K187"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khác như Test Data của F5.8.</t>
        </is>
      </c>
      <c r="L187" s="3" t="inlineStr">
        <is>
          <t>SEED-R5-14 Yap Shu Ting T1380707D, MRS S1</t>
        </is>
      </c>
      <c r="M187" s="3" t="inlineStr">
        <is>
          <t>1. Đăng nhập Lan Nguyen (Bukit View Primary), nhập NRIC T1380707D (học Meridian Secondary) vào con 1.
2. Bấm Review and submit.</t>
        </is>
      </c>
      <c r="N187" s="3" t="inlineStr">
        <is>
          <t>1. Hiện "At least one child must be enrolled at Bukit View Primary."
2. Hộp thoại không mở.</t>
        </is>
      </c>
      <c r="O187" s="3" t="n"/>
      <c r="P187" s="3" t="inlineStr">
        <is>
          <t>N/A</t>
        </is>
      </c>
      <c r="Q187" s="3" t="n"/>
      <c r="R187" s="3" t="inlineStr">
        <is>
          <t>Tender R5, US-042, FS F5 v1.2: 6, BR2, T6</t>
        </is>
      </c>
      <c r="S187" s="3" t="n"/>
      <c r="T187" s="2" t="inlineStr">
        <is>
          <t>Approve</t>
        </is>
      </c>
    </row>
    <row r="188" ht="136.5" customHeight="1">
      <c r="A188" s="2" t="inlineStr">
        <is>
          <t>TC-187</t>
        </is>
      </c>
      <c r="B188" s="2" t="inlineStr">
        <is>
          <t>TS-038</t>
        </is>
      </c>
      <c r="C188" s="3" t="inlineStr">
        <is>
          <t>Con đúng 7 tuổi hôm nay được nhận, con 6 tuổi 364 ngày bị chặn</t>
        </is>
      </c>
      <c r="D188" s="3" t="inlineStr">
        <is>
          <t>F5.8 Review and submit validation</t>
        </is>
      </c>
      <c r="E188" s="3" t="inlineStr">
        <is>
          <t>Review application (kiểm tra khi Review and submit)</t>
        </is>
      </c>
      <c r="F188" s="2" t="inlineStr">
        <is>
          <t>S1 (highest)</t>
        </is>
      </c>
      <c r="G188" s="2" t="inlineStr">
        <is>
          <t>High</t>
        </is>
      </c>
      <c r="H188" s="2" t="inlineStr">
        <is>
          <t>Not Run</t>
        </is>
      </c>
      <c r="I188" s="2" t="inlineStr">
        <is>
          <t>Functional</t>
        </is>
      </c>
      <c r="J188" s="3" t="inlineStr">
        <is>
          <t>Bản F5 có API (chưa có)
Chrome (latest)
Build: ghi khi chạy
Cần: ENV-R5-02, ENV-R5-03</t>
        </is>
      </c>
      <c r="K188"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khác như Test Data của F5.8.</t>
        </is>
      </c>
      <c r="L188" s="3" t="inlineStr">
        <is>
          <t>SEED-R5-08 Lim Zhi Wei T1990101C, sinh 18/10/2019, BVP P2
SEED-R5-09 Ng Kai Xin T1990202H, sinh 19/10/2019, BVP P1</t>
        </is>
      </c>
      <c r="M188" s="3" t="inlineStr">
        <is>
          <t>1. Nhập NRIC T1990101C vào con 1 và bấm Review and submit.
2. Đổi sang NRIC T1990202H và bấm Review and submit.</t>
        </is>
      </c>
      <c r="N188" s="3" t="inlineStr">
        <is>
          <t>1. Lim Zhi Wei (sinh 18/10/2019) được nhận, không có ghi chú tuổi.
2. Ng Kai Xin (sinh 19/10/2019) bị chặn: "Ng Kai Xin must be 7 to 16 years old (now 6)."</t>
        </is>
      </c>
      <c r="O188" s="3" t="n"/>
      <c r="P188" s="3" t="inlineStr">
        <is>
          <t>ASM-R5-01: FS05 là căn cứ của F5. Tuổi tính tại ngày nộp theo giờ Singapore. Con đúng 7 tuổi hôm nay hợp lệ, con 6 tuổi 364 ngày bị chặn. Con 16 tuổi 364 ngày và con đúng 16 tuổi hôm nay hợp lệ, con đúng 17 tuổi hôm nay bị chặn.</t>
        </is>
      </c>
      <c r="Q188" s="3" t="n"/>
      <c r="R188" s="3" t="inlineStr">
        <is>
          <t>Tender R5, US-042, FS F5 v1.2: 6, BR2, T5</t>
        </is>
      </c>
      <c r="S188" s="3" t="inlineStr">
        <is>
          <t>Ngày hôm nay là 18/10/2026.</t>
        </is>
      </c>
      <c r="T188" s="2" t="inlineStr">
        <is>
          <t>Draft</t>
        </is>
      </c>
    </row>
    <row r="189" ht="136.5" customHeight="1">
      <c r="A189" s="2" t="inlineStr">
        <is>
          <t>TC-188</t>
        </is>
      </c>
      <c r="B189" s="2" t="inlineStr">
        <is>
          <t>TS-038</t>
        </is>
      </c>
      <c r="C189" s="3" t="inlineStr">
        <is>
          <t>Con đúng 16 tuổi và 16 tuổi 364 ngày được nhận, con 17 tuổi bị chặn</t>
        </is>
      </c>
      <c r="D189" s="3" t="inlineStr">
        <is>
          <t>F5.8 Review and submit validation</t>
        </is>
      </c>
      <c r="E189" s="3" t="inlineStr">
        <is>
          <t>Review application (kiểm tra khi Review and submit)</t>
        </is>
      </c>
      <c r="F189" s="2" t="inlineStr">
        <is>
          <t>S1 (highest)</t>
        </is>
      </c>
      <c r="G189" s="2" t="inlineStr">
        <is>
          <t>High</t>
        </is>
      </c>
      <c r="H189" s="2" t="inlineStr">
        <is>
          <t>Not Run</t>
        </is>
      </c>
      <c r="I189" s="2" t="inlineStr">
        <is>
          <t>Functional</t>
        </is>
      </c>
      <c r="J189" s="3" t="inlineStr">
        <is>
          <t>Bản F5 có API (chưa có)
Chrome (latest)
Build: ghi khi chạy
Cần: ENV-R5-02, ENV-R5-03</t>
        </is>
      </c>
      <c r="K189" s="3" t="inlineStr">
        <is>
          <t>1. Bản F5 có API chạy, dữ liệu SEED-R5 đã nạp.
2. Đã đăng nhập School user MRS-0012 Farah Tan, trường Meridian Secondary.
3. Đã bấm Upload scans, thêm scan_bvp_0667.pdf và bấm Upload and read. Màn Review application đang mở.
4. Mẫu hợp lệ khác như Test Data của F5.8.</t>
        </is>
      </c>
      <c r="L189" s="3" t="inlineStr">
        <is>
          <t>SEED-R5-10 Wong Jia Hui T1090303Z
SEED-R5-11 Ong Mei Xuan T0990404I
SEED-R5-12 Teo Jun Hao T0990505C</t>
        </is>
      </c>
      <c r="M189" s="3" t="inlineStr">
        <is>
          <t>1. Đăng nhập Farah Tan.
2. Nhập NRIC T1090303Z vào con 1, bấm Review and submit.
3. Đổi sang T0990404I và bấm Review and submit.
4. Đổi sang T0990505C và bấm Review and submit.</t>
        </is>
      </c>
      <c r="N189" s="3" t="inlineStr">
        <is>
          <t>1. Wong Jia Hui (sinh 18/10/2010, đúng 16 tuổi) được nhận.
2. Ong Mei Xuan (sinh 19/10/2009, 16 tuổi 364 ngày) được nhận.
3. Teo Jun Hao (sinh 18/10/2009, đúng 17 tuổi) bị chặn: "Teo Jun Hao must be 7 to 16 years old (now 17)."</t>
        </is>
      </c>
      <c r="O189" s="3" t="n"/>
      <c r="P189" s="3" t="inlineStr">
        <is>
          <t>ASM-R5-01: FS05 là căn cứ của F5. Tuổi tính tại ngày nộp theo giờ Singapore. Con đúng 7 tuổi hôm nay hợp lệ, con 6 tuổi 364 ngày bị chặn. Con 16 tuổi 364 ngày và con đúng 16 tuổi hôm nay hợp lệ, con đúng 17 tuổi hôm nay bị chặn.</t>
        </is>
      </c>
      <c r="Q189" s="3" t="n"/>
      <c r="R189" s="3" t="inlineStr">
        <is>
          <t>Tender R5, US-042, FS F5 v1.2: 6, BR2, T5</t>
        </is>
      </c>
      <c r="S189" s="3" t="inlineStr">
        <is>
          <t>Điểm mở O1: FS01 F01-BR02 dừng ở trước sinh nhật 16.</t>
        </is>
      </c>
      <c r="T189" s="2" t="inlineStr">
        <is>
          <t>Draft</t>
        </is>
      </c>
    </row>
    <row r="190" ht="93" customHeight="1">
      <c r="A190" s="2" t="inlineStr">
        <is>
          <t>TC-189</t>
        </is>
      </c>
      <c r="B190" s="2" t="inlineStr">
        <is>
          <t>TS-038</t>
        </is>
      </c>
      <c r="C190" s="3" t="inlineStr">
        <is>
          <t>Tuổi tính tại ngày nộp, không tính tại ngày lưu nháp</t>
        </is>
      </c>
      <c r="D190" s="3" t="inlineStr">
        <is>
          <t>F5.8 Review and submit validation</t>
        </is>
      </c>
      <c r="E190" s="3" t="inlineStr">
        <is>
          <t>Review application (kiểm tra khi Review and submit)</t>
        </is>
      </c>
      <c r="F190" s="2" t="inlineStr">
        <is>
          <t>S2</t>
        </is>
      </c>
      <c r="G190" s="2" t="inlineStr">
        <is>
          <t>Medium</t>
        </is>
      </c>
      <c r="H190" s="2" t="inlineStr">
        <is>
          <t>Not Run</t>
        </is>
      </c>
      <c r="I190" s="2" t="inlineStr">
        <is>
          <t>Functional</t>
        </is>
      </c>
      <c r="J190" s="3" t="inlineStr">
        <is>
          <t>Bản F5 có API (chưa có)
Chrome (latest)
Build: ghi khi chạy
Cần: ENV-R5-02, ENV-R5-03, ENV-R5-04</t>
        </is>
      </c>
      <c r="K190" s="3" t="inlineStr">
        <is>
          <t>1. Bản F5 có API chạy, dữ liệu SEED-R5 đã nạp.
2. Đã đăng nhập School user BVP-0012 Lan Nguyen, trường Bukit View Primary.
3. Đã có bản nháp lưu 17/10/2026 với con SEED-R5-08.</t>
        </is>
      </c>
      <c r="L190" s="3" t="inlineStr">
        <is>
          <t>SEED-R5-08</t>
        </is>
      </c>
      <c r="M190" s="3" t="inlineStr">
        <is>
          <t>1. Đặt ngày 17/10/2026 và Save draft mẫu có con T1990101C (6 tuổi 364 ngày).
2. Đặt ngày 18/10/2026 (sinh nhật thứ 7).
3. Bấm Continue rồi Review and submit.</t>
        </is>
      </c>
      <c r="N190" s="3" t="inlineStr">
        <is>
          <t>1. Review and submit không báo lỗi tuổi vì ngày nộp con đúng 7 tuổi.</t>
        </is>
      </c>
      <c r="O190" s="3" t="n"/>
      <c r="P190" s="3" t="inlineStr">
        <is>
          <t>ASM-R5-01: FS05 là căn cứ của F5. Tuổi tính tại ngày nộp theo giờ Singapore. Con đúng 7 tuổi hôm nay hợp lệ, con 6 tuổi 364 ngày bị chặn. Con 16 tuổi 364 ngày và con đúng 16 tuổi hôm nay hợp lệ, con đúng 17 tuổi hôm nay bị chặn.</t>
        </is>
      </c>
      <c r="Q190" s="3" t="n"/>
      <c r="R190" s="3" t="inlineStr">
        <is>
          <t>Tender R5, US-042, FS F5 v1.2: 6, BR2</t>
        </is>
      </c>
      <c r="S190" s="3" t="n"/>
      <c r="T190" s="2" t="inlineStr">
        <is>
          <t>Draft</t>
        </is>
      </c>
    </row>
    <row r="191" ht="165.5" customHeight="1">
      <c r="A191" s="2" t="inlineStr">
        <is>
          <t>TC-190</t>
        </is>
      </c>
      <c r="B191" s="2" t="inlineStr">
        <is>
          <t>TS-039</t>
        </is>
      </c>
      <c r="C191" s="3" t="inlineStr">
        <is>
          <t>Không có form FAS nào đang mở bị chặn, có ngày form kế tiếp (T13)</t>
        </is>
      </c>
      <c r="D191" s="3" t="inlineStr">
        <is>
          <t>F5.8 Review and submit validation</t>
        </is>
      </c>
      <c r="E191" s="3" t="inlineStr">
        <is>
          <t>Review application (kiểm tra khi Review and submit)</t>
        </is>
      </c>
      <c r="F191" s="2" t="inlineStr">
        <is>
          <t>S1 (highest)</t>
        </is>
      </c>
      <c r="G191" s="2" t="inlineStr">
        <is>
          <t>Critical</t>
        </is>
      </c>
      <c r="H191" s="2" t="inlineStr">
        <is>
          <t>Not Run</t>
        </is>
      </c>
      <c r="I191" s="2" t="inlineStr">
        <is>
          <t>Functional</t>
        </is>
      </c>
      <c r="J191" s="3" t="inlineStr">
        <is>
          <t>Bản F5 có API (chưa có)
Chrome (latest)
Build: ghi khi chạy
Cần: ENV-R5-02, ENV-R5-03, ENV-R5-04</t>
        </is>
      </c>
      <c r="K191"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1" s="3" t="inlineStr">
        <is>
          <t>SEED-R5-33: MOEFAS 2028 có Form opens 01/08/2027 đến 31/12/2027, đã publish</t>
        </is>
      </c>
      <c r="M191" s="3" t="inlineStr">
        <is>
          <t>1. Đặt ngày 01/01/2027 (sau Form closes 31/12/2026 của MOEFAS 2027 và Tier 2027).
2. Bấm Review and submit.</t>
        </is>
      </c>
      <c r="N191" s="3" t="inlineStr">
        <is>
          <t>1. Hiện "Tan Mei Ling: the FAS application form is closed (next opens 01/08/2027)."
2. Hộp thoại không mở.</t>
        </is>
      </c>
      <c r="O191" s="3" t="n"/>
      <c r="P191" s="3" t="inlineStr">
        <is>
          <t>N/A</t>
        </is>
      </c>
      <c r="Q191" s="3" t="n"/>
      <c r="R191" s="3" t="inlineStr">
        <is>
          <t>Tender R5, US-042, FS F5 v1.2: 6, BR9, T13</t>
        </is>
      </c>
      <c r="S191" s="3" t="n"/>
      <c r="T191" s="2" t="inlineStr">
        <is>
          <t>Approve</t>
        </is>
      </c>
    </row>
    <row r="192" ht="165.5" customHeight="1">
      <c r="A192" s="2" t="inlineStr">
        <is>
          <t>TC-191</t>
        </is>
      </c>
      <c r="B192" s="2" t="inlineStr">
        <is>
          <t>TS-039</t>
        </is>
      </c>
      <c r="C192" s="3" t="inlineStr">
        <is>
          <t>Không có form nào đang mở và chưa có form kế tiếp: bỏ phần ngày</t>
        </is>
      </c>
      <c r="D192" s="3" t="inlineStr">
        <is>
          <t>F5.8 Review and submit validation</t>
        </is>
      </c>
      <c r="E192" s="3" t="inlineStr">
        <is>
          <t>Review application (kiểm tra khi Review and submit)</t>
        </is>
      </c>
      <c r="F192" s="2" t="inlineStr">
        <is>
          <t>S1 (highest)</t>
        </is>
      </c>
      <c r="G192" s="2" t="inlineStr">
        <is>
          <t>High</t>
        </is>
      </c>
      <c r="H192" s="2" t="inlineStr">
        <is>
          <t>Not Run</t>
        </is>
      </c>
      <c r="I192" s="2" t="inlineStr">
        <is>
          <t>Functional</t>
        </is>
      </c>
      <c r="J192" s="3" t="inlineStr">
        <is>
          <t>Bản F5 có API (chưa có)
Chrome (latest)
Build: ghi khi chạy
Cần: ENV-R5-02, ENV-R5-03, ENV-R5-04</t>
        </is>
      </c>
      <c r="K192"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2" s="3" t="inlineStr">
        <is>
          <t>Không có form kế tiếp được publish</t>
        </is>
      </c>
      <c r="M192" s="3" t="inlineStr">
        <is>
          <t>1. Đặt ngày 01/01/2027 khi chưa có scheme MOEFAS hay SBFAS nào publish cho năm sau.
2. Bấm Review and submit.</t>
        </is>
      </c>
      <c r="N192" s="3" t="inlineStr">
        <is>
          <t>1. Hiện "Tan Mei Ling: the FAS application form is closed." (không có phần "next opens").</t>
        </is>
      </c>
      <c r="O192" s="3" t="n"/>
      <c r="P192" s="3" t="inlineStr">
        <is>
          <t>N/A</t>
        </is>
      </c>
      <c r="Q192" s="3" t="n"/>
      <c r="R192" s="3" t="inlineStr">
        <is>
          <t>Tender R5, US-042, FS F5 v1.2: 6, BR9</t>
        </is>
      </c>
      <c r="S192" s="3" t="n"/>
      <c r="T192" s="2" t="inlineStr">
        <is>
          <t>Approve</t>
        </is>
      </c>
    </row>
    <row r="193" ht="165.5" customHeight="1">
      <c r="A193" s="2" t="inlineStr">
        <is>
          <t>TC-192</t>
        </is>
      </c>
      <c r="B193" s="2" t="inlineStr">
        <is>
          <t>TS-039</t>
        </is>
      </c>
      <c r="C193" s="3" t="inlineStr">
        <is>
          <t>Biên đầu: 01/08/2026 mở, 31/07/2026 đóng</t>
        </is>
      </c>
      <c r="D193" s="3" t="inlineStr">
        <is>
          <t>F5.8 Review and submit validation</t>
        </is>
      </c>
      <c r="E193" s="3" t="inlineStr">
        <is>
          <t>Review application (kiểm tra khi Review and submit)</t>
        </is>
      </c>
      <c r="F193" s="2" t="inlineStr">
        <is>
          <t>S2</t>
        </is>
      </c>
      <c r="G193" s="2" t="inlineStr">
        <is>
          <t>High</t>
        </is>
      </c>
      <c r="H193" s="2" t="inlineStr">
        <is>
          <t>Not Run</t>
        </is>
      </c>
      <c r="I193" s="2" t="inlineStr">
        <is>
          <t>Functional</t>
        </is>
      </c>
      <c r="J193" s="3" t="inlineStr">
        <is>
          <t>Bản F5 có API (chưa có)
Chrome (latest)
Build: ghi khi chạy
Cần: ENV-R5-02, ENV-R5-03, ENV-R5-04</t>
        </is>
      </c>
      <c r="K193"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3" s="3" t="inlineStr">
        <is>
          <t>Form opens 01/08/2026</t>
        </is>
      </c>
      <c r="M193" s="3" t="inlineStr">
        <is>
          <t>1. Đặt ngày 31/07/2026 và bấm Review and submit.
2. Đặt ngày 01/08/2026 và bấm Review and submit.</t>
        </is>
      </c>
      <c r="N193" s="3" t="inlineStr">
        <is>
          <t>1. 31/07/2026: hiện "Tan Mei Ling: the FAS application form is closed (next opens 01/08/2026)."
2. 01/08/2026: không có ghi chú về form.</t>
        </is>
      </c>
      <c r="O193" s="3" t="n"/>
      <c r="P193" s="3" t="inlineStr">
        <is>
          <t>ASM-R5-15: 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t>
        </is>
      </c>
      <c r="Q193" s="3" t="n"/>
      <c r="R193" s="3" t="inlineStr">
        <is>
          <t>Tender R5, US-042, FS F5 v1.2: 6, BR9</t>
        </is>
      </c>
      <c r="S193" s="3" t="n"/>
      <c r="T193" s="2" t="inlineStr">
        <is>
          <t>Draft</t>
        </is>
      </c>
    </row>
    <row r="194" ht="165.5" customHeight="1">
      <c r="A194" s="2" t="inlineStr">
        <is>
          <t>TC-193</t>
        </is>
      </c>
      <c r="B194" s="2" t="inlineStr">
        <is>
          <t>TS-039</t>
        </is>
      </c>
      <c r="C194" s="3" t="inlineStr">
        <is>
          <t>Biên cuối: 31/12/2026 mở, 01/01/2027 đóng</t>
        </is>
      </c>
      <c r="D194" s="3" t="inlineStr">
        <is>
          <t>F5.8 Review and submit validation</t>
        </is>
      </c>
      <c r="E194" s="3" t="inlineStr">
        <is>
          <t>Review application (kiểm tra khi Review and submit)</t>
        </is>
      </c>
      <c r="F194" s="2" t="inlineStr">
        <is>
          <t>S2</t>
        </is>
      </c>
      <c r="G194" s="2" t="inlineStr">
        <is>
          <t>High</t>
        </is>
      </c>
      <c r="H194" s="2" t="inlineStr">
        <is>
          <t>Not Run</t>
        </is>
      </c>
      <c r="I194" s="2" t="inlineStr">
        <is>
          <t>Functional</t>
        </is>
      </c>
      <c r="J194" s="3" t="inlineStr">
        <is>
          <t>Bản F5 có API (chưa có)
Chrome (latest)
Build: ghi khi chạy
Cần: ENV-R5-02, ENV-R5-03, ENV-R5-04</t>
        </is>
      </c>
      <c r="K194"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4" s="3" t="inlineStr">
        <is>
          <t>Form closes 31/12/2026</t>
        </is>
      </c>
      <c r="M194" s="3" t="inlineStr">
        <is>
          <t>1. Đặt ngày 31/12/2026 và bấm Review and submit.
2. Đặt ngày 01/01/2027 và bấm Review and submit.</t>
        </is>
      </c>
      <c r="N194" s="3" t="inlineStr">
        <is>
          <t>1. 31/12/2026: không có ghi chú về form.
2. 01/01/2027: hiện "Tan Mei Ling: the FAS application form is closed ..."</t>
        </is>
      </c>
      <c r="O194" s="3" t="n"/>
      <c r="P194" s="3" t="inlineStr">
        <is>
          <t>ASM-R5-15: 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t>
        </is>
      </c>
      <c r="Q194" s="3" t="n"/>
      <c r="R194" s="3" t="inlineStr">
        <is>
          <t>Tender R5, US-042, FS F5 v1.2: 6, BR9</t>
        </is>
      </c>
      <c r="S194" s="3" t="n"/>
      <c r="T194" s="2" t="inlineStr">
        <is>
          <t>Draft</t>
        </is>
      </c>
    </row>
    <row r="195" ht="165.5" customHeight="1">
      <c r="A195" s="2" t="inlineStr">
        <is>
          <t>TC-194</t>
        </is>
      </c>
      <c r="B195" s="2" t="inlineStr">
        <is>
          <t>TS-039</t>
        </is>
      </c>
      <c r="C195" s="3" t="inlineStr">
        <is>
          <t>Chỉ form SBFAS của trường con đang mở thì vẫn nộp được</t>
        </is>
      </c>
      <c r="D195" s="3" t="inlineStr">
        <is>
          <t>F5.8 Review and submit validation</t>
        </is>
      </c>
      <c r="E195" s="3" t="inlineStr">
        <is>
          <t>Review application (kiểm tra khi Review and submit)</t>
        </is>
      </c>
      <c r="F195" s="2" t="inlineStr">
        <is>
          <t>S2</t>
        </is>
      </c>
      <c r="G195" s="2" t="inlineStr">
        <is>
          <t>High</t>
        </is>
      </c>
      <c r="H195" s="2" t="inlineStr">
        <is>
          <t>Not Run</t>
        </is>
      </c>
      <c r="I195" s="2" t="inlineStr">
        <is>
          <t>Functional</t>
        </is>
      </c>
      <c r="J195" s="3" t="inlineStr">
        <is>
          <t>Bản F5 có API (chưa có)
Chrome (latest)
Build: ghi khi chạy
Cần: ENV-R5-02, ENV-R5-03, ENV-R5-04</t>
        </is>
      </c>
      <c r="K195"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5" s="3" t="inlineStr">
        <is>
          <t>MOEFAS 2027 đóng, Tier (2027) của BVP còn mở</t>
        </is>
      </c>
      <c r="M195" s="3" t="inlineStr">
        <is>
          <t>1. Đặt khoảng form MOEFAS đã đóng và Tier SBFAS của Bukit View Primary còn mở.
2. Bấm Review and submit.</t>
        </is>
      </c>
      <c r="N195" s="3" t="inlineStr">
        <is>
          <t>1. Không có ghi chú về form, hộp thoại mở.</t>
        </is>
      </c>
      <c r="O195" s="3" t="n"/>
      <c r="P195" s="3" t="inlineStr">
        <is>
          <t>N/A</t>
        </is>
      </c>
      <c r="Q195" s="3" t="n"/>
      <c r="R195" s="3" t="inlineStr">
        <is>
          <t>Tender R5, US-042, FS F5 v1.2: 6, BR9</t>
        </is>
      </c>
      <c r="S195" s="3" t="n"/>
      <c r="T195" s="2" t="inlineStr">
        <is>
          <t>Approve</t>
        </is>
      </c>
    </row>
    <row r="196" ht="165.5" customHeight="1">
      <c r="A196" s="2" t="inlineStr">
        <is>
          <t>TC-195</t>
        </is>
      </c>
      <c r="B196" s="2" t="inlineStr">
        <is>
          <t>TS-039</t>
        </is>
      </c>
      <c r="C196" s="3" t="inlineStr">
        <is>
          <t>Chỉ form MOEFAS đang mở thì vẫn nộp được</t>
        </is>
      </c>
      <c r="D196" s="3" t="inlineStr">
        <is>
          <t>F5.8 Review and submit validation</t>
        </is>
      </c>
      <c r="E196" s="3" t="inlineStr">
        <is>
          <t>Review application (kiểm tra khi Review and submit)</t>
        </is>
      </c>
      <c r="F196" s="2" t="inlineStr">
        <is>
          <t>S2</t>
        </is>
      </c>
      <c r="G196" s="2" t="inlineStr">
        <is>
          <t>High</t>
        </is>
      </c>
      <c r="H196" s="2" t="inlineStr">
        <is>
          <t>Not Run</t>
        </is>
      </c>
      <c r="I196" s="2" t="inlineStr">
        <is>
          <t>Functional</t>
        </is>
      </c>
      <c r="J196" s="3" t="inlineStr">
        <is>
          <t>Bản F5 có API (chưa có)
Chrome (latest)
Build: ghi khi chạy
Cần: ENV-R5-02, ENV-R5-03, ENV-R5-04</t>
        </is>
      </c>
      <c r="K196"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6" s="3" t="inlineStr">
        <is>
          <t>MOEFAS 2027 mở, SBFAS của BVP đóng</t>
        </is>
      </c>
      <c r="M196" s="3" t="inlineStr">
        <is>
          <t>1. Đặt khoảng form MOEFAS còn mở và các Tier SBFAS của Bukit View Primary đã đóng.
2. Bấm Review and submit.</t>
        </is>
      </c>
      <c r="N196" s="3" t="inlineStr">
        <is>
          <t>1. Không có ghi chú về form, hộp thoại mở.</t>
        </is>
      </c>
      <c r="O196" s="3" t="n"/>
      <c r="P196" s="3" t="inlineStr">
        <is>
          <t>N/A</t>
        </is>
      </c>
      <c r="Q196" s="3" t="n"/>
      <c r="R196" s="3" t="inlineStr">
        <is>
          <t>Tender R5, US-042, FS F5 v1.2: 6, BR9</t>
        </is>
      </c>
      <c r="S196" s="3" t="n"/>
      <c r="T196" s="2" t="inlineStr">
        <is>
          <t>Approve</t>
        </is>
      </c>
    </row>
    <row r="197" ht="165.5" customHeight="1">
      <c r="A197" s="2" t="inlineStr">
        <is>
          <t>TC-196</t>
        </is>
      </c>
      <c r="B197" s="2" t="inlineStr">
        <is>
          <t>TS-039</t>
        </is>
      </c>
      <c r="C197" s="3" t="inlineStr">
        <is>
          <t>Con không phải công dân chỉ xét form SBFAS của trường con</t>
        </is>
      </c>
      <c r="D197" s="3" t="inlineStr">
        <is>
          <t>F5.8 Review and submit validation</t>
        </is>
      </c>
      <c r="E197" s="3" t="inlineStr">
        <is>
          <t>Review application (kiểm tra khi Review and submit)</t>
        </is>
      </c>
      <c r="F197" s="2" t="inlineStr">
        <is>
          <t>S2</t>
        </is>
      </c>
      <c r="G197" s="2" t="inlineStr">
        <is>
          <t>Medium</t>
        </is>
      </c>
      <c r="H197" s="2" t="inlineStr">
        <is>
          <t>Not Run</t>
        </is>
      </c>
      <c r="I197" s="2" t="inlineStr">
        <is>
          <t>Functional</t>
        </is>
      </c>
      <c r="J197" s="3" t="inlineStr">
        <is>
          <t>Bản F5 có API (chưa có)
Chrome (latest)
Build: ghi khi chạy
Cần: ENV-R5-02, ENV-R5-03, ENV-R5-04</t>
        </is>
      </c>
      <c r="K197"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7" s="3" t="inlineStr">
        <is>
          <t>SEED-R5-15 Ismail Hakim T1610707C</t>
        </is>
      </c>
      <c r="M197" s="3" t="inlineStr">
        <is>
          <t>1. Nhập con T1610707C (Singapore PR) khi form MOEFAS còn mở nhưng Tier SBFAS của Bukit View Primary đã đóng.
2. Bấm Review and submit.</t>
        </is>
      </c>
      <c r="N197" s="3" t="inlineStr">
        <is>
          <t>1. Hiện "Ismail Hakim: the FAS application form is closed ..." vì chỉ form SBFAS của trường con được xét.</t>
        </is>
      </c>
      <c r="O197" s="3" t="n"/>
      <c r="P197" s="3" t="inlineStr">
        <is>
          <t>ASM-R5-15: 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t>
        </is>
      </c>
      <c r="Q197" s="3" t="n"/>
      <c r="R197" s="3" t="inlineStr">
        <is>
          <t>Tender R5, US-042, FS F5 v1.2: 6, BR8, BR9</t>
        </is>
      </c>
      <c r="S197" s="3" t="n"/>
      <c r="T197" s="2" t="inlineStr">
        <is>
          <t>Draft</t>
        </is>
      </c>
    </row>
    <row r="198" ht="165.5" customHeight="1">
      <c r="A198" s="2" t="inlineStr">
        <is>
          <t>TC-197</t>
        </is>
      </c>
      <c r="B198" s="2" t="inlineStr">
        <is>
          <t>TS-039</t>
        </is>
      </c>
      <c r="C198" s="3" t="inlineStr">
        <is>
          <t>Mẫu hai con, form của một con đóng thì chặn cả mẫu</t>
        </is>
      </c>
      <c r="D198" s="3" t="inlineStr">
        <is>
          <t>F5.8 Review and submit validation</t>
        </is>
      </c>
      <c r="E198" s="3" t="inlineStr">
        <is>
          <t>Review application (kiểm tra khi Review and submit)</t>
        </is>
      </c>
      <c r="F198" s="2" t="inlineStr">
        <is>
          <t>S2</t>
        </is>
      </c>
      <c r="G198" s="2" t="inlineStr">
        <is>
          <t>Medium</t>
        </is>
      </c>
      <c r="H198" s="2" t="inlineStr">
        <is>
          <t>Not Run</t>
        </is>
      </c>
      <c r="I198" s="2" t="inlineStr">
        <is>
          <t>Functional</t>
        </is>
      </c>
      <c r="J198" s="3" t="inlineStr">
        <is>
          <t>Bản F5 có API (chưa có)
Chrome (latest)
Build: ghi khi chạy
Cần: ENV-R5-02, ENV-R5-03, ENV-R5-04</t>
        </is>
      </c>
      <c r="K198"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8" s="3" t="inlineStr">
        <is>
          <t>Con 1 T1412345B, con 2 T1610707C</t>
        </is>
      </c>
      <c r="M198" s="3" t="inlineStr">
        <is>
          <t>1. Nhập con 1 T1412345B (công dân) và con 2 T1610707C (PR, trường BVP).
2. Đặt Tier SBFAS của Bukit View Primary đã đóng, MOEFAS còn mở.
3. Bấm Review and submit.</t>
        </is>
      </c>
      <c r="N198" s="3" t="inlineStr">
        <is>
          <t>1. Hiện ghi chú form đóng cho Ismail Hakim, không có ghi chú cho Tan Mei Ling.
2. Hộp thoại không mở và không tạo đơn nào.</t>
        </is>
      </c>
      <c r="O198" s="3" t="n"/>
      <c r="P198" s="3" t="inlineStr">
        <is>
          <t>ASM-R5-15: 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
ASM-R5-17: Kiểm tra lại ở máy chủ khi Confirm. Nếu một con không đạt thì không tạo đơn nào, bản nháp và mẫu giữ nguyên, hộp thoại đóng và hiện thông báo của quy tắc không đạt.</t>
        </is>
      </c>
      <c r="Q198" s="3" t="n"/>
      <c r="R198" s="3" t="inlineStr">
        <is>
          <t>Tender R5, US-042, FS F5 v1.2: 6, BR9</t>
        </is>
      </c>
      <c r="S198" s="3" t="n"/>
      <c r="T198" s="2" t="inlineStr">
        <is>
          <t>Draft</t>
        </is>
      </c>
    </row>
    <row r="199" ht="165.5" customHeight="1">
      <c r="A199" s="2" t="inlineStr">
        <is>
          <t>TC-198</t>
        </is>
      </c>
      <c r="B199" s="2" t="inlineStr">
        <is>
          <t>TS-040</t>
        </is>
      </c>
      <c r="C199" s="3" t="inlineStr">
        <is>
          <t>Hai ghi chú cùng lúc: thiếu trường bắt buộc và form đã đóng</t>
        </is>
      </c>
      <c r="D199" s="3" t="inlineStr">
        <is>
          <t>F5.8 Review and submit validation</t>
        </is>
      </c>
      <c r="E199" s="3" t="inlineStr">
        <is>
          <t>Review application (kiểm tra khi Review and submit)</t>
        </is>
      </c>
      <c r="F199" s="2" t="inlineStr">
        <is>
          <t>S2</t>
        </is>
      </c>
      <c r="G199" s="2" t="inlineStr">
        <is>
          <t>High</t>
        </is>
      </c>
      <c r="H199" s="2" t="inlineStr">
        <is>
          <t>Not Run</t>
        </is>
      </c>
      <c r="I199" s="2" t="inlineStr">
        <is>
          <t>Functional</t>
        </is>
      </c>
      <c r="J199" s="3" t="inlineStr">
        <is>
          <t>Bản F5 có API (chưa có)
Chrome (latest)
Build: ghi khi chạy
Cần: ENV-R5-02, ENV-R5-03, ENV-R5-04</t>
        </is>
      </c>
      <c r="K199"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199" s="3" t="inlineStr"/>
      <c r="M199" s="3" t="inlineStr">
        <is>
          <t>1. Đặt ngày 01/01/2027, xoá Date signed.
2. Bấm Review and submit.</t>
        </is>
      </c>
      <c r="N199" s="3" t="inlineStr">
        <is>
          <t>1. Hiện hai ghi chú đỏ ở đầu trang: "Complete: Date signed." và "Tan Mei Ling: the FAS application form is closed ..."</t>
        </is>
      </c>
      <c r="O199" s="3" t="n"/>
      <c r="P199" s="3" t="inlineStr">
        <is>
          <t>N/A</t>
        </is>
      </c>
      <c r="Q199" s="3" t="n"/>
      <c r="R199" s="3" t="inlineStr">
        <is>
          <t>Tender R5, US-042, FS F5 v1.2: 6, hình bị chặn khi nộp</t>
        </is>
      </c>
      <c r="S199" s="3" t="n"/>
      <c r="T199" s="2" t="inlineStr">
        <is>
          <t>Approve</t>
        </is>
      </c>
    </row>
    <row r="200" ht="165.5" customHeight="1">
      <c r="A200" s="2" t="inlineStr">
        <is>
          <t>TC-199</t>
        </is>
      </c>
      <c r="B200" s="2" t="inlineStr">
        <is>
          <t>TS-040</t>
        </is>
      </c>
      <c r="C200" s="3" t="inlineStr">
        <is>
          <t>Sửa lỗi rồi bấm lại thì ghi chú cũ biến mất</t>
        </is>
      </c>
      <c r="D200" s="3" t="inlineStr">
        <is>
          <t>F5.8 Review and submit validation</t>
        </is>
      </c>
      <c r="E200" s="3" t="inlineStr">
        <is>
          <t>Review application (kiểm tra khi Review and submit)</t>
        </is>
      </c>
      <c r="F200" s="2" t="inlineStr">
        <is>
          <t>S2</t>
        </is>
      </c>
      <c r="G200" s="2" t="inlineStr">
        <is>
          <t>High</t>
        </is>
      </c>
      <c r="H200" s="2" t="inlineStr">
        <is>
          <t>Not Run</t>
        </is>
      </c>
      <c r="I200" s="2" t="inlineStr">
        <is>
          <t>Functional</t>
        </is>
      </c>
      <c r="J200" s="3" t="inlineStr">
        <is>
          <t>Prototype: edusave.vercel.app (ngày mẫu 18/10/2026)
Chrome (latest)
Build: ghi khi chạy
Cần: ENV-R5-01</t>
        </is>
      </c>
      <c r="K200"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0" s="3" t="inlineStr"/>
      <c r="M200" s="3" t="inlineStr">
        <is>
          <t>1. Xoá Date signed và bấm Review and submit.
2. Nhập Date signed 15/10/2026 và bấm Review and submit.</t>
        </is>
      </c>
      <c r="N200" s="3" t="inlineStr">
        <is>
          <t>1. Lần đầu có "Complete: Date signed."
2. Lần hai không còn ghi chú nào và hộp thoại mở.</t>
        </is>
      </c>
      <c r="O200" s="3" t="n"/>
      <c r="P200"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200" s="3" t="n"/>
      <c r="R200" s="3" t="inlineStr">
        <is>
          <t>Tender R5, US-042, FS F5 v1.2: 6</t>
        </is>
      </c>
      <c r="S200" s="3" t="n"/>
      <c r="T200" s="2" t="inlineStr">
        <is>
          <t>Draft</t>
        </is>
      </c>
    </row>
    <row r="201" ht="165.5" customHeight="1">
      <c r="A201" s="2" t="inlineStr">
        <is>
          <t>TC-200</t>
        </is>
      </c>
      <c r="B201" s="2" t="inlineStr">
        <is>
          <t>TS-040</t>
        </is>
      </c>
      <c r="C201" s="3" t="inlineStr">
        <is>
          <t>Nhiều con có ghi chú riêng cho từng con</t>
        </is>
      </c>
      <c r="D201" s="3" t="inlineStr">
        <is>
          <t>F5.8 Review and submit validation</t>
        </is>
      </c>
      <c r="E201" s="3" t="inlineStr">
        <is>
          <t>Review application (kiểm tra khi Review and submit)</t>
        </is>
      </c>
      <c r="F201" s="2" t="inlineStr">
        <is>
          <t>S2</t>
        </is>
      </c>
      <c r="G201" s="2" t="inlineStr">
        <is>
          <t>Medium</t>
        </is>
      </c>
      <c r="H201" s="2" t="inlineStr">
        <is>
          <t>Not Run</t>
        </is>
      </c>
      <c r="I201" s="2" t="inlineStr">
        <is>
          <t>Functional</t>
        </is>
      </c>
      <c r="J201" s="3" t="inlineStr">
        <is>
          <t>Prototype: edusave.vercel.app (ngày mẫu 18/10/2026)
Chrome (latest)
Build: ghi khi chạy
Cần: ENV-R5-01</t>
        </is>
      </c>
      <c r="K201"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1" s="3" t="inlineStr">
        <is>
          <t>Con 2 trống, con 3 T2300001B</t>
        </is>
      </c>
      <c r="M201" s="3" t="inlineStr">
        <is>
          <t>1. Thêm con 2 có NRIC trống và con 3 NRIC T2300001B.
2. Bấm Review and submit.</t>
        </is>
      </c>
      <c r="N201" s="3" t="inlineStr">
        <is>
          <t>1. Hiện "Child 2: enter the NRIC/FIN." và "Child 3: no student with NRIC/FIN T2300001B in MOE records."</t>
        </is>
      </c>
      <c r="O201" s="3" t="n"/>
      <c r="P201"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201" s="3" t="n"/>
      <c r="R201" s="3" t="inlineStr">
        <is>
          <t>Tender R5, US-042, FS F5 v1.2: 6</t>
        </is>
      </c>
      <c r="S201" s="3" t="n"/>
      <c r="T201" s="2" t="inlineStr">
        <is>
          <t>Draft</t>
        </is>
      </c>
    </row>
    <row r="202" ht="165.5" customHeight="1">
      <c r="A202" s="2" t="inlineStr">
        <is>
          <t>TC-201</t>
        </is>
      </c>
      <c r="B202" s="2" t="inlineStr">
        <is>
          <t>TS-040</t>
        </is>
      </c>
      <c r="C202" s="3" t="inlineStr">
        <is>
          <t>Trang cuộn lên đầu để thấy ghi chú</t>
        </is>
      </c>
      <c r="D202" s="3" t="inlineStr">
        <is>
          <t>F5.8 Review and submit validation</t>
        </is>
      </c>
      <c r="E202" s="3" t="inlineStr">
        <is>
          <t>Review application (kiểm tra khi Review and submit)</t>
        </is>
      </c>
      <c r="F202" s="2" t="inlineStr">
        <is>
          <t>S4 (lowest)</t>
        </is>
      </c>
      <c r="G202" s="2" t="inlineStr">
        <is>
          <t>Low</t>
        </is>
      </c>
      <c r="H202" s="2" t="inlineStr">
        <is>
          <t>Not Run</t>
        </is>
      </c>
      <c r="I202" s="2" t="inlineStr">
        <is>
          <t>UI</t>
        </is>
      </c>
      <c r="J202" s="3" t="inlineStr">
        <is>
          <t>Prototype: edusave.vercel.app (ngày mẫu 18/10/2026)
Chrome (latest)
Build: ghi khi chạy
Cần: ENV-R5-01</t>
        </is>
      </c>
      <c r="K202"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2" s="3" t="inlineStr"/>
      <c r="M202" s="3" t="inlineStr">
        <is>
          <t>1. Cuộn xuống Part 5 và bấm Review and submit khi thiếu Date signed.</t>
        </is>
      </c>
      <c r="N202" s="3" t="inlineStr">
        <is>
          <t>1. Trang cuộn lên đầu, ghi chú đỏ nằm trong vùng nhìn thấy.</t>
        </is>
      </c>
      <c r="O202" s="3" t="n"/>
      <c r="P202"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202" s="3" t="n"/>
      <c r="R202" s="3" t="inlineStr">
        <is>
          <t>Tender R5, US-042, FS F5 v1.2: 6</t>
        </is>
      </c>
      <c r="S202" s="3" t="n"/>
      <c r="T202" s="2" t="inlineStr">
        <is>
          <t>Draft</t>
        </is>
      </c>
    </row>
    <row r="203" ht="267" customHeight="1">
      <c r="A203" s="2" t="inlineStr">
        <is>
          <t>TC-202</t>
        </is>
      </c>
      <c r="B203" s="2" t="inlineStr">
        <is>
          <t>TS-041</t>
        </is>
      </c>
      <c r="C203" s="3" t="inlineStr">
        <is>
          <t>Hộp thoại hiện đủ Part 1 đến Part 4 như hình của FS</t>
        </is>
      </c>
      <c r="D203" s="3" t="inlineStr">
        <is>
          <t>F5.9 Review before submitting dialog</t>
        </is>
      </c>
      <c r="E203" s="3" t="inlineStr">
        <is>
          <t>Review before submitting dialog</t>
        </is>
      </c>
      <c r="F203" s="2" t="inlineStr">
        <is>
          <t>S1 (highest)</t>
        </is>
      </c>
      <c r="G203" s="2" t="inlineStr">
        <is>
          <t>Critical</t>
        </is>
      </c>
      <c r="H203" s="2" t="inlineStr">
        <is>
          <t>Not Run</t>
        </is>
      </c>
      <c r="I203" s="2" t="inlineStr">
        <is>
          <t>Functional</t>
        </is>
      </c>
      <c r="J203" s="3" t="inlineStr">
        <is>
          <t>Prototype: edusave.vercel.app (ngày mẫu 18/10/2026)
Chrome (latest)
Build: ghi khi chạy
Cần: ENV-R5-01</t>
        </is>
      </c>
      <c r="K203"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Thêm con 2, thành viên và Context như Test Data.</t>
        </is>
      </c>
      <c r="L203" s="3" t="inlineStr">
        <is>
          <t>Con 2 T1012345A đã thêm
Thành viên Lim Hui Min đã thêm
Context "Father works shifts; the family hopes for help with transport."</t>
        </is>
      </c>
      <c r="M203" s="3" t="inlineStr">
        <is>
          <t>1. Dựng mẫu theo Test Data rồi bấm Review and submit.
2. Đọc từng phần của hộp thoại.</t>
        </is>
      </c>
      <c r="N203" s="3" t="inlineStr">
        <is>
          <t>1. Tiêu đề "Review before submitting", dòng nhãn FUNCTION 5 kèm tên file scan_bvp_0667.pdf, phụ đề "One application per child. MOEFAS is assessed automatically after the application form closes."
2. Part 1: Applicant Tan Wei Ming · S7612345A (Father); Category · Nationality Singapore Citizen · Chinese; Contact +65 9123 4567 · wm.tan@example.com; School-based FAS Yes.
3. Part 2 Children (2): Tan Mei Ling · T1412345B, Bukit View Primary · P6 · P6 Integrity · EA EA-2021-03318; Tan Jun Kai · T1012345A, Meridian Secondary · S4 · S4 Excellence · EA EA-2017-00412.
4. Part 3: Other family members Lim Hui Min; Household size 4; Gross household income S$ 4,300.00 / month (Government records); Per capita income S$ 1,075.00.
5. Part 4: nội dung Context. Hai nút Back to edit và Confirm and submit.</t>
        </is>
      </c>
      <c r="O203" s="3" t="n"/>
      <c r="P203" s="3" t="inlineStr">
        <is>
          <t>N/A</t>
        </is>
      </c>
      <c r="Q203" s="3" t="n"/>
      <c r="R203" s="3" t="inlineStr">
        <is>
          <t>Tender R5, US-042, FS F5 v1.2: 7, hình Review before submitting</t>
        </is>
      </c>
      <c r="S203" s="3" t="inlineStr">
        <is>
          <t>Cách hiển thị số điện thoại +65 9123 4567 là điểm mở O5.</t>
        </is>
      </c>
      <c r="T203" s="2" t="inlineStr">
        <is>
          <t>Approve</t>
        </is>
      </c>
    </row>
    <row r="204" ht="165.5" customHeight="1">
      <c r="A204" s="2" t="inlineStr">
        <is>
          <t>TC-203</t>
        </is>
      </c>
      <c r="B204" s="2" t="inlineStr">
        <is>
          <t>TS-041</t>
        </is>
      </c>
      <c r="C204" s="3" t="inlineStr">
        <is>
          <t>Hộp thoại với một con hiện Children (1) và Household size đúng</t>
        </is>
      </c>
      <c r="D204" s="3" t="inlineStr">
        <is>
          <t>F5.9 Review before submitting dialog</t>
        </is>
      </c>
      <c r="E204" s="3" t="inlineStr">
        <is>
          <t>Review before submitting dialog</t>
        </is>
      </c>
      <c r="F204" s="2" t="inlineStr">
        <is>
          <t>S3</t>
        </is>
      </c>
      <c r="G204" s="2" t="inlineStr">
        <is>
          <t>Medium</t>
        </is>
      </c>
      <c r="H204" s="2" t="inlineStr">
        <is>
          <t>Not Run</t>
        </is>
      </c>
      <c r="I204" s="2" t="inlineStr">
        <is>
          <t>Functional</t>
        </is>
      </c>
      <c r="J204" s="3" t="inlineStr">
        <is>
          <t>Prototype: edusave.vercel.app (ngày mẫu 18/10/2026)
Chrome (latest)
Build: ghi khi chạy
Cần: ENV-R5-01</t>
        </is>
      </c>
      <c r="K204"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4" s="3" t="inlineStr">
        <is>
          <t>Con 1 T1412345B, không thành viên</t>
        </is>
      </c>
      <c r="M204" s="3" t="inlineStr">
        <is>
          <t>1. Bấm Review and submit với mẫu một con, không thành viên.</t>
        </is>
      </c>
      <c r="N204" s="3" t="inlineStr">
        <is>
          <t>1. Part 2 ghi Children (1) với một dòng Tan Mei Ling.
2. Household size 2, PCI bằng GHI chia 2.</t>
        </is>
      </c>
      <c r="O204" s="3" t="n"/>
      <c r="P204" s="3" t="inlineStr">
        <is>
          <t>N/A</t>
        </is>
      </c>
      <c r="Q204" s="3" t="n"/>
      <c r="R204" s="3" t="inlineStr">
        <is>
          <t>Tender R5, US-042, FS F5 v1.2: 7</t>
        </is>
      </c>
      <c r="S204" s="3" t="n"/>
      <c r="T204" s="2" t="inlineStr">
        <is>
          <t>Approve</t>
        </is>
      </c>
    </row>
    <row r="205" ht="165.5" customHeight="1">
      <c r="A205" s="2" t="inlineStr">
        <is>
          <t>TC-204</t>
        </is>
      </c>
      <c r="B205" s="2" t="inlineStr">
        <is>
          <t>TS-041</t>
        </is>
      </c>
      <c r="C205" s="3" t="inlineStr">
        <is>
          <t>Địa chỉ người khai không hiện trong hộp thoại</t>
        </is>
      </c>
      <c r="D205" s="3" t="inlineStr">
        <is>
          <t>F5.9 Review before submitting dialog</t>
        </is>
      </c>
      <c r="E205" s="3" t="inlineStr">
        <is>
          <t>Review before submitting dialog</t>
        </is>
      </c>
      <c r="F205" s="2" t="inlineStr">
        <is>
          <t>S4 (lowest)</t>
        </is>
      </c>
      <c r="G205" s="2" t="inlineStr">
        <is>
          <t>Low</t>
        </is>
      </c>
      <c r="H205" s="2" t="inlineStr">
        <is>
          <t>Not Run</t>
        </is>
      </c>
      <c r="I205" s="2" t="inlineStr">
        <is>
          <t>Functional</t>
        </is>
      </c>
      <c r="J205" s="3" t="inlineStr">
        <is>
          <t>Prototype: edusave.vercel.app (ngày mẫu 18/10/2026)
Chrome (latest)
Build: ghi khi chạy
Cần: ENV-R5-01</t>
        </is>
      </c>
      <c r="K205"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5" s="3" t="inlineStr"/>
      <c r="M205" s="3" t="inlineStr">
        <is>
          <t>1. Bấm Review and submit và tìm địa chỉ trong hộp thoại.</t>
        </is>
      </c>
      <c r="N205" s="3" t="inlineStr">
        <is>
          <t>1. Hộp thoại không hiển thị Address.</t>
        </is>
      </c>
      <c r="O205" s="3" t="n"/>
      <c r="P205" s="3" t="inlineStr">
        <is>
          <t>ASM-R5-24: Địa chỉ không hiển thị. Con chưa có EA hiển thị dấu gạch ngang (một ký tự). Context trống thì phần Part 4 hiển thị trống hoặc ẩn, không có lỗi.</t>
        </is>
      </c>
      <c r="Q205" s="3" t="n"/>
      <c r="R205" s="3" t="inlineStr">
        <is>
          <t>Tender R5, US-042, FS F5 v1.2: 7</t>
        </is>
      </c>
      <c r="S205" s="3" t="inlineStr">
        <is>
          <t>Điểm mở O25.</t>
        </is>
      </c>
      <c r="T205" s="2" t="inlineStr">
        <is>
          <t>Draft</t>
        </is>
      </c>
    </row>
    <row r="206" ht="165.5" customHeight="1">
      <c r="A206" s="2" t="inlineStr">
        <is>
          <t>TC-205</t>
        </is>
      </c>
      <c r="B206" s="2" t="inlineStr">
        <is>
          <t>TS-041</t>
        </is>
      </c>
      <c r="C206" s="3" t="inlineStr">
        <is>
          <t>Con chưa có EA hiển thị dấu gạch ngang ở số EA</t>
        </is>
      </c>
      <c r="D206" s="3" t="inlineStr">
        <is>
          <t>F5.9 Review before submitting dialog</t>
        </is>
      </c>
      <c r="E206" s="3" t="inlineStr">
        <is>
          <t>Review before submitting dialog</t>
        </is>
      </c>
      <c r="F206" s="2" t="inlineStr">
        <is>
          <t>S3</t>
        </is>
      </c>
      <c r="G206" s="2" t="inlineStr">
        <is>
          <t>Low</t>
        </is>
      </c>
      <c r="H206" s="2" t="inlineStr">
        <is>
          <t>Not Run</t>
        </is>
      </c>
      <c r="I206" s="2" t="inlineStr">
        <is>
          <t>Functional</t>
        </is>
      </c>
      <c r="J206" s="3" t="inlineStr">
        <is>
          <t>Bản F5 có API (chưa có)
Chrome (latest)
Build: ghi khi chạy
Cần: ENV-R5-02, ENV-R5-03</t>
        </is>
      </c>
      <c r="K206"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6" s="3" t="inlineStr">
        <is>
          <t>SEED-R5-17 Rao Anika T2010808D chưa có EA</t>
        </is>
      </c>
      <c r="M206" s="3" t="inlineStr">
        <is>
          <t>1. Dựng mẫu có con Rao Anika T2010808D và bấm Review and submit.</t>
        </is>
      </c>
      <c r="N206" s="3" t="inlineStr">
        <is>
          <t>1. Dòng của Rao Anika ghi trường, khối, lớp và số EA hiển thị dấu gạch ngang, không lỗi.</t>
        </is>
      </c>
      <c r="O206" s="3" t="n"/>
      <c r="P206" s="3" t="inlineStr">
        <is>
          <t>ASM-R5-24: Địa chỉ không hiển thị. Con chưa có EA hiển thị dấu gạch ngang (một ký tự). Context trống thì phần Part 4 hiển thị trống hoặc ẩn, không có lỗi.</t>
        </is>
      </c>
      <c r="Q206" s="3" t="n"/>
      <c r="R206" s="3" t="inlineStr">
        <is>
          <t>Tender R5, US-042, FS F5 v1.2: 7, US-042</t>
        </is>
      </c>
      <c r="S206" s="3" t="inlineStr">
        <is>
          <t>Điểm mở O25.</t>
        </is>
      </c>
      <c r="T206" s="2" t="inlineStr">
        <is>
          <t>Draft</t>
        </is>
      </c>
    </row>
    <row r="207" ht="165.5" customHeight="1">
      <c r="A207" s="2" t="inlineStr">
        <is>
          <t>TC-206</t>
        </is>
      </c>
      <c r="B207" s="2" t="inlineStr">
        <is>
          <t>TS-041</t>
        </is>
      </c>
      <c r="C207" s="3" t="inlineStr">
        <is>
          <t>Context trống thì Part 4 trống hoặc ẩn</t>
        </is>
      </c>
      <c r="D207" s="3" t="inlineStr">
        <is>
          <t>F5.9 Review before submitting dialog</t>
        </is>
      </c>
      <c r="E207" s="3" t="inlineStr">
        <is>
          <t>Review before submitting dialog</t>
        </is>
      </c>
      <c r="F207" s="2" t="inlineStr">
        <is>
          <t>S4 (lowest)</t>
        </is>
      </c>
      <c r="G207" s="2" t="inlineStr">
        <is>
          <t>Low</t>
        </is>
      </c>
      <c r="H207" s="2" t="inlineStr">
        <is>
          <t>Not Run</t>
        </is>
      </c>
      <c r="I207" s="2" t="inlineStr">
        <is>
          <t>Functional</t>
        </is>
      </c>
      <c r="J207" s="3" t="inlineStr">
        <is>
          <t>Prototype: edusave.vercel.app (ngày mẫu 18/10/2026)
Chrome (latest)
Build: ghi khi chạy
Cần: ENV-R5-01</t>
        </is>
      </c>
      <c r="K207"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7" s="3" t="inlineStr">
        <is>
          <t>Context trống</t>
        </is>
      </c>
      <c r="M207" s="3" t="inlineStr">
        <is>
          <t>1. Để trống Context và bấm Review and submit.</t>
        </is>
      </c>
      <c r="N207" s="3" t="inlineStr">
        <is>
          <t>1. Part 4 không hiển thị nội dung, không lỗi hiển thị.</t>
        </is>
      </c>
      <c r="O207" s="3" t="n"/>
      <c r="P207" s="3" t="inlineStr">
        <is>
          <t>ASM-R5-24: Địa chỉ không hiển thị. Con chưa có EA hiển thị dấu gạch ngang (một ký tự). Context trống thì phần Part 4 hiển thị trống hoặc ẩn, không có lỗi.</t>
        </is>
      </c>
      <c r="Q207" s="3" t="n"/>
      <c r="R207" s="3" t="inlineStr">
        <is>
          <t>Tender R5, US-042, FS F5 v1.2: 7</t>
        </is>
      </c>
      <c r="S207" s="3" t="inlineStr">
        <is>
          <t>Điểm mở O25.</t>
        </is>
      </c>
      <c r="T207" s="2" t="inlineStr">
        <is>
          <t>Draft</t>
        </is>
      </c>
    </row>
    <row r="208" ht="165.5" customHeight="1">
      <c r="A208" s="2" t="inlineStr">
        <is>
          <t>TC-207</t>
        </is>
      </c>
      <c r="B208" s="2" t="inlineStr">
        <is>
          <t>TS-041</t>
        </is>
      </c>
      <c r="C208" s="3" t="inlineStr">
        <is>
          <t>Context hiển thị như văn bản thuần trong hộp thoại</t>
        </is>
      </c>
      <c r="D208" s="3" t="inlineStr">
        <is>
          <t>F5.9 Review before submitting dialog</t>
        </is>
      </c>
      <c r="E208" s="3" t="inlineStr">
        <is>
          <t>Review before submitting dialog</t>
        </is>
      </c>
      <c r="F208" s="2" t="inlineStr">
        <is>
          <t>S2</t>
        </is>
      </c>
      <c r="G208" s="2" t="inlineStr">
        <is>
          <t>Medium</t>
        </is>
      </c>
      <c r="H208" s="2" t="inlineStr">
        <is>
          <t>Not Run</t>
        </is>
      </c>
      <c r="I208" s="2" t="inlineStr">
        <is>
          <t>Security</t>
        </is>
      </c>
      <c r="J208" s="3" t="inlineStr">
        <is>
          <t>Prototype: edusave.vercel.app (ngày mẫu 18/10/2026)
Chrome (latest)
Build: ghi khi chạy
Cần: ENV-R5-01</t>
        </is>
      </c>
      <c r="K208"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8" s="3" t="inlineStr">
        <is>
          <t>Context HTML</t>
        </is>
      </c>
      <c r="M208" s="3" t="inlineStr">
        <is>
          <t>1. Nhập Context "&lt;b&gt;x&lt;/b&gt;&lt;script&gt;alert(1)&lt;/script&gt;" và bấm Review and submit.</t>
        </is>
      </c>
      <c r="N208" s="3" t="inlineStr">
        <is>
          <t>1. Hộp thoại hiện đúng chuỗi, không in đậm, không alert.</t>
        </is>
      </c>
      <c r="O208" s="3" t="n"/>
      <c r="P208" s="3" t="inlineStr">
        <is>
          <t>N/A</t>
        </is>
      </c>
      <c r="Q208" s="3" t="n"/>
      <c r="R208" s="3" t="inlineStr">
        <is>
          <t>Tender R5, US-042, FS F5 v1.2: 7, BR5</t>
        </is>
      </c>
      <c r="S208" s="3" t="n"/>
      <c r="T208" s="2" t="inlineStr">
        <is>
          <t>Approve</t>
        </is>
      </c>
    </row>
    <row r="209" ht="165.5" customHeight="1">
      <c r="A209" s="2" t="inlineStr">
        <is>
          <t>TC-208</t>
        </is>
      </c>
      <c r="B209" s="2" t="inlineStr">
        <is>
          <t>TS-042</t>
        </is>
      </c>
      <c r="C209" s="3" t="inlineStr">
        <is>
          <t>Back to edit đóng hộp thoại, giữ nguyên mẫu và không tạo gì</t>
        </is>
      </c>
      <c r="D209" s="3" t="inlineStr">
        <is>
          <t>F5.9 Review before submitting dialog</t>
        </is>
      </c>
      <c r="E209" s="3" t="inlineStr">
        <is>
          <t>Review before submitting dialog</t>
        </is>
      </c>
      <c r="F209" s="2" t="inlineStr">
        <is>
          <t>S1 (highest)</t>
        </is>
      </c>
      <c r="G209" s="2" t="inlineStr">
        <is>
          <t>High</t>
        </is>
      </c>
      <c r="H209" s="2" t="inlineStr">
        <is>
          <t>Not Run</t>
        </is>
      </c>
      <c r="I209" s="2" t="inlineStr">
        <is>
          <t>Functional</t>
        </is>
      </c>
      <c r="J209" s="3" t="inlineStr">
        <is>
          <t>Prototype: edusave.vercel.app (ngày mẫu 18/10/2026)
Chrome (latest)
Build: ghi khi chạy
Cần: ENV-R5-01</t>
        </is>
      </c>
      <c r="K209"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09" s="3" t="inlineStr"/>
      <c r="M209" s="3" t="inlineStr">
        <is>
          <t>1. Bấm Review and submit.
2. Bấm Back to edit.
3. Đọc màn Review application và danh sách.</t>
        </is>
      </c>
      <c r="N209" s="3" t="inlineStr">
        <is>
          <t>1. Hộp thoại đóng, mọi giá trị đã nhập còn nguyên.
2. Không có đơn mới và không có dòng Draft mới trong danh sách.</t>
        </is>
      </c>
      <c r="O209" s="3" t="n"/>
      <c r="P209" s="3" t="inlineStr">
        <is>
          <t>N/A</t>
        </is>
      </c>
      <c r="Q209" s="3" t="n"/>
      <c r="R209" s="3" t="inlineStr">
        <is>
          <t>Tender R5, US-042, FS F5 v1.2: 7</t>
        </is>
      </c>
      <c r="S209" s="3" t="n"/>
      <c r="T209" s="2" t="inlineStr">
        <is>
          <t>Approve</t>
        </is>
      </c>
    </row>
    <row r="210" ht="165.5" customHeight="1">
      <c r="A210" s="2" t="inlineStr">
        <is>
          <t>TC-209</t>
        </is>
      </c>
      <c r="B210" s="2" t="inlineStr">
        <is>
          <t>TS-042</t>
        </is>
      </c>
      <c r="C210" s="3" t="inlineStr">
        <is>
          <t>Sửa rồi mở lại hộp thoại thì hiện giá trị mới</t>
        </is>
      </c>
      <c r="D210" s="3" t="inlineStr">
        <is>
          <t>F5.9 Review before submitting dialog</t>
        </is>
      </c>
      <c r="E210" s="3" t="inlineStr">
        <is>
          <t>Review before submitting dialog</t>
        </is>
      </c>
      <c r="F210" s="2" t="inlineStr">
        <is>
          <t>S2</t>
        </is>
      </c>
      <c r="G210" s="2" t="inlineStr">
        <is>
          <t>Medium</t>
        </is>
      </c>
      <c r="H210" s="2" t="inlineStr">
        <is>
          <t>Not Run</t>
        </is>
      </c>
      <c r="I210" s="2" t="inlineStr">
        <is>
          <t>Functional</t>
        </is>
      </c>
      <c r="J210" s="3" t="inlineStr">
        <is>
          <t>Prototype: edusave.vercel.app (ngày mẫu 18/10/2026)
Chrome (latest)
Build: ghi khi chạy
Cần: ENV-R5-01</t>
        </is>
      </c>
      <c r="K210"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t>
        </is>
      </c>
      <c r="L210" s="3" t="inlineStr">
        <is>
          <t>Relationship Mother, School-based FAS No</t>
        </is>
      </c>
      <c r="M210" s="3" t="inlineStr">
        <is>
          <t>1. Bấm Review and submit rồi Back to edit.
2. Đổi Relationship thành Mother, bỏ chọn School-based FAS, đổi Context.
3. Bấm Review and submit.</t>
        </is>
      </c>
      <c r="N210" s="3" t="inlineStr">
        <is>
          <t>1. Hộp thoại hiện Mother, School-based FAS No và Context mới.</t>
        </is>
      </c>
      <c r="O210" s="3" t="n"/>
      <c r="P210" s="3" t="inlineStr">
        <is>
          <t>N/A</t>
        </is>
      </c>
      <c r="Q210" s="3" t="n"/>
      <c r="R210" s="3" t="inlineStr">
        <is>
          <t>Tender R5, US-042, FS F5 v1.2: 7</t>
        </is>
      </c>
      <c r="S210" s="3" t="n"/>
      <c r="T210" s="2" t="inlineStr">
        <is>
          <t>Approve</t>
        </is>
      </c>
    </row>
    <row r="211" ht="194.5" customHeight="1">
      <c r="A211" s="2" t="inlineStr">
        <is>
          <t>TC-210</t>
        </is>
      </c>
      <c r="B211" s="2" t="inlineStr">
        <is>
          <t>TS-043</t>
        </is>
      </c>
      <c r="C211" s="3" t="inlineStr">
        <is>
          <t>Mẫu hai con tạo hai đơn dùng chung mã gia đình, MOEFAS Pending (T10)</t>
        </is>
      </c>
      <c r="D211" s="3" t="inlineStr">
        <is>
          <t>F5.10 Confirm and submit and routing</t>
        </is>
      </c>
      <c r="E211" s="3" t="inlineStr">
        <is>
          <t>Review before submitting dialog</t>
        </is>
      </c>
      <c r="F211" s="2" t="inlineStr">
        <is>
          <t>S1 (highest)</t>
        </is>
      </c>
      <c r="G211" s="2" t="inlineStr">
        <is>
          <t>Critical</t>
        </is>
      </c>
      <c r="H211" s="2" t="inlineStr">
        <is>
          <t>Not Run</t>
        </is>
      </c>
      <c r="I211" s="2" t="inlineStr">
        <is>
          <t>Functional</t>
        </is>
      </c>
      <c r="J211" s="3" t="inlineStr">
        <is>
          <t>Prototype: edusave.vercel.app (ngày mẫu 18/10/2026)
Chrome (latest)
Build: ghi khi chạy
Cần: ENV-R5-01</t>
        </is>
      </c>
      <c r="K211"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1" s="3" t="inlineStr">
        <is>
          <t>Con 1 Tan Mei Ling T1412345B (Bukit View Primary, Singapore Citizen)
Con 2 Tan Jun Kai T1012345A (Meridian Secondary, Singapore Citizen)
School-based FAS Yes</t>
        </is>
      </c>
      <c r="M211" s="3" t="inlineStr">
        <is>
          <t>1. Bấm Confirm and submit.
2. Đọc toast và danh sách.
3. Mở hai đơn mới, đọc Application ID, mã gia đình, nguồn, trạng thái và System check.</t>
        </is>
      </c>
      <c r="N211" s="3" t="inlineStr">
        <is>
          <t>1. Toast "Applications submitted."
2. Hai đơn mới: mỗi con một đơn, nguồn Paper, cùng một mã gia đình.
3. Cả hai là MOEFAS, trạng thái Pending, System check Waiting, chưa có quyết định.</t>
        </is>
      </c>
      <c r="O211" s="3" t="n"/>
      <c r="P211" s="3" t="inlineStr">
        <is>
          <t>ASM-R5-18: Hộp thoại đóng, về danh sách Upload applications, các đơn mới hiện trong danh sách đã tải lại và dòng Draft biến mất. Mỗi đơn gắn đủ các file scan của mẫu.</t>
        </is>
      </c>
      <c r="Q211" s="3" t="n"/>
      <c r="R211" s="3" t="inlineStr">
        <is>
          <t>Tender R5, US-042, US-049, US-050, FS F5 v1.2: 2 bước 5, BR1, BR8, T10</t>
        </is>
      </c>
      <c r="S211" s="3" t="n"/>
      <c r="T211" s="2" t="inlineStr">
        <is>
          <t>Draft</t>
        </is>
      </c>
    </row>
    <row r="212" ht="194.5" customHeight="1">
      <c r="A212" s="2" t="inlineStr">
        <is>
          <t>TC-211</t>
        </is>
      </c>
      <c r="B212" s="2" t="inlineStr">
        <is>
          <t>TS-043</t>
        </is>
      </c>
      <c r="C212" s="3" t="inlineStr">
        <is>
          <t>Mẫu một con tạo một đơn và toast số ít</t>
        </is>
      </c>
      <c r="D212" s="3" t="inlineStr">
        <is>
          <t>F5.10 Confirm and submit and routing</t>
        </is>
      </c>
      <c r="E212" s="3" t="inlineStr">
        <is>
          <t>Review before submitting dialog</t>
        </is>
      </c>
      <c r="F212" s="2" t="inlineStr">
        <is>
          <t>S1 (highest)</t>
        </is>
      </c>
      <c r="G212" s="2" t="inlineStr">
        <is>
          <t>Critical</t>
        </is>
      </c>
      <c r="H212" s="2" t="inlineStr">
        <is>
          <t>Not Run</t>
        </is>
      </c>
      <c r="I212" s="2" t="inlineStr">
        <is>
          <t>Functional</t>
        </is>
      </c>
      <c r="J212" s="3" t="inlineStr">
        <is>
          <t>Prototype: edusave.vercel.app (ngày mẫu 18/10/2026)
Chrome (latest)
Build: ghi khi chạy
Cần: ENV-R5-01</t>
        </is>
      </c>
      <c r="K212"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2" s="3" t="inlineStr">
        <is>
          <t>Con 1 Tan Mei Ling T1412345B</t>
        </is>
      </c>
      <c r="M212" s="3" t="inlineStr">
        <is>
          <t>1. Bấm Confirm and submit.
2. Đọc toast và danh sách.</t>
        </is>
      </c>
      <c r="N212" s="3" t="inlineStr">
        <is>
          <t>1. Toast "Application submitted for assessment."
2. Một đơn mới của Tan Mei Ling, nguồn Paper, MOEFAS Pending, System check Waiting.</t>
        </is>
      </c>
      <c r="O212" s="3" t="n"/>
      <c r="P212" s="3" t="inlineStr">
        <is>
          <t>ASM-R5-18: Hộp thoại đóng, về danh sách Upload applications, các đơn mới hiện trong danh sách đã tải lại và dòng Draft biến mất. Mỗi đơn gắn đủ các file scan của mẫu.</t>
        </is>
      </c>
      <c r="Q212" s="3" t="n"/>
      <c r="R212" s="3" t="inlineStr">
        <is>
          <t>Tender R5, US-042, US-049, US-050, FS F5 v1.2: 2 bước 5</t>
        </is>
      </c>
      <c r="S212" s="3" t="n"/>
      <c r="T212" s="2" t="inlineStr">
        <is>
          <t>Draft</t>
        </is>
      </c>
    </row>
    <row r="213" ht="194.5" customHeight="1">
      <c r="A213" s="2" t="inlineStr">
        <is>
          <t>TC-212</t>
        </is>
      </c>
      <c r="B213" s="2" t="inlineStr">
        <is>
          <t>TS-043</t>
        </is>
      </c>
      <c r="C213" s="3" t="inlineStr">
        <is>
          <t>Sau khi nộp về danh sách, bản nháp biến mất và đơn mới hiện</t>
        </is>
      </c>
      <c r="D213" s="3" t="inlineStr">
        <is>
          <t>F5.10 Confirm and submit and routing</t>
        </is>
      </c>
      <c r="E213" s="3" t="inlineStr">
        <is>
          <t>Review before submitting dialog</t>
        </is>
      </c>
      <c r="F213" s="2" t="inlineStr">
        <is>
          <t>S2</t>
        </is>
      </c>
      <c r="G213" s="2" t="inlineStr">
        <is>
          <t>High</t>
        </is>
      </c>
      <c r="H213" s="2" t="inlineStr">
        <is>
          <t>Not Run</t>
        </is>
      </c>
      <c r="I213" s="2" t="inlineStr">
        <is>
          <t>Functional</t>
        </is>
      </c>
      <c r="J213" s="3" t="inlineStr">
        <is>
          <t>Prototype: edusave.vercel.app (ngày mẫu 18/10/2026)
Chrome (latest)
Build: ghi khi chạy
Cần: ENV-R5-01</t>
        </is>
      </c>
      <c r="K213"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3" s="3" t="inlineStr">
        <is>
          <t>Con 1 Tan Mei Ling T1412345B (Bukit View Primary, Singapore Citizen)</t>
        </is>
      </c>
      <c r="M213" s="3" t="inlineStr">
        <is>
          <t>1. Bấm Confirm and submit.
2. Đọc danh sách với Uploaded Last 7 days.</t>
        </is>
      </c>
      <c r="N213" s="3" t="inlineStr">
        <is>
          <t>1. Hộp thoại đóng, màn danh sách hiện.
2. Có đơn mới với Application ID thật, không còn dòng Draft của mẫu này, các thẻ tăng đúng.</t>
        </is>
      </c>
      <c r="O213" s="3" t="n"/>
      <c r="P213" s="3" t="inlineStr">
        <is>
          <t>ASM-R5-18: Hộp thoại đóng, về danh sách Upload applications, các đơn mới hiện trong danh sách đã tải lại và dòng Draft biến mất. Mỗi đơn gắn đủ các file scan của mẫu.</t>
        </is>
      </c>
      <c r="Q213" s="3" t="n"/>
      <c r="R213" s="3" t="inlineStr">
        <is>
          <t>Tender R5, US-042, US-049, US-050, FS F5 v1.2: 2 bước 5, BR6</t>
        </is>
      </c>
      <c r="S213" s="3" t="n"/>
      <c r="T213" s="2" t="inlineStr">
        <is>
          <t>Draft</t>
        </is>
      </c>
    </row>
    <row r="214" ht="194.5" customHeight="1">
      <c r="A214" s="2" t="inlineStr">
        <is>
          <t>TC-213</t>
        </is>
      </c>
      <c r="B214" s="2" t="inlineStr">
        <is>
          <t>TS-043</t>
        </is>
      </c>
      <c r="C214" s="3" t="inlineStr">
        <is>
          <t>Application ID có định dạng APP, năm, số thứ tự và không trùng</t>
        </is>
      </c>
      <c r="D214" s="3" t="inlineStr">
        <is>
          <t>F5.10 Confirm and submit and routing</t>
        </is>
      </c>
      <c r="E214" s="3" t="inlineStr">
        <is>
          <t>Review before submitting dialog</t>
        </is>
      </c>
      <c r="F214" s="2" t="inlineStr">
        <is>
          <t>S3</t>
        </is>
      </c>
      <c r="G214" s="2" t="inlineStr">
        <is>
          <t>Medium</t>
        </is>
      </c>
      <c r="H214" s="2" t="inlineStr">
        <is>
          <t>Not Run</t>
        </is>
      </c>
      <c r="I214" s="2" t="inlineStr">
        <is>
          <t>Functional</t>
        </is>
      </c>
      <c r="J214" s="3" t="inlineStr">
        <is>
          <t>Prototype: edusave.vercel.app (ngày mẫu 18/10/2026)
Chrome (latest)
Build: ghi khi chạy
Cần: ENV-R5-01</t>
        </is>
      </c>
      <c r="K214"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4" s="3" t="inlineStr">
        <is>
          <t>Hai mẫu một con</t>
        </is>
      </c>
      <c r="M214" s="3" t="inlineStr">
        <is>
          <t>1. Nộp hai mẫu liên tiếp.
2. Đọc các Application ID.</t>
        </is>
      </c>
      <c r="N214" s="3" t="inlineStr">
        <is>
          <t>1. Mỗi ID có dạng APP-2026-nnnnn, các ID khác nhau.</t>
        </is>
      </c>
      <c r="O214" s="3" t="n"/>
      <c r="P214"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14" s="3" t="n"/>
      <c r="R214" s="3" t="inlineStr">
        <is>
          <t>Tender R5, US-042, US-049, US-050, FS F5 v1.2: 3 hình, R5_FAS_Validation_Rules VR-F5-S07</t>
        </is>
      </c>
      <c r="S214" s="3" t="n"/>
      <c r="T214" s="2" t="inlineStr">
        <is>
          <t>Draft</t>
        </is>
      </c>
    </row>
    <row r="215" ht="194.5" customHeight="1">
      <c r="A215" s="2" t="inlineStr">
        <is>
          <t>TC-214</t>
        </is>
      </c>
      <c r="B215" s="2" t="inlineStr">
        <is>
          <t>TS-043</t>
        </is>
      </c>
      <c r="C215" s="3" t="inlineStr">
        <is>
          <t>Đơn tạo ra có nguồn Paper trong F4</t>
        </is>
      </c>
      <c r="D215" s="3" t="inlineStr">
        <is>
          <t>F5.10 Confirm and submit and routing</t>
        </is>
      </c>
      <c r="E215" s="3" t="inlineStr">
        <is>
          <t>Review before submitting dialog</t>
        </is>
      </c>
      <c r="F215" s="2" t="inlineStr">
        <is>
          <t>S2</t>
        </is>
      </c>
      <c r="G215" s="2" t="inlineStr">
        <is>
          <t>High</t>
        </is>
      </c>
      <c r="H215" s="2" t="inlineStr">
        <is>
          <t>Not Run</t>
        </is>
      </c>
      <c r="I215" s="2" t="inlineStr">
        <is>
          <t>Integration</t>
        </is>
      </c>
      <c r="J215" s="3" t="inlineStr">
        <is>
          <t>Prototype: edusave.vercel.app (ngày mẫu 18/10/2026)
Chrome (latest)
Build: ghi khi chạy
Cần: ENV-R5-01</t>
        </is>
      </c>
      <c r="K215"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5" s="3" t="inlineStr">
        <is>
          <t>Con 1 Tan Mei Ling T1412345B</t>
        </is>
      </c>
      <c r="M215" s="3" t="inlineStr">
        <is>
          <t>1. Nộp mẫu một con.
2. Đăng nhập MOE HQ, mở FAS applications và đơn vừa nộp.
3. Đọc nguồn và Context.</t>
        </is>
      </c>
      <c r="N215" s="3" t="inlineStr">
        <is>
          <t>1. Nguồn là Paper, Context đúng như đã nhập, trạng thái Pending và System check Waiting.</t>
        </is>
      </c>
      <c r="O215" s="3" t="n"/>
      <c r="P215" s="3" t="inlineStr">
        <is>
          <t>N/A</t>
        </is>
      </c>
      <c r="Q215" s="3" t="n"/>
      <c r="R215" s="3" t="inlineStr">
        <is>
          <t>Tender R5, US-042, US-049, US-050, FS F5 v1.2: 2 bước 5, 5 Part 4, T11, VR-F5-S06</t>
        </is>
      </c>
      <c r="S215" s="3" t="n"/>
      <c r="T215" s="2" t="inlineStr">
        <is>
          <t>Approve</t>
        </is>
      </c>
    </row>
    <row r="216" ht="194.5" customHeight="1">
      <c r="A216" s="2" t="inlineStr">
        <is>
          <t>TC-215</t>
        </is>
      </c>
      <c r="B216" s="2" t="inlineStr">
        <is>
          <t>TS-043</t>
        </is>
      </c>
      <c r="C216" s="3" t="inlineStr">
        <is>
          <t>School-based FAS được lưu cùng đơn</t>
        </is>
      </c>
      <c r="D216" s="3" t="inlineStr">
        <is>
          <t>F5.10 Confirm and submit and routing</t>
        </is>
      </c>
      <c r="E216" s="3" t="inlineStr">
        <is>
          <t>Review before submitting dialog</t>
        </is>
      </c>
      <c r="F216" s="2" t="inlineStr">
        <is>
          <t>S2</t>
        </is>
      </c>
      <c r="G216" s="2" t="inlineStr">
        <is>
          <t>High</t>
        </is>
      </c>
      <c r="H216" s="2" t="inlineStr">
        <is>
          <t>Not Run</t>
        </is>
      </c>
      <c r="I216" s="2" t="inlineStr">
        <is>
          <t>Functional</t>
        </is>
      </c>
      <c r="J216" s="3" t="inlineStr">
        <is>
          <t>Prototype: edusave.vercel.app (ngày mẫu 18/10/2026)
Chrome (latest)
Build: ghi khi chạy
Cần: ENV-R5-01</t>
        </is>
      </c>
      <c r="K216"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6" s="3" t="inlineStr">
        <is>
          <t>School-based FAS No</t>
        </is>
      </c>
      <c r="M216" s="3" t="inlineStr">
        <is>
          <t>1. Bỏ chọn School-based FAS trước khi nộp.
2. Nộp, mở View application của đơn.</t>
        </is>
      </c>
      <c r="N216" s="3" t="inlineStr">
        <is>
          <t>1. Đơn hiển thị School-based FAS: No và mở lại cho thấy đúng giá trị.</t>
        </is>
      </c>
      <c r="O216" s="3" t="n"/>
      <c r="P216" s="3" t="inlineStr">
        <is>
          <t>N/A</t>
        </is>
      </c>
      <c r="Q216" s="3" t="n"/>
      <c r="R216" s="3" t="inlineStr">
        <is>
          <t>Tender R5, US-042, US-049, US-050, FS F5 v1.2: 5 Part 1, 8</t>
        </is>
      </c>
      <c r="S216" s="3" t="n"/>
      <c r="T216" s="2" t="inlineStr">
        <is>
          <t>Approve</t>
        </is>
      </c>
    </row>
    <row r="217" ht="194.5" customHeight="1">
      <c r="A217" s="2" t="inlineStr">
        <is>
          <t>TC-216</t>
        </is>
      </c>
      <c r="B217" s="2" t="inlineStr">
        <is>
          <t>TS-043</t>
        </is>
      </c>
      <c r="C217" s="3" t="inlineStr">
        <is>
          <t>Scan gắn với đơn của từng con</t>
        </is>
      </c>
      <c r="D217" s="3" t="inlineStr">
        <is>
          <t>F5.10 Confirm and submit and routing</t>
        </is>
      </c>
      <c r="E217" s="3" t="inlineStr">
        <is>
          <t>Review before submitting dialog</t>
        </is>
      </c>
      <c r="F217" s="2" t="inlineStr">
        <is>
          <t>S3</t>
        </is>
      </c>
      <c r="G217" s="2" t="inlineStr">
        <is>
          <t>Medium</t>
        </is>
      </c>
      <c r="H217" s="2" t="inlineStr">
        <is>
          <t>Not Run</t>
        </is>
      </c>
      <c r="I217" s="2" t="inlineStr">
        <is>
          <t>Functional</t>
        </is>
      </c>
      <c r="J217" s="3" t="inlineStr">
        <is>
          <t>Prototype: edusave.vercel.app (ngày mẫu 18/10/2026)
Chrome (latest)
Build: ghi khi chạy
Cần: ENV-R5-01</t>
        </is>
      </c>
      <c r="K217"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7" s="3" t="inlineStr">
        <is>
          <t>Con 1 Tan Mei Ling T1412345B (Bukit View Primary, Singapore Citizen)
Con 2 Tan Jun Kai T1012345A (Meridian Secondary, Singapore Citizen)
School-based FAS Yes</t>
        </is>
      </c>
      <c r="M217" s="3" t="inlineStr">
        <is>
          <t>1. Nộp mẫu hai con từ một scan.
2. Mở View application của từng đơn và đọc file scan.</t>
        </is>
      </c>
      <c r="N217" s="3" t="inlineStr">
        <is>
          <t>1. Mỗi đơn có file scan_bvp_0667.pdf để xem.</t>
        </is>
      </c>
      <c r="O217" s="3" t="n"/>
      <c r="P217" s="3" t="inlineStr">
        <is>
          <t>ASM-R5-18: Hộp thoại đóng, về danh sách Upload applications, các đơn mới hiện trong danh sách đã tải lại và dòng Draft biến mất. Mỗi đơn gắn đủ các file scan của mẫu.</t>
        </is>
      </c>
      <c r="Q217" s="3" t="n"/>
      <c r="R217" s="3" t="inlineStr">
        <is>
          <t>Tender R5, US-042, US-049, US-050, FS F5 v1.2: 2 bước 5</t>
        </is>
      </c>
      <c r="S217" s="3" t="n"/>
      <c r="T217" s="2" t="inlineStr">
        <is>
          <t>Draft</t>
        </is>
      </c>
    </row>
    <row r="218" ht="194.5" customHeight="1">
      <c r="A218" s="2" t="inlineStr">
        <is>
          <t>TC-217</t>
        </is>
      </c>
      <c r="B218" s="2" t="inlineStr">
        <is>
          <t>TS-043</t>
        </is>
      </c>
      <c r="C218" s="3" t="inlineStr">
        <is>
          <t>Nộp lại cho con đã có đơn bị chặn</t>
        </is>
      </c>
      <c r="D218" s="3" t="inlineStr">
        <is>
          <t>F5.10 Confirm and submit and routing</t>
        </is>
      </c>
      <c r="E218" s="3" t="inlineStr">
        <is>
          <t>Review before submitting dialog</t>
        </is>
      </c>
      <c r="F218" s="2" t="inlineStr">
        <is>
          <t>S1 (highest)</t>
        </is>
      </c>
      <c r="G218" s="2" t="inlineStr">
        <is>
          <t>High</t>
        </is>
      </c>
      <c r="H218" s="2" t="inlineStr">
        <is>
          <t>Not Run</t>
        </is>
      </c>
      <c r="I218" s="2" t="inlineStr">
        <is>
          <t>Functional</t>
        </is>
      </c>
      <c r="J218" s="3" t="inlineStr">
        <is>
          <t>Prototype: edusave.vercel.app (ngày mẫu 18/10/2026)
Chrome (latest)
Build: ghi khi chạy
Cần: ENV-R5-01</t>
        </is>
      </c>
      <c r="K218"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8" s="3" t="inlineStr">
        <is>
          <t>Tan Mei Ling T1412345B</t>
        </is>
      </c>
      <c r="M218" s="3" t="inlineStr">
        <is>
          <t>1. Nộp mẫu một con Tan Mei Ling.
2. Upload một mẫu mới cho cùng Tan Mei Ling và bấm Review and submit.</t>
        </is>
      </c>
      <c r="N218" s="3" t="inlineStr">
        <is>
          <t>1. Hiện "Tan Mei Ling already has an application this year ({id}, Pending)." với mã đơn vừa tạo.</t>
        </is>
      </c>
      <c r="O218" s="3" t="n"/>
      <c r="P218" s="3" t="inlineStr">
        <is>
          <t>N/A</t>
        </is>
      </c>
      <c r="Q218" s="3" t="n"/>
      <c r="R218" s="3" t="inlineStr">
        <is>
          <t>Tender R5, US-042, US-049, US-050, FS F5 v1.2: 6, BR2</t>
        </is>
      </c>
      <c r="S218" s="3" t="n"/>
      <c r="T218" s="2" t="inlineStr">
        <is>
          <t>Approve</t>
        </is>
      </c>
    </row>
    <row r="219" ht="194.5" customHeight="1">
      <c r="A219" s="2" t="inlineStr">
        <is>
          <t>TC-218</t>
        </is>
      </c>
      <c r="B219" s="2" t="inlineStr">
        <is>
          <t>TS-044</t>
        </is>
      </c>
      <c r="C219" s="3" t="inlineStr">
        <is>
          <t>Con công dân với School-based FAS Yes là MOEFAS Pending</t>
        </is>
      </c>
      <c r="D219" s="3" t="inlineStr">
        <is>
          <t>F5.10 Confirm and submit and routing</t>
        </is>
      </c>
      <c r="E219" s="3" t="inlineStr">
        <is>
          <t>Review before submitting dialog</t>
        </is>
      </c>
      <c r="F219" s="2" t="inlineStr">
        <is>
          <t>S1 (highest)</t>
        </is>
      </c>
      <c r="G219" s="2" t="inlineStr">
        <is>
          <t>Critical</t>
        </is>
      </c>
      <c r="H219" s="2" t="inlineStr">
        <is>
          <t>Not Run</t>
        </is>
      </c>
      <c r="I219" s="2" t="inlineStr">
        <is>
          <t>Functional</t>
        </is>
      </c>
      <c r="J219" s="3" t="inlineStr">
        <is>
          <t>Prototype: edusave.vercel.app (ngày mẫu 18/10/2026)
Chrome (latest)
Build: ghi khi chạy
Cần: ENV-R5-01</t>
        </is>
      </c>
      <c r="K219"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19" s="3" t="inlineStr">
        <is>
          <t>Tan Mei Ling, Yes</t>
        </is>
      </c>
      <c r="M219" s="3" t="inlineStr">
        <is>
          <t>1. Nộp mẫu một con công dân với Yes.
2. Đọc đơn.</t>
        </is>
      </c>
      <c r="N219" s="3" t="inlineStr">
        <is>
          <t>1. MOEFAS Pending, System check Waiting, chưa xếp hạng.</t>
        </is>
      </c>
      <c r="O219" s="3" t="n"/>
      <c r="P219" s="3" t="inlineStr">
        <is>
          <t>N/A</t>
        </is>
      </c>
      <c r="Q219" s="3" t="n"/>
      <c r="R219" s="3" t="inlineStr">
        <is>
          <t>Tender R5, US-042, US-049, US-050, FS F5 v1.2: 2 bước 5, BR8</t>
        </is>
      </c>
      <c r="S219" s="3" t="n"/>
      <c r="T219" s="2" t="inlineStr">
        <is>
          <t>Approve</t>
        </is>
      </c>
    </row>
    <row r="220" ht="194.5" customHeight="1">
      <c r="A220" s="2" t="inlineStr">
        <is>
          <t>TC-219</t>
        </is>
      </c>
      <c r="B220" s="2" t="inlineStr">
        <is>
          <t>TS-044</t>
        </is>
      </c>
      <c r="C220" s="3" t="inlineStr">
        <is>
          <t>Con công dân với School-based FAS No vẫn là MOEFAS Pending</t>
        </is>
      </c>
      <c r="D220" s="3" t="inlineStr">
        <is>
          <t>F5.10 Confirm and submit and routing</t>
        </is>
      </c>
      <c r="E220" s="3" t="inlineStr">
        <is>
          <t>Review before submitting dialog</t>
        </is>
      </c>
      <c r="F220" s="2" t="inlineStr">
        <is>
          <t>S1 (highest)</t>
        </is>
      </c>
      <c r="G220" s="2" t="inlineStr">
        <is>
          <t>High</t>
        </is>
      </c>
      <c r="H220" s="2" t="inlineStr">
        <is>
          <t>Not Run</t>
        </is>
      </c>
      <c r="I220" s="2" t="inlineStr">
        <is>
          <t>Functional</t>
        </is>
      </c>
      <c r="J220" s="3" t="inlineStr">
        <is>
          <t>Prototype: edusave.vercel.app (ngày mẫu 18/10/2026)
Chrome (latest)
Build: ghi khi chạy
Cần: ENV-R5-01</t>
        </is>
      </c>
      <c r="K220"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0" s="3" t="inlineStr">
        <is>
          <t>Tan Mei Ling, No</t>
        </is>
      </c>
      <c r="M220" s="3" t="inlineStr">
        <is>
          <t>1. Bỏ chọn School-based FAS rồi nộp mẫu một con công dân.
2. Đọc đơn.</t>
        </is>
      </c>
      <c r="N220" s="3" t="inlineStr">
        <is>
          <t>1. MOEFAS Pending, System check Waiting. Không bị Rejected lúc nộp.</t>
        </is>
      </c>
      <c r="O220" s="3" t="n"/>
      <c r="P220" s="3" t="inlineStr">
        <is>
          <t>N/A</t>
        </is>
      </c>
      <c r="Q220" s="3" t="n"/>
      <c r="R220" s="3" t="inlineStr">
        <is>
          <t>Tender R5, US-042, US-049, US-050, FS F5 v1.2: 2 bước 5, BR8</t>
        </is>
      </c>
      <c r="S220" s="3" t="n"/>
      <c r="T220" s="2" t="inlineStr">
        <is>
          <t>Approve</t>
        </is>
      </c>
    </row>
    <row r="221" ht="194.5" customHeight="1">
      <c r="A221" s="2" t="inlineStr">
        <is>
          <t>TC-220</t>
        </is>
      </c>
      <c r="B221" s="2" t="inlineStr">
        <is>
          <t>TS-044</t>
        </is>
      </c>
      <c r="C221" s="3" t="inlineStr">
        <is>
          <t>Con Singapore PR là SBFAS Pending gửi trường của con</t>
        </is>
      </c>
      <c r="D221" s="3" t="inlineStr">
        <is>
          <t>F5.10 Confirm and submit and routing</t>
        </is>
      </c>
      <c r="E221" s="3" t="inlineStr">
        <is>
          <t>Review before submitting dialog</t>
        </is>
      </c>
      <c r="F221" s="2" t="inlineStr">
        <is>
          <t>S1 (highest)</t>
        </is>
      </c>
      <c r="G221" s="2" t="inlineStr">
        <is>
          <t>Critical</t>
        </is>
      </c>
      <c r="H221" s="2" t="inlineStr">
        <is>
          <t>Not Run</t>
        </is>
      </c>
      <c r="I221" s="2" t="inlineStr">
        <is>
          <t>Functional</t>
        </is>
      </c>
      <c r="J221" s="3" t="inlineStr">
        <is>
          <t>Bản F5 có API (chưa có)
Chrome (latest)
Build: ghi khi chạy
Cần: ENV-R5-02, ENV-R5-03</t>
        </is>
      </c>
      <c r="K221"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1" s="3" t="inlineStr">
        <is>
          <t>SEED-R5-15 Ismail Hakim T1610707C</t>
        </is>
      </c>
      <c r="M221" s="3" t="inlineStr">
        <is>
          <t>1. Nộp mẫu có con Ismail Hakim (PR, Bukit View Primary) với Yes.
2. Đọc đơn và đăng nhập Lan Nguyen xem FAS applications.</t>
        </is>
      </c>
      <c r="N221" s="3" t="inlineStr">
        <is>
          <t>1. Đơn là SBFAS Pending ngay lúc nộp, gửi Bukit View Primary.
2. Không có bước chờ form MOEFAS đóng.</t>
        </is>
      </c>
      <c r="O221" s="3" t="n"/>
      <c r="P221" s="3" t="inlineStr">
        <is>
          <t>N/A</t>
        </is>
      </c>
      <c r="Q221" s="3" t="n"/>
      <c r="R221" s="3" t="inlineStr">
        <is>
          <t>Tender R5, US-042, US-049, US-050, FS F5 v1.2: 2 bước 5, BR8</t>
        </is>
      </c>
      <c r="S221" s="3" t="n"/>
      <c r="T221" s="2" t="inlineStr">
        <is>
          <t>Approve</t>
        </is>
      </c>
    </row>
    <row r="222" ht="194.5" customHeight="1">
      <c r="A222" s="2" t="inlineStr">
        <is>
          <t>TC-221</t>
        </is>
      </c>
      <c r="B222" s="2" t="inlineStr">
        <is>
          <t>TS-044</t>
        </is>
      </c>
      <c r="C222" s="3" t="inlineStr">
        <is>
          <t>Con International ASEAN là SBFAS Pending gửi trường của con</t>
        </is>
      </c>
      <c r="D222" s="3" t="inlineStr">
        <is>
          <t>F5.10 Confirm and submit and routing</t>
        </is>
      </c>
      <c r="E222" s="3" t="inlineStr">
        <is>
          <t>Review before submitting dialog</t>
        </is>
      </c>
      <c r="F222" s="2" t="inlineStr">
        <is>
          <t>S1 (highest)</t>
        </is>
      </c>
      <c r="G222" s="2" t="inlineStr">
        <is>
          <t>High</t>
        </is>
      </c>
      <c r="H222" s="2" t="inlineStr">
        <is>
          <t>Not Run</t>
        </is>
      </c>
      <c r="I222" s="2" t="inlineStr">
        <is>
          <t>Functional</t>
        </is>
      </c>
      <c r="J222" s="3" t="inlineStr">
        <is>
          <t>Bản F5 có API (chưa có)
Chrome (latest)
Build: ghi khi chạy
Cần: ENV-R5-02, ENV-R5-03</t>
        </is>
      </c>
      <c r="K222"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2" s="3" t="inlineStr">
        <is>
          <t>SEED-R5-16 Pham Minh Chau T1580909J</t>
        </is>
      </c>
      <c r="M222" s="3" t="inlineStr">
        <is>
          <t>1. Nộp mẫu có con Pham Minh Chau (International ASEAN, Bukit View Primary) với Yes.
2. Đọc đơn.</t>
        </is>
      </c>
      <c r="N222" s="3" t="inlineStr">
        <is>
          <t>1. SBFAS Pending, gửi Bukit View Primary.</t>
        </is>
      </c>
      <c r="O222" s="3" t="n"/>
      <c r="P222" s="3" t="inlineStr">
        <is>
          <t>N/A</t>
        </is>
      </c>
      <c r="Q222" s="3" t="n"/>
      <c r="R222" s="3" t="inlineStr">
        <is>
          <t>Tender R5, US-042, US-049, US-050, FS F5 v1.2: 2 bước 5, BR8</t>
        </is>
      </c>
      <c r="S222" s="3" t="n"/>
      <c r="T222" s="2" t="inlineStr">
        <is>
          <t>Approve</t>
        </is>
      </c>
    </row>
    <row r="223" ht="194.5" customHeight="1">
      <c r="A223" s="2" t="inlineStr">
        <is>
          <t>TC-222</t>
        </is>
      </c>
      <c r="B223" s="2" t="inlineStr">
        <is>
          <t>TS-044</t>
        </is>
      </c>
      <c r="C223" s="3" t="inlineStr">
        <is>
          <t>Con không đủ điều kiện quốc tịch với School-based FAS No</t>
        </is>
      </c>
      <c r="D223" s="3" t="inlineStr">
        <is>
          <t>F5.10 Confirm and submit and routing</t>
        </is>
      </c>
      <c r="E223" s="3" t="inlineStr">
        <is>
          <t>Review before submitting dialog</t>
        </is>
      </c>
      <c r="F223" s="2" t="inlineStr">
        <is>
          <t>S1 (highest)</t>
        </is>
      </c>
      <c r="G223" s="2" t="inlineStr">
        <is>
          <t>High</t>
        </is>
      </c>
      <c r="H223" s="2" t="inlineStr">
        <is>
          <t>Not Run</t>
        </is>
      </c>
      <c r="I223" s="2" t="inlineStr">
        <is>
          <t>Functional</t>
        </is>
      </c>
      <c r="J223" s="3" t="inlineStr">
        <is>
          <t>Bản F5 có API (chưa có)
Chrome (latest)
Build: ghi khi chạy
Cần: ENV-R5-02, ENV-R5-03</t>
        </is>
      </c>
      <c r="K223"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3" s="3" t="inlineStr">
        <is>
          <t>SEED-R5-15, School-based FAS No</t>
        </is>
      </c>
      <c r="M223" s="3" t="inlineStr">
        <is>
          <t>1. Bỏ chọn School-based FAS và nộp mẫu có con Ismail Hakim (PR).</t>
        </is>
      </c>
      <c r="N223" s="3" t="inlineStr">
        <is>
          <t>1. Không có kết quả xác định trong FS.</t>
        </is>
      </c>
      <c r="O223" s="3" t="n"/>
      <c r="P223" s="3" t="inlineStr">
        <is>
          <t>ASM-R5-19: Không có giả định hợp lý. Hai câu của BR8 cho hai kết quả khác nhau: SBFAS Pending hoặc Rejected.</t>
        </is>
      </c>
      <c r="Q223" s="3" t="n"/>
      <c r="R223" s="3" t="inlineStr">
        <is>
          <t>Tender R5, US-042, US-049, US-050, FS F5 v1.2: BR8</t>
        </is>
      </c>
      <c r="S223" s="3" t="inlineStr">
        <is>
          <t>Điểm mở O20: SBFAS Pending hay Rejected.</t>
        </is>
      </c>
      <c r="T223" s="2" t="inlineStr">
        <is>
          <t>Block</t>
        </is>
      </c>
    </row>
    <row r="224" ht="194.5" customHeight="1">
      <c r="A224" s="2" t="inlineStr">
        <is>
          <t>TC-223</t>
        </is>
      </c>
      <c r="B224" s="2" t="inlineStr">
        <is>
          <t>TS-044</t>
        </is>
      </c>
      <c r="C224" s="3" t="inlineStr">
        <is>
          <t>Mẫu có con công dân và con PR được phân luồng riêng từng con</t>
        </is>
      </c>
      <c r="D224" s="3" t="inlineStr">
        <is>
          <t>F5.10 Confirm and submit and routing</t>
        </is>
      </c>
      <c r="E224" s="3" t="inlineStr">
        <is>
          <t>Review before submitting dialog</t>
        </is>
      </c>
      <c r="F224" s="2" t="inlineStr">
        <is>
          <t>S1 (highest)</t>
        </is>
      </c>
      <c r="G224" s="2" t="inlineStr">
        <is>
          <t>High</t>
        </is>
      </c>
      <c r="H224" s="2" t="inlineStr">
        <is>
          <t>Not Run</t>
        </is>
      </c>
      <c r="I224" s="2" t="inlineStr">
        <is>
          <t>Functional</t>
        </is>
      </c>
      <c r="J224" s="3" t="inlineStr">
        <is>
          <t>Bản F5 có API (chưa có)
Chrome (latest)
Build: ghi khi chạy
Cần: ENV-R5-02, ENV-R5-03</t>
        </is>
      </c>
      <c r="K224"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4" s="3" t="inlineStr">
        <is>
          <t>Tan Mei Ling T1412345B; Ismail Hakim T1610707C</t>
        </is>
      </c>
      <c r="M224" s="3" t="inlineStr">
        <is>
          <t>1. Nộp mẫu có con Tan Mei Ling (công dân) và Ismail Hakim (PR).
2. Đọc hai đơn.</t>
        </is>
      </c>
      <c r="N224" s="3" t="inlineStr">
        <is>
          <t>1. Đơn Tan Mei Ling là MOEFAS Pending, đơn Ismail Hakim là SBFAS Pending.
2. Hai đơn dùng chung một mã gia đình.</t>
        </is>
      </c>
      <c r="O224" s="3" t="n"/>
      <c r="P224" s="3" t="inlineStr">
        <is>
          <t>N/A</t>
        </is>
      </c>
      <c r="Q224" s="3" t="n"/>
      <c r="R224" s="3" t="inlineStr">
        <is>
          <t>Tender R5, US-042, US-049, US-050, FS F5 v1.2: BR1, BR8</t>
        </is>
      </c>
      <c r="S224" s="3" t="n"/>
      <c r="T224" s="2" t="inlineStr">
        <is>
          <t>Approve</t>
        </is>
      </c>
    </row>
    <row r="225" ht="194.5" customHeight="1">
      <c r="A225" s="2" t="inlineStr">
        <is>
          <t>TC-224</t>
        </is>
      </c>
      <c r="B225" s="2" t="inlineStr">
        <is>
          <t>TS-044</t>
        </is>
      </c>
      <c r="C225" s="3" t="inlineStr">
        <is>
          <t>Đơn của con học trường khác vào hàng SBFAS của trường con</t>
        </is>
      </c>
      <c r="D225" s="3" t="inlineStr">
        <is>
          <t>F5.10 Confirm and submit and routing</t>
        </is>
      </c>
      <c r="E225" s="3" t="inlineStr">
        <is>
          <t>Review before submitting dialog</t>
        </is>
      </c>
      <c r="F225" s="2" t="inlineStr">
        <is>
          <t>S2</t>
        </is>
      </c>
      <c r="G225" s="2" t="inlineStr">
        <is>
          <t>High</t>
        </is>
      </c>
      <c r="H225" s="2" t="inlineStr">
        <is>
          <t>Not Run</t>
        </is>
      </c>
      <c r="I225" s="2" t="inlineStr">
        <is>
          <t>Functional</t>
        </is>
      </c>
      <c r="J225" s="3" t="inlineStr">
        <is>
          <t>Bản F5 có API (chưa có)
Chrome (latest)
Build: ghi khi chạy
Cần: ENV-R5-02, ENV-R5-03</t>
        </is>
      </c>
      <c r="K225"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5" s="3" t="inlineStr">
        <is>
          <t>Con PR học MRS (SEED-R5)</t>
        </is>
      </c>
      <c r="M225" s="3" t="inlineStr">
        <is>
          <t>1. Nộp mẫu có con PR học Meridian Secondary.
2. Đăng nhập Farah Tan và mở FAS applications.</t>
        </is>
      </c>
      <c r="N225" s="3" t="inlineStr">
        <is>
          <t>1. Đơn SBFAS Pending hiện ở Meridian Secondary, không hiện ở Bukit View Primary.</t>
        </is>
      </c>
      <c r="O225" s="3" t="n"/>
      <c r="P225" s="3" t="inlineStr">
        <is>
          <t>ASM-R5-08: Mẫu có con học trường khác vẫn nộp được khi ít nhất một con học trường của người dùng. Mỗi đơn chỉ hiện trong danh sách của trường đang học của con. SBFAS của con đó do trường của con quyết định.</t>
        </is>
      </c>
      <c r="Q225" s="3" t="n"/>
      <c r="R225" s="3" t="inlineStr">
        <is>
          <t>Tender R5, US-042, US-049, US-050, FS F5 v1.2: BR8</t>
        </is>
      </c>
      <c r="S225" s="3" t="n"/>
      <c r="T225" s="2" t="inlineStr">
        <is>
          <t>Draft</t>
        </is>
      </c>
    </row>
    <row r="226" ht="194.5" customHeight="1">
      <c r="A226" s="2" t="inlineStr">
        <is>
          <t>TC-225</t>
        </is>
      </c>
      <c r="B226" s="2" t="inlineStr">
        <is>
          <t>TS-044</t>
        </is>
      </c>
      <c r="C226" s="3" t="inlineStr">
        <is>
          <t>Sau khi form MOEFAS đóng, đơn không đủ điều kiện sang SBFAS khi chọn Yes</t>
        </is>
      </c>
      <c r="D226" s="3" t="inlineStr">
        <is>
          <t>F5.10 Confirm and submit and routing</t>
        </is>
      </c>
      <c r="E226" s="3" t="inlineStr">
        <is>
          <t>Review before submitting dialog</t>
        </is>
      </c>
      <c r="F226" s="2" t="inlineStr">
        <is>
          <t>S1 (highest)</t>
        </is>
      </c>
      <c r="G226" s="2" t="inlineStr">
        <is>
          <t>Critical</t>
        </is>
      </c>
      <c r="H226" s="2" t="inlineStr">
        <is>
          <t>Not Run</t>
        </is>
      </c>
      <c r="I226" s="2" t="inlineStr">
        <is>
          <t>Integration</t>
        </is>
      </c>
      <c r="J226" s="3" t="inlineStr">
        <is>
          <t>Prototype: edusave.vercel.app (ngày mẫu 18/10/2026)
Chrome (latest)
Build: ghi khi chạy
Cần: ENV-R5-01</t>
        </is>
      </c>
      <c r="K226"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6" s="3" t="inlineStr">
        <is>
          <t>Tan family, MOEFAS 2027 giới hạn GHI 4,200.00 hoặc PCI 1,050.00</t>
        </is>
      </c>
      <c r="M226" s="3" t="inlineStr">
        <is>
          <t>1. Nộp mẫu một con công dân với GHI 4,300.00 và PCI 1,075.00, School-based FAS Yes.
2. Đăng nhập MOE HQ, bấm Close form now (demo) ở MOEFAS 2027.
3. Đọc đơn.</t>
        </is>
      </c>
      <c r="N226" s="3" t="inlineStr">
        <is>
          <t>1. Đơn vượt giới hạn GHI 4,200.00 và PCI 1,050.00 của MOEFAS 2027, chuyển thành SBFAS Pending gửi Bukit View Primary.</t>
        </is>
      </c>
      <c r="O226" s="3" t="n"/>
      <c r="P226" s="3" t="inlineStr">
        <is>
          <t>N/A</t>
        </is>
      </c>
      <c r="Q226" s="3" t="n"/>
      <c r="R226" s="3" t="inlineStr">
        <is>
          <t>Tender R5, US-042, US-049, US-050, FS F5 v1.2: 2 bước 5, BR8, F4 mục 2.2, VR-F5-S11</t>
        </is>
      </c>
      <c r="S226" s="3" t="inlineStr">
        <is>
          <t>Chi tiết quyết định thuộc F4.</t>
        </is>
      </c>
      <c r="T226" s="2" t="inlineStr">
        <is>
          <t>Approve</t>
        </is>
      </c>
    </row>
    <row r="227" ht="194.5" customHeight="1">
      <c r="A227" s="2" t="inlineStr">
        <is>
          <t>TC-226</t>
        </is>
      </c>
      <c r="B227" s="2" t="inlineStr">
        <is>
          <t>TS-044</t>
        </is>
      </c>
      <c r="C227" s="3" t="inlineStr">
        <is>
          <t>Sau khi form MOEFAS đóng, đơn không đủ điều kiện bị Rejected khi chọn No</t>
        </is>
      </c>
      <c r="D227" s="3" t="inlineStr">
        <is>
          <t>F5.10 Confirm and submit and routing</t>
        </is>
      </c>
      <c r="E227" s="3" t="inlineStr">
        <is>
          <t>Review before submitting dialog</t>
        </is>
      </c>
      <c r="F227" s="2" t="inlineStr">
        <is>
          <t>S1 (highest)</t>
        </is>
      </c>
      <c r="G227" s="2" t="inlineStr">
        <is>
          <t>High</t>
        </is>
      </c>
      <c r="H227" s="2" t="inlineStr">
        <is>
          <t>Not Run</t>
        </is>
      </c>
      <c r="I227" s="2" t="inlineStr">
        <is>
          <t>Integration</t>
        </is>
      </c>
      <c r="J227" s="3" t="inlineStr">
        <is>
          <t>Prototype: edusave.vercel.app (ngày mẫu 18/10/2026)
Chrome (latest)
Build: ghi khi chạy
Cần: ENV-R5-01</t>
        </is>
      </c>
      <c r="K227" s="3" t="inlineStr">
        <is>
          <t>1. Prototype ở trạng thái gốc (dùng Reset data).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7" s="3" t="inlineStr">
        <is>
          <t>Tan family, School-based FAS No</t>
        </is>
      </c>
      <c r="M227" s="3" t="inlineStr">
        <is>
          <t>1. Nộp mẫu một con công dân với GHI 4,300.00 và PCI 1,075.00, School-based FAS No.
2. Đăng nhập MOE HQ, bấm Close form now (demo).
3. Đọc đơn.</t>
        </is>
      </c>
      <c r="N227" s="3" t="inlineStr">
        <is>
          <t>1. Đơn không đủ điều kiện và Rejected (BR8, không có SBFAS).</t>
        </is>
      </c>
      <c r="O227" s="3" t="n"/>
      <c r="P227" s="3" t="inlineStr">
        <is>
          <t>N/A</t>
        </is>
      </c>
      <c r="Q227" s="3" t="n"/>
      <c r="R227" s="3" t="inlineStr">
        <is>
          <t>Tender R5, US-042, US-049, US-050, FS F5 v1.2: BR8, F4 mục 2.2, VR-F5-S11</t>
        </is>
      </c>
      <c r="S227" s="3" t="n"/>
      <c r="T227" s="2" t="inlineStr">
        <is>
          <t>Approve</t>
        </is>
      </c>
    </row>
    <row r="228" ht="194.5" customHeight="1">
      <c r="A228" s="2" t="inlineStr">
        <is>
          <t>TC-227</t>
        </is>
      </c>
      <c r="B228" s="2" t="inlineStr">
        <is>
          <t>TS-044</t>
        </is>
      </c>
      <c r="C228" s="3" t="inlineStr">
        <is>
          <t>Sau khi form MOEFAS đóng, đơn đủ điều kiện được duyệt tự động</t>
        </is>
      </c>
      <c r="D228" s="3" t="inlineStr">
        <is>
          <t>F5.10 Confirm and submit and routing</t>
        </is>
      </c>
      <c r="E228" s="3" t="inlineStr">
        <is>
          <t>Review before submitting dialog</t>
        </is>
      </c>
      <c r="F228" s="2" t="inlineStr">
        <is>
          <t>S1 (highest)</t>
        </is>
      </c>
      <c r="G228" s="2" t="inlineStr">
        <is>
          <t>High</t>
        </is>
      </c>
      <c r="H228" s="2" t="inlineStr">
        <is>
          <t>Not Run</t>
        </is>
      </c>
      <c r="I228" s="2" t="inlineStr">
        <is>
          <t>Integration</t>
        </is>
      </c>
      <c r="J228" s="3" t="inlineStr">
        <is>
          <t>Bản F5 có API (chưa có)
Chrome (latest)
Build: ghi khi chạy
Cần: ENV-R5-02, ENV-R5-03, ENV-R5-04</t>
        </is>
      </c>
      <c r="K228"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8" s="3" t="inlineStr">
        <is>
          <t>SEED-R5-22 hộ GHI 3,000.00, PCI 750.00</t>
        </is>
      </c>
      <c r="M228" s="3" t="inlineStr">
        <is>
          <t>1. Nộp mẫu một con công dân với GHI 3,000.00 và PCI 750.00.
2. Đăng nhập MOE HQ, bấm Close form now (demo).
3. Đọc đơn.</t>
        </is>
      </c>
      <c r="N228" s="3" t="inlineStr">
        <is>
          <t>1. Đơn Approved bởi System (auto-approved) với priority theo F4.</t>
        </is>
      </c>
      <c r="O228" s="3" t="n"/>
      <c r="P228" s="3" t="inlineStr">
        <is>
          <t>N/A</t>
        </is>
      </c>
      <c r="Q228" s="3" t="n"/>
      <c r="R228" s="3" t="inlineStr">
        <is>
          <t>Tender R5, US-042, US-049, US-050, FS F5 v1.2: 2 bước 5, BR8, F4 mục 2.2, VR-F5-S11</t>
        </is>
      </c>
      <c r="S228" s="3" t="n"/>
      <c r="T228" s="2" t="inlineStr">
        <is>
          <t>Approve</t>
        </is>
      </c>
    </row>
    <row r="229" ht="194.5" customHeight="1">
      <c r="A229" s="2" t="inlineStr">
        <is>
          <t>TC-228</t>
        </is>
      </c>
      <c r="B229" s="2" t="inlineStr">
        <is>
          <t>TS-045</t>
        </is>
      </c>
      <c r="C229" s="3" t="inlineStr">
        <is>
          <t>Bấm đúp Confirm and submit chỉ tạo một bộ đơn</t>
        </is>
      </c>
      <c r="D229" s="3" t="inlineStr">
        <is>
          <t>F5.10 Confirm and submit and routing</t>
        </is>
      </c>
      <c r="E229" s="3" t="inlineStr">
        <is>
          <t>Review before submitting dialog</t>
        </is>
      </c>
      <c r="F229" s="2" t="inlineStr">
        <is>
          <t>S1 (highest)</t>
        </is>
      </c>
      <c r="G229" s="2" t="inlineStr">
        <is>
          <t>High</t>
        </is>
      </c>
      <c r="H229" s="2" t="inlineStr">
        <is>
          <t>Not Run</t>
        </is>
      </c>
      <c r="I229" s="2" t="inlineStr">
        <is>
          <t>Functional</t>
        </is>
      </c>
      <c r="J229" s="3" t="inlineStr">
        <is>
          <t>Bản F5 có API (chưa có)
Chrome (latest)
Build: ghi khi chạy
Cần: ENV-R5-02</t>
        </is>
      </c>
      <c r="K229"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29" s="3" t="inlineStr">
        <is>
          <t>Con 1 Tan Mei Ling T1412345B (Bukit View Primary, Singapore Citizen)</t>
        </is>
      </c>
      <c r="M229" s="3" t="inlineStr">
        <is>
          <t>1. Bấm đúp nhanh Confirm and submit.
2. Đọc danh sách.</t>
        </is>
      </c>
      <c r="N229" s="3" t="inlineStr">
        <is>
          <t>1. Chỉ có một bộ đơn, không có đơn trùng.</t>
        </is>
      </c>
      <c r="O229" s="3" t="n"/>
      <c r="P229" s="3" t="inlineStr">
        <is>
          <t>ASM-R5-17: Kiểm tra lại ở máy chủ khi Confirm. Nếu một con không đạt thì không tạo đơn nào, bản nháp và mẫu giữ nguyên, hộp thoại đóng và hiện thông báo của quy tắc không đạt.</t>
        </is>
      </c>
      <c r="Q229" s="3" t="n"/>
      <c r="R229" s="3" t="inlineStr">
        <is>
          <t>Tender R5, US-042, US-049, US-050, FS F5 v1.2: 2 bước 5</t>
        </is>
      </c>
      <c r="S229" s="3" t="n"/>
      <c r="T229" s="2" t="inlineStr">
        <is>
          <t>Draft</t>
        </is>
      </c>
    </row>
    <row r="230" ht="194.5" customHeight="1">
      <c r="A230" s="2" t="inlineStr">
        <is>
          <t>TC-229</t>
        </is>
      </c>
      <c r="B230" s="2" t="inlineStr">
        <is>
          <t>TS-045</t>
        </is>
      </c>
      <c r="C230" s="3" t="inlineStr">
        <is>
          <t>Hai người nộp cùng một con: chỉ một đơn được tạo</t>
        </is>
      </c>
      <c r="D230" s="3" t="inlineStr">
        <is>
          <t>F5.10 Confirm and submit and routing</t>
        </is>
      </c>
      <c r="E230" s="3" t="inlineStr">
        <is>
          <t>Review before submitting dialog</t>
        </is>
      </c>
      <c r="F230" s="2" t="inlineStr">
        <is>
          <t>S1 (highest)</t>
        </is>
      </c>
      <c r="G230" s="2" t="inlineStr">
        <is>
          <t>Critical</t>
        </is>
      </c>
      <c r="H230" s="2" t="inlineStr">
        <is>
          <t>Not Run</t>
        </is>
      </c>
      <c r="I230" s="2" t="inlineStr">
        <is>
          <t>Functional</t>
        </is>
      </c>
      <c r="J230" s="3" t="inlineStr">
        <is>
          <t>Bản F5 có API (chưa có)
Chrome (latest)
Build: ghi khi chạy
Cần: ENV-R5-02, ENV-R5-05</t>
        </is>
      </c>
      <c r="K230" s="3" t="inlineStr">
        <is>
          <t>1. Bản F5 có API chạy, dữ liệu SEED-R5 đã nạp.
2. Đã đăng nhập School user BVP-0012 Lan Nguyen, trường Bukit View Primary.
3. Hai phiên đăng nhập BVP-0012, mỗi phiên có hộp thoại Review before submitting mở cho cùng con.</t>
        </is>
      </c>
      <c r="L230" s="3" t="inlineStr">
        <is>
          <t>Con 1 Tan Mei Ling T1412345B (Bukit View Primary, Singapore Citizen)</t>
        </is>
      </c>
      <c r="M230" s="3" t="inlineStr">
        <is>
          <t>1. Phiên A và phiên B cùng mở hộp thoại cho cùng con Tan Mei Ling.
2. Phiên A bấm Confirm and submit.
3. Phiên B bấm Confirm and submit.</t>
        </is>
      </c>
      <c r="N230" s="3" t="inlineStr">
        <is>
          <t>1. Phiên A tạo đơn thành công.
2. Phiên B hiện "Tan Mei Ling already has an application this year ({id}, Pending)." và không tạo đơn.</t>
        </is>
      </c>
      <c r="O230" s="3" t="n"/>
      <c r="P230" s="3" t="inlineStr">
        <is>
          <t>ASM-R5-17: Kiểm tra lại ở máy chủ khi Confirm. Nếu một con không đạt thì không tạo đơn nào, bản nháp và mẫu giữ nguyên, hộp thoại đóng và hiện thông báo của quy tắc không đạt.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30" s="3" t="n"/>
      <c r="R230" s="3" t="inlineStr">
        <is>
          <t>Tender R5, US-042, US-049, US-050, FS F5 v1.2: 6, BR2, VR-F5-S04</t>
        </is>
      </c>
      <c r="S230" s="3" t="n"/>
      <c r="T230" s="2" t="inlineStr">
        <is>
          <t>Draft</t>
        </is>
      </c>
    </row>
    <row r="231" ht="194.5" customHeight="1">
      <c r="A231" s="2" t="inlineStr">
        <is>
          <t>TC-230</t>
        </is>
      </c>
      <c r="B231" s="2" t="inlineStr">
        <is>
          <t>TS-045</t>
        </is>
      </c>
      <c r="C231" s="3" t="inlineStr">
        <is>
          <t>Form đóng giữa lúc mở hộp thoại và lúc xác nhận thì không tạo đơn</t>
        </is>
      </c>
      <c r="D231" s="3" t="inlineStr">
        <is>
          <t>F5.10 Confirm and submit and routing</t>
        </is>
      </c>
      <c r="E231" s="3" t="inlineStr">
        <is>
          <t>Review before submitting dialog</t>
        </is>
      </c>
      <c r="F231" s="2" t="inlineStr">
        <is>
          <t>S1 (highest)</t>
        </is>
      </c>
      <c r="G231" s="2" t="inlineStr">
        <is>
          <t>High</t>
        </is>
      </c>
      <c r="H231" s="2" t="inlineStr">
        <is>
          <t>Not Run</t>
        </is>
      </c>
      <c r="I231" s="2" t="inlineStr">
        <is>
          <t>Functional</t>
        </is>
      </c>
      <c r="J231" s="3" t="inlineStr">
        <is>
          <t>Bản F5 có API (chưa có)
Chrome (latest)
Build: ghi khi chạy
Cần: ENV-R5-02, ENV-R5-03, ENV-R5-04</t>
        </is>
      </c>
      <c r="K231"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31" s="3" t="inlineStr">
        <is>
          <t>Con 1 Tan Mei Ling T1412345B (Bukit View Primary, Singapore Citizen)</t>
        </is>
      </c>
      <c r="M231" s="3" t="inlineStr">
        <is>
          <t>1. Mở hộp thoại Review before submitting khi form đang mở.
2. Đặt đồng hồ sau Form closes.
3. Bấm Confirm and submit.</t>
        </is>
      </c>
      <c r="N231" s="3" t="inlineStr">
        <is>
          <t>1. Không tạo đơn nào, hiện "Tan Mei Ling: the FAS application form is closed ..." và bản nháp giữ nguyên.</t>
        </is>
      </c>
      <c r="O231" s="3" t="n"/>
      <c r="P231" s="3" t="inlineStr">
        <is>
          <t>ASM-R5-15: 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
ASM-R5-17: Kiểm tra lại ở máy chủ khi Confirm. Nếu một con không đạt thì không tạo đơn nào, bản nháp và mẫu giữ nguyên, hộp thoại đóng và hiện thông báo của quy tắc không đạt.</t>
        </is>
      </c>
      <c r="Q231" s="3" t="n"/>
      <c r="R231" s="3" t="inlineStr">
        <is>
          <t>Tender R5, US-042, US-049, US-050, FS F5 v1.2: 2 bước 5, BR9</t>
        </is>
      </c>
      <c r="S231" s="3" t="n"/>
      <c r="T231" s="2" t="inlineStr">
        <is>
          <t>Draft</t>
        </is>
      </c>
    </row>
    <row r="232" ht="107.5" customHeight="1">
      <c r="A232" s="2" t="inlineStr">
        <is>
          <t>TC-231</t>
        </is>
      </c>
      <c r="B232" s="2" t="inlineStr">
        <is>
          <t>TS-045</t>
        </is>
      </c>
      <c r="C232" s="3" t="inlineStr">
        <is>
          <t>Một con vừa có đơn: mẫu hai con không tạo đơn nào</t>
        </is>
      </c>
      <c r="D232" s="3" t="inlineStr">
        <is>
          <t>F5.10 Confirm and submit and routing</t>
        </is>
      </c>
      <c r="E232" s="3" t="inlineStr">
        <is>
          <t>Review before submitting dialog</t>
        </is>
      </c>
      <c r="F232" s="2" t="inlineStr">
        <is>
          <t>S1 (highest)</t>
        </is>
      </c>
      <c r="G232" s="2" t="inlineStr">
        <is>
          <t>High</t>
        </is>
      </c>
      <c r="H232" s="2" t="inlineStr">
        <is>
          <t>Not Run</t>
        </is>
      </c>
      <c r="I232" s="2" t="inlineStr">
        <is>
          <t>Functional</t>
        </is>
      </c>
      <c r="J232" s="3" t="inlineStr">
        <is>
          <t>Bản F5 có API (chưa có)
Chrome (latest)
Build: ghi khi chạy
Cần: ENV-R5-02, ENV-R5-03, ENV-R5-05</t>
        </is>
      </c>
      <c r="K232" s="3" t="inlineStr">
        <is>
          <t>1. Bản F5 có API chạy, dữ liệu SEED-R5 đã nạp.
2. Đã đăng nhập School user BVP-0012 Lan Nguyen, trường Bukit View Primary.
3. Hai phiên đăng nhập, phiên A có hộp thoại Review before submitting mở.</t>
        </is>
      </c>
      <c r="L232" s="3" t="inlineStr">
        <is>
          <t>Con 1 Tan Mei Ling T1412345B (Bukit View Primary, Singapore Citizen)
Con 2 Tan Jun Kai T1012345A (Meridian Secondary, Singapore Citizen)
School-based FAS Yes</t>
        </is>
      </c>
      <c r="M232" s="3" t="inlineStr">
        <is>
          <t>1. Phiên A mở hộp thoại cho hai con.
2. Phiên B nộp mẫu riêng cho con 2.
3. Phiên A bấm Confirm and submit.</t>
        </is>
      </c>
      <c r="N232" s="3" t="inlineStr">
        <is>
          <t>1. Phiên A không tạo đơn nào cho cả hai con.
2. Hiện thông báo already has an application cho con 2.</t>
        </is>
      </c>
      <c r="O232" s="3" t="n"/>
      <c r="P232" s="3" t="inlineStr">
        <is>
          <t>ASM-R5-17: Kiểm tra lại ở máy chủ khi Confirm. Nếu một con không đạt thì không tạo đơn nào, bản nháp và mẫu giữ nguyên, hộp thoại đóng và hiện thông báo của quy tắc không đạt.</t>
        </is>
      </c>
      <c r="Q232" s="3" t="n"/>
      <c r="R232" s="3" t="inlineStr">
        <is>
          <t>Tender R5, US-042, US-049, US-050, FS F5 v1.2: 2 bước 5, BR2</t>
        </is>
      </c>
      <c r="S232" s="3" t="inlineStr">
        <is>
          <t>Điểm mở O18.</t>
        </is>
      </c>
      <c r="T232" s="2" t="inlineStr">
        <is>
          <t>Draft</t>
        </is>
      </c>
    </row>
    <row r="233" ht="267" customHeight="1">
      <c r="A233" s="2" t="inlineStr">
        <is>
          <t>TC-232</t>
        </is>
      </c>
      <c r="B233" s="2" t="inlineStr">
        <is>
          <t>TS-045</t>
        </is>
      </c>
      <c r="C233" s="3" t="inlineStr">
        <is>
          <t>Lỗi lưu khi xác nhận: không tạo đơn, bản nháp giữ nguyên</t>
        </is>
      </c>
      <c r="D233" s="3" t="inlineStr">
        <is>
          <t>F5.10 Confirm and submit and routing</t>
        </is>
      </c>
      <c r="E233" s="3" t="inlineStr">
        <is>
          <t>Review before submitting dialog</t>
        </is>
      </c>
      <c r="F233" s="2" t="inlineStr">
        <is>
          <t>S2</t>
        </is>
      </c>
      <c r="G233" s="2" t="inlineStr">
        <is>
          <t>High</t>
        </is>
      </c>
      <c r="H233" s="2" t="inlineStr">
        <is>
          <t>Not Run</t>
        </is>
      </c>
      <c r="I233" s="2" t="inlineStr">
        <is>
          <t>Integration</t>
        </is>
      </c>
      <c r="J233" s="3" t="inlineStr">
        <is>
          <t>Bản F5 có API (chưa có)
Chrome (latest)
Build: ghi khi chạy
Cần: ENV-R5-02, ENV-R5-07</t>
        </is>
      </c>
      <c r="K233"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33" s="3" t="inlineStr">
        <is>
          <t>Con 1 Tan Mei Ling T1412345B (Bukit View Primary, Singapore Citizen)</t>
        </is>
      </c>
      <c r="M233" s="3" t="inlineStr">
        <is>
          <t>1. Cho dịch vụ lưu đơn trả lỗi.
2. Bấm Confirm and submit.</t>
        </is>
      </c>
      <c r="N233" s="3" t="inlineStr">
        <is>
          <t>1. Hiện "Something went wrong. Please try again."
2. Không có đơn nào được tạo, hộp thoại giữ mở, dữ liệu đã nhập giữ nguyên.</t>
        </is>
      </c>
      <c r="O233" s="3" t="n"/>
      <c r="P233"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ASM-R5-17: Kiểm tra lại ở máy chủ khi Confirm. Nếu một con không đạt thì không tạo đơn nào, bản nháp và mẫu giữ nguyên, hộp thoại đóng và hiện thông báo của quy tắc không đạt.</t>
        </is>
      </c>
      <c r="Q233" s="3" t="n"/>
      <c r="R233" s="3" t="inlineStr">
        <is>
          <t>Tender R5, US-042, US-049, US-050, FS F5 v1.2: 2 bước 5</t>
        </is>
      </c>
      <c r="S233" s="3" t="n"/>
      <c r="T233" s="2" t="inlineStr">
        <is>
          <t>Draft</t>
        </is>
      </c>
    </row>
    <row r="234" ht="194.5" customHeight="1">
      <c r="A234" s="2" t="inlineStr">
        <is>
          <t>TC-233</t>
        </is>
      </c>
      <c r="B234" s="2" t="inlineStr">
        <is>
          <t>TS-045</t>
        </is>
      </c>
      <c r="C234" s="3" t="inlineStr">
        <is>
          <t>Cảnh báo sai lệch tên con hiện cho MOE sau khi nộp</t>
        </is>
      </c>
      <c r="D234" s="3" t="inlineStr">
        <is>
          <t>F5.10 Confirm and submit and routing</t>
        </is>
      </c>
      <c r="E234" s="3" t="inlineStr">
        <is>
          <t>Review before submitting dialog</t>
        </is>
      </c>
      <c r="F234" s="2" t="inlineStr">
        <is>
          <t>S3</t>
        </is>
      </c>
      <c r="G234" s="2" t="inlineStr">
        <is>
          <t>Medium</t>
        </is>
      </c>
      <c r="H234" s="2" t="inlineStr">
        <is>
          <t>Not Run</t>
        </is>
      </c>
      <c r="I234" s="2" t="inlineStr">
        <is>
          <t>Integration</t>
        </is>
      </c>
      <c r="J234" s="3" t="inlineStr">
        <is>
          <t>Bản F5 có API (chưa có)
Chrome (latest)
Build: ghi khi chạy
Cần: ENV-R5-02, ENV-R5-03</t>
        </is>
      </c>
      <c r="K234" s="3" t="inlineStr">
        <is>
          <t>1. Bản F5 có API chạy, dữ liệu SEED-R5 đã nạp.
2. Đã đăng nhập School user BVP-0012 Lan Nguyen, trường Bukit View Primary.
3. Đã bấm Upload scans, thêm scan_bvp_0667.pdf và bấm Upload and read. Màn Review application đang mở.
4. Mẫu hợp lệ: người khai S7612345A đã tự điền, con 1 T1412345B đã tự điền, Declaration và Signature checked đã tick, Date signed 15/10/2026.
5. Hộp thoại Review before submitting đang mở.</t>
        </is>
      </c>
      <c r="L234" s="3" t="inlineStr">
        <is>
          <t>SEED-R5-21</t>
        </is>
      </c>
      <c r="M234" s="3" t="inlineStr">
        <is>
          <t>1. Nộp mẫu có con tên MOE khác dữ liệu Chính phủ.
2. Đăng nhập MOE HQ và mở drawer của đơn.</t>
        </is>
      </c>
      <c r="N234" s="3" t="inlineStr">
        <is>
          <t>1. Drawer hiện cảnh báo sai lệch dữ liệu của con.</t>
        </is>
      </c>
      <c r="O234" s="3" t="n"/>
      <c r="P234" s="3" t="inlineStr">
        <is>
          <t>ASM-R5-16: 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Q234" s="3" t="n"/>
      <c r="R234" s="3" t="inlineStr">
        <is>
          <t>Tender R5, US-042, US-049, US-050, FS F5 v1.2: 5 Part 2 ghi chú cuối</t>
        </is>
      </c>
      <c r="S234" s="3" t="inlineStr">
        <is>
          <t>Điểm mở O17.</t>
        </is>
      </c>
      <c r="T234" s="2" t="inlineStr">
        <is>
          <t>Draft</t>
        </is>
      </c>
    </row>
    <row r="235" ht="93" customHeight="1">
      <c r="A235" s="2" t="inlineStr">
        <is>
          <t>TC-234</t>
        </is>
      </c>
      <c r="B235" s="2" t="inlineStr">
        <is>
          <t>TS-046</t>
        </is>
      </c>
      <c r="C235" s="3" t="inlineStr">
        <is>
          <t>View application hiện đủ năm phần chỉ đọc và nút Back to list</t>
        </is>
      </c>
      <c r="D235" s="3" t="inlineStr">
        <is>
          <t>F5.11 View and edit submitted application</t>
        </is>
      </c>
      <c r="E235" s="3" t="inlineStr">
        <is>
          <t>View application</t>
        </is>
      </c>
      <c r="F235" s="2" t="inlineStr">
        <is>
          <t>S2</t>
        </is>
      </c>
      <c r="G235" s="2" t="inlineStr">
        <is>
          <t>High</t>
        </is>
      </c>
      <c r="H235" s="2" t="inlineStr">
        <is>
          <t>Not Run</t>
        </is>
      </c>
      <c r="I235" s="2" t="inlineStr">
        <is>
          <t>Functional</t>
        </is>
      </c>
      <c r="J235" s="3" t="inlineStr">
        <is>
          <t>Prototype: edusave.vercel.app (ngày mẫu 18/10/2026)
Chrome (latest)
Build: ghi khi chạy
Cần: ENV-R5-01</t>
        </is>
      </c>
      <c r="K235" s="3" t="inlineStr">
        <is>
          <t>1. Prototype ở trạng thái gốc (dùng Reset data).
2. Đã đăng nhập School user BVP-0012 Lan Nguyen, trường Bukit View Primary.
3. Màn Upload applications đang mở.</t>
        </is>
      </c>
      <c r="L235" s="3" t="inlineStr">
        <is>
          <t>APP-2026-00386 Approved SBFAS Tier 3</t>
        </is>
      </c>
      <c r="M235" s="3" t="inlineStr">
        <is>
          <t>1. Bấm dòng APP-2026-00386 Lucas Teo.
2. Đọc màn hình và thử sửa từng ô.
3. Bấm Back to list.</t>
        </is>
      </c>
      <c r="N235" s="3" t="inlineStr">
        <is>
          <t>1. Mẫu đơn hiện Part 1 đến Part 5 với giá trị đã nộp.
2. Mọi ô chỉ đọc, không có Edit và Save changes vì đơn đã Approved SBFAS.
3. Back to list về danh sách.</t>
        </is>
      </c>
      <c r="O235" s="3" t="n"/>
      <c r="P235" s="3" t="inlineStr">
        <is>
          <t>N/A</t>
        </is>
      </c>
      <c r="Q235" s="3" t="n"/>
      <c r="R235" s="3" t="inlineStr">
        <is>
          <t>Tender R5, US-042, FS F5 v1.2: 8</t>
        </is>
      </c>
      <c r="S235" s="3" t="n"/>
      <c r="T235" s="2" t="inlineStr">
        <is>
          <t>Approve</t>
        </is>
      </c>
    </row>
    <row r="236" ht="93" customHeight="1">
      <c r="A236" s="2" t="inlineStr">
        <is>
          <t>TC-235</t>
        </is>
      </c>
      <c r="B236" s="2" t="inlineStr">
        <is>
          <t>TS-047</t>
        </is>
      </c>
      <c r="C236" s="3" t="inlineStr">
        <is>
          <t>Đơn Pending có nút Edit</t>
        </is>
      </c>
      <c r="D236" s="3" t="inlineStr">
        <is>
          <t>F5.11 View and edit submitted application</t>
        </is>
      </c>
      <c r="E236" s="3" t="inlineStr">
        <is>
          <t>View application</t>
        </is>
      </c>
      <c r="F236" s="2" t="inlineStr">
        <is>
          <t>S2</t>
        </is>
      </c>
      <c r="G236" s="2" t="inlineStr">
        <is>
          <t>High</t>
        </is>
      </c>
      <c r="H236" s="2" t="inlineStr">
        <is>
          <t>Not Run</t>
        </is>
      </c>
      <c r="I236" s="2" t="inlineStr">
        <is>
          <t>Functional</t>
        </is>
      </c>
      <c r="J236" s="3" t="inlineStr">
        <is>
          <t>Prototype: edusave.vercel.app (ngày mẫu 18/10/2026)
Chrome (latest)
Build: ghi khi chạy
Cần: ENV-R5-01</t>
        </is>
      </c>
      <c r="K236" s="3" t="inlineStr">
        <is>
          <t>1. Prototype ở trạng thái gốc (dùng Reset data).
2. Đã đăng nhập School user BVP-0012 Lan Nguyen, trường Bukit View Primary.
3. Màn Upload applications đang mở.</t>
        </is>
      </c>
      <c r="L236" s="3" t="inlineStr">
        <is>
          <t>APP-2026-00412 Aisha Rahman (Pending)</t>
        </is>
      </c>
      <c r="M236" s="3" t="inlineStr">
        <is>
          <t>1. Mở APP-2026-00412 Aisha Rahman (Pending) từ danh sách.
2. Đọc các nút ở đầu màn View application.</t>
        </is>
      </c>
      <c r="N236" s="3" t="inlineStr">
        <is>
          <t>1. Có nút Edit.</t>
        </is>
      </c>
      <c r="O236" s="3" t="n"/>
      <c r="P236" s="3" t="inlineStr">
        <is>
          <t>N/A</t>
        </is>
      </c>
      <c r="Q236" s="3" t="n"/>
      <c r="R236" s="3" t="inlineStr">
        <is>
          <t>Tender R5, US-042, FS F5 v1.2: 8, BR9</t>
        </is>
      </c>
      <c r="S236" s="3" t="n"/>
      <c r="T236" s="2" t="inlineStr">
        <is>
          <t>Approve</t>
        </is>
      </c>
    </row>
    <row r="237" ht="93" customHeight="1">
      <c r="A237" s="2" t="inlineStr">
        <is>
          <t>TC-236</t>
        </is>
      </c>
      <c r="B237" s="2" t="inlineStr">
        <is>
          <t>TS-047</t>
        </is>
      </c>
      <c r="C237" s="3" t="inlineStr">
        <is>
          <t>Đơn Approved SBFAS không có nút Edit</t>
        </is>
      </c>
      <c r="D237" s="3" t="inlineStr">
        <is>
          <t>F5.11 View and edit submitted application</t>
        </is>
      </c>
      <c r="E237" s="3" t="inlineStr">
        <is>
          <t>View application</t>
        </is>
      </c>
      <c r="F237" s="2" t="inlineStr">
        <is>
          <t>S2</t>
        </is>
      </c>
      <c r="G237" s="2" t="inlineStr">
        <is>
          <t>High</t>
        </is>
      </c>
      <c r="H237" s="2" t="inlineStr">
        <is>
          <t>Not Run</t>
        </is>
      </c>
      <c r="I237" s="2" t="inlineStr">
        <is>
          <t>Functional</t>
        </is>
      </c>
      <c r="J237" s="3" t="inlineStr">
        <is>
          <t>Prototype: edusave.vercel.app (ngày mẫu 18/10/2026)
Chrome (latest)
Build: ghi khi chạy
Cần: ENV-R5-01</t>
        </is>
      </c>
      <c r="K237" s="3" t="inlineStr">
        <is>
          <t>1. Prototype ở trạng thái gốc (dùng Reset data).
2. Đã đăng nhập School user BVP-0012 Lan Nguyen, trường Bukit View Primary.
3. Màn Upload applications đang mở.</t>
        </is>
      </c>
      <c r="L237" s="3" t="inlineStr">
        <is>
          <t>APP-2026-00386 Lucas Teo (Approved SBFAS Tier 3)</t>
        </is>
      </c>
      <c r="M237" s="3" t="inlineStr">
        <is>
          <t>1. Mở APP-2026-00386 Lucas Teo (Approved SBFAS Tier 3) từ danh sách.
2. Đọc các nút ở đầu màn View application.</t>
        </is>
      </c>
      <c r="N237" s="3" t="inlineStr">
        <is>
          <t>1. Không có nút Edit, mọi ô chỉ đọc.</t>
        </is>
      </c>
      <c r="O237" s="3" t="n"/>
      <c r="P237" s="3" t="inlineStr">
        <is>
          <t>N/A</t>
        </is>
      </c>
      <c r="Q237" s="3" t="n"/>
      <c r="R237" s="3" t="inlineStr">
        <is>
          <t>Tender R5, US-042, FS F5 v1.2: 8, BR9</t>
        </is>
      </c>
      <c r="S237" s="3" t="n"/>
      <c r="T237" s="2" t="inlineStr">
        <is>
          <t>Approve</t>
        </is>
      </c>
    </row>
    <row r="238" ht="93" customHeight="1">
      <c r="A238" s="2" t="inlineStr">
        <is>
          <t>TC-237</t>
        </is>
      </c>
      <c r="B238" s="2" t="inlineStr">
        <is>
          <t>TS-047</t>
        </is>
      </c>
      <c r="C238" s="3" t="inlineStr">
        <is>
          <t>Đơn Approved MOEFAS không có nút Edit</t>
        </is>
      </c>
      <c r="D238" s="3" t="inlineStr">
        <is>
          <t>F5.11 View and edit submitted application</t>
        </is>
      </c>
      <c r="E238" s="3" t="inlineStr">
        <is>
          <t>View application</t>
        </is>
      </c>
      <c r="F238" s="2" t="inlineStr">
        <is>
          <t>S2</t>
        </is>
      </c>
      <c r="G238" s="2" t="inlineStr">
        <is>
          <t>High</t>
        </is>
      </c>
      <c r="H238" s="2" t="inlineStr">
        <is>
          <t>Not Run</t>
        </is>
      </c>
      <c r="I238" s="2" t="inlineStr">
        <is>
          <t>Functional</t>
        </is>
      </c>
      <c r="J238" s="3" t="inlineStr">
        <is>
          <t>Prototype: edusave.vercel.app (ngày mẫu 18/10/2026)
Chrome (latest)
Build: ghi khi chạy
Cần: ENV-R5-01</t>
        </is>
      </c>
      <c r="K238" s="3" t="inlineStr">
        <is>
          <t>1. Prototype ở trạng thái gốc (dùng Reset data).
2. Đã đăng nhập School user BVP-0012 Lan Nguyen, trường Bukit View Primary.
3. Màn Upload applications đang mở.</t>
        </is>
      </c>
      <c r="L238" s="3" t="inlineStr">
        <is>
          <t>một đơn Approved MOEFAS (chọn Uploaded Any time)</t>
        </is>
      </c>
      <c r="M238" s="3" t="inlineStr">
        <is>
          <t>1. Mở một đơn Approved MOEFAS (chọn Uploaded Any time) từ danh sách.
2. Đọc các nút ở đầu màn View application.</t>
        </is>
      </c>
      <c r="N238" s="3" t="inlineStr">
        <is>
          <t>1. Không có nút Edit, mọi ô chỉ đọc.</t>
        </is>
      </c>
      <c r="O238" s="3" t="n"/>
      <c r="P238" s="3" t="inlineStr">
        <is>
          <t>N/A</t>
        </is>
      </c>
      <c r="Q238" s="3" t="n"/>
      <c r="R238" s="3" t="inlineStr">
        <is>
          <t>Tender R5, US-042, FS F5 v1.2: 8, BR9</t>
        </is>
      </c>
      <c r="S238" s="3" t="inlineStr">
        <is>
          <t>Dòng thuộc nhóm này đọc từ prototype tại lúc chạy.</t>
        </is>
      </c>
      <c r="T238" s="2" t="inlineStr">
        <is>
          <t>Approve</t>
        </is>
      </c>
    </row>
    <row r="239" ht="93" customHeight="1">
      <c r="A239" s="2" t="inlineStr">
        <is>
          <t>TC-238</t>
        </is>
      </c>
      <c r="B239" s="2" t="inlineStr">
        <is>
          <t>TS-047</t>
        </is>
      </c>
      <c r="C239" s="3" t="inlineStr">
        <is>
          <t>Đơn Rejected không có nút Edit</t>
        </is>
      </c>
      <c r="D239" s="3" t="inlineStr">
        <is>
          <t>F5.11 View and edit submitted application</t>
        </is>
      </c>
      <c r="E239" s="3" t="inlineStr">
        <is>
          <t>View application</t>
        </is>
      </c>
      <c r="F239" s="2" t="inlineStr">
        <is>
          <t>S2</t>
        </is>
      </c>
      <c r="G239" s="2" t="inlineStr">
        <is>
          <t>High</t>
        </is>
      </c>
      <c r="H239" s="2" t="inlineStr">
        <is>
          <t>Not Run</t>
        </is>
      </c>
      <c r="I239" s="2" t="inlineStr">
        <is>
          <t>Functional</t>
        </is>
      </c>
      <c r="J239" s="3" t="inlineStr">
        <is>
          <t>Prototype: edusave.vercel.app (ngày mẫu 18/10/2026)
Chrome (latest)
Build: ghi khi chạy
Cần: ENV-R5-01</t>
        </is>
      </c>
      <c r="K239" s="3" t="inlineStr">
        <is>
          <t>1. Prototype ở trạng thái gốc (dùng Reset data).
2. Đã đăng nhập School user BVP-0012 Lan Nguyen, trường Bukit View Primary.
3. Màn Upload applications đang mở.</t>
        </is>
      </c>
      <c r="L239" s="3" t="inlineStr">
        <is>
          <t>một đơn Rejected (chọn Uploaded Any time)</t>
        </is>
      </c>
      <c r="M239" s="3" t="inlineStr">
        <is>
          <t>1. Mở một đơn Rejected (chọn Uploaded Any time) từ danh sách.
2. Đọc các nút ở đầu màn View application.</t>
        </is>
      </c>
      <c r="N239" s="3" t="inlineStr">
        <is>
          <t>1. Không có nút Edit, mọi ô chỉ đọc.</t>
        </is>
      </c>
      <c r="O239" s="3" t="n"/>
      <c r="P239" s="3" t="inlineStr">
        <is>
          <t>N/A</t>
        </is>
      </c>
      <c r="Q239" s="3" t="n"/>
      <c r="R239" s="3" t="inlineStr">
        <is>
          <t>Tender R5, US-042, FS F5 v1.2: 8, BR9</t>
        </is>
      </c>
      <c r="S239" s="3" t="inlineStr">
        <is>
          <t>Dòng thuộc nhóm này đọc từ prototype tại lúc chạy.</t>
        </is>
      </c>
      <c r="T239" s="2" t="inlineStr">
        <is>
          <t>Approve</t>
        </is>
      </c>
    </row>
    <row r="240" ht="93" customHeight="1">
      <c r="A240" s="2" t="inlineStr">
        <is>
          <t>TC-239</t>
        </is>
      </c>
      <c r="B240" s="2" t="inlineStr">
        <is>
          <t>TS-048</t>
        </is>
      </c>
      <c r="C240" s="3" t="inlineStr">
        <is>
          <t>Sửa đơn Pending và Save changes, History ghi Paper application edited (T12)</t>
        </is>
      </c>
      <c r="D240" s="3" t="inlineStr">
        <is>
          <t>F5.11 View and edit submitted application</t>
        </is>
      </c>
      <c r="E240" s="3" t="inlineStr">
        <is>
          <t>View application</t>
        </is>
      </c>
      <c r="F240" s="2" t="inlineStr">
        <is>
          <t>S1 (highest)</t>
        </is>
      </c>
      <c r="G240" s="2" t="inlineStr">
        <is>
          <t>Critical</t>
        </is>
      </c>
      <c r="H240" s="2" t="inlineStr">
        <is>
          <t>Not Run</t>
        </is>
      </c>
      <c r="I240" s="2" t="inlineStr">
        <is>
          <t>Functional</t>
        </is>
      </c>
      <c r="J240" s="3" t="inlineStr">
        <is>
          <t>Prototype: edusave.vercel.app (ngày mẫu 18/10/2026)
Chrome (latest)
Build: ghi khi chạy
Cần: ENV-R5-01</t>
        </is>
      </c>
      <c r="K240" s="3" t="inlineStr">
        <is>
          <t>1. Prototype ở trạng thái gốc (dùng Reset data).
2. Đã đăng nhập School user BVP-0012 Lan Nguyen, trường Bukit View Primary.
3. Màn Upload applications đang mở.</t>
        </is>
      </c>
      <c r="L240" s="3" t="inlineStr">
        <is>
          <t>APP-2026-00412</t>
        </is>
      </c>
      <c r="M240" s="3" t="inlineStr">
        <is>
          <t>1. Mở APP-2026-00412 Aisha Rahman và bấm Edit.
2. Đổi Relationship thành Mother, đổi Context và bỏ chọn School-based FAS.
3. Bấm Save changes.
4. Mở lại đơn và mở History của đơn.</t>
        </is>
      </c>
      <c r="N240" s="3" t="inlineStr">
        <is>
          <t>1. Đơn lưu các giá trị mới, trạng thái vẫn Pending.
2. History có một dòng "Paper application edited" mới nhất.</t>
        </is>
      </c>
      <c r="O240" s="3" t="n"/>
      <c r="P240" s="3" t="inlineStr">
        <is>
          <t>N/A</t>
        </is>
      </c>
      <c r="Q240" s="3" t="n"/>
      <c r="R240" s="3" t="inlineStr">
        <is>
          <t>Tender R5, US-042, FS F5 v1.2: 8, T12</t>
        </is>
      </c>
      <c r="S240" s="3" t="n"/>
      <c r="T240" s="2" t="inlineStr">
        <is>
          <t>Approve</t>
        </is>
      </c>
    </row>
    <row r="241" ht="151" customHeight="1">
      <c r="A241" s="2" t="inlineStr">
        <is>
          <t>TC-240</t>
        </is>
      </c>
      <c r="B241" s="2" t="inlineStr">
        <is>
          <t>TS-048</t>
        </is>
      </c>
      <c r="C241" s="3" t="inlineStr">
        <is>
          <t>Save changes cập nhật thành viên gia đình và thu nhập của đơn</t>
        </is>
      </c>
      <c r="D241" s="3" t="inlineStr">
        <is>
          <t>F5.11 View and edit submitted application</t>
        </is>
      </c>
      <c r="E241" s="3" t="inlineStr">
        <is>
          <t>View application</t>
        </is>
      </c>
      <c r="F241" s="2" t="inlineStr">
        <is>
          <t>S2</t>
        </is>
      </c>
      <c r="G241" s="2" t="inlineStr">
        <is>
          <t>High</t>
        </is>
      </c>
      <c r="H241" s="2" t="inlineStr">
        <is>
          <t>Not Run</t>
        </is>
      </c>
      <c r="I241" s="2" t="inlineStr">
        <is>
          <t>Functional</t>
        </is>
      </c>
      <c r="J241" s="3" t="inlineStr">
        <is>
          <t>Bản F5 có API (chưa có)
Chrome (latest)
Build: ghi khi chạy
Cần: ENV-R5-02, ENV-R5-03</t>
        </is>
      </c>
      <c r="K241" s="3" t="inlineStr">
        <is>
          <t>1. Bản F5 có API chạy, dữ liệu SEED-R5 đã nạp.
2. Đã đăng nhập School user BVP-0012 Lan Nguyen, trường Bukit View Primary.
3. Đang mở View application của một đơn Pending.</t>
        </is>
      </c>
      <c r="L241" s="3" t="inlineStr">
        <is>
          <t>APP-2026-00412, thêm thành viên S8512301G</t>
        </is>
      </c>
      <c r="M241" s="3" t="inlineStr">
        <is>
          <t>1. Bấm Edit ở đơn Pending và thêm một thành viên.
2. Bấm Save changes và đọc GHI, Household size, PCI.</t>
        </is>
      </c>
      <c r="N241" s="3" t="inlineStr">
        <is>
          <t>1. Household size tăng 1, GHI và PCI tính lại theo dữ liệu Chính phủ.
2. History có "Paper application edited".</t>
        </is>
      </c>
      <c r="O241" s="3" t="n"/>
      <c r="P241"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1" s="3" t="n"/>
      <c r="R241" s="3" t="inlineStr">
        <is>
          <t>Tender R5, US-042, FS F5 v1.2: 8</t>
        </is>
      </c>
      <c r="S241" s="3" t="n"/>
      <c r="T241" s="2" t="inlineStr">
        <is>
          <t>Draft</t>
        </is>
      </c>
    </row>
    <row r="242" ht="93" customHeight="1">
      <c r="A242" s="2" t="inlineStr">
        <is>
          <t>TC-241</t>
        </is>
      </c>
      <c r="B242" s="2" t="inlineStr">
        <is>
          <t>TS-048</t>
        </is>
      </c>
      <c r="C242" s="3" t="inlineStr">
        <is>
          <t>Sửa đơn không chạy lại luồng quyết định</t>
        </is>
      </c>
      <c r="D242" s="3" t="inlineStr">
        <is>
          <t>F5.11 View and edit submitted application</t>
        </is>
      </c>
      <c r="E242" s="3" t="inlineStr">
        <is>
          <t>View application</t>
        </is>
      </c>
      <c r="F242" s="2" t="inlineStr">
        <is>
          <t>S1 (highest)</t>
        </is>
      </c>
      <c r="G242" s="2" t="inlineStr">
        <is>
          <t>High</t>
        </is>
      </c>
      <c r="H242" s="2" t="inlineStr">
        <is>
          <t>Not Run</t>
        </is>
      </c>
      <c r="I242" s="2" t="inlineStr">
        <is>
          <t>Functional</t>
        </is>
      </c>
      <c r="J242" s="3" t="inlineStr">
        <is>
          <t>Prototype: edusave.vercel.app (ngày mẫu 18/10/2026)
Chrome (latest)
Build: ghi khi chạy
Cần: ENV-R5-01</t>
        </is>
      </c>
      <c r="K242" s="3" t="inlineStr">
        <is>
          <t>1. Prototype ở trạng thái gốc (dùng Reset data).
2. Đã đăng nhập School user BVP-0012 Lan Nguyen, trường Bukit View Primary.
3. Màn Upload applications đang mở.</t>
        </is>
      </c>
      <c r="L242" s="3" t="inlineStr">
        <is>
          <t>APP-2026-00412</t>
        </is>
      </c>
      <c r="M242" s="3" t="inlineStr">
        <is>
          <t>1. Sửa Context của đơn MOEFAS Pending và Save changes.
2. Đọc trạng thái, System check và priority của đơn.</t>
        </is>
      </c>
      <c r="N242" s="3" t="inlineStr">
        <is>
          <t>1. Đơn vẫn Pending, System check vẫn Waiting, không có quyết định hay xếp hạng mới.</t>
        </is>
      </c>
      <c r="O242" s="3" t="n"/>
      <c r="P242" s="3" t="inlineStr">
        <is>
          <t>N/A</t>
        </is>
      </c>
      <c r="Q242" s="3" t="n"/>
      <c r="R242" s="3" t="inlineStr">
        <is>
          <t>Tender R5, US-042, FS F5 v1.2: 8</t>
        </is>
      </c>
      <c r="S242" s="3" t="n"/>
      <c r="T242" s="2" t="inlineStr">
        <is>
          <t>Approve</t>
        </is>
      </c>
    </row>
    <row r="243" ht="93" customHeight="1">
      <c r="A243" s="2" t="inlineStr">
        <is>
          <t>TC-242</t>
        </is>
      </c>
      <c r="B243" s="2" t="inlineStr">
        <is>
          <t>TS-048</t>
        </is>
      </c>
      <c r="C243" s="3" t="inlineStr">
        <is>
          <t>Sau khi form đóng vẫn sửa được đơn Pending (BR9)</t>
        </is>
      </c>
      <c r="D243" s="3" t="inlineStr">
        <is>
          <t>F5.11 View and edit submitted application</t>
        </is>
      </c>
      <c r="E243" s="3" t="inlineStr">
        <is>
          <t>View application</t>
        </is>
      </c>
      <c r="F243" s="2" t="inlineStr">
        <is>
          <t>S2</t>
        </is>
      </c>
      <c r="G243" s="2" t="inlineStr">
        <is>
          <t>High</t>
        </is>
      </c>
      <c r="H243" s="2" t="inlineStr">
        <is>
          <t>Not Run</t>
        </is>
      </c>
      <c r="I243" s="2" t="inlineStr">
        <is>
          <t>Functional</t>
        </is>
      </c>
      <c r="J243" s="3" t="inlineStr">
        <is>
          <t>Bản F5 có API (chưa có)
Chrome (latest)
Build: ghi khi chạy
Cần: ENV-R5-02, ENV-R5-03, ENV-R5-04</t>
        </is>
      </c>
      <c r="K243" s="3" t="inlineStr">
        <is>
          <t>1. Bản F5 có API chạy, dữ liệu SEED-R5 đã nạp.
2. Đã đăng nhập School user BVP-0012 Lan Nguyen, trường Bukit View Primary.
3. Có một đơn Pending, đang mở View application.</t>
        </is>
      </c>
      <c r="L243" s="3" t="inlineStr">
        <is>
          <t>Đơn Pending khi form đã đóng</t>
        </is>
      </c>
      <c r="M243" s="3" t="inlineStr">
        <is>
          <t>1. Đặt ngày 01/01/2027.
2. Mở đơn Pending, bấm Edit, đổi Context và Save changes.</t>
        </is>
      </c>
      <c r="N243" s="3" t="inlineStr">
        <is>
          <t>1. Save changes thành công, không có ghi chú "form is closed".</t>
        </is>
      </c>
      <c r="O243" s="3" t="n"/>
      <c r="P243" s="3" t="inlineStr">
        <is>
          <t>N/A</t>
        </is>
      </c>
      <c r="Q243" s="3" t="n"/>
      <c r="R243" s="3" t="inlineStr">
        <is>
          <t>Tender R5, US-042, FS F5 v1.2: BR9, 8</t>
        </is>
      </c>
      <c r="S243" s="3" t="n"/>
      <c r="T243" s="2" t="inlineStr">
        <is>
          <t>Approve</t>
        </is>
      </c>
    </row>
    <row r="244" ht="151" customHeight="1">
      <c r="A244" s="2" t="inlineStr">
        <is>
          <t>TC-243</t>
        </is>
      </c>
      <c r="B244" s="2" t="inlineStr">
        <is>
          <t>TS-049</t>
        </is>
      </c>
      <c r="C244" s="3" t="inlineStr">
        <is>
          <t>Save changes chạy lại kiểm tra bắt buộc</t>
        </is>
      </c>
      <c r="D244" s="3" t="inlineStr">
        <is>
          <t>F5.11 View and edit submitted application</t>
        </is>
      </c>
      <c r="E244" s="3" t="inlineStr">
        <is>
          <t>View application</t>
        </is>
      </c>
      <c r="F244" s="2" t="inlineStr">
        <is>
          <t>S2</t>
        </is>
      </c>
      <c r="G244" s="2" t="inlineStr">
        <is>
          <t>High</t>
        </is>
      </c>
      <c r="H244" s="2" t="inlineStr">
        <is>
          <t>Not Run</t>
        </is>
      </c>
      <c r="I244" s="2" t="inlineStr">
        <is>
          <t>Functional</t>
        </is>
      </c>
      <c r="J244" s="3" t="inlineStr">
        <is>
          <t>Prototype: edusave.vercel.app (ngày mẫu 18/10/2026)
Chrome (latest)
Build: ghi khi chạy
Cần: ENV-R5-01</t>
        </is>
      </c>
      <c r="K244" s="3" t="inlineStr">
        <is>
          <t>1. Prototype ở trạng thái gốc (dùng Reset data).
2. Đã đăng nhập School user BVP-0012 Lan Nguyen, trường Bukit View Primary.
3. Màn Upload applications đang mở.</t>
        </is>
      </c>
      <c r="L244" s="3" t="inlineStr">
        <is>
          <t>APP-2026-00412</t>
        </is>
      </c>
      <c r="M244" s="3" t="inlineStr">
        <is>
          <t>1. Bấm Edit, bỏ tick Applicant signature checked và Save changes.</t>
        </is>
      </c>
      <c r="N244" s="3" t="inlineStr">
        <is>
          <t>1. Hiện "Complete: Applicant signature checked." và không lưu gì, không có History mới.</t>
        </is>
      </c>
      <c r="O244" s="3" t="n"/>
      <c r="P244"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4" s="3" t="n"/>
      <c r="R244" s="3" t="inlineStr">
        <is>
          <t>Tender R5, US-042, FS F5 v1.2: 8, 6</t>
        </is>
      </c>
      <c r="S244" s="3" t="n"/>
      <c r="T244" s="2" t="inlineStr">
        <is>
          <t>Draft</t>
        </is>
      </c>
    </row>
    <row r="245" ht="151" customHeight="1">
      <c r="A245" s="2" t="inlineStr">
        <is>
          <t>TC-244</t>
        </is>
      </c>
      <c r="B245" s="2" t="inlineStr">
        <is>
          <t>TS-049</t>
        </is>
      </c>
      <c r="C245" s="3" t="inlineStr">
        <is>
          <t>Khi sửa, NRIC người khai và NRIC con bị khoá</t>
        </is>
      </c>
      <c r="D245" s="3" t="inlineStr">
        <is>
          <t>F5.11 View and edit submitted application</t>
        </is>
      </c>
      <c r="E245" s="3" t="inlineStr">
        <is>
          <t>View application</t>
        </is>
      </c>
      <c r="F245" s="2" t="inlineStr">
        <is>
          <t>S2</t>
        </is>
      </c>
      <c r="G245" s="2" t="inlineStr">
        <is>
          <t>Medium</t>
        </is>
      </c>
      <c r="H245" s="2" t="inlineStr">
        <is>
          <t>Not Run</t>
        </is>
      </c>
      <c r="I245" s="2" t="inlineStr">
        <is>
          <t>Functional</t>
        </is>
      </c>
      <c r="J245" s="3" t="inlineStr">
        <is>
          <t>Prototype: edusave.vercel.app (ngày mẫu 18/10/2026)
Chrome (latest)
Build: ghi khi chạy
Cần: ENV-R5-01</t>
        </is>
      </c>
      <c r="K245" s="3" t="inlineStr">
        <is>
          <t>1. Prototype ở trạng thái gốc (dùng Reset data).
2. Đã đăng nhập School user BVP-0012 Lan Nguyen, trường Bukit View Primary.
3. Màn Upload applications đang mở.</t>
        </is>
      </c>
      <c r="L245" s="3" t="inlineStr">
        <is>
          <t>APP-2026-00412</t>
        </is>
      </c>
      <c r="M245" s="3" t="inlineStr">
        <is>
          <t>1. Bấm Edit và thử đổi NRIC người khai và NRIC của con.</t>
        </is>
      </c>
      <c r="N245" s="3" t="inlineStr">
        <is>
          <t>1. Hai NRIC không sửa được, các ô tự điền giữ nguyên.</t>
        </is>
      </c>
      <c r="O245" s="3" t="n"/>
      <c r="P245"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5" s="3" t="n"/>
      <c r="R245" s="3" t="inlineStr">
        <is>
          <t>Tender R5, US-042, FS F5 v1.2: 8, BR3</t>
        </is>
      </c>
      <c r="S245" s="3" t="inlineStr">
        <is>
          <t>Điểm mở O21.</t>
        </is>
      </c>
      <c r="T245" s="2" t="inlineStr">
        <is>
          <t>Draft</t>
        </is>
      </c>
    </row>
    <row r="246" ht="151" customHeight="1">
      <c r="A246" s="2" t="inlineStr">
        <is>
          <t>TC-245</t>
        </is>
      </c>
      <c r="B246" s="2" t="inlineStr">
        <is>
          <t>TS-049</t>
        </is>
      </c>
      <c r="C246" s="3" t="inlineStr">
        <is>
          <t>Đơn đang sửa không bị coi là trùng với chính nó</t>
        </is>
      </c>
      <c r="D246" s="3" t="inlineStr">
        <is>
          <t>F5.11 View and edit submitted application</t>
        </is>
      </c>
      <c r="E246" s="3" t="inlineStr">
        <is>
          <t>View application</t>
        </is>
      </c>
      <c r="F246" s="2" t="inlineStr">
        <is>
          <t>S2</t>
        </is>
      </c>
      <c r="G246" s="2" t="inlineStr">
        <is>
          <t>High</t>
        </is>
      </c>
      <c r="H246" s="2" t="inlineStr">
        <is>
          <t>Not Run</t>
        </is>
      </c>
      <c r="I246" s="2" t="inlineStr">
        <is>
          <t>Functional</t>
        </is>
      </c>
      <c r="J246" s="3" t="inlineStr">
        <is>
          <t>Prototype: edusave.vercel.app (ngày mẫu 18/10/2026)
Chrome (latest)
Build: ghi khi chạy
Cần: ENV-R5-01</t>
        </is>
      </c>
      <c r="K246" s="3" t="inlineStr">
        <is>
          <t>1. Prototype ở trạng thái gốc (dùng Reset data).
2. Đã đăng nhập School user BVP-0012 Lan Nguyen, trường Bukit View Primary.
3. Màn Upload applications đang mở.</t>
        </is>
      </c>
      <c r="L246" s="3" t="inlineStr">
        <is>
          <t>APP-2026-00412</t>
        </is>
      </c>
      <c r="M246" s="3" t="inlineStr">
        <is>
          <t>1. Bấm Edit và Save changes mà không đổi gì.</t>
        </is>
      </c>
      <c r="N246" s="3" t="inlineStr">
        <is>
          <t>1. Save changes thành công, không hiện "already has an application this year".</t>
        </is>
      </c>
      <c r="O246" s="3" t="n"/>
      <c r="P246"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6" s="3" t="n"/>
      <c r="R246" s="3" t="inlineStr">
        <is>
          <t>Tender R5, US-042, FS F5 v1.2: 8, BR2</t>
        </is>
      </c>
      <c r="S246" s="3" t="n"/>
      <c r="T246" s="2" t="inlineStr">
        <is>
          <t>Draft</t>
        </is>
      </c>
    </row>
    <row r="247" ht="339.5" customHeight="1">
      <c r="A247" s="2" t="inlineStr">
        <is>
          <t>TC-246</t>
        </is>
      </c>
      <c r="B247" s="2" t="inlineStr">
        <is>
          <t>TS-049</t>
        </is>
      </c>
      <c r="C247" s="3" t="inlineStr">
        <is>
          <t>Đơn đổi trạng thái trong lúc sửa thì không lưu</t>
        </is>
      </c>
      <c r="D247" s="3" t="inlineStr">
        <is>
          <t>F5.11 View and edit submitted application</t>
        </is>
      </c>
      <c r="E247" s="3" t="inlineStr">
        <is>
          <t>View application</t>
        </is>
      </c>
      <c r="F247" s="2" t="inlineStr">
        <is>
          <t>S1 (highest)</t>
        </is>
      </c>
      <c r="G247" s="2" t="inlineStr">
        <is>
          <t>High</t>
        </is>
      </c>
      <c r="H247" s="2" t="inlineStr">
        <is>
          <t>Not Run</t>
        </is>
      </c>
      <c r="I247" s="2" t="inlineStr">
        <is>
          <t>Functional</t>
        </is>
      </c>
      <c r="J247" s="3" t="inlineStr">
        <is>
          <t>Bản F5 có API (chưa có)
Chrome (latest)
Build: ghi khi chạy
Cần: ENV-R5-02, ENV-R5-05</t>
        </is>
      </c>
      <c r="K247" s="3" t="inlineStr">
        <is>
          <t>1. Bản F5 có API chạy, dữ liệu SEED-R5 đã nạp.
2. Đã đăng nhập School user BVP-0012 Lan Nguyen, trường Bukit View Primary.
3. Hai phiên đăng nhập: School user và MOE HQ, đơn Pending đang mở ở chế độ sửa.</t>
        </is>
      </c>
      <c r="L247" s="3" t="inlineStr">
        <is>
          <t>Đơn MOEFAS Pending</t>
        </is>
      </c>
      <c r="M247" s="3" t="inlineStr">
        <is>
          <t>1. Phiên A mở Edit của đơn Pending.
2. Phiên MOE HQ đóng form MOEFAS và đơn được quyết định.
3. Phiên A bấm Save changes.</t>
        </is>
      </c>
      <c r="N247" s="3" t="inlineStr">
        <is>
          <t>1. Không lưu gì và hiện "This application was already decided by {user} on {DD/MM/YYYY}."</t>
        </is>
      </c>
      <c r="O247" s="3" t="n"/>
      <c r="P247"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
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Q247" s="3" t="n"/>
      <c r="R247" s="3" t="inlineStr">
        <is>
          <t>Tender R5, US-042, FS F5 v1.2: 8, BR9</t>
        </is>
      </c>
      <c r="S247" s="3" t="n"/>
      <c r="T247" s="2" t="inlineStr">
        <is>
          <t>Draft</t>
        </is>
      </c>
    </row>
    <row r="248" ht="151" customHeight="1">
      <c r="A248" s="2" t="inlineStr">
        <is>
          <t>TC-247</t>
        </is>
      </c>
      <c r="B248" s="2" t="inlineStr">
        <is>
          <t>TS-049</t>
        </is>
      </c>
      <c r="C248" s="3" t="inlineStr">
        <is>
          <t>Bấm đúp Save changes chỉ ghi một mục History</t>
        </is>
      </c>
      <c r="D248" s="3" t="inlineStr">
        <is>
          <t>F5.11 View and edit submitted application</t>
        </is>
      </c>
      <c r="E248" s="3" t="inlineStr">
        <is>
          <t>View application</t>
        </is>
      </c>
      <c r="F248" s="2" t="inlineStr">
        <is>
          <t>S3</t>
        </is>
      </c>
      <c r="G248" s="2" t="inlineStr">
        <is>
          <t>Medium</t>
        </is>
      </c>
      <c r="H248" s="2" t="inlineStr">
        <is>
          <t>Not Run</t>
        </is>
      </c>
      <c r="I248" s="2" t="inlineStr">
        <is>
          <t>Functional</t>
        </is>
      </c>
      <c r="J248" s="3" t="inlineStr">
        <is>
          <t>Prototype: edusave.vercel.app (ngày mẫu 18/10/2026)
Chrome (latest)
Build: ghi khi chạy
Cần: ENV-R5-01</t>
        </is>
      </c>
      <c r="K248" s="3" t="inlineStr">
        <is>
          <t>1. Prototype ở trạng thái gốc (dùng Reset data).
2. Đã đăng nhập School user BVP-0012 Lan Nguyen, trường Bukit View Primary.
3. Màn Upload applications đang mở.</t>
        </is>
      </c>
      <c r="L248" s="3" t="inlineStr">
        <is>
          <t>APP-2026-00412</t>
        </is>
      </c>
      <c r="M248" s="3" t="inlineStr">
        <is>
          <t>1. Bấm đúp nhanh Save changes sau khi sửa Context.
2. Đọc History.</t>
        </is>
      </c>
      <c r="N248" s="3" t="inlineStr">
        <is>
          <t>1. Chỉ một dòng "Paper application edited" mới.</t>
        </is>
      </c>
      <c r="O248" s="3" t="n"/>
      <c r="P248" s="3" t="inlineStr">
        <is>
          <t>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8" s="3" t="n"/>
      <c r="R248" s="3" t="inlineStr">
        <is>
          <t>Tender R5, US-042, FS F5 v1.2: 8</t>
        </is>
      </c>
      <c r="S248" s="3" t="n"/>
      <c r="T248" s="2" t="inlineStr">
        <is>
          <t>Draft</t>
        </is>
      </c>
    </row>
    <row r="249" ht="339.5" customHeight="1">
      <c r="A249" s="2" t="inlineStr">
        <is>
          <t>TC-248</t>
        </is>
      </c>
      <c r="B249" s="2" t="inlineStr">
        <is>
          <t>TS-049</t>
        </is>
      </c>
      <c r="C249" s="3" t="inlineStr">
        <is>
          <t>Lỗi lưu khi Save changes không thêm History</t>
        </is>
      </c>
      <c r="D249" s="3" t="inlineStr">
        <is>
          <t>F5.11 View and edit submitted application</t>
        </is>
      </c>
      <c r="E249" s="3" t="inlineStr">
        <is>
          <t>View application</t>
        </is>
      </c>
      <c r="F249" s="2" t="inlineStr">
        <is>
          <t>S2</t>
        </is>
      </c>
      <c r="G249" s="2" t="inlineStr">
        <is>
          <t>Medium</t>
        </is>
      </c>
      <c r="H249" s="2" t="inlineStr">
        <is>
          <t>Not Run</t>
        </is>
      </c>
      <c r="I249" s="2" t="inlineStr">
        <is>
          <t>Integration</t>
        </is>
      </c>
      <c r="J249" s="3" t="inlineStr">
        <is>
          <t>Bản F5 có API (chưa có)
Chrome (latest)
Build: ghi khi chạy
Cần: ENV-R5-02, ENV-R5-07</t>
        </is>
      </c>
      <c r="K249" s="3" t="inlineStr">
        <is>
          <t>1. Bản F5 có API chạy, dữ liệu SEED-R5 đã nạp.
2. Đã đăng nhập School user BVP-0012 Lan Nguyen, trường Bukit View Primary.
3. Đơn Pending đang ở chế độ sửa.</t>
        </is>
      </c>
      <c r="L249" s="3" t="inlineStr">
        <is>
          <t>APP-2026-00412</t>
        </is>
      </c>
      <c r="M249" s="3" t="inlineStr">
        <is>
          <t>1. Cho dịch vụ lưu trả lỗi và bấm Save changes.</t>
        </is>
      </c>
      <c r="N249" s="3" t="inlineStr">
        <is>
          <t>1. Hiện "Something went wrong. Please try again.", đơn giữ giá trị cũ và không có History mới.</t>
        </is>
      </c>
      <c r="O249" s="3" t="n"/>
      <c r="P249"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ASM-R5-20: 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Q249" s="3" t="n"/>
      <c r="R249" s="3" t="inlineStr">
        <is>
          <t>Tender R5, US-042, FS F5 v1.2: 8</t>
        </is>
      </c>
      <c r="S249" s="3" t="n"/>
      <c r="T249" s="2" t="inlineStr">
        <is>
          <t>Draft</t>
        </is>
      </c>
    </row>
    <row r="250" ht="78.5" customHeight="1">
      <c r="A250" s="2" t="inlineStr">
        <is>
          <t>TC-249</t>
        </is>
      </c>
      <c r="B250" s="2" t="inlineStr">
        <is>
          <t>TS-049</t>
        </is>
      </c>
      <c r="C250" s="3" t="inlineStr">
        <is>
          <t>API sửa đơn đã quyết định bị từ chối</t>
        </is>
      </c>
      <c r="D250" s="3" t="inlineStr">
        <is>
          <t>F5.11 View and edit submitted application</t>
        </is>
      </c>
      <c r="E250" s="3" t="inlineStr">
        <is>
          <t>View application</t>
        </is>
      </c>
      <c r="F250" s="2" t="inlineStr">
        <is>
          <t>S1 (highest)</t>
        </is>
      </c>
      <c r="G250" s="2" t="inlineStr">
        <is>
          <t>Critical</t>
        </is>
      </c>
      <c r="H250" s="2" t="inlineStr">
        <is>
          <t>Not Run</t>
        </is>
      </c>
      <c r="I250" s="2" t="inlineStr">
        <is>
          <t>API</t>
        </is>
      </c>
      <c r="J250" s="3" t="inlineStr">
        <is>
          <t>Bản F5 có API (chưa có)
Chrome (latest)
Build: ghi khi chạy
Cần: ENV-R5-02</t>
        </is>
      </c>
      <c r="K250" s="3" t="inlineStr">
        <is>
          <t>1. Bản F5 có API chạy, dữ liệu SEED-R5 đã nạp.
2. Đã đăng nhập School user BVP-0012 Lan Nguyen, trường Bukit View Primary.</t>
        </is>
      </c>
      <c r="L250" s="3" t="inlineStr">
        <is>
          <t>APP-2026-00386</t>
        </is>
      </c>
      <c r="M250" s="3" t="inlineStr">
        <is>
          <t>1. Gửi yêu cầu sửa đơn APP-2026-00386 (Approved SBFAS) và đơn Rejected qua API.</t>
        </is>
      </c>
      <c r="N250" s="3" t="inlineStr">
        <is>
          <t>1. Yêu cầu bị từ chối, không đổi dữ liệu và không có History mới.</t>
        </is>
      </c>
      <c r="O250" s="3" t="n"/>
      <c r="P250" s="3" t="inlineStr">
        <is>
          <t>N/A</t>
        </is>
      </c>
      <c r="Q250" s="3" t="n"/>
      <c r="R250" s="3" t="inlineStr">
        <is>
          <t>Tender R5, US-042, FS F5 v1.2: 8, VR-F5-S12</t>
        </is>
      </c>
      <c r="S250" s="3" t="n"/>
      <c r="T250" s="2" t="inlineStr">
        <is>
          <t>Approve</t>
        </is>
      </c>
    </row>
    <row r="251" ht="122" customHeight="1">
      <c r="A251" s="2" t="inlineStr">
        <is>
          <t>TC-250</t>
        </is>
      </c>
      <c r="B251" s="2" t="inlineStr">
        <is>
          <t>TS-049</t>
        </is>
      </c>
      <c r="C251" s="3" t="inlineStr">
        <is>
          <t>School user không mở được đơn của trường khác bằng địa chỉ</t>
        </is>
      </c>
      <c r="D251" s="3" t="inlineStr">
        <is>
          <t>F5.11 View and edit submitted application</t>
        </is>
      </c>
      <c r="E251" s="3" t="inlineStr">
        <is>
          <t>View application</t>
        </is>
      </c>
      <c r="F251" s="2" t="inlineStr">
        <is>
          <t>S1 (highest)</t>
        </is>
      </c>
      <c r="G251" s="2" t="inlineStr">
        <is>
          <t>Critical</t>
        </is>
      </c>
      <c r="H251" s="2" t="inlineStr">
        <is>
          <t>Not Run</t>
        </is>
      </c>
      <c r="I251" s="2" t="inlineStr">
        <is>
          <t>Security</t>
        </is>
      </c>
      <c r="J251" s="3" t="inlineStr">
        <is>
          <t>Bản F5 có API (chưa có)
Chrome (latest)
Build: ghi khi chạy
Cần: ENV-R5-02</t>
        </is>
      </c>
      <c r="K251" s="3" t="inlineStr">
        <is>
          <t>1. Bản F5 có API chạy.
2. Đã đăng nhập School user MRS-0012 Farah Tan, trường Meridian Secondary.</t>
        </is>
      </c>
      <c r="L251" s="3" t="inlineStr">
        <is>
          <t>APP-2026-00412</t>
        </is>
      </c>
      <c r="M251" s="3" t="inlineStr">
        <is>
          <t>1. Đăng nhập Farah Tan.
2. Mở trực tiếp địa chỉ View application của APP-2026-00412 (Bukit View Primary).</t>
        </is>
      </c>
      <c r="N251" s="3" t="inlineStr">
        <is>
          <t>1. Không hiện dữ liệu của đơn, thông báo "You do not have access to this application."</t>
        </is>
      </c>
      <c r="O251" s="3" t="n"/>
      <c r="P251"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1" s="3" t="n"/>
      <c r="R251" s="3" t="inlineStr">
        <is>
          <t>Tender R5, US-042, FS F5 v1.2: 1.2, VR-F5-S01</t>
        </is>
      </c>
      <c r="S251" s="3" t="n"/>
      <c r="T251" s="2" t="inlineStr">
        <is>
          <t>Draft</t>
        </is>
      </c>
    </row>
    <row r="252" ht="78.5" customHeight="1">
      <c r="A252" s="2" t="inlineStr">
        <is>
          <t>TC-251</t>
        </is>
      </c>
      <c r="B252" s="2" t="inlineStr">
        <is>
          <t>TS-050</t>
        </is>
      </c>
      <c r="C252" s="3" t="inlineStr">
        <is>
          <t>MOE HQ gọi API của F5 bị từ chối</t>
        </is>
      </c>
      <c r="D252" s="3" t="inlineStr">
        <is>
          <t>F5.12 Access, API and data</t>
        </is>
      </c>
      <c r="E252" s="3" t="inlineStr">
        <is>
          <t>F5 API (School user)</t>
        </is>
      </c>
      <c r="F252" s="2" t="inlineStr">
        <is>
          <t>S1 (highest)</t>
        </is>
      </c>
      <c r="G252" s="2" t="inlineStr">
        <is>
          <t>Critical</t>
        </is>
      </c>
      <c r="H252" s="2" t="inlineStr">
        <is>
          <t>Not Run</t>
        </is>
      </c>
      <c r="I252" s="2" t="inlineStr">
        <is>
          <t>Security</t>
        </is>
      </c>
      <c r="J252" s="3" t="inlineStr">
        <is>
          <t>Bản F5 có API (chưa có)
Chrome (latest)
Build: ghi khi chạy
Cần: ENV-R5-02</t>
        </is>
      </c>
      <c r="K252" s="3" t="inlineStr">
        <is>
          <t>1. Bản F5 có API chạy.
2. Có token của MOE HQ.</t>
        </is>
      </c>
      <c r="L252" s="3" t="inlineStr"/>
      <c r="M252" s="3" t="inlineStr">
        <is>
          <t>1. Đăng nhập MOE HQ Mei Lin Tan và lấy token.
2. Gọi API danh sách, mở đơn, lưu nháp và nộp của F5.</t>
        </is>
      </c>
      <c r="N252" s="3" t="inlineStr">
        <is>
          <t>1. Mọi yêu cầu bị từ chối (403), không trả dữ liệu, không đổi gì.</t>
        </is>
      </c>
      <c r="O252" s="3" t="n"/>
      <c r="P252" s="3" t="inlineStr">
        <is>
          <t>N/A</t>
        </is>
      </c>
      <c r="Q252" s="3" t="n"/>
      <c r="R252" s="3" t="inlineStr">
        <is>
          <t>Tender R5, US-042, FS F5 v1.2: 1.2, VR-F5-S02</t>
        </is>
      </c>
      <c r="S252" s="3" t="n"/>
      <c r="T252" s="2" t="inlineStr">
        <is>
          <t>Approve</t>
        </is>
      </c>
    </row>
    <row r="253" ht="122" customHeight="1">
      <c r="A253" s="2" t="inlineStr">
        <is>
          <t>TC-252</t>
        </is>
      </c>
      <c r="B253" s="2" t="inlineStr">
        <is>
          <t>TS-050</t>
        </is>
      </c>
      <c r="C253" s="3" t="inlineStr">
        <is>
          <t>School user không đọc được đơn của trường khác qua API</t>
        </is>
      </c>
      <c r="D253" s="3" t="inlineStr">
        <is>
          <t>F5.12 Access, API and data</t>
        </is>
      </c>
      <c r="E253" s="3" t="inlineStr">
        <is>
          <t>F5 API (School user)</t>
        </is>
      </c>
      <c r="F253" s="2" t="inlineStr">
        <is>
          <t>S1 (highest)</t>
        </is>
      </c>
      <c r="G253" s="2" t="inlineStr">
        <is>
          <t>Critical</t>
        </is>
      </c>
      <c r="H253" s="2" t="inlineStr">
        <is>
          <t>Not Run</t>
        </is>
      </c>
      <c r="I253" s="2" t="inlineStr">
        <is>
          <t>Security</t>
        </is>
      </c>
      <c r="J253" s="3" t="inlineStr">
        <is>
          <t>Bản F5 có API (chưa có)
Chrome (latest)
Build: ghi khi chạy
Cần: ENV-R5-02</t>
        </is>
      </c>
      <c r="K253" s="3" t="inlineStr">
        <is>
          <t>1. Bản F5 có API chạy.
2. Có token của Farah Tan.</t>
        </is>
      </c>
      <c r="L253" s="3" t="inlineStr"/>
      <c r="M253" s="3" t="inlineStr">
        <is>
          <t>1. Dùng token của Farah Tan gọi API lấy APP-2026-00412 và danh sách của Bukit View Primary.</t>
        </is>
      </c>
      <c r="N253" s="3" t="inlineStr">
        <is>
          <t>1. 403 và "You do not have access to this application.", không trả dữ liệu, danh sách chỉ chứa dữ liệu của Meridian Secondary.</t>
        </is>
      </c>
      <c r="O253" s="3" t="n"/>
      <c r="P253"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3" s="3" t="n"/>
      <c r="R253" s="3" t="inlineStr">
        <is>
          <t>Tender R5, US-042, FS F5 v1.2: 1.2, VR-F5-S01</t>
        </is>
      </c>
      <c r="S253" s="3" t="n"/>
      <c r="T253" s="2" t="inlineStr">
        <is>
          <t>Draft</t>
        </is>
      </c>
    </row>
    <row r="254" ht="122" customHeight="1">
      <c r="A254" s="2" t="inlineStr">
        <is>
          <t>TC-253</t>
        </is>
      </c>
      <c r="B254" s="2" t="inlineStr">
        <is>
          <t>TS-050</t>
        </is>
      </c>
      <c r="C254" s="3" t="inlineStr">
        <is>
          <t>School user không đọc được bản nháp của trường khác qua API</t>
        </is>
      </c>
      <c r="D254" s="3" t="inlineStr">
        <is>
          <t>F5.12 Access, API and data</t>
        </is>
      </c>
      <c r="E254" s="3" t="inlineStr">
        <is>
          <t>F5 API (School user)</t>
        </is>
      </c>
      <c r="F254" s="2" t="inlineStr">
        <is>
          <t>S1 (highest)</t>
        </is>
      </c>
      <c r="G254" s="2" t="inlineStr">
        <is>
          <t>High</t>
        </is>
      </c>
      <c r="H254" s="2" t="inlineStr">
        <is>
          <t>Not Run</t>
        </is>
      </c>
      <c r="I254" s="2" t="inlineStr">
        <is>
          <t>Security</t>
        </is>
      </c>
      <c r="J254" s="3" t="inlineStr">
        <is>
          <t>Bản F5 có API (chưa có)
Chrome (latest)
Build: ghi khi chạy
Cần: ENV-R5-02</t>
        </is>
      </c>
      <c r="K254" s="3" t="inlineStr">
        <is>
          <t>1. Bản F5 có API chạy.
2. Có token của Farah Tan.</t>
        </is>
      </c>
      <c r="L254" s="3" t="inlineStr"/>
      <c r="M254" s="3" t="inlineStr">
        <is>
          <t>1. Dùng token của Farah Tan gọi API lấy bản nháp của Tan Mei Ling.</t>
        </is>
      </c>
      <c r="N254" s="3" t="inlineStr">
        <is>
          <t>1. 403 hoặc không tìm thấy, không trả dữ liệu của bản nháp.</t>
        </is>
      </c>
      <c r="O254" s="3" t="n"/>
      <c r="P254"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4" s="3" t="n"/>
      <c r="R254" s="3" t="inlineStr">
        <is>
          <t>Tender R5, US-042, FS F5 v1.2: 1.2, BR6, VR-F5-S01</t>
        </is>
      </c>
      <c r="S254" s="3" t="n"/>
      <c r="T254" s="2" t="inlineStr">
        <is>
          <t>Draft</t>
        </is>
      </c>
    </row>
    <row r="255" ht="122" customHeight="1">
      <c r="A255" s="2" t="inlineStr">
        <is>
          <t>TC-254</t>
        </is>
      </c>
      <c r="B255" s="2" t="inlineStr">
        <is>
          <t>TS-050</t>
        </is>
      </c>
      <c r="C255" s="3" t="inlineStr">
        <is>
          <t>Tải file scan của trường khác bị từ chối</t>
        </is>
      </c>
      <c r="D255" s="3" t="inlineStr">
        <is>
          <t>F5.12 Access, API and data</t>
        </is>
      </c>
      <c r="E255" s="3" t="inlineStr">
        <is>
          <t>F5 API (School user)</t>
        </is>
      </c>
      <c r="F255" s="2" t="inlineStr">
        <is>
          <t>S1 (highest)</t>
        </is>
      </c>
      <c r="G255" s="2" t="inlineStr">
        <is>
          <t>High</t>
        </is>
      </c>
      <c r="H255" s="2" t="inlineStr">
        <is>
          <t>Not Run</t>
        </is>
      </c>
      <c r="I255" s="2" t="inlineStr">
        <is>
          <t>Security</t>
        </is>
      </c>
      <c r="J255" s="3" t="inlineStr">
        <is>
          <t>Bản F5 có API (chưa có)
Chrome (latest)
Build: ghi khi chạy
Cần: ENV-R5-02</t>
        </is>
      </c>
      <c r="K255" s="3" t="inlineStr">
        <is>
          <t>1. Bản F5 có API chạy.
2. Có token của hai School user.</t>
        </is>
      </c>
      <c r="L255" s="3" t="inlineStr"/>
      <c r="M255" s="3" t="inlineStr">
        <is>
          <t>1. Dùng token của Farah Tan mở địa chỉ file scan của đơn APP-2026-00412.
2. Dùng token của Lan Nguyen mở cùng file.</t>
        </is>
      </c>
      <c r="N255" s="3" t="inlineStr">
        <is>
          <t>1. Farah Tan bị từ chối.
2. Lan Nguyen tải được, tên file gửi đúng loại nội dung và tiêu đề tải xuống.</t>
        </is>
      </c>
      <c r="O255" s="3" t="n"/>
      <c r="P255"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5" s="3" t="n"/>
      <c r="R255" s="3" t="inlineStr">
        <is>
          <t>Tender R5, US-042, FS F5 v1.2: VR-F5-S09</t>
        </is>
      </c>
      <c r="S255" s="3" t="n"/>
      <c r="T255" s="2" t="inlineStr">
        <is>
          <t>Draft</t>
        </is>
      </c>
    </row>
    <row r="256" ht="122" customHeight="1">
      <c r="A256" s="2" t="inlineStr">
        <is>
          <t>TC-255</t>
        </is>
      </c>
      <c r="B256" s="2" t="inlineStr">
        <is>
          <t>TS-051</t>
        </is>
      </c>
      <c r="C256" s="3" t="inlineStr">
        <is>
          <t>Máy chủ không nhận giá trị tự điền gửi từ trình duyệt</t>
        </is>
      </c>
      <c r="D256" s="3" t="inlineStr">
        <is>
          <t>F5.12 Access, API and data</t>
        </is>
      </c>
      <c r="E256" s="3" t="inlineStr">
        <is>
          <t>F5 API (School user)</t>
        </is>
      </c>
      <c r="F256" s="2" t="inlineStr">
        <is>
          <t>S1 (highest)</t>
        </is>
      </c>
      <c r="G256" s="2" t="inlineStr">
        <is>
          <t>Critical</t>
        </is>
      </c>
      <c r="H256" s="2" t="inlineStr">
        <is>
          <t>Not Run</t>
        </is>
      </c>
      <c r="I256" s="2" t="inlineStr">
        <is>
          <t>Security</t>
        </is>
      </c>
      <c r="J256" s="3" t="inlineStr">
        <is>
          <t>Bản F5 có API (chưa có)
Chrome (latest)
Build: ghi khi chạy
Cần: ENV-R5-02</t>
        </is>
      </c>
      <c r="K256" s="3" t="inlineStr">
        <is>
          <t>1. Bản F5 có API chạy, dữ liệu SEED-R5 đã nạp.
2. Đã đăng nhập School user BVP-0012 Lan Nguyen, trường Bukit View Primary.</t>
        </is>
      </c>
      <c r="L256" s="3" t="inlineStr">
        <is>
          <t>Full name đổi thành "Hacker", School đổi sang trường khác</t>
        </is>
      </c>
      <c r="M256" s="3" t="inlineStr">
        <is>
          <t>1. Gửi yêu cầu nộp với tên người khai và trường của con bị sửa so với hồ sơ.
2. Đọc đơn đã tạo.</t>
        </is>
      </c>
      <c r="N256" s="3" t="inlineStr">
        <is>
          <t>1. Đơn dùng giá trị từ hồ sơ, không dùng giá trị gửi lên.</t>
        </is>
      </c>
      <c r="O256" s="3" t="n"/>
      <c r="P256"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6" s="3" t="n"/>
      <c r="R256" s="3" t="inlineStr">
        <is>
          <t>Tender R5, US-042, FS F5 v1.2: BR3, VR-F5-S03</t>
        </is>
      </c>
      <c r="S256" s="3" t="n"/>
      <c r="T256" s="2" t="inlineStr">
        <is>
          <t>Draft</t>
        </is>
      </c>
    </row>
    <row r="257" ht="122" customHeight="1">
      <c r="A257" s="2" t="inlineStr">
        <is>
          <t>TC-256</t>
        </is>
      </c>
      <c r="B257" s="2" t="inlineStr">
        <is>
          <t>TS-051</t>
        </is>
      </c>
      <c r="C257" s="3" t="inlineStr">
        <is>
          <t>Yêu cầu nộp bỏ qua giao diện vẫn bị chạy lại mọi kiểm tra</t>
        </is>
      </c>
      <c r="D257" s="3" t="inlineStr">
        <is>
          <t>F5.12 Access, API and data</t>
        </is>
      </c>
      <c r="E257" s="3" t="inlineStr">
        <is>
          <t>F5 API (School user)</t>
        </is>
      </c>
      <c r="F257" s="2" t="inlineStr">
        <is>
          <t>S1 (highest)</t>
        </is>
      </c>
      <c r="G257" s="2" t="inlineStr">
        <is>
          <t>Critical</t>
        </is>
      </c>
      <c r="H257" s="2" t="inlineStr">
        <is>
          <t>Not Run</t>
        </is>
      </c>
      <c r="I257" s="2" t="inlineStr">
        <is>
          <t>Security</t>
        </is>
      </c>
      <c r="J257" s="3" t="inlineStr">
        <is>
          <t>Bản F5 có API (chưa có)
Chrome (latest)
Build: ghi khi chạy
Cần: ENV-R5-02, ENV-R5-03, ENV-R5-04</t>
        </is>
      </c>
      <c r="K257" s="3" t="inlineStr">
        <is>
          <t>1. Bản F5 có API chạy, dữ liệu SEED-R5 đã nạp.
2. Đã đăng nhập School user BVP-0012 Lan Nguyen, trường Bukit View Primary.</t>
        </is>
      </c>
      <c r="L257" s="3" t="inlineStr">
        <is>
          <t>Con SEED-R5-12, ngày 01/01/2027, NRIC trùng</t>
        </is>
      </c>
      <c r="M257" s="3" t="inlineStr">
        <is>
          <t>1. Gửi trực tiếp yêu cầu nộp với con 17 tuổi.
2. Gửi yêu cầu nộp khi form đóng.
3. Gửi yêu cầu nộp với NRIC trùng và thiếu chữ ký.</t>
        </is>
      </c>
      <c r="N257" s="3" t="inlineStr">
        <is>
          <t>1. Mỗi yêu cầu bị từ chối với thông báo của quy tắc tương ứng, không tạo đơn nào.</t>
        </is>
      </c>
      <c r="O257" s="3" t="n"/>
      <c r="P257"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7" s="3" t="n"/>
      <c r="R257" s="3" t="inlineStr">
        <is>
          <t>Tender R5, US-042, FS F5 v1.2: BR2, BR9, VR-F5-S03</t>
        </is>
      </c>
      <c r="S257" s="3" t="n"/>
      <c r="T257" s="2" t="inlineStr">
        <is>
          <t>Draft</t>
        </is>
      </c>
    </row>
    <row r="258" ht="122" customHeight="1">
      <c r="A258" s="2" t="inlineStr">
        <is>
          <t>TC-257</t>
        </is>
      </c>
      <c r="B258" s="2" t="inlineStr">
        <is>
          <t>TS-051</t>
        </is>
      </c>
      <c r="C258" s="3" t="inlineStr">
        <is>
          <t>Mã gia đình: nhiều con dùng chung, mẫu một con có mã riêng</t>
        </is>
      </c>
      <c r="D258" s="3" t="inlineStr">
        <is>
          <t>F5.12 Access, API and data</t>
        </is>
      </c>
      <c r="E258" s="3" t="inlineStr">
        <is>
          <t>F5 API (School user)</t>
        </is>
      </c>
      <c r="F258" s="2" t="inlineStr">
        <is>
          <t>S2</t>
        </is>
      </c>
      <c r="G258" s="2" t="inlineStr">
        <is>
          <t>Medium</t>
        </is>
      </c>
      <c r="H258" s="2" t="inlineStr">
        <is>
          <t>Not Run</t>
        </is>
      </c>
      <c r="I258" s="2" t="inlineStr">
        <is>
          <t>Functional</t>
        </is>
      </c>
      <c r="J258" s="3" t="inlineStr">
        <is>
          <t>Bản F5 có API (chưa có)
Chrome (latest)
Build: ghi khi chạy
Cần: ENV-R5-02, ENV-R5-03</t>
        </is>
      </c>
      <c r="K258" s="3" t="inlineStr">
        <is>
          <t>1. Bản F5 có API chạy, dữ liệu SEED-R5 đã nạp.
2. Đã đăng nhập School user BVP-0012 Lan Nguyen, trường Bukit View Primary.</t>
        </is>
      </c>
      <c r="L258" s="3" t="inlineStr">
        <is>
          <t>Mẫu hai con Tan Mei Ling và Tan Jun Kai; mẫu một con T1711010H</t>
        </is>
      </c>
      <c r="M258" s="3" t="inlineStr">
        <is>
          <t>1. Nộp một mẫu hai con và một mẫu một con.
2. Đọc mã gia đình của các đơn.</t>
        </is>
      </c>
      <c r="N258" s="3" t="inlineStr">
        <is>
          <t>1. Hai đơn của mẫu hai con có cùng mã gia đình.
2. Đơn của mẫu một con có mã gia đình riêng, khác hai mã kia.</t>
        </is>
      </c>
      <c r="O258" s="3" t="n"/>
      <c r="P258"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8" s="3" t="n"/>
      <c r="R258" s="3" t="inlineStr">
        <is>
          <t>Tender R5, US-042, FS F5 v1.2: BR1, VR-F5-S05</t>
        </is>
      </c>
      <c r="S258" s="3" t="n"/>
      <c r="T258" s="2" t="inlineStr">
        <is>
          <t>Draft</t>
        </is>
      </c>
    </row>
    <row r="259" ht="310.5" customHeight="1">
      <c r="A259" s="2" t="inlineStr">
        <is>
          <t>TC-258</t>
        </is>
      </c>
      <c r="B259" s="2" t="inlineStr">
        <is>
          <t>TS-051</t>
        </is>
      </c>
      <c r="C259" s="3" t="inlineStr">
        <is>
          <t>Nguồn dữ liệu ngoài lỗi khi nộp thì không nộp</t>
        </is>
      </c>
      <c r="D259" s="3" t="inlineStr">
        <is>
          <t>F5.12 Access, API and data</t>
        </is>
      </c>
      <c r="E259" s="3" t="inlineStr">
        <is>
          <t>F5 API (School user)</t>
        </is>
      </c>
      <c r="F259" s="2" t="inlineStr">
        <is>
          <t>S2</t>
        </is>
      </c>
      <c r="G259" s="2" t="inlineStr">
        <is>
          <t>High</t>
        </is>
      </c>
      <c r="H259" s="2" t="inlineStr">
        <is>
          <t>Not Run</t>
        </is>
      </c>
      <c r="I259" s="2" t="inlineStr">
        <is>
          <t>Integration</t>
        </is>
      </c>
      <c r="J259" s="3" t="inlineStr">
        <is>
          <t>Bản F5 có API (chưa có)
Chrome (latest)
Build: ghi khi chạy
Cần: ENV-R5-02, ENV-R5-07</t>
        </is>
      </c>
      <c r="K259" s="3" t="inlineStr">
        <is>
          <t>1. Bản F5 có API chạy, dữ liệu SEED-R5 đã nạp.
2. Đã đăng nhập School user BVP-0012 Lan Nguyen, trường Bukit View Primary.</t>
        </is>
      </c>
      <c r="L259" s="3" t="inlineStr"/>
      <c r="M259" s="3" t="inlineStr">
        <is>
          <t>1. Cho hồ sơ MOE lỗi rồi gọi nộp.
2. Cho API thu nhập Chính phủ lỗi rồi gọi nộp.</t>
        </is>
      </c>
      <c r="N259" s="3" t="inlineStr">
        <is>
          <t>1. Cả hai lần hiện "Something went wrong. Please try again.", không tạo đơn, không dùng thu nhập 0 thay thế.</t>
        </is>
      </c>
      <c r="O259" s="3" t="n"/>
      <c r="P259"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59" s="3" t="n"/>
      <c r="R259" s="3" t="inlineStr">
        <is>
          <t>Tender R5, US-042, FS F5 v1.2: FS 2, VR-F5-S10</t>
        </is>
      </c>
      <c r="S259" s="3" t="n"/>
      <c r="T259" s="2" t="inlineStr">
        <is>
          <t>Draft</t>
        </is>
      </c>
    </row>
    <row r="260" ht="296" customHeight="1">
      <c r="A260" s="2" t="inlineStr">
        <is>
          <t>TC-259</t>
        </is>
      </c>
      <c r="B260" s="2" t="inlineStr">
        <is>
          <t>TS-051</t>
        </is>
      </c>
      <c r="C260" s="3" t="inlineStr">
        <is>
          <t>Context 2 MB gửi qua API bị từ chối</t>
        </is>
      </c>
      <c r="D260" s="3" t="inlineStr">
        <is>
          <t>F5.12 Access, API and data</t>
        </is>
      </c>
      <c r="E260" s="3" t="inlineStr">
        <is>
          <t>F5 API (School user)</t>
        </is>
      </c>
      <c r="F260" s="2" t="inlineStr">
        <is>
          <t>S2</t>
        </is>
      </c>
      <c r="G260" s="2" t="inlineStr">
        <is>
          <t>Medium</t>
        </is>
      </c>
      <c r="H260" s="2" t="inlineStr">
        <is>
          <t>Not Run</t>
        </is>
      </c>
      <c r="I260" s="2" t="inlineStr">
        <is>
          <t>Security</t>
        </is>
      </c>
      <c r="J260" s="3" t="inlineStr">
        <is>
          <t>Bản F5 có API (chưa có)
Chrome (latest)
Build: ghi khi chạy
Cần: ENV-R5-02</t>
        </is>
      </c>
      <c r="K260" s="3" t="inlineStr">
        <is>
          <t>1. Bản F5 có API chạy, dữ liệu SEED-R5 đã nạp.
2. Đã đăng nhập School user BVP-0012 Lan Nguyen, trường Bukit View Primary.</t>
        </is>
      </c>
      <c r="L260" s="3" t="inlineStr">
        <is>
          <t>Context 2 MB</t>
        </is>
      </c>
      <c r="M260" s="3" t="inlineStr">
        <is>
          <t>1. Gửi yêu cầu lưu nháp với Context 2 MB.</t>
        </is>
      </c>
      <c r="N260" s="3" t="inlineStr">
        <is>
          <t>1. Yêu cầu bị từ chối vì vượt 2000 ký tự, máy chủ không lỗi và không treo.</t>
        </is>
      </c>
      <c r="O260" s="3" t="n"/>
      <c r="P260" s="3" t="inlineStr">
        <is>
          <t>ASM-R5-13: 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
ASM-R5-27: 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Q260" s="3" t="n"/>
      <c r="R260" s="3" t="inlineStr">
        <is>
          <t>Tender R5, US-042, FS F5 v1.2: BR5</t>
        </is>
      </c>
      <c r="S260" s="3" t="n"/>
      <c r="T260" s="2" t="inlineStr">
        <is>
          <t>Draft</t>
        </is>
      </c>
    </row>
    <row r="261" ht="122" customHeight="1">
      <c r="A261" s="2" t="inlineStr">
        <is>
          <t>TC-260</t>
        </is>
      </c>
      <c r="B261" s="2" t="inlineStr">
        <is>
          <t>TS-051</t>
        </is>
      </c>
      <c r="C261" s="3" t="inlineStr">
        <is>
          <t>File scan lưu ngoài thư mục web, tên do máy chủ đặt</t>
        </is>
      </c>
      <c r="D261" s="3" t="inlineStr">
        <is>
          <t>F5.12 Access, API and data</t>
        </is>
      </c>
      <c r="E261" s="3" t="inlineStr">
        <is>
          <t>F5 API (School user)</t>
        </is>
      </c>
      <c r="F261" s="2" t="inlineStr">
        <is>
          <t>S1 (highest)</t>
        </is>
      </c>
      <c r="G261" s="2" t="inlineStr">
        <is>
          <t>High</t>
        </is>
      </c>
      <c r="H261" s="2" t="inlineStr">
        <is>
          <t>Not Run</t>
        </is>
      </c>
      <c r="I261" s="2" t="inlineStr">
        <is>
          <t>Security</t>
        </is>
      </c>
      <c r="J261" s="3" t="inlineStr">
        <is>
          <t>Bản F5 có API (chưa có)
Chrome (latest)
Build: ghi khi chạy
Cần: ENV-R5-02</t>
        </is>
      </c>
      <c r="K261" s="3" t="inlineStr">
        <is>
          <t>1. Bản F5 có API chạy, dữ liệu SEED-R5 đã nạp.
2. Đã đăng nhập School user BVP-0012 Lan Nguyen, trường Bukit View Primary.</t>
        </is>
      </c>
      <c r="L261" s="3" t="inlineStr">
        <is>
          <t>scan_bvp_0667.pdf</t>
        </is>
      </c>
      <c r="M261" s="3" t="inlineStr">
        <is>
          <t>1. Tải một scan rồi kiểm tra vị trí lưu và tên lưu.
2. Thử mở file bằng địa chỉ đoán trước.</t>
        </is>
      </c>
      <c r="N261" s="3" t="inlineStr">
        <is>
          <t>1. File lưu ngoài thư mục web, tên lưu do máy chủ sinh.
2. Địa chỉ đoán trước không tải được.</t>
        </is>
      </c>
      <c r="O261" s="3" t="n"/>
      <c r="P261"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61" s="3" t="n"/>
      <c r="R261" s="3" t="inlineStr">
        <is>
          <t>Tender R5, US-042, FS F5 v1.2: VR-F5-S09</t>
        </is>
      </c>
      <c r="S261" s="3" t="n"/>
      <c r="T261" s="2" t="inlineStr">
        <is>
          <t>Draft</t>
        </is>
      </c>
    </row>
    <row r="262" ht="122" customHeight="1">
      <c r="A262" s="2" t="inlineStr">
        <is>
          <t>TC-261</t>
        </is>
      </c>
      <c r="B262" s="2" t="inlineStr">
        <is>
          <t>TS-052</t>
        </is>
      </c>
      <c r="C262" s="3" t="inlineStr">
        <is>
          <t>Ngày, giờ và tiền theo DD/MM/YYYY, HH:mm giờ Singapore, S$ #,##0.00</t>
        </is>
      </c>
      <c r="D262" s="3" t="inlineStr">
        <is>
          <t>F5.12 Access, API and data</t>
        </is>
      </c>
      <c r="E262" s="3" t="inlineStr">
        <is>
          <t>Nhiều màn của F5</t>
        </is>
      </c>
      <c r="F262" s="2" t="inlineStr">
        <is>
          <t>S3</t>
        </is>
      </c>
      <c r="G262" s="2" t="inlineStr">
        <is>
          <t>Medium</t>
        </is>
      </c>
      <c r="H262" s="2" t="inlineStr">
        <is>
          <t>Not Run</t>
        </is>
      </c>
      <c r="I262" s="2" t="inlineStr">
        <is>
          <t>UI</t>
        </is>
      </c>
      <c r="J262" s="3" t="inlineStr">
        <is>
          <t>Prototype: edusave.vercel.app (ngày mẫu 18/10/2026)
Chrome (latest)
Build: ghi khi chạy
Cần: ENV-R5-01</t>
        </is>
      </c>
      <c r="K262" s="3" t="inlineStr">
        <is>
          <t>1. Prototype ở trạng thái gốc (dùng Reset data).
2. Đã đăng nhập School user BVP-0012 Lan Nguyen, trường Bukit View Primary.
3. Màn Upload applications đang mở.</t>
        </is>
      </c>
      <c r="L262" s="3" t="inlineStr"/>
      <c r="M262" s="3" t="inlineStr">
        <is>
          <t>1. Đọc Uploaded at, Date of birth, Date signed, Date received, GHI và PCI ở danh sách, màn Review, hộp thoại và View application.</t>
        </is>
      </c>
      <c r="N262" s="3" t="inlineStr">
        <is>
          <t>1. Ngày dạng DD/MM/YYYY, giờ HH:mm theo giờ Singapore, tiền dạng S$ 4,300.00.</t>
        </is>
      </c>
      <c r="O262" s="3" t="n"/>
      <c r="P262" s="3" t="inlineStr">
        <is>
          <t>ASM-R5-28: 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Q262" s="3" t="n"/>
      <c r="R262" s="3" t="inlineStr">
        <is>
          <t>Tender R5, US-042, FS F5 v1.2: VR-F5-S13, F4 mục 8.1</t>
        </is>
      </c>
      <c r="S262" s="3" t="n"/>
      <c r="T262" s="2" t="inlineStr">
        <is>
          <t>Draft</t>
        </is>
      </c>
    </row>
  </sheetData>
  <autoFilter ref="A1:T262"/>
  <conditionalFormatting sqref="H2:H262">
    <cfRule type="cellIs" priority="1" operator="equal" dxfId="0">
      <formula>"Passed"</formula>
    </cfRule>
    <cfRule type="cellIs" priority="2" operator="equal" dxfId="1">
      <formula>"Failed"</formula>
    </cfRule>
  </conditionalFormatting>
  <conditionalFormatting sqref="T2:T262">
    <cfRule type="cellIs" priority="3" operator="equal" dxfId="0">
      <formula>"Approve"</formula>
    </cfRule>
    <cfRule type="cellIs" priority="4" operator="equal" dxfId="2">
      <formula>"Draft"</formula>
    </cfRule>
    <cfRule type="cellIs" priority="5" operator="equal" dxfId="1">
      <formula>"Block"</formula>
    </cfRule>
    <cfRule type="cellIs" priority="6" operator="equal" dxfId="1">
      <formula>"Reject"</formula>
    </cfRule>
  </conditionalFormatting>
  <dataValidations count="4">
    <dataValidation sqref="F2:F262" showDropDown="0" showInputMessage="0" showErrorMessage="0" allowBlank="1" type="list">
      <formula1>"S1 (highest),S2,S3,S4 (lowest)"</formula1>
    </dataValidation>
    <dataValidation sqref="G2:G262" showDropDown="0" showInputMessage="0" showErrorMessage="0" allowBlank="1" type="list">
      <formula1>"Critical,High,Medium,Low"</formula1>
    </dataValidation>
    <dataValidation sqref="H2:H262" showDropDown="0" showInputMessage="0" showErrorMessage="0" allowBlank="1" type="list">
      <formula1>"Passed,Failed,Blocked,Not Run"</formula1>
    </dataValidation>
    <dataValidation sqref="T2:T262" showDropDown="0" showInputMessage="0" showErrorMessage="0" allowBlank="1" type="list">
      <formula1>"Approve,Draft,Block,Reject"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16" customWidth="1" min="3" max="3"/>
    <col width="14" customWidth="1" min="4" max="4"/>
    <col width="16" customWidth="1" min="5" max="5"/>
    <col width="20" customWidth="1" min="6" max="6"/>
    <col width="26" customWidth="1" min="7" max="7"/>
    <col width="36" customWidth="1" min="8" max="8"/>
    <col width="44" customWidth="1" min="9" max="9"/>
    <col width="32" customWidth="1" min="10" max="10"/>
    <col width="32" customWidth="1" min="11" max="11"/>
    <col width="20" customWidth="1" min="12" max="12"/>
    <col width="26" customWidth="1" min="13" max="13"/>
    <col width="32" customWidth="1" min="14" max="14"/>
  </cols>
  <sheetData>
    <row r="1" ht="34.5" customHeight="1">
      <c r="A1" s="1" t="inlineStr">
        <is>
          <t>Defect ID</t>
        </is>
      </c>
      <c r="B1" s="1" t="inlineStr">
        <is>
          <t>Defect Summary</t>
        </is>
      </c>
      <c r="C1" s="1" t="inlineStr">
        <is>
          <t>Severity</t>
        </is>
      </c>
      <c r="D1" s="1" t="inlineStr">
        <is>
          <t>Priority</t>
        </is>
      </c>
      <c r="E1" s="1" t="inlineStr">
        <is>
          <t>Status</t>
        </is>
      </c>
      <c r="F1" s="1" t="inlineStr">
        <is>
          <t>Defect Type</t>
        </is>
      </c>
      <c r="G1" s="1" t="inlineStr">
        <is>
          <t>Environment</t>
        </is>
      </c>
      <c r="H1" s="1" t="inlineStr">
        <is>
          <t>Preconditions</t>
        </is>
      </c>
      <c r="I1" s="1" t="inlineStr">
        <is>
          <t>Steps to Reproduce</t>
        </is>
      </c>
      <c r="J1" s="1" t="inlineStr">
        <is>
          <t>Expected Result</t>
        </is>
      </c>
      <c r="K1" s="1" t="inlineStr">
        <is>
          <t>Actual Result</t>
        </is>
      </c>
      <c r="L1" s="1" t="inlineStr">
        <is>
          <t>Linked Test Case(s)</t>
        </is>
      </c>
      <c r="M1" s="1" t="inlineStr">
        <is>
          <t>Evidence</t>
        </is>
      </c>
      <c r="N1" s="1" t="inlineStr">
        <is>
          <t>Notes</t>
        </is>
      </c>
    </row>
  </sheetData>
  <dataValidations count="3">
    <dataValidation sqref="C2:C31" showDropDown="0" showInputMessage="0" showErrorMessage="0" allowBlank="1" type="list">
      <formula1>"S0 (highest),S1,S2,S3 (lowest)"</formula1>
    </dataValidation>
    <dataValidation sqref="D2:D31" showDropDown="0" showInputMessage="0" showErrorMessage="0" allowBlank="1" type="list">
      <formula1>"Critical,High,Medium,Low"</formula1>
    </dataValidation>
    <dataValidation sqref="E2:E31" showDropDown="0" showInputMessage="0" showErrorMessage="0" allowBlank="1" type="list">
      <formula1>"Open,In Progress,Resolved,Closed,Rejected,Deferred"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2" customWidth="1" min="6" max="6"/>
    <col width="12" customWidth="1" min="7" max="7"/>
    <col width="12" customWidth="1" min="8" max="8"/>
  </cols>
  <sheetData>
    <row r="1" ht="18" customHeight="1">
      <c r="A1" s="4" t="inlineStr">
        <is>
          <t>R5 FAS Paper Applications: Test Cases v1.0, Summary</t>
        </is>
      </c>
    </row>
    <row r="2" ht="45" customHeight="1">
      <c r="A2" s="5" t="inlineStr">
        <is>
          <t>Phạm vi: các case chức năng, UI, tích hợp và bảo mật cho Function 5, nhập đơn FAS giấy (yêu cầu thầu R5, user story US-042 và US-043 trong Product Backlog V2, kèm US-049 và US-050 cho phần phân luồng sau khi nộp). Gồm màn Upload applications, hộp thoại Upload scans, màn Review application (Part 1 đến Part 5), kiểm tra hợp lệ, hộp thoại Review before submitting, nộp và phân luồng, xem và sửa đơn đã nộp, quyền truy cập và quy tắc máy chủ.</t>
        </is>
      </c>
    </row>
    <row r="3" ht="32" customHeight="1">
      <c r="A3" s="5" t="inlineStr">
        <is>
          <t>Căn cứ: FS F5 v1.2 ngày 21/10/2026 (BA, file FS05.md) và quy tắc kiểm tra R5_FAS_Validation_Rules.docx do QA lập từ FS. Mọi kết quả mong đợi lấy từ FS hoặc từ hành vi prototype mà case nêu tên. Phần FS chưa nói rõ được ghi thành giả định trong sheet Assumptions.</t>
        </is>
      </c>
    </row>
    <row r="5" ht="15.75" customHeight="1">
      <c r="A5" s="6" t="inlineStr">
        <is>
          <t>Test cases</t>
        </is>
      </c>
    </row>
    <row r="6" ht="27.75" customHeight="1">
      <c r="A6" s="1" t="inlineStr">
        <is>
          <t>Measure</t>
        </is>
      </c>
      <c r="B6" s="1" t="inlineStr">
        <is>
          <t>Count</t>
        </is>
      </c>
    </row>
    <row r="7" ht="18" customHeight="1">
      <c r="A7" s="7" t="inlineStr">
        <is>
          <t>Total test cases</t>
        </is>
      </c>
      <c r="B7" s="8">
        <f>COUNTA('Test cases '!$A$2:$A$262)</f>
        <v/>
      </c>
    </row>
    <row r="8" ht="18" customHeight="1">
      <c r="A8" s="7" t="inlineStr">
        <is>
          <t>Scenarios</t>
        </is>
      </c>
      <c r="B8" s="8">
        <f>COUNTA(Scenarios!$A$2:$A$53)</f>
        <v/>
      </c>
    </row>
    <row r="9" ht="18" customHeight="1">
      <c r="A9" s="7" t="inlineStr">
        <is>
          <t>Open assumptions and environment items</t>
        </is>
      </c>
      <c r="B9" s="8">
        <f>COUNTIF(Assumptions!$I$2:$I$37,"Open")</f>
        <v/>
      </c>
    </row>
    <row r="10" ht="18" customHeight="1">
      <c r="A10" s="7" t="inlineStr">
        <is>
          <t>Questions to answer</t>
        </is>
      </c>
      <c r="B10" s="8">
        <f>COUNTA(Questions!$A$2:$A$30)</f>
        <v/>
      </c>
    </row>
    <row r="12" ht="15.75" customHeight="1">
      <c r="A12" s="6" t="inlineStr">
        <is>
          <t>By Execution Status</t>
        </is>
      </c>
    </row>
    <row r="13" ht="27.75" customHeight="1">
      <c r="A13" s="1" t="inlineStr">
        <is>
          <t>Execution Status</t>
        </is>
      </c>
      <c r="B13" s="1" t="inlineStr">
        <is>
          <t>Count</t>
        </is>
      </c>
    </row>
    <row r="14" ht="18" customHeight="1">
      <c r="A14" s="7" t="inlineStr">
        <is>
          <t>Not Run</t>
        </is>
      </c>
      <c r="B14" s="8">
        <f>COUNTIF('Test cases '!$H$2:$H$262,$A14)</f>
        <v/>
      </c>
    </row>
    <row r="15" ht="18" customHeight="1">
      <c r="A15" s="7" t="inlineStr">
        <is>
          <t>Passed</t>
        </is>
      </c>
      <c r="B15" s="8">
        <f>COUNTIF('Test cases '!$H$2:$H$262,$A15)</f>
        <v/>
      </c>
    </row>
    <row r="16" ht="18" customHeight="1">
      <c r="A16" s="7" t="inlineStr">
        <is>
          <t>Failed</t>
        </is>
      </c>
      <c r="B16" s="8">
        <f>COUNTIF('Test cases '!$H$2:$H$262,$A16)</f>
        <v/>
      </c>
    </row>
    <row r="17" ht="18" customHeight="1">
      <c r="A17" s="7" t="inlineStr">
        <is>
          <t>Blocked</t>
        </is>
      </c>
      <c r="B17" s="8">
        <f>COUNTIF('Test cases '!$H$2:$H$262,$A17)</f>
        <v/>
      </c>
    </row>
    <row r="19" ht="15.75" customHeight="1">
      <c r="A19" s="6" t="inlineStr">
        <is>
          <t>By Review Status</t>
        </is>
      </c>
    </row>
    <row r="20" ht="27.75" customHeight="1">
      <c r="A20" s="1" t="inlineStr">
        <is>
          <t>Review Status</t>
        </is>
      </c>
      <c r="B20" s="1" t="inlineStr">
        <is>
          <t>Count</t>
        </is>
      </c>
    </row>
    <row r="21" ht="18" customHeight="1">
      <c r="A21" s="7" t="inlineStr">
        <is>
          <t>Approve</t>
        </is>
      </c>
      <c r="B21" s="8">
        <f>COUNTIF('Test cases '!$T$2:$T$262,$A21)</f>
        <v/>
      </c>
    </row>
    <row r="22" ht="18" customHeight="1">
      <c r="A22" s="7" t="inlineStr">
        <is>
          <t>Draft</t>
        </is>
      </c>
      <c r="B22" s="8">
        <f>COUNTIF('Test cases '!$T$2:$T$262,$A22)</f>
        <v/>
      </c>
    </row>
    <row r="23" ht="18" customHeight="1">
      <c r="A23" s="7" t="inlineStr">
        <is>
          <t>Block</t>
        </is>
      </c>
      <c r="B23" s="8">
        <f>COUNTIF('Test cases '!$T$2:$T$262,$A23)</f>
        <v/>
      </c>
    </row>
    <row r="24" ht="18" customHeight="1">
      <c r="A24" s="7" t="inlineStr">
        <is>
          <t>Reject</t>
        </is>
      </c>
      <c r="B24" s="8">
        <f>COUNTIF('Test cases '!$T$2:$T$262,$A24)</f>
        <v/>
      </c>
    </row>
    <row r="26" ht="15.75" customHeight="1">
      <c r="A26" s="6" t="inlineStr">
        <is>
          <t>By Severity</t>
        </is>
      </c>
    </row>
    <row r="27" ht="27.75" customHeight="1">
      <c r="A27" s="1" t="inlineStr">
        <is>
          <t>Severity</t>
        </is>
      </c>
      <c r="B27" s="1" t="inlineStr">
        <is>
          <t>Count</t>
        </is>
      </c>
    </row>
    <row r="28" ht="18" customHeight="1">
      <c r="A28" s="7" t="inlineStr">
        <is>
          <t>S1 (highest)</t>
        </is>
      </c>
      <c r="B28" s="8">
        <f>COUNTIF('Test cases '!$F$2:$F$262,$A28)</f>
        <v/>
      </c>
    </row>
    <row r="29" ht="18" customHeight="1">
      <c r="A29" s="7" t="inlineStr">
        <is>
          <t>S2</t>
        </is>
      </c>
      <c r="B29" s="8">
        <f>COUNTIF('Test cases '!$F$2:$F$262,$A29)</f>
        <v/>
      </c>
    </row>
    <row r="30" ht="18" customHeight="1">
      <c r="A30" s="7" t="inlineStr">
        <is>
          <t>S3</t>
        </is>
      </c>
      <c r="B30" s="8">
        <f>COUNTIF('Test cases '!$F$2:$F$262,$A30)</f>
        <v/>
      </c>
    </row>
    <row r="31" ht="18" customHeight="1">
      <c r="A31" s="7" t="inlineStr">
        <is>
          <t>S4 (lowest)</t>
        </is>
      </c>
      <c r="B31" s="8">
        <f>COUNTIF('Test cases '!$F$2:$F$262,$A31)</f>
        <v/>
      </c>
    </row>
    <row r="33" ht="15.75" customHeight="1">
      <c r="A33" s="6" t="inlineStr">
        <is>
          <t>By Priority</t>
        </is>
      </c>
    </row>
    <row r="34" ht="27.75" customHeight="1">
      <c r="A34" s="1" t="inlineStr">
        <is>
          <t>Priority</t>
        </is>
      </c>
      <c r="B34" s="1" t="inlineStr">
        <is>
          <t>Count</t>
        </is>
      </c>
    </row>
    <row r="35" ht="18" customHeight="1">
      <c r="A35" s="7" t="inlineStr">
        <is>
          <t>Critical</t>
        </is>
      </c>
      <c r="B35" s="8">
        <f>COUNTIF('Test cases '!$G$2:$G$262,$A35)</f>
        <v/>
      </c>
    </row>
    <row r="36" ht="18" customHeight="1">
      <c r="A36" s="7" t="inlineStr">
        <is>
          <t>High</t>
        </is>
      </c>
      <c r="B36" s="8">
        <f>COUNTIF('Test cases '!$G$2:$G$262,$A36)</f>
        <v/>
      </c>
    </row>
    <row r="37" ht="18" customHeight="1">
      <c r="A37" s="7" t="inlineStr">
        <is>
          <t>Medium</t>
        </is>
      </c>
      <c r="B37" s="8">
        <f>COUNTIF('Test cases '!$G$2:$G$262,$A37)</f>
        <v/>
      </c>
    </row>
    <row r="38" ht="18" customHeight="1">
      <c r="A38" s="7" t="inlineStr">
        <is>
          <t>Low</t>
        </is>
      </c>
      <c r="B38" s="8">
        <f>COUNTIF('Test cases '!$G$2:$G$262,$A38)</f>
        <v/>
      </c>
    </row>
    <row r="40" ht="15.75" customHeight="1">
      <c r="A40" s="6" t="inlineStr">
        <is>
          <t>By Test Type</t>
        </is>
      </c>
    </row>
    <row r="41" ht="27.75" customHeight="1">
      <c r="A41" s="1" t="inlineStr">
        <is>
          <t>Test Type</t>
        </is>
      </c>
      <c r="B41" s="1" t="inlineStr">
        <is>
          <t>Count</t>
        </is>
      </c>
    </row>
    <row r="42" ht="18" customHeight="1">
      <c r="A42" s="7" t="inlineStr">
        <is>
          <t>Functional</t>
        </is>
      </c>
      <c r="B42" s="8">
        <f>COUNTIF('Test cases '!$I$2:$I$262,$A42)</f>
        <v/>
      </c>
    </row>
    <row r="43" ht="18" customHeight="1">
      <c r="A43" s="7" t="inlineStr">
        <is>
          <t>Integration</t>
        </is>
      </c>
      <c r="B43" s="8">
        <f>COUNTIF('Test cases '!$I$2:$I$262,$A43)</f>
        <v/>
      </c>
    </row>
    <row r="44" ht="18" customHeight="1">
      <c r="A44" s="7" t="inlineStr">
        <is>
          <t>API</t>
        </is>
      </c>
      <c r="B44" s="8">
        <f>COUNTIF('Test cases '!$I$2:$I$262,$A44)</f>
        <v/>
      </c>
    </row>
    <row r="45" ht="18" customHeight="1">
      <c r="A45" s="7" t="inlineStr">
        <is>
          <t>Security</t>
        </is>
      </c>
      <c r="B45" s="8">
        <f>COUNTIF('Test cases '!$I$2:$I$262,$A45)</f>
        <v/>
      </c>
    </row>
    <row r="46" ht="18" customHeight="1">
      <c r="A46" s="7" t="inlineStr">
        <is>
          <t>UI</t>
        </is>
      </c>
      <c r="B46" s="8">
        <f>COUNTIF('Test cases '!$I$2:$I$262,$A46)</f>
        <v/>
      </c>
    </row>
    <row r="47" ht="18" customHeight="1">
      <c r="A47" s="7" t="inlineStr">
        <is>
          <t>Non-functional</t>
        </is>
      </c>
      <c r="B47" s="8">
        <f>COUNTIF('Test cases '!$I$2:$I$262,$A47)</f>
        <v/>
      </c>
    </row>
    <row r="49" ht="15.75" customHeight="1">
      <c r="A49" s="6" t="inlineStr">
        <is>
          <t>By Test Suite</t>
        </is>
      </c>
    </row>
    <row r="50" ht="27.75" customHeight="1">
      <c r="A50" s="1" t="inlineStr">
        <is>
          <t>Test Suite</t>
        </is>
      </c>
      <c r="B50" s="1" t="inlineStr">
        <is>
          <t>Cases</t>
        </is>
      </c>
      <c r="C50" s="1" t="inlineStr">
        <is>
          <t>Approve</t>
        </is>
      </c>
      <c r="D50" s="1" t="inlineStr">
        <is>
          <t>Draft</t>
        </is>
      </c>
      <c r="E50" s="1" t="inlineStr">
        <is>
          <t>Block</t>
        </is>
      </c>
    </row>
    <row r="51" ht="18" customHeight="1">
      <c r="A51" s="7" t="inlineStr">
        <is>
          <t>F5.1 Upload applications list</t>
        </is>
      </c>
      <c r="B51" s="8">
        <f>COUNTIF('Test cases '!$D$2:$D$262,$A51)</f>
        <v/>
      </c>
      <c r="C51" s="8">
        <f>COUNTIFS('Test cases '!$D$2:$D$262,$A51,'Test cases '!$T$2:$T$262,"Approve")</f>
        <v/>
      </c>
      <c r="D51" s="8">
        <f>COUNTIFS('Test cases '!$D$2:$D$262,$A51,'Test cases '!$T$2:$T$262,"Draft")</f>
        <v/>
      </c>
      <c r="E51" s="8">
        <f>COUNTIFS('Test cases '!$D$2:$D$262,$A51,'Test cases '!$T$2:$T$262,"Block")</f>
        <v/>
      </c>
    </row>
    <row r="52" ht="18" customHeight="1">
      <c r="A52" s="7" t="inlineStr">
        <is>
          <t>F5.2 Upload scans dialog</t>
        </is>
      </c>
      <c r="B52" s="8">
        <f>COUNTIF('Test cases '!$D$2:$D$262,$A52)</f>
        <v/>
      </c>
      <c r="C52" s="8">
        <f>COUNTIFS('Test cases '!$D$2:$D$262,$A52,'Test cases '!$T$2:$T$262,"Approve")</f>
        <v/>
      </c>
      <c r="D52" s="8">
        <f>COUNTIFS('Test cases '!$D$2:$D$262,$A52,'Test cases '!$T$2:$T$262,"Draft")</f>
        <v/>
      </c>
      <c r="E52" s="8">
        <f>COUNTIFS('Test cases '!$D$2:$D$262,$A52,'Test cases '!$T$2:$T$262,"Block")</f>
        <v/>
      </c>
    </row>
    <row r="53" ht="18" customHeight="1">
      <c r="A53" s="7" t="inlineStr">
        <is>
          <t>F5.3 Review application, Part 1 Applicant</t>
        </is>
      </c>
      <c r="B53" s="8">
        <f>COUNTIF('Test cases '!$D$2:$D$262,$A53)</f>
        <v/>
      </c>
      <c r="C53" s="8">
        <f>COUNTIFS('Test cases '!$D$2:$D$262,$A53,'Test cases '!$T$2:$T$262,"Approve")</f>
        <v/>
      </c>
      <c r="D53" s="8">
        <f>COUNTIFS('Test cases '!$D$2:$D$262,$A53,'Test cases '!$T$2:$T$262,"Draft")</f>
        <v/>
      </c>
      <c r="E53" s="8">
        <f>COUNTIFS('Test cases '!$D$2:$D$262,$A53,'Test cases '!$T$2:$T$262,"Block")</f>
        <v/>
      </c>
    </row>
    <row r="54" ht="18" customHeight="1">
      <c r="A54" s="7" t="inlineStr">
        <is>
          <t>F5.4 Review application, Part 2 Children</t>
        </is>
      </c>
      <c r="B54" s="8">
        <f>COUNTIF('Test cases '!$D$2:$D$262,$A54)</f>
        <v/>
      </c>
      <c r="C54" s="8">
        <f>COUNTIFS('Test cases '!$D$2:$D$262,$A54,'Test cases '!$T$2:$T$262,"Approve")</f>
        <v/>
      </c>
      <c r="D54" s="8">
        <f>COUNTIFS('Test cases '!$D$2:$D$262,$A54,'Test cases '!$T$2:$T$262,"Draft")</f>
        <v/>
      </c>
      <c r="E54" s="8">
        <f>COUNTIFS('Test cases '!$D$2:$D$262,$A54,'Test cases '!$T$2:$T$262,"Block")</f>
        <v/>
      </c>
    </row>
    <row r="55" ht="18" customHeight="1">
      <c r="A55" s="7" t="inlineStr">
        <is>
          <t>F5.5 Review application, Part 3 Family and household</t>
        </is>
      </c>
      <c r="B55" s="8">
        <f>COUNTIF('Test cases '!$D$2:$D$262,$A55)</f>
        <v/>
      </c>
      <c r="C55" s="8">
        <f>COUNTIFS('Test cases '!$D$2:$D$262,$A55,'Test cases '!$T$2:$T$262,"Approve")</f>
        <v/>
      </c>
      <c r="D55" s="8">
        <f>COUNTIFS('Test cases '!$D$2:$D$262,$A55,'Test cases '!$T$2:$T$262,"Draft")</f>
        <v/>
      </c>
      <c r="E55" s="8">
        <f>COUNTIFS('Test cases '!$D$2:$D$262,$A55,'Test cases '!$T$2:$T$262,"Block")</f>
        <v/>
      </c>
    </row>
    <row r="56" ht="18" customHeight="1">
      <c r="A56" s="7" t="inlineStr">
        <is>
          <t>F5.6 Review application, Part 4 Context and Part 5 Declaration</t>
        </is>
      </c>
      <c r="B56" s="8">
        <f>COUNTIF('Test cases '!$D$2:$D$262,$A56)</f>
        <v/>
      </c>
      <c r="C56" s="8">
        <f>COUNTIFS('Test cases '!$D$2:$D$262,$A56,'Test cases '!$T$2:$T$262,"Approve")</f>
        <v/>
      </c>
      <c r="D56" s="8">
        <f>COUNTIFS('Test cases '!$D$2:$D$262,$A56,'Test cases '!$T$2:$T$262,"Draft")</f>
        <v/>
      </c>
      <c r="E56" s="8">
        <f>COUNTIFS('Test cases '!$D$2:$D$262,$A56,'Test cases '!$T$2:$T$262,"Block")</f>
        <v/>
      </c>
    </row>
    <row r="57" ht="18" customHeight="1">
      <c r="A57" s="7" t="inlineStr">
        <is>
          <t>F5.7 Drafts</t>
        </is>
      </c>
      <c r="B57" s="8">
        <f>COUNTIF('Test cases '!$D$2:$D$262,$A57)</f>
        <v/>
      </c>
      <c r="C57" s="8">
        <f>COUNTIFS('Test cases '!$D$2:$D$262,$A57,'Test cases '!$T$2:$T$262,"Approve")</f>
        <v/>
      </c>
      <c r="D57" s="8">
        <f>COUNTIFS('Test cases '!$D$2:$D$262,$A57,'Test cases '!$T$2:$T$262,"Draft")</f>
        <v/>
      </c>
      <c r="E57" s="8">
        <f>COUNTIFS('Test cases '!$D$2:$D$262,$A57,'Test cases '!$T$2:$T$262,"Block")</f>
        <v/>
      </c>
    </row>
    <row r="58" ht="18" customHeight="1">
      <c r="A58" s="7" t="inlineStr">
        <is>
          <t>F5.8 Review and submit validation</t>
        </is>
      </c>
      <c r="B58" s="8">
        <f>COUNTIF('Test cases '!$D$2:$D$262,$A58)</f>
        <v/>
      </c>
      <c r="C58" s="8">
        <f>COUNTIFS('Test cases '!$D$2:$D$262,$A58,'Test cases '!$T$2:$T$262,"Approve")</f>
        <v/>
      </c>
      <c r="D58" s="8">
        <f>COUNTIFS('Test cases '!$D$2:$D$262,$A58,'Test cases '!$T$2:$T$262,"Draft")</f>
        <v/>
      </c>
      <c r="E58" s="8">
        <f>COUNTIFS('Test cases '!$D$2:$D$262,$A58,'Test cases '!$T$2:$T$262,"Block")</f>
        <v/>
      </c>
    </row>
    <row r="59" ht="18" customHeight="1">
      <c r="A59" s="7" t="inlineStr">
        <is>
          <t>F5.9 Review before submitting dialog</t>
        </is>
      </c>
      <c r="B59" s="8">
        <f>COUNTIF('Test cases '!$D$2:$D$262,$A59)</f>
        <v/>
      </c>
      <c r="C59" s="8">
        <f>COUNTIFS('Test cases '!$D$2:$D$262,$A59,'Test cases '!$T$2:$T$262,"Approve")</f>
        <v/>
      </c>
      <c r="D59" s="8">
        <f>COUNTIFS('Test cases '!$D$2:$D$262,$A59,'Test cases '!$T$2:$T$262,"Draft")</f>
        <v/>
      </c>
      <c r="E59" s="8">
        <f>COUNTIFS('Test cases '!$D$2:$D$262,$A59,'Test cases '!$T$2:$T$262,"Block")</f>
        <v/>
      </c>
    </row>
    <row r="60" ht="18" customHeight="1">
      <c r="A60" s="7" t="inlineStr">
        <is>
          <t>F5.10 Confirm and submit and routing</t>
        </is>
      </c>
      <c r="B60" s="8">
        <f>COUNTIF('Test cases '!$D$2:$D$262,$A60)</f>
        <v/>
      </c>
      <c r="C60" s="8">
        <f>COUNTIFS('Test cases '!$D$2:$D$262,$A60,'Test cases '!$T$2:$T$262,"Approve")</f>
        <v/>
      </c>
      <c r="D60" s="8">
        <f>COUNTIFS('Test cases '!$D$2:$D$262,$A60,'Test cases '!$T$2:$T$262,"Draft")</f>
        <v/>
      </c>
      <c r="E60" s="8">
        <f>COUNTIFS('Test cases '!$D$2:$D$262,$A60,'Test cases '!$T$2:$T$262,"Block")</f>
        <v/>
      </c>
    </row>
    <row r="61" ht="18" customHeight="1">
      <c r="A61" s="7" t="inlineStr">
        <is>
          <t>F5.11 View and edit submitted application</t>
        </is>
      </c>
      <c r="B61" s="8">
        <f>COUNTIF('Test cases '!$D$2:$D$262,$A61)</f>
        <v/>
      </c>
      <c r="C61" s="8">
        <f>COUNTIFS('Test cases '!$D$2:$D$262,$A61,'Test cases '!$T$2:$T$262,"Approve")</f>
        <v/>
      </c>
      <c r="D61" s="8">
        <f>COUNTIFS('Test cases '!$D$2:$D$262,$A61,'Test cases '!$T$2:$T$262,"Draft")</f>
        <v/>
      </c>
      <c r="E61" s="8">
        <f>COUNTIFS('Test cases '!$D$2:$D$262,$A61,'Test cases '!$T$2:$T$262,"Block")</f>
        <v/>
      </c>
    </row>
    <row r="62" ht="18" customHeight="1">
      <c r="A62" s="7" t="inlineStr">
        <is>
          <t>F5.12 Access, API and data</t>
        </is>
      </c>
      <c r="B62" s="8">
        <f>COUNTIF('Test cases '!$D$2:$D$262,$A62)</f>
        <v/>
      </c>
      <c r="C62" s="8">
        <f>COUNTIFS('Test cases '!$D$2:$D$262,$A62,'Test cases '!$T$2:$T$262,"Approve")</f>
        <v/>
      </c>
      <c r="D62" s="8">
        <f>COUNTIFS('Test cases '!$D$2:$D$262,$A62,'Test cases '!$T$2:$T$262,"Draft")</f>
        <v/>
      </c>
      <c r="E62" s="8">
        <f>COUNTIFS('Test cases '!$D$2:$D$262,$A62,'Test cases '!$T$2:$T$262,"Block")</f>
        <v/>
      </c>
    </row>
    <row r="64" ht="15.75" customHeight="1">
      <c r="A64" s="6" t="inlineStr">
        <is>
          <t>Rules applied</t>
        </is>
      </c>
    </row>
    <row r="65" ht="27.75" customHeight="1">
      <c r="A65" s="1" t="inlineStr">
        <is>
          <t>Rule</t>
        </is>
      </c>
      <c r="B65" s="1" t="inlineStr">
        <is>
          <t>Source</t>
        </is>
      </c>
      <c r="C65" s="9" t="n"/>
    </row>
    <row r="66" ht="45" customHeight="1">
      <c r="A66" s="10" t="inlineStr">
        <is>
          <t>Review Status: Approve nghĩa là kết quả mong đợi có nguồn rõ và Assumption Ref ghi N/A. Draft nghĩa là còn ít nhất một giả định mở, ghi tên ở cột Assumption Ref. Block nghĩa là không thể đưa ra giả định hợp lý.</t>
        </is>
      </c>
      <c r="B66" s="10" t="inlineStr">
        <is>
          <t>Quy tắc của người dùng, như workbook R4</t>
        </is>
      </c>
      <c r="C66" s="9" t="n"/>
    </row>
    <row r="67" ht="32" customHeight="1">
      <c r="A67" s="10" t="inlineStr">
        <is>
          <t>Assumption Ref liệt kê các giả định mở kèm nội dung. Case không có giả định ghi N/A.</t>
        </is>
      </c>
      <c r="B67" s="10" t="inlineStr">
        <is>
          <t>Quy tắc của người dùng, như workbook R4</t>
        </is>
      </c>
      <c r="C67" s="9" t="n"/>
    </row>
    <row r="68" ht="32" customHeight="1">
      <c r="A68" s="10" t="inlineStr">
        <is>
          <t>Execution Status của mọi case là Not Run và Actual Result để trống, vì chưa có lần chạy nào trên prototype hay bản F5 có API.</t>
        </is>
      </c>
      <c r="B68" s="10" t="inlineStr">
        <is>
          <t>Mẫu Templates.xlsx</t>
        </is>
      </c>
      <c r="C68" s="9" t="n"/>
    </row>
    <row r="69" ht="32" customHeight="1">
      <c r="A69" s="10" t="inlineStr">
        <is>
          <t>Mỗi case ghi các mục môi trường cần ở cột Environment (ENV-R5-01 đến ENV-R5-07 trong sheet Assumptions). Build ghi vào lúc chạy.</t>
        </is>
      </c>
      <c r="B69" s="10" t="inlineStr">
        <is>
          <t>Thiết kế của QA</t>
        </is>
      </c>
      <c r="C69" s="9" t="n"/>
    </row>
    <row r="70" ht="32" customHeight="1">
      <c r="A70" s="10" t="inlineStr">
        <is>
          <t>Dữ liệu test lấy từ sheet Seed Data. Case làm đổi dữ liệu bắt đầu bằng Reset data. SEED-R5-nn là dữ liệu mới Dev cần nạp.</t>
        </is>
      </c>
      <c r="B70" s="10" t="inlineStr">
        <is>
          <t>Thiết kế của QA</t>
        </is>
      </c>
      <c r="C70" s="9" t="n"/>
    </row>
    <row r="71" ht="32" customHeight="1">
      <c r="A71" s="10" t="inlineStr">
        <is>
          <t>Mỗi kết quả mong đợi nêu nguồn FS ở cột Traceability. Cột này cũng ghi mã user story của Product Backlog V2.</t>
        </is>
      </c>
      <c r="B71" s="10" t="inlineStr">
        <is>
          <t>Quy tắc bằng chứng của CLAUDE.md</t>
        </is>
      </c>
      <c r="C71" s="9" t="n"/>
    </row>
    <row r="72" ht="45" customHeight="1">
      <c r="A72" s="10" t="inlineStr">
        <is>
          <t>Ghi chú bắt đầu bằng "Hình của FS" nghĩa là hình trong FS05 khác chữ trong FS. Điểm ghi trong cột Note không phải kết luận lỗi, chỉ là điều cần xác nhận khi chạy.</t>
        </is>
      </c>
      <c r="B72" s="10" t="inlineStr">
        <is>
          <t>Thiết kế của QA</t>
        </is>
      </c>
      <c r="C72" s="9" t="n"/>
    </row>
    <row r="74" ht="15.75" customHeight="1">
      <c r="A74" s="6" t="inlineStr">
        <is>
          <t>Points to know before executing</t>
        </is>
      </c>
    </row>
    <row r="75" ht="32" customHeight="1">
      <c r="A75" s="5" t="inlineStr">
        <is>
          <t>Mã TC-### và TS-### đánh số lại từ đầu trong mỗi workbook, nên có thể trùng với workbook của yêu cầu khác. Khi trích dẫn ngoài workbook, ghi kèm tên yêu cầu (ví dụ R5 TC-010).</t>
        </is>
      </c>
    </row>
    <row r="76" ht="32" customHeight="1">
      <c r="A76" s="5" t="inlineStr">
        <is>
          <t>261 case, đều Not Run. 107 case Approve, 150 case Draft vì có ít nhất một trong 29 giả định, 4 case Block vì không thể giả định. Giả định được dùng nhiều nhất: ASM-R5-13 (39 case), ASM-R5-28 (19 case), ASM-R5-04 (19 case), ASM-R5-27 (14 case).</t>
        </is>
      </c>
    </row>
    <row r="77" ht="32" customHeight="1">
      <c r="A77" s="5" t="inlineStr">
        <is>
          <t>Case Block (4) chờ BA trả lời: ASM-R5-03 nric người khai không tra ra; ASM-R5-07 grade ngoài danh sách; ASM-R5-19 school-based fas là no và con không đủ điều kiện moefas về quốc tịch; ASM-R5-29 thế nào là đã có đơn trong năm nay. Mỗi điểm có một câu hỏi trong sheet Questions.</t>
        </is>
      </c>
    </row>
    <row r="78" ht="32" customHeight="1">
      <c r="A78" s="5" t="inlineStr">
        <is>
          <t>Điểm mới O29 (ASM-R5-29): thế nào là "đã có đơn trong năm nay" (theo ngày nộp, năm của scheme hay năm của Application ID). Điểm này chưa có trong R5_FAS_Validation_Rules.docx (28 điểm mở O1 đến O28), cần bổ sung vào tài liệu đó khi BA xác nhận.</t>
        </is>
      </c>
    </row>
    <row r="79" ht="32" customHeight="1">
      <c r="A79" s="5" t="inlineStr">
        <is>
          <t>Product Backlog V2 gắn đơn giấy với US-042 (nhập đơn giấy, kể cả học sinh chưa có EA) và US-043 (scan và OCR mô phỏng), thay cho PB-20 của bản cũ. Backlog xếp hai story này dưới nhóm "R4 Financial Assistance" trong khi yêu cầu thầu là R5, nên cột Traceability ghi Tender R5 kèm mã user story. Cần PO xác nhận nhóm.</t>
        </is>
      </c>
    </row>
    <row r="80" ht="32" customHeight="1">
      <c r="A80" s="5" t="inlineStr">
        <is>
          <t>US-050 ghi phụ thuộc "MOEFAS Not Eligible khác với FAS Rejected". Điều này chưa đủ để khẳng định School-based FAS = No dẫn đến Rejected trong mọi trường hợp (ASM-R5-19), nên các ca liên quan giữ Block.</t>
        </is>
      </c>
    </row>
    <row r="81" ht="32" customHeight="1">
      <c r="A81" s="5" t="inlineStr">
        <is>
          <t>Ca cần đồng hồ điều khiển được, nhiều phiên và nguồn dữ liệu ngoài lỗi (ENV-R5-04, 05, 07) chưa chạy được trên prototype vì prototype cố định ngày 18/10/2026. Ca quy tắc máy chủ và API cần bản F5 có API và dữ liệu SEED-R5 (ENV-R5-02, 03).</t>
        </is>
      </c>
    </row>
    <row r="82" ht="32" customHeight="1">
      <c r="A82" s="5" t="inlineStr">
        <is>
          <t>Hình của FS cho các ô như Phone number tô vàng và sửa được, tên hộp thoại ghi "One application is one student" trong khi FS 2 và BR1 nói một mẫu một gia đình. Các ca liên quan ghi trong Note và dùng giả định ASM-R5-02 và ASM-R5-04.</t>
        </is>
      </c>
    </row>
    <row r="83" ht="32" customHeight="1">
      <c r="A83" s="5" t="inlineStr">
        <is>
          <t>Ba NRIC mẫu trong hình FS không đạt thuật toán chữ cái kiểm tra công khai. Các case dùng đúng NRIC của FS khi tái hiện hình, và dùng NRIC sinh đúng thuật toán cho dữ liệu SEED-R5 (ASM-R5-06).</t>
        </is>
      </c>
    </row>
    <row r="85" ht="15.75" customHeight="1">
      <c r="A85" s="6" t="inlineStr">
        <is>
          <t>References</t>
        </is>
      </c>
    </row>
    <row r="86" ht="19" customHeight="1">
      <c r="A86" s="5" t="inlineStr">
        <is>
          <t>FS F5 v1.2 ngày 21/10/2026 (roles/ba, file FS05.md): mục 1 đến 8, business rule BR1 đến BR9 và test scenario T1 đến T13.</t>
        </is>
      </c>
    </row>
    <row r="87" ht="19" customHeight="1">
      <c r="A87" s="5" t="inlineStr">
        <is>
          <t>Product Backlog V2 (roles/po, file Product Backlog V2.xlsm): US-042, US-043, US-049, US-050.</t>
        </is>
      </c>
    </row>
    <row r="88" ht="19" customHeight="1">
      <c r="A88" s="5" t="inlineStr">
        <is>
          <t>Quy tắc kiểm tra: roles/qa, file R5_FAS_Validation_Rules.docx (VR-F5-01 đến 10, S01 đến S13, điểm mở O1 đến O28).</t>
        </is>
      </c>
    </row>
    <row r="89" ht="32" customHeight="1">
      <c r="A89" s="5" t="inlineStr">
        <is>
          <t>Prototype https://edusave.vercel.app/ đọc ngày 26/10/2026. Hình và nội dung workbook R4: roles/qa, file R4_Test_Cases.xlsx (mẫu định dạng). Định dạng case và defect: groundtruth/Templates.xlsx.</t>
        </is>
      </c>
    </row>
    <row r="90" ht="19" customHeight="1">
      <c r="A90" s="5" t="inlineStr">
        <is>
          <t>Yêu cầu thầu R5 (nhập đơn FAS giấy).</t>
        </is>
      </c>
    </row>
  </sheetData>
  <mergeCells count="24">
    <mergeCell ref="A77:H77"/>
    <mergeCell ref="A83:H83"/>
    <mergeCell ref="B72:C72"/>
    <mergeCell ref="A82:H82"/>
    <mergeCell ref="B66:C66"/>
    <mergeCell ref="B71:C71"/>
    <mergeCell ref="A79:H79"/>
    <mergeCell ref="A88:H88"/>
    <mergeCell ref="B70:C70"/>
    <mergeCell ref="A78:H78"/>
    <mergeCell ref="A87:H87"/>
    <mergeCell ref="B67:C67"/>
    <mergeCell ref="A90:H90"/>
    <mergeCell ref="A80:H80"/>
    <mergeCell ref="A75:H75"/>
    <mergeCell ref="A89:H89"/>
    <mergeCell ref="B69:C69"/>
    <mergeCell ref="A3:H3"/>
    <mergeCell ref="A86:H86"/>
    <mergeCell ref="A2:H2"/>
    <mergeCell ref="A76:H76"/>
    <mergeCell ref="B65:C65"/>
    <mergeCell ref="B68:C68"/>
    <mergeCell ref="A81:H8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34" customWidth="1" min="3" max="3"/>
    <col width="52" customWidth="1" min="4" max="4"/>
    <col width="20" customWidth="1" min="5" max="5"/>
    <col width="40" customWidth="1" min="6" max="6"/>
    <col width="9" customWidth="1" min="7" max="7"/>
    <col width="9" customWidth="1" min="8" max="8"/>
    <col width="9" customWidth="1" min="9" max="9"/>
    <col width="9" customWidth="1" min="10" max="10"/>
    <col width="15" customWidth="1" min="11" max="11"/>
  </cols>
  <sheetData>
    <row r="1" ht="31.5" customHeight="1">
      <c r="A1" s="1" t="inlineStr">
        <is>
          <t>Scenario ID</t>
        </is>
      </c>
      <c r="B1" s="1" t="inlineStr">
        <is>
          <t>Test suite</t>
        </is>
      </c>
      <c r="C1" s="1" t="inlineStr">
        <is>
          <t>Scenario</t>
        </is>
      </c>
      <c r="D1" s="1" t="inlineStr">
        <is>
          <t>Objective</t>
        </is>
      </c>
      <c r="E1" s="1" t="inlineStr">
        <is>
          <t>Technique</t>
        </is>
      </c>
      <c r="F1" s="1" t="inlineStr">
        <is>
          <t>FS source</t>
        </is>
      </c>
      <c r="G1" s="1" t="inlineStr">
        <is>
          <t>Test cases</t>
        </is>
      </c>
      <c r="H1" s="1" t="inlineStr">
        <is>
          <t>Approve</t>
        </is>
      </c>
      <c r="I1" s="1" t="inlineStr">
        <is>
          <t>Draft</t>
        </is>
      </c>
      <c r="J1" s="1" t="inlineStr">
        <is>
          <t>Block</t>
        </is>
      </c>
      <c r="K1" s="1" t="inlineStr">
        <is>
          <t>Status</t>
        </is>
      </c>
    </row>
    <row r="2" ht="32" customHeight="1">
      <c r="A2" s="7" t="inlineStr">
        <is>
          <t>TS-001</t>
        </is>
      </c>
      <c r="B2" s="10" t="inlineStr">
        <is>
          <t>F5.1 Upload applications list</t>
        </is>
      </c>
      <c r="C2" s="10" t="inlineStr">
        <is>
          <t>Layout and base state</t>
        </is>
      </c>
      <c r="D2" s="10" t="inlineStr">
        <is>
          <t>Màn danh sách hiện đúng thành phần, cột và ghi chú ở trạng thái gốc.</t>
        </is>
      </c>
      <c r="E2" s="10" t="inlineStr">
        <is>
          <t>Equivalence partitioning</t>
        </is>
      </c>
      <c r="F2" s="10" t="inlineStr">
        <is>
          <t>FS 3 mục 1 đến 8</t>
        </is>
      </c>
      <c r="G2" s="8">
        <f>COUNTIF('Test cases '!$B$2:$B$262,$A2)</f>
        <v/>
      </c>
      <c r="H2" s="8">
        <f>COUNTIFS('Test cases '!$B$2:$B$262,$A2,'Test cases '!$T$2:$T$262,"Approve")</f>
        <v/>
      </c>
      <c r="I2" s="8">
        <f>COUNTIFS('Test cases '!$B$2:$B$262,$A2,'Test cases '!$T$2:$T$262,"Draft")</f>
        <v/>
      </c>
      <c r="J2" s="8">
        <f>COUNTIFS('Test cases '!$B$2:$B$262,$A2,'Test cases '!$T$2:$T$262,"Block")</f>
        <v/>
      </c>
      <c r="K2" s="8">
        <f>IF(J2=G2,"Block",IF(J2&gt;0,"Partly blocked",IF(I2&gt;0,"Draft","Approve")))</f>
        <v/>
      </c>
    </row>
    <row r="3" ht="32" customHeight="1">
      <c r="A3" s="7" t="inlineStr">
        <is>
          <t>TS-002</t>
        </is>
      </c>
      <c r="B3" s="10" t="inlineStr">
        <is>
          <t>F5.1 Upload applications list</t>
        </is>
      </c>
      <c r="C3" s="10" t="inlineStr">
        <is>
          <t>Statistic cards</t>
        </is>
      </c>
      <c r="D3" s="10" t="inlineStr">
        <is>
          <t>Ba thẻ đếm và lọc danh sách khi bấm, bấm lần nữa bỏ lọc.</t>
        </is>
      </c>
      <c r="E3" s="10" t="inlineStr">
        <is>
          <t>Equivalence partitioning</t>
        </is>
      </c>
      <c r="F3" s="10" t="inlineStr">
        <is>
          <t>FS 3 mục 2</t>
        </is>
      </c>
      <c r="G3" s="8">
        <f>COUNTIF('Test cases '!$B$2:$B$262,$A3)</f>
        <v/>
      </c>
      <c r="H3" s="8">
        <f>COUNTIFS('Test cases '!$B$2:$B$262,$A3,'Test cases '!$T$2:$T$262,"Approve")</f>
        <v/>
      </c>
      <c r="I3" s="8">
        <f>COUNTIFS('Test cases '!$B$2:$B$262,$A3,'Test cases '!$T$2:$T$262,"Draft")</f>
        <v/>
      </c>
      <c r="J3" s="8">
        <f>COUNTIFS('Test cases '!$B$2:$B$262,$A3,'Test cases '!$T$2:$T$262,"Block")</f>
        <v/>
      </c>
      <c r="K3" s="8">
        <f>IF(J3=G3,"Block",IF(J3&gt;0,"Partly blocked",IF(I3&gt;0,"Draft","Approve")))</f>
        <v/>
      </c>
    </row>
    <row r="4" ht="32" customHeight="1">
      <c r="A4" s="7" t="inlineStr">
        <is>
          <t>TS-003</t>
        </is>
      </c>
      <c r="B4" s="10" t="inlineStr">
        <is>
          <t>F5.1 Upload applications list</t>
        </is>
      </c>
      <c r="C4" s="10" t="inlineStr">
        <is>
          <t>Search</t>
        </is>
      </c>
      <c r="D4" s="10" t="inlineStr">
        <is>
          <t>Tìm theo Application ID, người tải lên, số EA, tên học sinh, và các chuỗi lạ.</t>
        </is>
      </c>
      <c r="E4" s="10" t="inlineStr">
        <is>
          <t>Error guessing</t>
        </is>
      </c>
      <c r="F4" s="10" t="inlineStr">
        <is>
          <t>FS 3 mục 3</t>
        </is>
      </c>
      <c r="G4" s="8">
        <f>COUNTIF('Test cases '!$B$2:$B$262,$A4)</f>
        <v/>
      </c>
      <c r="H4" s="8">
        <f>COUNTIFS('Test cases '!$B$2:$B$262,$A4,'Test cases '!$T$2:$T$262,"Approve")</f>
        <v/>
      </c>
      <c r="I4" s="8">
        <f>COUNTIFS('Test cases '!$B$2:$B$262,$A4,'Test cases '!$T$2:$T$262,"Draft")</f>
        <v/>
      </c>
      <c r="J4" s="8">
        <f>COUNTIFS('Test cases '!$B$2:$B$262,$A4,'Test cases '!$T$2:$T$262,"Block")</f>
        <v/>
      </c>
      <c r="K4" s="8">
        <f>IF(J4=G4,"Block",IF(J4&gt;0,"Partly blocked",IF(I4&gt;0,"Draft","Approve")))</f>
        <v/>
      </c>
    </row>
    <row r="5" ht="32" customHeight="1">
      <c r="A5" s="7" t="inlineStr">
        <is>
          <t>TS-004</t>
        </is>
      </c>
      <c r="B5" s="10" t="inlineStr">
        <is>
          <t>F5.1 Upload applications list</t>
        </is>
      </c>
      <c r="C5" s="10" t="inlineStr">
        <is>
          <t>Status, Tier and Uploaded filters</t>
        </is>
      </c>
      <c r="D5" s="10" t="inlineStr">
        <is>
          <t>Mỗi giá trị bộ lọc cho đúng tập dòng và kết hợp được với nhau.</t>
        </is>
      </c>
      <c r="E5" s="10" t="inlineStr">
        <is>
          <t>Equivalence partitioning</t>
        </is>
      </c>
      <c r="F5" s="10" t="inlineStr">
        <is>
          <t>FS 3 mục 4, 5</t>
        </is>
      </c>
      <c r="G5" s="8">
        <f>COUNTIF('Test cases '!$B$2:$B$262,$A5)</f>
        <v/>
      </c>
      <c r="H5" s="8">
        <f>COUNTIFS('Test cases '!$B$2:$B$262,$A5,'Test cases '!$T$2:$T$262,"Approve")</f>
        <v/>
      </c>
      <c r="I5" s="8">
        <f>COUNTIFS('Test cases '!$B$2:$B$262,$A5,'Test cases '!$T$2:$T$262,"Draft")</f>
        <v/>
      </c>
      <c r="J5" s="8">
        <f>COUNTIFS('Test cases '!$B$2:$B$262,$A5,'Test cases '!$T$2:$T$262,"Block")</f>
        <v/>
      </c>
      <c r="K5" s="8">
        <f>IF(J5=G5,"Block",IF(J5&gt;0,"Partly blocked",IF(I5&gt;0,"Draft","Approve")))</f>
        <v/>
      </c>
    </row>
    <row r="6" ht="32" customHeight="1">
      <c r="A6" s="7" t="inlineStr">
        <is>
          <t>TS-005</t>
        </is>
      </c>
      <c r="B6" s="10" t="inlineStr">
        <is>
          <t>F5.1 Upload applications list</t>
        </is>
      </c>
      <c r="C6" s="10" t="inlineStr">
        <is>
          <t>Draft and submitted rows</t>
        </is>
      </c>
      <c r="D6" s="10" t="inlineStr">
        <is>
          <t>Dòng Draft đứng đầu và tiếp tục được, dòng đã nộp mở View application.</t>
        </is>
      </c>
      <c r="E6" s="10" t="inlineStr">
        <is>
          <t>Use case</t>
        </is>
      </c>
      <c r="F6" s="10" t="inlineStr">
        <is>
          <t>FS 3 mục 6, 7, BR6</t>
        </is>
      </c>
      <c r="G6" s="8">
        <f>COUNTIF('Test cases '!$B$2:$B$262,$A6)</f>
        <v/>
      </c>
      <c r="H6" s="8">
        <f>COUNTIFS('Test cases '!$B$2:$B$262,$A6,'Test cases '!$T$2:$T$262,"Approve")</f>
        <v/>
      </c>
      <c r="I6" s="8">
        <f>COUNTIFS('Test cases '!$B$2:$B$262,$A6,'Test cases '!$T$2:$T$262,"Draft")</f>
        <v/>
      </c>
      <c r="J6" s="8">
        <f>COUNTIFS('Test cases '!$B$2:$B$262,$A6,'Test cases '!$T$2:$T$262,"Block")</f>
        <v/>
      </c>
      <c r="K6" s="8">
        <f>IF(J6=G6,"Block",IF(J6&gt;0,"Partly blocked",IF(I6&gt;0,"Draft","Approve")))</f>
        <v/>
      </c>
    </row>
    <row r="7" ht="19" customHeight="1">
      <c r="A7" s="7" t="inlineStr">
        <is>
          <t>TS-006</t>
        </is>
      </c>
      <c r="B7" s="10" t="inlineStr">
        <is>
          <t>F5.1 Upload applications list</t>
        </is>
      </c>
      <c r="C7" s="10" t="inlineStr">
        <is>
          <t>Order and paging</t>
        </is>
      </c>
      <c r="D7" s="10" t="inlineStr">
        <is>
          <t>Thứ tự dòng, kích thước trang và khoảng ngày Uploaded.</t>
        </is>
      </c>
      <c r="E7" s="10" t="inlineStr">
        <is>
          <t>Boundary value analysis</t>
        </is>
      </c>
      <c r="F7" s="10" t="inlineStr">
        <is>
          <t>FS 3 mục 4, 5</t>
        </is>
      </c>
      <c r="G7" s="8">
        <f>COUNTIF('Test cases '!$B$2:$B$262,$A7)</f>
        <v/>
      </c>
      <c r="H7" s="8">
        <f>COUNTIFS('Test cases '!$B$2:$B$262,$A7,'Test cases '!$T$2:$T$262,"Approve")</f>
        <v/>
      </c>
      <c r="I7" s="8">
        <f>COUNTIFS('Test cases '!$B$2:$B$262,$A7,'Test cases '!$T$2:$T$262,"Draft")</f>
        <v/>
      </c>
      <c r="J7" s="8">
        <f>COUNTIFS('Test cases '!$B$2:$B$262,$A7,'Test cases '!$T$2:$T$262,"Block")</f>
        <v/>
      </c>
      <c r="K7" s="8">
        <f>IF(J7=G7,"Block",IF(J7&gt;0,"Partly blocked",IF(I7&gt;0,"Draft","Approve")))</f>
        <v/>
      </c>
    </row>
    <row r="8" ht="32" customHeight="1">
      <c r="A8" s="7" t="inlineStr">
        <is>
          <t>TS-007</t>
        </is>
      </c>
      <c r="B8" s="10" t="inlineStr">
        <is>
          <t>F5.1 Upload applications list</t>
        </is>
      </c>
      <c r="C8" s="10" t="inlineStr">
        <is>
          <t>School scope and role access</t>
        </is>
      </c>
      <c r="D8" s="10" t="inlineStr">
        <is>
          <t>School user chỉ thấy đơn của học sinh trường mình, MOE HQ không vào được.</t>
        </is>
      </c>
      <c r="E8" s="10" t="inlineStr">
        <is>
          <t>Use case</t>
        </is>
      </c>
      <c r="F8" s="10" t="inlineStr">
        <is>
          <t>FS 1.2</t>
        </is>
      </c>
      <c r="G8" s="8">
        <f>COUNTIF('Test cases '!$B$2:$B$262,$A8)</f>
        <v/>
      </c>
      <c r="H8" s="8">
        <f>COUNTIFS('Test cases '!$B$2:$B$262,$A8,'Test cases '!$T$2:$T$262,"Approve")</f>
        <v/>
      </c>
      <c r="I8" s="8">
        <f>COUNTIFS('Test cases '!$B$2:$B$262,$A8,'Test cases '!$T$2:$T$262,"Draft")</f>
        <v/>
      </c>
      <c r="J8" s="8">
        <f>COUNTIFS('Test cases '!$B$2:$B$262,$A8,'Test cases '!$T$2:$T$262,"Block")</f>
        <v/>
      </c>
      <c r="K8" s="8">
        <f>IF(J8=G8,"Block",IF(J8&gt;0,"Partly blocked",IF(I8&gt;0,"Draft","Approve")))</f>
        <v/>
      </c>
    </row>
    <row r="9" ht="19" customHeight="1">
      <c r="A9" s="7" t="inlineStr">
        <is>
          <t>TS-008</t>
        </is>
      </c>
      <c r="B9" s="10" t="inlineStr">
        <is>
          <t>F5.2 Upload scans dialog</t>
        </is>
      </c>
      <c r="C9" s="10" t="inlineStr">
        <is>
          <t>Open and close the dialog</t>
        </is>
      </c>
      <c r="D9" s="10" t="inlineStr">
        <is>
          <t>Hộp thoại mở với danh sách trống và đóng bằng Cancel.</t>
        </is>
      </c>
      <c r="E9" s="10" t="inlineStr">
        <is>
          <t>Use case</t>
        </is>
      </c>
      <c r="F9" s="10" t="inlineStr">
        <is>
          <t>FS 4, hình Upload scans</t>
        </is>
      </c>
      <c r="G9" s="8">
        <f>COUNTIF('Test cases '!$B$2:$B$262,$A9)</f>
        <v/>
      </c>
      <c r="H9" s="8">
        <f>COUNTIFS('Test cases '!$B$2:$B$262,$A9,'Test cases '!$T$2:$T$262,"Approve")</f>
        <v/>
      </c>
      <c r="I9" s="8">
        <f>COUNTIFS('Test cases '!$B$2:$B$262,$A9,'Test cases '!$T$2:$T$262,"Draft")</f>
        <v/>
      </c>
      <c r="J9" s="8">
        <f>COUNTIFS('Test cases '!$B$2:$B$262,$A9,'Test cases '!$T$2:$T$262,"Block")</f>
        <v/>
      </c>
      <c r="K9" s="8">
        <f>IF(J9=G9,"Block",IF(J9&gt;0,"Partly blocked",IF(I9&gt;0,"Draft","Approve")))</f>
        <v/>
      </c>
    </row>
    <row r="10" ht="19" customHeight="1">
      <c r="A10" s="7" t="inlineStr">
        <is>
          <t>TS-009</t>
        </is>
      </c>
      <c r="B10" s="10" t="inlineStr">
        <is>
          <t>F5.2 Upload scans dialog</t>
        </is>
      </c>
      <c r="C10" s="10" t="inlineStr">
        <is>
          <t>Allowed file types</t>
        </is>
      </c>
      <c r="D10" s="10" t="inlineStr">
        <is>
          <t>Chỉ PDF, JPG, PNG được nhận.</t>
        </is>
      </c>
      <c r="E10" s="10" t="inlineStr">
        <is>
          <t>Equivalence partitioning</t>
        </is>
      </c>
      <c r="F10" s="10" t="inlineStr">
        <is>
          <t>FS 4, T1</t>
        </is>
      </c>
      <c r="G10" s="8">
        <f>COUNTIF('Test cases '!$B$2:$B$262,$A10)</f>
        <v/>
      </c>
      <c r="H10" s="8">
        <f>COUNTIFS('Test cases '!$B$2:$B$262,$A10,'Test cases '!$T$2:$T$262,"Approve")</f>
        <v/>
      </c>
      <c r="I10" s="8">
        <f>COUNTIFS('Test cases '!$B$2:$B$262,$A10,'Test cases '!$T$2:$T$262,"Draft")</f>
        <v/>
      </c>
      <c r="J10" s="8">
        <f>COUNTIFS('Test cases '!$B$2:$B$262,$A10,'Test cases '!$T$2:$T$262,"Block")</f>
        <v/>
      </c>
      <c r="K10" s="8">
        <f>IF(J10=G10,"Block",IF(J10&gt;0,"Partly blocked",IF(I10&gt;0,"Draft","Approve")))</f>
        <v/>
      </c>
    </row>
    <row r="11" ht="19" customHeight="1">
      <c r="A11" s="7" t="inlineStr">
        <is>
          <t>TS-010</t>
        </is>
      </c>
      <c r="B11" s="10" t="inlineStr">
        <is>
          <t>F5.2 Upload scans dialog</t>
        </is>
      </c>
      <c r="C11" s="10" t="inlineStr">
        <is>
          <t>File size</t>
        </is>
      </c>
      <c r="D11" s="10" t="inlineStr">
        <is>
          <t>Mỗi file tối đa 10 MB.</t>
        </is>
      </c>
      <c r="E11" s="10" t="inlineStr">
        <is>
          <t>Boundary value analysis</t>
        </is>
      </c>
      <c r="F11" s="10" t="inlineStr">
        <is>
          <t>FS 4</t>
        </is>
      </c>
      <c r="G11" s="8">
        <f>COUNTIF('Test cases '!$B$2:$B$262,$A11)</f>
        <v/>
      </c>
      <c r="H11" s="8">
        <f>COUNTIFS('Test cases '!$B$2:$B$262,$A11,'Test cases '!$T$2:$T$262,"Approve")</f>
        <v/>
      </c>
      <c r="I11" s="8">
        <f>COUNTIFS('Test cases '!$B$2:$B$262,$A11,'Test cases '!$T$2:$T$262,"Draft")</f>
        <v/>
      </c>
      <c r="J11" s="8">
        <f>COUNTIFS('Test cases '!$B$2:$B$262,$A11,'Test cases '!$T$2:$T$262,"Block")</f>
        <v/>
      </c>
      <c r="K11" s="8">
        <f>IF(J11=G11,"Block",IF(J11&gt;0,"Partly blocked",IF(I11&gt;0,"Draft","Approve")))</f>
        <v/>
      </c>
    </row>
    <row r="12" ht="19" customHeight="1">
      <c r="A12" s="7" t="inlineStr">
        <is>
          <t>TS-011</t>
        </is>
      </c>
      <c r="B12" s="10" t="inlineStr">
        <is>
          <t>F5.2 Upload scans dialog</t>
        </is>
      </c>
      <c r="C12" s="10" t="inlineStr">
        <is>
          <t>File count and list</t>
        </is>
      </c>
      <c r="D12" s="10" t="inlineStr">
        <is>
          <t>Tối đa 5 file, thêm và bỏ file.</t>
        </is>
      </c>
      <c r="E12" s="10" t="inlineStr">
        <is>
          <t>Boundary value analysis</t>
        </is>
      </c>
      <c r="F12" s="10" t="inlineStr">
        <is>
          <t>FS 4</t>
        </is>
      </c>
      <c r="G12" s="8">
        <f>COUNTIF('Test cases '!$B$2:$B$262,$A12)</f>
        <v/>
      </c>
      <c r="H12" s="8">
        <f>COUNTIFS('Test cases '!$B$2:$B$262,$A12,'Test cases '!$T$2:$T$262,"Approve")</f>
        <v/>
      </c>
      <c r="I12" s="8">
        <f>COUNTIFS('Test cases '!$B$2:$B$262,$A12,'Test cases '!$T$2:$T$262,"Draft")</f>
        <v/>
      </c>
      <c r="J12" s="8">
        <f>COUNTIFS('Test cases '!$B$2:$B$262,$A12,'Test cases '!$T$2:$T$262,"Block")</f>
        <v/>
      </c>
      <c r="K12" s="8">
        <f>IF(J12=G12,"Block",IF(J12&gt;0,"Partly blocked",IF(I12&gt;0,"Draft","Approve")))</f>
        <v/>
      </c>
    </row>
    <row r="13" ht="19" customHeight="1">
      <c r="A13" s="7" t="inlineStr">
        <is>
          <t>TS-012</t>
        </is>
      </c>
      <c r="B13" s="10" t="inlineStr">
        <is>
          <t>F5.2 Upload scans dialog</t>
        </is>
      </c>
      <c r="C13" s="10" t="inlineStr">
        <is>
          <t>Upload and read</t>
        </is>
      </c>
      <c r="D13" s="10" t="inlineStr">
        <is>
          <t>Tải scan, đọc mẫu và mở màn Review application.</t>
        </is>
      </c>
      <c r="E13" s="10" t="inlineStr">
        <is>
          <t>Use case</t>
        </is>
      </c>
      <c r="F13" s="10" t="inlineStr">
        <is>
          <t>FS 2 bước 1, FS 4</t>
        </is>
      </c>
      <c r="G13" s="8">
        <f>COUNTIF('Test cases '!$B$2:$B$262,$A13)</f>
        <v/>
      </c>
      <c r="H13" s="8">
        <f>COUNTIFS('Test cases '!$B$2:$B$262,$A13,'Test cases '!$T$2:$T$262,"Approve")</f>
        <v/>
      </c>
      <c r="I13" s="8">
        <f>COUNTIFS('Test cases '!$B$2:$B$262,$A13,'Test cases '!$T$2:$T$262,"Draft")</f>
        <v/>
      </c>
      <c r="J13" s="8">
        <f>COUNTIFS('Test cases '!$B$2:$B$262,$A13,'Test cases '!$T$2:$T$262,"Block")</f>
        <v/>
      </c>
      <c r="K13" s="8">
        <f>IF(J13=G13,"Block",IF(J13&gt;0,"Partly blocked",IF(I13&gt;0,"Draft","Approve")))</f>
        <v/>
      </c>
    </row>
    <row r="14" ht="19" customHeight="1">
      <c r="A14" s="7" t="inlineStr">
        <is>
          <t>TS-013</t>
        </is>
      </c>
      <c r="B14" s="10" t="inlineStr">
        <is>
          <t>F5.2 Upload scans dialog</t>
        </is>
      </c>
      <c r="C14" s="10" t="inlineStr">
        <is>
          <t>File names and active content</t>
        </is>
      </c>
      <c r="D14" s="10" t="inlineStr">
        <is>
          <t>Tên file lạ và nội dung file nguy hiểm.</t>
        </is>
      </c>
      <c r="E14" s="10" t="inlineStr">
        <is>
          <t>Error guessing</t>
        </is>
      </c>
      <c r="F14" s="10" t="inlineStr">
        <is>
          <t>FS 4, R5_FAS_Validation_Rules B1</t>
        </is>
      </c>
      <c r="G14" s="8">
        <f>COUNTIF('Test cases '!$B$2:$B$262,$A14)</f>
        <v/>
      </c>
      <c r="H14" s="8">
        <f>COUNTIFS('Test cases '!$B$2:$B$262,$A14,'Test cases '!$T$2:$T$262,"Approve")</f>
        <v/>
      </c>
      <c r="I14" s="8">
        <f>COUNTIFS('Test cases '!$B$2:$B$262,$A14,'Test cases '!$T$2:$T$262,"Draft")</f>
        <v/>
      </c>
      <c r="J14" s="8">
        <f>COUNTIFS('Test cases '!$B$2:$B$262,$A14,'Test cases '!$T$2:$T$262,"Block")</f>
        <v/>
      </c>
      <c r="K14" s="8">
        <f>IF(J14=G14,"Block",IF(J14&gt;0,"Partly blocked",IF(I14&gt;0,"Draft","Approve")))</f>
        <v/>
      </c>
    </row>
    <row r="15" ht="32" customHeight="1">
      <c r="A15" s="7" t="inlineStr">
        <is>
          <t>TS-014</t>
        </is>
      </c>
      <c r="B15" s="10" t="inlineStr">
        <is>
          <t>F5.3 Review application, Part 1 Applicant</t>
        </is>
      </c>
      <c r="C15" s="10" t="inlineStr">
        <is>
          <t>Applicant autofill</t>
        </is>
      </c>
      <c r="D15" s="10" t="inlineStr">
        <is>
          <t>Nhập NRIC người khai thì thông tin được điền từ hồ sơ và khoá.</t>
        </is>
      </c>
      <c r="E15" s="10" t="inlineStr">
        <is>
          <t>Use case</t>
        </is>
      </c>
      <c r="F15" s="10" t="inlineStr">
        <is>
          <t>FS 2 bước 2, FS 5 Part 1, BR3, T2</t>
        </is>
      </c>
      <c r="G15" s="8">
        <f>COUNTIF('Test cases '!$B$2:$B$262,$A15)</f>
        <v/>
      </c>
      <c r="H15" s="8">
        <f>COUNTIFS('Test cases '!$B$2:$B$262,$A15,'Test cases '!$T$2:$T$262,"Approve")</f>
        <v/>
      </c>
      <c r="I15" s="8">
        <f>COUNTIFS('Test cases '!$B$2:$B$262,$A15,'Test cases '!$T$2:$T$262,"Draft")</f>
        <v/>
      </c>
      <c r="J15" s="8">
        <f>COUNTIFS('Test cases '!$B$2:$B$262,$A15,'Test cases '!$T$2:$T$262,"Block")</f>
        <v/>
      </c>
      <c r="K15" s="8">
        <f>IF(J15=G15,"Block",IF(J15&gt;0,"Partly blocked",IF(I15&gt;0,"Draft","Approve")))</f>
        <v/>
      </c>
    </row>
    <row r="16" ht="32" customHeight="1">
      <c r="A16" s="7" t="inlineStr">
        <is>
          <t>TS-015</t>
        </is>
      </c>
      <c r="B16" s="10" t="inlineStr">
        <is>
          <t>F5.3 Review application, Part 1 Applicant</t>
        </is>
      </c>
      <c r="C16" s="10" t="inlineStr">
        <is>
          <t>Locked and editable fields</t>
        </is>
      </c>
      <c r="D16" s="10" t="inlineStr">
        <is>
          <t>Trường nào khoá, trường nào sửa được.</t>
        </is>
      </c>
      <c r="E16" s="10" t="inlineStr">
        <is>
          <t>Decision table</t>
        </is>
      </c>
      <c r="F16" s="10" t="inlineStr">
        <is>
          <t>FS 5 Part 1, BR3</t>
        </is>
      </c>
      <c r="G16" s="8">
        <f>COUNTIF('Test cases '!$B$2:$B$262,$A16)</f>
        <v/>
      </c>
      <c r="H16" s="8">
        <f>COUNTIFS('Test cases '!$B$2:$B$262,$A16,'Test cases '!$T$2:$T$262,"Approve")</f>
        <v/>
      </c>
      <c r="I16" s="8">
        <f>COUNTIFS('Test cases '!$B$2:$B$262,$A16,'Test cases '!$T$2:$T$262,"Draft")</f>
        <v/>
      </c>
      <c r="J16" s="8">
        <f>COUNTIFS('Test cases '!$B$2:$B$262,$A16,'Test cases '!$T$2:$T$262,"Block")</f>
        <v/>
      </c>
      <c r="K16" s="8">
        <f>IF(J16=G16,"Block",IF(J16&gt;0,"Partly blocked",IF(I16&gt;0,"Draft","Approve")))</f>
        <v/>
      </c>
    </row>
    <row r="17" ht="32" customHeight="1">
      <c r="A17" s="7" t="inlineStr">
        <is>
          <t>TS-016</t>
        </is>
      </c>
      <c r="B17" s="10" t="inlineStr">
        <is>
          <t>F5.3 Review application, Part 1 Applicant</t>
        </is>
      </c>
      <c r="C17" s="10" t="inlineStr">
        <is>
          <t>Applicant NRIC format</t>
        </is>
      </c>
      <c r="D17" s="10" t="inlineStr">
        <is>
          <t>Cấu trúc NRIC/FIN của người khai.</t>
        </is>
      </c>
      <c r="E17" s="10" t="inlineStr">
        <is>
          <t>Equivalence partitioning</t>
        </is>
      </c>
      <c r="F17" s="10" t="inlineStr">
        <is>
          <t>FS 5 Part 1, FS 6</t>
        </is>
      </c>
      <c r="G17" s="8">
        <f>COUNTIF('Test cases '!$B$2:$B$262,$A17)</f>
        <v/>
      </c>
      <c r="H17" s="8">
        <f>COUNTIFS('Test cases '!$B$2:$B$262,$A17,'Test cases '!$T$2:$T$262,"Approve")</f>
        <v/>
      </c>
      <c r="I17" s="8">
        <f>COUNTIFS('Test cases '!$B$2:$B$262,$A17,'Test cases '!$T$2:$T$262,"Draft")</f>
        <v/>
      </c>
      <c r="J17" s="8">
        <f>COUNTIFS('Test cases '!$B$2:$B$262,$A17,'Test cases '!$T$2:$T$262,"Block")</f>
        <v/>
      </c>
      <c r="K17" s="8">
        <f>IF(J17=G17,"Block",IF(J17&gt;0,"Partly blocked",IF(I17&gt;0,"Draft","Approve")))</f>
        <v/>
      </c>
    </row>
    <row r="18" ht="32" customHeight="1">
      <c r="A18" s="7" t="inlineStr">
        <is>
          <t>TS-017</t>
        </is>
      </c>
      <c r="B18" s="10" t="inlineStr">
        <is>
          <t>F5.3 Review application, Part 1 Applicant</t>
        </is>
      </c>
      <c r="C18" s="10" t="inlineStr">
        <is>
          <t>Phone number</t>
        </is>
      </c>
      <c r="D18" s="10" t="inlineStr">
        <is>
          <t>Chỉ chữ số, tối đa 10.</t>
        </is>
      </c>
      <c r="E18" s="10" t="inlineStr">
        <is>
          <t>Boundary value analysis</t>
        </is>
      </c>
      <c r="F18" s="10" t="inlineStr">
        <is>
          <t>FS 5 Part 1, FS 6</t>
        </is>
      </c>
      <c r="G18" s="8">
        <f>COUNTIF('Test cases '!$B$2:$B$262,$A18)</f>
        <v/>
      </c>
      <c r="H18" s="8">
        <f>COUNTIFS('Test cases '!$B$2:$B$262,$A18,'Test cases '!$T$2:$T$262,"Approve")</f>
        <v/>
      </c>
      <c r="I18" s="8">
        <f>COUNTIFS('Test cases '!$B$2:$B$262,$A18,'Test cases '!$T$2:$T$262,"Draft")</f>
        <v/>
      </c>
      <c r="J18" s="8">
        <f>COUNTIFS('Test cases '!$B$2:$B$262,$A18,'Test cases '!$T$2:$T$262,"Block")</f>
        <v/>
      </c>
      <c r="K18" s="8">
        <f>IF(J18=G18,"Block",IF(J18&gt;0,"Partly blocked",IF(I18&gt;0,"Draft","Approve")))</f>
        <v/>
      </c>
    </row>
    <row r="19" ht="32" customHeight="1">
      <c r="A19" s="7" t="inlineStr">
        <is>
          <t>TS-018</t>
        </is>
      </c>
      <c r="B19" s="10" t="inlineStr">
        <is>
          <t>F5.3 Review application, Part 1 Applicant</t>
        </is>
      </c>
      <c r="C19" s="10" t="inlineStr">
        <is>
          <t>Email</t>
        </is>
      </c>
      <c r="D19" s="10" t="inlineStr">
        <is>
          <t>Cấu trúc email.</t>
        </is>
      </c>
      <c r="E19" s="10" t="inlineStr">
        <is>
          <t>Equivalence partitioning</t>
        </is>
      </c>
      <c r="F19" s="10" t="inlineStr">
        <is>
          <t>FS 5 Part 1, FS 6</t>
        </is>
      </c>
      <c r="G19" s="8">
        <f>COUNTIF('Test cases '!$B$2:$B$262,$A19)</f>
        <v/>
      </c>
      <c r="H19" s="8">
        <f>COUNTIFS('Test cases '!$B$2:$B$262,$A19,'Test cases '!$T$2:$T$262,"Approve")</f>
        <v/>
      </c>
      <c r="I19" s="8">
        <f>COUNTIFS('Test cases '!$B$2:$B$262,$A19,'Test cases '!$T$2:$T$262,"Draft")</f>
        <v/>
      </c>
      <c r="J19" s="8">
        <f>COUNTIFS('Test cases '!$B$2:$B$262,$A19,'Test cases '!$T$2:$T$262,"Block")</f>
        <v/>
      </c>
      <c r="K19" s="8">
        <f>IF(J19=G19,"Block",IF(J19&gt;0,"Partly blocked",IF(I19&gt;0,"Draft","Approve")))</f>
        <v/>
      </c>
    </row>
    <row r="20" ht="32" customHeight="1">
      <c r="A20" s="7" t="inlineStr">
        <is>
          <t>TS-019</t>
        </is>
      </c>
      <c r="B20" s="10" t="inlineStr">
        <is>
          <t>F5.3 Review application, Part 1 Applicant</t>
        </is>
      </c>
      <c r="C20" s="10" t="inlineStr">
        <is>
          <t>Address</t>
        </is>
      </c>
      <c r="D20" s="10" t="inlineStr">
        <is>
          <t>Độ dài và ký tự của địa chỉ.</t>
        </is>
      </c>
      <c r="E20" s="10" t="inlineStr">
        <is>
          <t>Boundary value analysis</t>
        </is>
      </c>
      <c r="F20" s="10" t="inlineStr">
        <is>
          <t>FS 5 Part 1, FS 6</t>
        </is>
      </c>
      <c r="G20" s="8">
        <f>COUNTIF('Test cases '!$B$2:$B$262,$A20)</f>
        <v/>
      </c>
      <c r="H20" s="8">
        <f>COUNTIFS('Test cases '!$B$2:$B$262,$A20,'Test cases '!$T$2:$T$262,"Approve")</f>
        <v/>
      </c>
      <c r="I20" s="8">
        <f>COUNTIFS('Test cases '!$B$2:$B$262,$A20,'Test cases '!$T$2:$T$262,"Draft")</f>
        <v/>
      </c>
      <c r="J20" s="8">
        <f>COUNTIFS('Test cases '!$B$2:$B$262,$A20,'Test cases '!$T$2:$T$262,"Block")</f>
        <v/>
      </c>
      <c r="K20" s="8">
        <f>IF(J20=G20,"Block",IF(J20&gt;0,"Partly blocked",IF(I20&gt;0,"Draft","Approve")))</f>
        <v/>
      </c>
    </row>
    <row r="21" ht="32" customHeight="1">
      <c r="A21" s="7" t="inlineStr">
        <is>
          <t>TS-020</t>
        </is>
      </c>
      <c r="B21" s="10" t="inlineStr">
        <is>
          <t>F5.3 Review application, Part 1 Applicant</t>
        </is>
      </c>
      <c r="C21" s="10" t="inlineStr">
        <is>
          <t>Relationship and School-based FAS</t>
        </is>
      </c>
      <c r="D21" s="10" t="inlineStr">
        <is>
          <t>Hai trường không khoá của Part 1.</t>
        </is>
      </c>
      <c r="E21" s="10" t="inlineStr">
        <is>
          <t>Equivalence partitioning</t>
        </is>
      </c>
      <c r="F21" s="10" t="inlineStr">
        <is>
          <t>FS 5 Part 1</t>
        </is>
      </c>
      <c r="G21" s="8">
        <f>COUNTIF('Test cases '!$B$2:$B$262,$A21)</f>
        <v/>
      </c>
      <c r="H21" s="8">
        <f>COUNTIFS('Test cases '!$B$2:$B$262,$A21,'Test cases '!$T$2:$T$262,"Approve")</f>
        <v/>
      </c>
      <c r="I21" s="8">
        <f>COUNTIFS('Test cases '!$B$2:$B$262,$A21,'Test cases '!$T$2:$T$262,"Draft")</f>
        <v/>
      </c>
      <c r="J21" s="8">
        <f>COUNTIFS('Test cases '!$B$2:$B$262,$A21,'Test cases '!$T$2:$T$262,"Block")</f>
        <v/>
      </c>
      <c r="K21" s="8">
        <f>IF(J21=G21,"Block",IF(J21&gt;0,"Partly blocked",IF(I21&gt;0,"Draft","Approve")))</f>
        <v/>
      </c>
    </row>
    <row r="22" ht="32" customHeight="1">
      <c r="A22" s="7" t="inlineStr">
        <is>
          <t>TS-021</t>
        </is>
      </c>
      <c r="B22" s="10" t="inlineStr">
        <is>
          <t>F5.4 Review application, Part 2 Children</t>
        </is>
      </c>
      <c r="C22" s="10" t="inlineStr">
        <is>
          <t>Child autofill</t>
        </is>
      </c>
      <c r="D22" s="10" t="inlineStr">
        <is>
          <t>Nhập NRIC con thì thông tin con được điền từ hồ sơ MOE và khoá.</t>
        </is>
      </c>
      <c r="E22" s="10" t="inlineStr">
        <is>
          <t>Use case</t>
        </is>
      </c>
      <c r="F22" s="10" t="inlineStr">
        <is>
          <t>FS 5 Part 2, BR3, T3</t>
        </is>
      </c>
      <c r="G22" s="8">
        <f>COUNTIF('Test cases '!$B$2:$B$262,$A22)</f>
        <v/>
      </c>
      <c r="H22" s="8">
        <f>COUNTIFS('Test cases '!$B$2:$B$262,$A22,'Test cases '!$T$2:$T$262,"Approve")</f>
        <v/>
      </c>
      <c r="I22" s="8">
        <f>COUNTIFS('Test cases '!$B$2:$B$262,$A22,'Test cases '!$T$2:$T$262,"Draft")</f>
        <v/>
      </c>
      <c r="J22" s="8">
        <f>COUNTIFS('Test cases '!$B$2:$B$262,$A22,'Test cases '!$T$2:$T$262,"Block")</f>
        <v/>
      </c>
      <c r="K22" s="8">
        <f>IF(J22=G22,"Block",IF(J22&gt;0,"Partly blocked",IF(I22&gt;0,"Draft","Approve")))</f>
        <v/>
      </c>
    </row>
    <row r="23" ht="32" customHeight="1">
      <c r="A23" s="7" t="inlineStr">
        <is>
          <t>TS-022</t>
        </is>
      </c>
      <c r="B23" s="10" t="inlineStr">
        <is>
          <t>F5.4 Review application, Part 2 Children</t>
        </is>
      </c>
      <c r="C23" s="10" t="inlineStr">
        <is>
          <t>Level from Grade</t>
        </is>
      </c>
      <c r="D23" s="10" t="inlineStr">
        <is>
          <t>Level suy ra đúng từ Grade.</t>
        </is>
      </c>
      <c r="E23" s="10" t="inlineStr">
        <is>
          <t>Equivalence partitioning</t>
        </is>
      </c>
      <c r="F23" s="10" t="inlineStr">
        <is>
          <t>FS 5 Part 2</t>
        </is>
      </c>
      <c r="G23" s="8">
        <f>COUNTIF('Test cases '!$B$2:$B$262,$A23)</f>
        <v/>
      </c>
      <c r="H23" s="8">
        <f>COUNTIFS('Test cases '!$B$2:$B$262,$A23,'Test cases '!$T$2:$T$262,"Approve")</f>
        <v/>
      </c>
      <c r="I23" s="8">
        <f>COUNTIFS('Test cases '!$B$2:$B$262,$A23,'Test cases '!$T$2:$T$262,"Draft")</f>
        <v/>
      </c>
      <c r="J23" s="8">
        <f>COUNTIFS('Test cases '!$B$2:$B$262,$A23,'Test cases '!$T$2:$T$262,"Block")</f>
        <v/>
      </c>
      <c r="K23" s="8">
        <f>IF(J23=G23,"Block",IF(J23&gt;0,"Partly blocked",IF(I23&gt;0,"Draft","Approve")))</f>
        <v/>
      </c>
    </row>
    <row r="24" ht="32" customHeight="1">
      <c r="A24" s="7" t="inlineStr">
        <is>
          <t>TS-023</t>
        </is>
      </c>
      <c r="B24" s="10" t="inlineStr">
        <is>
          <t>F5.4 Review application, Part 2 Children</t>
        </is>
      </c>
      <c r="C24" s="10" t="inlineStr">
        <is>
          <t>Child rows</t>
        </is>
      </c>
      <c r="D24" s="10" t="inlineStr">
        <is>
          <t>Thêm dòng con và nhiều con trong một mẫu.</t>
        </is>
      </c>
      <c r="E24" s="10" t="inlineStr">
        <is>
          <t>Use case</t>
        </is>
      </c>
      <c r="F24" s="10" t="inlineStr">
        <is>
          <t>FS 5 Part 2, FS 2 bước 5</t>
        </is>
      </c>
      <c r="G24" s="8">
        <f>COUNTIF('Test cases '!$B$2:$B$262,$A24)</f>
        <v/>
      </c>
      <c r="H24" s="8">
        <f>COUNTIFS('Test cases '!$B$2:$B$262,$A24,'Test cases '!$T$2:$T$262,"Approve")</f>
        <v/>
      </c>
      <c r="I24" s="8">
        <f>COUNTIFS('Test cases '!$B$2:$B$262,$A24,'Test cases '!$T$2:$T$262,"Draft")</f>
        <v/>
      </c>
      <c r="J24" s="8">
        <f>COUNTIFS('Test cases '!$B$2:$B$262,$A24,'Test cases '!$T$2:$T$262,"Block")</f>
        <v/>
      </c>
      <c r="K24" s="8">
        <f>IF(J24=G24,"Block",IF(J24&gt;0,"Partly blocked",IF(I24&gt;0,"Draft","Approve")))</f>
        <v/>
      </c>
    </row>
    <row r="25" ht="32" customHeight="1">
      <c r="A25" s="7" t="inlineStr">
        <is>
          <t>TS-024</t>
        </is>
      </c>
      <c r="B25" s="10" t="inlineStr">
        <is>
          <t>F5.4 Review application, Part 2 Children</t>
        </is>
      </c>
      <c r="C25" s="10" t="inlineStr">
        <is>
          <t>Child data problems</t>
        </is>
      </c>
      <c r="D25" s="10" t="inlineStr">
        <is>
          <t>Cảnh báo sai lệch tên, grade lạ, hồ sơ MOE lỗi.</t>
        </is>
      </c>
      <c r="E25" s="10" t="inlineStr">
        <is>
          <t>Error guessing</t>
        </is>
      </c>
      <c r="F25" s="10" t="inlineStr">
        <is>
          <t>FS 5 Part 2</t>
        </is>
      </c>
      <c r="G25" s="8">
        <f>COUNTIF('Test cases '!$B$2:$B$262,$A25)</f>
        <v/>
      </c>
      <c r="H25" s="8">
        <f>COUNTIFS('Test cases '!$B$2:$B$262,$A25,'Test cases '!$T$2:$T$262,"Approve")</f>
        <v/>
      </c>
      <c r="I25" s="8">
        <f>COUNTIFS('Test cases '!$B$2:$B$262,$A25,'Test cases '!$T$2:$T$262,"Draft")</f>
        <v/>
      </c>
      <c r="J25" s="8">
        <f>COUNTIFS('Test cases '!$B$2:$B$262,$A25,'Test cases '!$T$2:$T$262,"Block")</f>
        <v/>
      </c>
      <c r="K25" s="8">
        <f>IF(J25=G25,"Block",IF(J25&gt;0,"Partly blocked",IF(I25&gt;0,"Draft","Approve")))</f>
        <v/>
      </c>
    </row>
    <row r="26" ht="32" customHeight="1">
      <c r="A26" s="7" t="inlineStr">
        <is>
          <t>TS-025</t>
        </is>
      </c>
      <c r="B26" s="10" t="inlineStr">
        <is>
          <t>F5.5 Review application, Part 3 Family and household</t>
        </is>
      </c>
      <c r="C26" s="10" t="inlineStr">
        <is>
          <t>Family member rows</t>
        </is>
      </c>
      <c r="D26" s="10" t="inlineStr">
        <is>
          <t>Thêm dòng thành viên, dòng nhập dở và tính tuỳ chọn.</t>
        </is>
      </c>
      <c r="E26" s="10" t="inlineStr">
        <is>
          <t>Use case</t>
        </is>
      </c>
      <c r="F26" s="10" t="inlineStr">
        <is>
          <t>FS 5 Part 3, FS 6</t>
        </is>
      </c>
      <c r="G26" s="8">
        <f>COUNTIF('Test cases '!$B$2:$B$262,$A26)</f>
        <v/>
      </c>
      <c r="H26" s="8">
        <f>COUNTIFS('Test cases '!$B$2:$B$262,$A26,'Test cases '!$T$2:$T$262,"Approve")</f>
        <v/>
      </c>
      <c r="I26" s="8">
        <f>COUNTIFS('Test cases '!$B$2:$B$262,$A26,'Test cases '!$T$2:$T$262,"Draft")</f>
        <v/>
      </c>
      <c r="J26" s="8">
        <f>COUNTIFS('Test cases '!$B$2:$B$262,$A26,'Test cases '!$T$2:$T$262,"Block")</f>
        <v/>
      </c>
      <c r="K26" s="8">
        <f>IF(J26=G26,"Block",IF(J26&gt;0,"Partly blocked",IF(I26&gt;0,"Draft","Approve")))</f>
        <v/>
      </c>
    </row>
    <row r="27" ht="32" customHeight="1">
      <c r="A27" s="7" t="inlineStr">
        <is>
          <t>TS-026</t>
        </is>
      </c>
      <c r="B27" s="10" t="inlineStr">
        <is>
          <t>F5.5 Review application, Part 3 Family and household</t>
        </is>
      </c>
      <c r="C27" s="10" t="inlineStr">
        <is>
          <t>Duplicate NRIC</t>
        </is>
      </c>
      <c r="D27" s="10" t="inlineStr">
        <is>
          <t>NRIC của người khai, các con và thành viên phải khác nhau.</t>
        </is>
      </c>
      <c r="E27" s="10" t="inlineStr">
        <is>
          <t>Decision table</t>
        </is>
      </c>
      <c r="F27" s="10" t="inlineStr">
        <is>
          <t>FS 6, BR4, T7</t>
        </is>
      </c>
      <c r="G27" s="8">
        <f>COUNTIF('Test cases '!$B$2:$B$262,$A27)</f>
        <v/>
      </c>
      <c r="H27" s="8">
        <f>COUNTIFS('Test cases '!$B$2:$B$262,$A27,'Test cases '!$T$2:$T$262,"Approve")</f>
        <v/>
      </c>
      <c r="I27" s="8">
        <f>COUNTIFS('Test cases '!$B$2:$B$262,$A27,'Test cases '!$T$2:$T$262,"Draft")</f>
        <v/>
      </c>
      <c r="J27" s="8">
        <f>COUNTIFS('Test cases '!$B$2:$B$262,$A27,'Test cases '!$T$2:$T$262,"Block")</f>
        <v/>
      </c>
      <c r="K27" s="8">
        <f>IF(J27=G27,"Block",IF(J27&gt;0,"Partly blocked",IF(I27&gt;0,"Draft","Approve")))</f>
        <v/>
      </c>
    </row>
    <row r="28" ht="32" customHeight="1">
      <c r="A28" s="7" t="inlineStr">
        <is>
          <t>TS-027</t>
        </is>
      </c>
      <c r="B28" s="10" t="inlineStr">
        <is>
          <t>F5.5 Review application, Part 3 Family and household</t>
        </is>
      </c>
      <c r="C28" s="10" t="inlineStr">
        <is>
          <t>Member fields</t>
        </is>
      </c>
      <c r="D28" s="10" t="inlineStr">
        <is>
          <t>Full name, NRIC và Gender của thành viên.</t>
        </is>
      </c>
      <c r="E28" s="10" t="inlineStr">
        <is>
          <t>Boundary value analysis</t>
        </is>
      </c>
      <c r="F28" s="10" t="inlineStr">
        <is>
          <t>FS 5 Part 3, R5_FAS_Validation_Rules C19</t>
        </is>
      </c>
      <c r="G28" s="8">
        <f>COUNTIF('Test cases '!$B$2:$B$262,$A28)</f>
        <v/>
      </c>
      <c r="H28" s="8">
        <f>COUNTIFS('Test cases '!$B$2:$B$262,$A28,'Test cases '!$T$2:$T$262,"Approve")</f>
        <v/>
      </c>
      <c r="I28" s="8">
        <f>COUNTIFS('Test cases '!$B$2:$B$262,$A28,'Test cases '!$T$2:$T$262,"Draft")</f>
        <v/>
      </c>
      <c r="J28" s="8">
        <f>COUNTIFS('Test cases '!$B$2:$B$262,$A28,'Test cases '!$T$2:$T$262,"Block")</f>
        <v/>
      </c>
      <c r="K28" s="8">
        <f>IF(J28=G28,"Block",IF(J28&gt;0,"Partly blocked",IF(I28&gt;0,"Draft","Approve")))</f>
        <v/>
      </c>
    </row>
    <row r="29" ht="32" customHeight="1">
      <c r="A29" s="7" t="inlineStr">
        <is>
          <t>TS-028</t>
        </is>
      </c>
      <c r="B29" s="10" t="inlineStr">
        <is>
          <t>F5.5 Review application, Part 3 Family and household</t>
        </is>
      </c>
      <c r="C29" s="10" t="inlineStr">
        <is>
          <t>Household summary</t>
        </is>
      </c>
      <c r="D29" s="10" t="inlineStr">
        <is>
          <t>GHI, Household size và PCI từ dữ liệu Chính phủ.</t>
        </is>
      </c>
      <c r="E29" s="10" t="inlineStr">
        <is>
          <t>Use case</t>
        </is>
      </c>
      <c r="F29" s="10" t="inlineStr">
        <is>
          <t>FS 5 Part 3, FS 7, BR4</t>
        </is>
      </c>
      <c r="G29" s="8">
        <f>COUNTIF('Test cases '!$B$2:$B$262,$A29)</f>
        <v/>
      </c>
      <c r="H29" s="8">
        <f>COUNTIFS('Test cases '!$B$2:$B$262,$A29,'Test cases '!$T$2:$T$262,"Approve")</f>
        <v/>
      </c>
      <c r="I29" s="8">
        <f>COUNTIFS('Test cases '!$B$2:$B$262,$A29,'Test cases '!$T$2:$T$262,"Draft")</f>
        <v/>
      </c>
      <c r="J29" s="8">
        <f>COUNTIFS('Test cases '!$B$2:$B$262,$A29,'Test cases '!$T$2:$T$262,"Block")</f>
        <v/>
      </c>
      <c r="K29" s="8">
        <f>IF(J29=G29,"Block",IF(J29&gt;0,"Partly blocked",IF(I29&gt;0,"Draft","Approve")))</f>
        <v/>
      </c>
    </row>
    <row r="30" ht="32" customHeight="1">
      <c r="A30" s="7" t="inlineStr">
        <is>
          <t>TS-029</t>
        </is>
      </c>
      <c r="B30" s="10" t="inlineStr">
        <is>
          <t>F5.6 Review application, Part 4 Context and Part 5 Declaration</t>
        </is>
      </c>
      <c r="C30" s="10" t="inlineStr">
        <is>
          <t>Context</t>
        </is>
      </c>
      <c r="D30" s="10" t="inlineStr">
        <is>
          <t>Context tuỳ chọn, văn bản thuần, tối đa 2000 ký tự.</t>
        </is>
      </c>
      <c r="E30" s="10" t="inlineStr">
        <is>
          <t>Boundary value analysis</t>
        </is>
      </c>
      <c r="F30" s="10" t="inlineStr">
        <is>
          <t>FS 5 Part 4, BR5, T11</t>
        </is>
      </c>
      <c r="G30" s="8">
        <f>COUNTIF('Test cases '!$B$2:$B$262,$A30)</f>
        <v/>
      </c>
      <c r="H30" s="8">
        <f>COUNTIFS('Test cases '!$B$2:$B$262,$A30,'Test cases '!$T$2:$T$262,"Approve")</f>
        <v/>
      </c>
      <c r="I30" s="8">
        <f>COUNTIFS('Test cases '!$B$2:$B$262,$A30,'Test cases '!$T$2:$T$262,"Draft")</f>
        <v/>
      </c>
      <c r="J30" s="8">
        <f>COUNTIFS('Test cases '!$B$2:$B$262,$A30,'Test cases '!$T$2:$T$262,"Block")</f>
        <v/>
      </c>
      <c r="K30" s="8">
        <f>IF(J30=G30,"Block",IF(J30&gt;0,"Partly blocked",IF(I30&gt;0,"Draft","Approve")))</f>
        <v/>
      </c>
    </row>
    <row r="31" ht="32" customHeight="1">
      <c r="A31" s="7" t="inlineStr">
        <is>
          <t>TS-030</t>
        </is>
      </c>
      <c r="B31" s="10" t="inlineStr">
        <is>
          <t>F5.6 Review application, Part 4 Context and Part 5 Declaration</t>
        </is>
      </c>
      <c r="C31" s="10" t="inlineStr">
        <is>
          <t>Declaration and signature</t>
        </is>
      </c>
      <c r="D31" s="10" t="inlineStr">
        <is>
          <t>Hai ô cam kết bắt buộc.</t>
        </is>
      </c>
      <c r="E31" s="10" t="inlineStr">
        <is>
          <t>Decision table</t>
        </is>
      </c>
      <c r="F31" s="10" t="inlineStr">
        <is>
          <t>FS 5 Part 5, FS 6, T8</t>
        </is>
      </c>
      <c r="G31" s="8">
        <f>COUNTIF('Test cases '!$B$2:$B$262,$A31)</f>
        <v/>
      </c>
      <c r="H31" s="8">
        <f>COUNTIFS('Test cases '!$B$2:$B$262,$A31,'Test cases '!$T$2:$T$262,"Approve")</f>
        <v/>
      </c>
      <c r="I31" s="8">
        <f>COUNTIFS('Test cases '!$B$2:$B$262,$A31,'Test cases '!$T$2:$T$262,"Draft")</f>
        <v/>
      </c>
      <c r="J31" s="8">
        <f>COUNTIFS('Test cases '!$B$2:$B$262,$A31,'Test cases '!$T$2:$T$262,"Block")</f>
        <v/>
      </c>
      <c r="K31" s="8">
        <f>IF(J31=G31,"Block",IF(J31&gt;0,"Partly blocked",IF(I31&gt;0,"Draft","Approve")))</f>
        <v/>
      </c>
    </row>
    <row r="32" ht="32" customHeight="1">
      <c r="A32" s="7" t="inlineStr">
        <is>
          <t>TS-031</t>
        </is>
      </c>
      <c r="B32" s="10" t="inlineStr">
        <is>
          <t>F5.6 Review application, Part 4 Context and Part 5 Declaration</t>
        </is>
      </c>
      <c r="C32" s="10" t="inlineStr">
        <is>
          <t>Received by and Date received</t>
        </is>
      </c>
      <c r="D32" s="10" t="inlineStr">
        <is>
          <t>Hai trường chỉ đọc.</t>
        </is>
      </c>
      <c r="E32" s="10" t="inlineStr">
        <is>
          <t>Equivalence partitioning</t>
        </is>
      </c>
      <c r="F32" s="10" t="inlineStr">
        <is>
          <t>FS 5 Part 5</t>
        </is>
      </c>
      <c r="G32" s="8">
        <f>COUNTIF('Test cases '!$B$2:$B$262,$A32)</f>
        <v/>
      </c>
      <c r="H32" s="8">
        <f>COUNTIFS('Test cases '!$B$2:$B$262,$A32,'Test cases '!$T$2:$T$262,"Approve")</f>
        <v/>
      </c>
      <c r="I32" s="8">
        <f>COUNTIFS('Test cases '!$B$2:$B$262,$A32,'Test cases '!$T$2:$T$262,"Draft")</f>
        <v/>
      </c>
      <c r="J32" s="8">
        <f>COUNTIFS('Test cases '!$B$2:$B$262,$A32,'Test cases '!$T$2:$T$262,"Block")</f>
        <v/>
      </c>
      <c r="K32" s="8">
        <f>IF(J32=G32,"Block",IF(J32&gt;0,"Partly blocked",IF(I32&gt;0,"Draft","Approve")))</f>
        <v/>
      </c>
    </row>
    <row r="33" ht="32" customHeight="1">
      <c r="A33" s="7" t="inlineStr">
        <is>
          <t>TS-032</t>
        </is>
      </c>
      <c r="B33" s="10" t="inlineStr">
        <is>
          <t>F5.6 Review application, Part 4 Context and Part 5 Declaration</t>
        </is>
      </c>
      <c r="C33" s="10" t="inlineStr">
        <is>
          <t>Date signed</t>
        </is>
      </c>
      <c r="D33" s="10" t="inlineStr">
        <is>
          <t>Ngày ký bắt buộc, đúng ngày có thật.</t>
        </is>
      </c>
      <c r="E33" s="10" t="inlineStr">
        <is>
          <t>Boundary value analysis</t>
        </is>
      </c>
      <c r="F33" s="10" t="inlineStr">
        <is>
          <t>FS 5 Part 5, FS 6</t>
        </is>
      </c>
      <c r="G33" s="8">
        <f>COUNTIF('Test cases '!$B$2:$B$262,$A33)</f>
        <v/>
      </c>
      <c r="H33" s="8">
        <f>COUNTIFS('Test cases '!$B$2:$B$262,$A33,'Test cases '!$T$2:$T$262,"Approve")</f>
        <v/>
      </c>
      <c r="I33" s="8">
        <f>COUNTIFS('Test cases '!$B$2:$B$262,$A33,'Test cases '!$T$2:$T$262,"Draft")</f>
        <v/>
      </c>
      <c r="J33" s="8">
        <f>COUNTIFS('Test cases '!$B$2:$B$262,$A33,'Test cases '!$T$2:$T$262,"Block")</f>
        <v/>
      </c>
      <c r="K33" s="8">
        <f>IF(J33=G33,"Block",IF(J33&gt;0,"Partly blocked",IF(I33&gt;0,"Draft","Approve")))</f>
        <v/>
      </c>
    </row>
    <row r="34" ht="19" customHeight="1">
      <c r="A34" s="7" t="inlineStr">
        <is>
          <t>TS-033</t>
        </is>
      </c>
      <c r="B34" s="10" t="inlineStr">
        <is>
          <t>F5.7 Drafts</t>
        </is>
      </c>
      <c r="C34" s="10" t="inlineStr">
        <is>
          <t>Save and continue</t>
        </is>
      </c>
      <c r="D34" s="10" t="inlineStr">
        <is>
          <t>Lưu nháp rồi tiếp tục khôi phục đúng mẫu.</t>
        </is>
      </c>
      <c r="E34" s="10" t="inlineStr">
        <is>
          <t>State transition</t>
        </is>
      </c>
      <c r="F34" s="10" t="inlineStr">
        <is>
          <t>FS 2 bước 4a, BR6, T9</t>
        </is>
      </c>
      <c r="G34" s="8">
        <f>COUNTIF('Test cases '!$B$2:$B$262,$A34)</f>
        <v/>
      </c>
      <c r="H34" s="8">
        <f>COUNTIFS('Test cases '!$B$2:$B$262,$A34,'Test cases '!$T$2:$T$262,"Approve")</f>
        <v/>
      </c>
      <c r="I34" s="8">
        <f>COUNTIFS('Test cases '!$B$2:$B$262,$A34,'Test cases '!$T$2:$T$262,"Draft")</f>
        <v/>
      </c>
      <c r="J34" s="8">
        <f>COUNTIFS('Test cases '!$B$2:$B$262,$A34,'Test cases '!$T$2:$T$262,"Block")</f>
        <v/>
      </c>
      <c r="K34" s="8">
        <f>IF(J34=G34,"Block",IF(J34&gt;0,"Partly blocked",IF(I34&gt;0,"Draft","Approve")))</f>
        <v/>
      </c>
    </row>
    <row r="35" ht="19" customHeight="1">
      <c r="A35" s="7" t="inlineStr">
        <is>
          <t>TS-034</t>
        </is>
      </c>
      <c r="B35" s="10" t="inlineStr">
        <is>
          <t>F5.7 Drafts</t>
        </is>
      </c>
      <c r="C35" s="10" t="inlineStr">
        <is>
          <t>Discard and delete</t>
        </is>
      </c>
      <c r="D35" s="10" t="inlineStr">
        <is>
          <t>Discard và Delete xoá bản nháp và scan.</t>
        </is>
      </c>
      <c r="E35" s="10" t="inlineStr">
        <is>
          <t>State transition</t>
        </is>
      </c>
      <c r="F35" s="10" t="inlineStr">
        <is>
          <t>FS 3 mục 6, BR6</t>
        </is>
      </c>
      <c r="G35" s="8">
        <f>COUNTIF('Test cases '!$B$2:$B$262,$A35)</f>
        <v/>
      </c>
      <c r="H35" s="8">
        <f>COUNTIFS('Test cases '!$B$2:$B$262,$A35,'Test cases '!$T$2:$T$262,"Approve")</f>
        <v/>
      </c>
      <c r="I35" s="8">
        <f>COUNTIFS('Test cases '!$B$2:$B$262,$A35,'Test cases '!$T$2:$T$262,"Draft")</f>
        <v/>
      </c>
      <c r="J35" s="8">
        <f>COUNTIFS('Test cases '!$B$2:$B$262,$A35,'Test cases '!$T$2:$T$262,"Block")</f>
        <v/>
      </c>
      <c r="K35" s="8">
        <f>IF(J35=G35,"Block",IF(J35&gt;0,"Partly blocked",IF(I35&gt;0,"Draft","Approve")))</f>
        <v/>
      </c>
    </row>
    <row r="36" ht="32" customHeight="1">
      <c r="A36" s="7" t="inlineStr">
        <is>
          <t>TS-035</t>
        </is>
      </c>
      <c r="B36" s="10" t="inlineStr">
        <is>
          <t>F5.7 Drafts</t>
        </is>
      </c>
      <c r="C36" s="10" t="inlineStr">
        <is>
          <t>Draft lifecycle</t>
        </is>
      </c>
      <c r="D36" s="10" t="inlineStr">
        <is>
          <t>Bản nháp biến mất khi nộp, đồng thời và cách ly theo trường.</t>
        </is>
      </c>
      <c r="E36" s="10" t="inlineStr">
        <is>
          <t>State transition</t>
        </is>
      </c>
      <c r="F36" s="10" t="inlineStr">
        <is>
          <t>FS 2 bước 5, BR6</t>
        </is>
      </c>
      <c r="G36" s="8">
        <f>COUNTIF('Test cases '!$B$2:$B$262,$A36)</f>
        <v/>
      </c>
      <c r="H36" s="8">
        <f>COUNTIFS('Test cases '!$B$2:$B$262,$A36,'Test cases '!$T$2:$T$262,"Approve")</f>
        <v/>
      </c>
      <c r="I36" s="8">
        <f>COUNTIFS('Test cases '!$B$2:$B$262,$A36,'Test cases '!$T$2:$T$262,"Draft")</f>
        <v/>
      </c>
      <c r="J36" s="8">
        <f>COUNTIFS('Test cases '!$B$2:$B$262,$A36,'Test cases '!$T$2:$T$262,"Block")</f>
        <v/>
      </c>
      <c r="K36" s="8">
        <f>IF(J36=G36,"Block",IF(J36&gt;0,"Partly blocked",IF(I36&gt;0,"Draft","Approve")))</f>
        <v/>
      </c>
    </row>
    <row r="37" ht="32" customHeight="1">
      <c r="A37" s="7" t="inlineStr">
        <is>
          <t>TS-036</t>
        </is>
      </c>
      <c r="B37" s="10" t="inlineStr">
        <is>
          <t>F5.8 Review and submit validation</t>
        </is>
      </c>
      <c r="C37" s="10" t="inlineStr">
        <is>
          <t>Required fields</t>
        </is>
      </c>
      <c r="D37" s="10" t="inlineStr">
        <is>
          <t>Ghi chú Complete liệt kê đúng các trường thiếu.</t>
        </is>
      </c>
      <c r="E37" s="10" t="inlineStr">
        <is>
          <t>Decision table</t>
        </is>
      </c>
      <c r="F37" s="10" t="inlineStr">
        <is>
          <t>FS 6, T8</t>
        </is>
      </c>
      <c r="G37" s="8">
        <f>COUNTIF('Test cases '!$B$2:$B$262,$A37)</f>
        <v/>
      </c>
      <c r="H37" s="8">
        <f>COUNTIFS('Test cases '!$B$2:$B$262,$A37,'Test cases '!$T$2:$T$262,"Approve")</f>
        <v/>
      </c>
      <c r="I37" s="8">
        <f>COUNTIFS('Test cases '!$B$2:$B$262,$A37,'Test cases '!$T$2:$T$262,"Draft")</f>
        <v/>
      </c>
      <c r="J37" s="8">
        <f>COUNTIFS('Test cases '!$B$2:$B$262,$A37,'Test cases '!$T$2:$T$262,"Block")</f>
        <v/>
      </c>
      <c r="K37" s="8">
        <f>IF(J37=G37,"Block",IF(J37&gt;0,"Partly blocked",IF(I37&gt;0,"Draft","Approve")))</f>
        <v/>
      </c>
    </row>
    <row r="38" ht="32" customHeight="1">
      <c r="A38" s="7" t="inlineStr">
        <is>
          <t>TS-037</t>
        </is>
      </c>
      <c r="B38" s="10" t="inlineStr">
        <is>
          <t>F5.8 Review and submit validation</t>
        </is>
      </c>
      <c r="C38" s="10" t="inlineStr">
        <is>
          <t>Child NRIC and enrolment rules</t>
        </is>
      </c>
      <c r="D38" s="10" t="inlineStr">
        <is>
          <t>NRIC con, tuổi, đơn đã có và trường của con.</t>
        </is>
      </c>
      <c r="E38" s="10" t="inlineStr">
        <is>
          <t>Decision table</t>
        </is>
      </c>
      <c r="F38" s="10" t="inlineStr">
        <is>
          <t>FS 6, BR2, T4, T5, T6</t>
        </is>
      </c>
      <c r="G38" s="8">
        <f>COUNTIF('Test cases '!$B$2:$B$262,$A38)</f>
        <v/>
      </c>
      <c r="H38" s="8">
        <f>COUNTIFS('Test cases '!$B$2:$B$262,$A38,'Test cases '!$T$2:$T$262,"Approve")</f>
        <v/>
      </c>
      <c r="I38" s="8">
        <f>COUNTIFS('Test cases '!$B$2:$B$262,$A38,'Test cases '!$T$2:$T$262,"Draft")</f>
        <v/>
      </c>
      <c r="J38" s="8">
        <f>COUNTIFS('Test cases '!$B$2:$B$262,$A38,'Test cases '!$T$2:$T$262,"Block")</f>
        <v/>
      </c>
      <c r="K38" s="8">
        <f>IF(J38=G38,"Block",IF(J38&gt;0,"Partly blocked",IF(I38&gt;0,"Draft","Approve")))</f>
        <v/>
      </c>
    </row>
    <row r="39" ht="32" customHeight="1">
      <c r="A39" s="7" t="inlineStr">
        <is>
          <t>TS-038</t>
        </is>
      </c>
      <c r="B39" s="10" t="inlineStr">
        <is>
          <t>F5.8 Review and submit validation</t>
        </is>
      </c>
      <c r="C39" s="10" t="inlineStr">
        <is>
          <t>Age boundaries</t>
        </is>
      </c>
      <c r="D39" s="10" t="inlineStr">
        <is>
          <t>Tuổi 7 đến 16 và cách tính tại ngày nộp.</t>
        </is>
      </c>
      <c r="E39" s="10" t="inlineStr">
        <is>
          <t>Boundary value analysis</t>
        </is>
      </c>
      <c r="F39" s="10" t="inlineStr">
        <is>
          <t>FS 6, BR2, T5</t>
        </is>
      </c>
      <c r="G39" s="8">
        <f>COUNTIF('Test cases '!$B$2:$B$262,$A39)</f>
        <v/>
      </c>
      <c r="H39" s="8">
        <f>COUNTIFS('Test cases '!$B$2:$B$262,$A39,'Test cases '!$T$2:$T$262,"Approve")</f>
        <v/>
      </c>
      <c r="I39" s="8">
        <f>COUNTIFS('Test cases '!$B$2:$B$262,$A39,'Test cases '!$T$2:$T$262,"Draft")</f>
        <v/>
      </c>
      <c r="J39" s="8">
        <f>COUNTIFS('Test cases '!$B$2:$B$262,$A39,'Test cases '!$T$2:$T$262,"Block")</f>
        <v/>
      </c>
      <c r="K39" s="8">
        <f>IF(J39=G39,"Block",IF(J39&gt;0,"Partly blocked",IF(I39&gt;0,"Draft","Approve")))</f>
        <v/>
      </c>
    </row>
    <row r="40" ht="32" customHeight="1">
      <c r="A40" s="7" t="inlineStr">
        <is>
          <t>TS-039</t>
        </is>
      </c>
      <c r="B40" s="10" t="inlineStr">
        <is>
          <t>F5.8 Review and submit validation</t>
        </is>
      </c>
      <c r="C40" s="10" t="inlineStr">
        <is>
          <t>Form open window</t>
        </is>
      </c>
      <c r="D40" s="10" t="inlineStr">
        <is>
          <t>Chỉ nộp khi form MOEFAS hoặc SBFAS của trường con đang mở.</t>
        </is>
      </c>
      <c r="E40" s="10" t="inlineStr">
        <is>
          <t>Boundary value analysis</t>
        </is>
      </c>
      <c r="F40" s="10" t="inlineStr">
        <is>
          <t>FS 6, BR9, T13</t>
        </is>
      </c>
      <c r="G40" s="8">
        <f>COUNTIF('Test cases '!$B$2:$B$262,$A40)</f>
        <v/>
      </c>
      <c r="H40" s="8">
        <f>COUNTIFS('Test cases '!$B$2:$B$262,$A40,'Test cases '!$T$2:$T$262,"Approve")</f>
        <v/>
      </c>
      <c r="I40" s="8">
        <f>COUNTIFS('Test cases '!$B$2:$B$262,$A40,'Test cases '!$T$2:$T$262,"Draft")</f>
        <v/>
      </c>
      <c r="J40" s="8">
        <f>COUNTIFS('Test cases '!$B$2:$B$262,$A40,'Test cases '!$T$2:$T$262,"Block")</f>
        <v/>
      </c>
      <c r="K40" s="8">
        <f>IF(J40=G40,"Block",IF(J40&gt;0,"Partly blocked",IF(I40&gt;0,"Draft","Approve")))</f>
        <v/>
      </c>
    </row>
    <row r="41" ht="32" customHeight="1">
      <c r="A41" s="7" t="inlineStr">
        <is>
          <t>TS-040</t>
        </is>
      </c>
      <c r="B41" s="10" t="inlineStr">
        <is>
          <t>F5.8 Review and submit validation</t>
        </is>
      </c>
      <c r="C41" s="10" t="inlineStr">
        <is>
          <t>Notes display</t>
        </is>
      </c>
      <c r="D41" s="10" t="inlineStr">
        <is>
          <t>Hiển thị các ghi chú chặn.</t>
        </is>
      </c>
      <c r="E41" s="10" t="inlineStr">
        <is>
          <t>Use case</t>
        </is>
      </c>
      <c r="F41" s="10" t="inlineStr">
        <is>
          <t>FS 6, hình bị chặn khi nộp</t>
        </is>
      </c>
      <c r="G41" s="8">
        <f>COUNTIF('Test cases '!$B$2:$B$262,$A41)</f>
        <v/>
      </c>
      <c r="H41" s="8">
        <f>COUNTIFS('Test cases '!$B$2:$B$262,$A41,'Test cases '!$T$2:$T$262,"Approve")</f>
        <v/>
      </c>
      <c r="I41" s="8">
        <f>COUNTIFS('Test cases '!$B$2:$B$262,$A41,'Test cases '!$T$2:$T$262,"Draft")</f>
        <v/>
      </c>
      <c r="J41" s="8">
        <f>COUNTIFS('Test cases '!$B$2:$B$262,$A41,'Test cases '!$T$2:$T$262,"Block")</f>
        <v/>
      </c>
      <c r="K41" s="8">
        <f>IF(J41=G41,"Block",IF(J41&gt;0,"Partly blocked",IF(I41&gt;0,"Draft","Approve")))</f>
        <v/>
      </c>
    </row>
    <row r="42" ht="32" customHeight="1">
      <c r="A42" s="7" t="inlineStr">
        <is>
          <t>TS-041</t>
        </is>
      </c>
      <c r="B42" s="10" t="inlineStr">
        <is>
          <t>F5.9 Review before submitting dialog</t>
        </is>
      </c>
      <c r="C42" s="10" t="inlineStr">
        <is>
          <t>Dialog content</t>
        </is>
      </c>
      <c r="D42" s="10" t="inlineStr">
        <is>
          <t>Hộp thoại hiện đúng Part 1 đến Part 4.</t>
        </is>
      </c>
      <c r="E42" s="10" t="inlineStr">
        <is>
          <t>Equivalence partitioning</t>
        </is>
      </c>
      <c r="F42" s="10" t="inlineStr">
        <is>
          <t>FS 7, hình Review before submitting</t>
        </is>
      </c>
      <c r="G42" s="8">
        <f>COUNTIF('Test cases '!$B$2:$B$262,$A42)</f>
        <v/>
      </c>
      <c r="H42" s="8">
        <f>COUNTIFS('Test cases '!$B$2:$B$262,$A42,'Test cases '!$T$2:$T$262,"Approve")</f>
        <v/>
      </c>
      <c r="I42" s="8">
        <f>COUNTIFS('Test cases '!$B$2:$B$262,$A42,'Test cases '!$T$2:$T$262,"Draft")</f>
        <v/>
      </c>
      <c r="J42" s="8">
        <f>COUNTIFS('Test cases '!$B$2:$B$262,$A42,'Test cases '!$T$2:$T$262,"Block")</f>
        <v/>
      </c>
      <c r="K42" s="8">
        <f>IF(J42=G42,"Block",IF(J42&gt;0,"Partly blocked",IF(I42&gt;0,"Draft","Approve")))</f>
        <v/>
      </c>
    </row>
    <row r="43" ht="32" customHeight="1">
      <c r="A43" s="7" t="inlineStr">
        <is>
          <t>TS-042</t>
        </is>
      </c>
      <c r="B43" s="10" t="inlineStr">
        <is>
          <t>F5.9 Review before submitting dialog</t>
        </is>
      </c>
      <c r="C43" s="10" t="inlineStr">
        <is>
          <t>Back to edit</t>
        </is>
      </c>
      <c r="D43" s="10" t="inlineStr">
        <is>
          <t>Quay về chỉnh sửa không lưu gì.</t>
        </is>
      </c>
      <c r="E43" s="10" t="inlineStr">
        <is>
          <t>State transition</t>
        </is>
      </c>
      <c r="F43" s="10" t="inlineStr">
        <is>
          <t>FS 7</t>
        </is>
      </c>
      <c r="G43" s="8">
        <f>COUNTIF('Test cases '!$B$2:$B$262,$A43)</f>
        <v/>
      </c>
      <c r="H43" s="8">
        <f>COUNTIFS('Test cases '!$B$2:$B$262,$A43,'Test cases '!$T$2:$T$262,"Approve")</f>
        <v/>
      </c>
      <c r="I43" s="8">
        <f>COUNTIFS('Test cases '!$B$2:$B$262,$A43,'Test cases '!$T$2:$T$262,"Draft")</f>
        <v/>
      </c>
      <c r="J43" s="8">
        <f>COUNTIFS('Test cases '!$B$2:$B$262,$A43,'Test cases '!$T$2:$T$262,"Block")</f>
        <v/>
      </c>
      <c r="K43" s="8">
        <f>IF(J43=G43,"Block",IF(J43&gt;0,"Partly blocked",IF(I43&gt;0,"Draft","Approve")))</f>
        <v/>
      </c>
    </row>
    <row r="44" ht="32" customHeight="1">
      <c r="A44" s="7" t="inlineStr">
        <is>
          <t>TS-043</t>
        </is>
      </c>
      <c r="B44" s="10" t="inlineStr">
        <is>
          <t>F5.10 Confirm and submit and routing</t>
        </is>
      </c>
      <c r="C44" s="10" t="inlineStr">
        <is>
          <t>Submit and create applications</t>
        </is>
      </c>
      <c r="D44" s="10" t="inlineStr">
        <is>
          <t>Mỗi con một đơn, dùng chung mã gia đình khi nhiều con.</t>
        </is>
      </c>
      <c r="E44" s="10" t="inlineStr">
        <is>
          <t>Use case</t>
        </is>
      </c>
      <c r="F44" s="10" t="inlineStr">
        <is>
          <t>FS 2 bước 5, BR1, BR6, BR7, T10</t>
        </is>
      </c>
      <c r="G44" s="8">
        <f>COUNTIF('Test cases '!$B$2:$B$262,$A44)</f>
        <v/>
      </c>
      <c r="H44" s="8">
        <f>COUNTIFS('Test cases '!$B$2:$B$262,$A44,'Test cases '!$T$2:$T$262,"Approve")</f>
        <v/>
      </c>
      <c r="I44" s="8">
        <f>COUNTIFS('Test cases '!$B$2:$B$262,$A44,'Test cases '!$T$2:$T$262,"Draft")</f>
        <v/>
      </c>
      <c r="J44" s="8">
        <f>COUNTIFS('Test cases '!$B$2:$B$262,$A44,'Test cases '!$T$2:$T$262,"Block")</f>
        <v/>
      </c>
      <c r="K44" s="8">
        <f>IF(J44=G44,"Block",IF(J44&gt;0,"Partly blocked",IF(I44&gt;0,"Draft","Approve")))</f>
        <v/>
      </c>
    </row>
    <row r="45" ht="32" customHeight="1">
      <c r="A45" s="7" t="inlineStr">
        <is>
          <t>TS-044</t>
        </is>
      </c>
      <c r="B45" s="10" t="inlineStr">
        <is>
          <t>F5.10 Confirm and submit and routing</t>
        </is>
      </c>
      <c r="C45" s="10" t="inlineStr">
        <is>
          <t>Routing after submit</t>
        </is>
      </c>
      <c r="D45" s="10" t="inlineStr">
        <is>
          <t>MOEFAS Pending hoặc SBFAS Pending theo quốc tịch và lựa chọn.</t>
        </is>
      </c>
      <c r="E45" s="10" t="inlineStr">
        <is>
          <t>Decision table</t>
        </is>
      </c>
      <c r="F45" s="10" t="inlineStr">
        <is>
          <t>FS 2 bước 5, BR8, F4 mục 2</t>
        </is>
      </c>
      <c r="G45" s="8">
        <f>COUNTIF('Test cases '!$B$2:$B$262,$A45)</f>
        <v/>
      </c>
      <c r="H45" s="8">
        <f>COUNTIFS('Test cases '!$B$2:$B$262,$A45,'Test cases '!$T$2:$T$262,"Approve")</f>
        <v/>
      </c>
      <c r="I45" s="8">
        <f>COUNTIFS('Test cases '!$B$2:$B$262,$A45,'Test cases '!$T$2:$T$262,"Draft")</f>
        <v/>
      </c>
      <c r="J45" s="8">
        <f>COUNTIFS('Test cases '!$B$2:$B$262,$A45,'Test cases '!$T$2:$T$262,"Block")</f>
        <v/>
      </c>
      <c r="K45" s="8">
        <f>IF(J45=G45,"Block",IF(J45&gt;0,"Partly blocked",IF(I45&gt;0,"Draft","Approve")))</f>
        <v/>
      </c>
    </row>
    <row r="46" ht="32" customHeight="1">
      <c r="A46" s="7" t="inlineStr">
        <is>
          <t>TS-045</t>
        </is>
      </c>
      <c r="B46" s="10" t="inlineStr">
        <is>
          <t>F5.10 Confirm and submit and routing</t>
        </is>
      </c>
      <c r="C46" s="10" t="inlineStr">
        <is>
          <t>Integrity and concurrency</t>
        </is>
      </c>
      <c r="D46" s="10" t="inlineStr">
        <is>
          <t>Nộp là một giao dịch, không trùng, không mất dữ liệu.</t>
        </is>
      </c>
      <c r="E46" s="10" t="inlineStr">
        <is>
          <t>Error guessing</t>
        </is>
      </c>
      <c r="F46" s="10" t="inlineStr">
        <is>
          <t>FS 2 bước 5, BR2, BR9</t>
        </is>
      </c>
      <c r="G46" s="8">
        <f>COUNTIF('Test cases '!$B$2:$B$262,$A46)</f>
        <v/>
      </c>
      <c r="H46" s="8">
        <f>COUNTIFS('Test cases '!$B$2:$B$262,$A46,'Test cases '!$T$2:$T$262,"Approve")</f>
        <v/>
      </c>
      <c r="I46" s="8">
        <f>COUNTIFS('Test cases '!$B$2:$B$262,$A46,'Test cases '!$T$2:$T$262,"Draft")</f>
        <v/>
      </c>
      <c r="J46" s="8">
        <f>COUNTIFS('Test cases '!$B$2:$B$262,$A46,'Test cases '!$T$2:$T$262,"Block")</f>
        <v/>
      </c>
      <c r="K46" s="8">
        <f>IF(J46=G46,"Block",IF(J46&gt;0,"Partly blocked",IF(I46&gt;0,"Draft","Approve")))</f>
        <v/>
      </c>
    </row>
    <row r="47" ht="32" customHeight="1">
      <c r="A47" s="7" t="inlineStr">
        <is>
          <t>TS-046</t>
        </is>
      </c>
      <c r="B47" s="10" t="inlineStr">
        <is>
          <t>F5.11 View and edit submitted application</t>
        </is>
      </c>
      <c r="C47" s="10" t="inlineStr">
        <is>
          <t>View application</t>
        </is>
      </c>
      <c r="D47" s="10" t="inlineStr">
        <is>
          <t>Mở đơn đã nộp ở chế độ chỉ đọc.</t>
        </is>
      </c>
      <c r="E47" s="10" t="inlineStr">
        <is>
          <t>Use case</t>
        </is>
      </c>
      <c r="F47" s="10" t="inlineStr">
        <is>
          <t>FS 8</t>
        </is>
      </c>
      <c r="G47" s="8">
        <f>COUNTIF('Test cases '!$B$2:$B$262,$A47)</f>
        <v/>
      </c>
      <c r="H47" s="8">
        <f>COUNTIFS('Test cases '!$B$2:$B$262,$A47,'Test cases '!$T$2:$T$262,"Approve")</f>
        <v/>
      </c>
      <c r="I47" s="8">
        <f>COUNTIFS('Test cases '!$B$2:$B$262,$A47,'Test cases '!$T$2:$T$262,"Draft")</f>
        <v/>
      </c>
      <c r="J47" s="8">
        <f>COUNTIFS('Test cases '!$B$2:$B$262,$A47,'Test cases '!$T$2:$T$262,"Block")</f>
        <v/>
      </c>
      <c r="K47" s="8">
        <f>IF(J47=G47,"Block",IF(J47&gt;0,"Partly blocked",IF(I47&gt;0,"Draft","Approve")))</f>
        <v/>
      </c>
    </row>
    <row r="48" ht="32" customHeight="1">
      <c r="A48" s="7" t="inlineStr">
        <is>
          <t>TS-047</t>
        </is>
      </c>
      <c r="B48" s="10" t="inlineStr">
        <is>
          <t>F5.11 View and edit submitted application</t>
        </is>
      </c>
      <c r="C48" s="10" t="inlineStr">
        <is>
          <t>Who can edit</t>
        </is>
      </c>
      <c r="D48" s="10" t="inlineStr">
        <is>
          <t>Chỉ đơn Pending sửa được.</t>
        </is>
      </c>
      <c r="E48" s="10" t="inlineStr">
        <is>
          <t>Decision table</t>
        </is>
      </c>
      <c r="F48" s="10" t="inlineStr">
        <is>
          <t>FS 8, BR9</t>
        </is>
      </c>
      <c r="G48" s="8">
        <f>COUNTIF('Test cases '!$B$2:$B$262,$A48)</f>
        <v/>
      </c>
      <c r="H48" s="8">
        <f>COUNTIFS('Test cases '!$B$2:$B$262,$A48,'Test cases '!$T$2:$T$262,"Approve")</f>
        <v/>
      </c>
      <c r="I48" s="8">
        <f>COUNTIFS('Test cases '!$B$2:$B$262,$A48,'Test cases '!$T$2:$T$262,"Draft")</f>
        <v/>
      </c>
      <c r="J48" s="8">
        <f>COUNTIFS('Test cases '!$B$2:$B$262,$A48,'Test cases '!$T$2:$T$262,"Block")</f>
        <v/>
      </c>
      <c r="K48" s="8">
        <f>IF(J48=G48,"Block",IF(J48&gt;0,"Partly blocked",IF(I48&gt;0,"Draft","Approve")))</f>
        <v/>
      </c>
    </row>
    <row r="49" ht="32" customHeight="1">
      <c r="A49" s="7" t="inlineStr">
        <is>
          <t>TS-048</t>
        </is>
      </c>
      <c r="B49" s="10" t="inlineStr">
        <is>
          <t>F5.11 View and edit submitted application</t>
        </is>
      </c>
      <c r="C49" s="10" t="inlineStr">
        <is>
          <t>Save changes</t>
        </is>
      </c>
      <c r="D49" s="10" t="inlineStr">
        <is>
          <t>Lưu thay đổi, History, luồng quyết định không chạy lại.</t>
        </is>
      </c>
      <c r="E49" s="10" t="inlineStr">
        <is>
          <t>State transition</t>
        </is>
      </c>
      <c r="F49" s="10" t="inlineStr">
        <is>
          <t>FS 8, T12</t>
        </is>
      </c>
      <c r="G49" s="8">
        <f>COUNTIF('Test cases '!$B$2:$B$262,$A49)</f>
        <v/>
      </c>
      <c r="H49" s="8">
        <f>COUNTIFS('Test cases '!$B$2:$B$262,$A49,'Test cases '!$T$2:$T$262,"Approve")</f>
        <v/>
      </c>
      <c r="I49" s="8">
        <f>COUNTIFS('Test cases '!$B$2:$B$262,$A49,'Test cases '!$T$2:$T$262,"Draft")</f>
        <v/>
      </c>
      <c r="J49" s="8">
        <f>COUNTIFS('Test cases '!$B$2:$B$262,$A49,'Test cases '!$T$2:$T$262,"Block")</f>
        <v/>
      </c>
      <c r="K49" s="8">
        <f>IF(J49=G49,"Block",IF(J49&gt;0,"Partly blocked",IF(I49&gt;0,"Draft","Approve")))</f>
        <v/>
      </c>
    </row>
    <row r="50" ht="32" customHeight="1">
      <c r="A50" s="7" t="inlineStr">
        <is>
          <t>TS-049</t>
        </is>
      </c>
      <c r="B50" s="10" t="inlineStr">
        <is>
          <t>F5.11 View and edit submitted application</t>
        </is>
      </c>
      <c r="C50" s="10" t="inlineStr">
        <is>
          <t>Edit rules and concurrency</t>
        </is>
      </c>
      <c r="D50" s="10" t="inlineStr">
        <is>
          <t>Quy tắc kiểm tra khi sửa và đồng thời.</t>
        </is>
      </c>
      <c r="E50" s="10" t="inlineStr">
        <is>
          <t>Error guessing</t>
        </is>
      </c>
      <c r="F50" s="10" t="inlineStr">
        <is>
          <t>FS 8</t>
        </is>
      </c>
      <c r="G50" s="8">
        <f>COUNTIF('Test cases '!$B$2:$B$262,$A50)</f>
        <v/>
      </c>
      <c r="H50" s="8">
        <f>COUNTIFS('Test cases '!$B$2:$B$262,$A50,'Test cases '!$T$2:$T$262,"Approve")</f>
        <v/>
      </c>
      <c r="I50" s="8">
        <f>COUNTIFS('Test cases '!$B$2:$B$262,$A50,'Test cases '!$T$2:$T$262,"Draft")</f>
        <v/>
      </c>
      <c r="J50" s="8">
        <f>COUNTIFS('Test cases '!$B$2:$B$262,$A50,'Test cases '!$T$2:$T$262,"Block")</f>
        <v/>
      </c>
      <c r="K50" s="8">
        <f>IF(J50=G50,"Block",IF(J50&gt;0,"Partly blocked",IF(I50&gt;0,"Draft","Approve")))</f>
        <v/>
      </c>
    </row>
    <row r="51" ht="19" customHeight="1">
      <c r="A51" s="7" t="inlineStr">
        <is>
          <t>TS-050</t>
        </is>
      </c>
      <c r="B51" s="10" t="inlineStr">
        <is>
          <t>F5.12 Access, API and data</t>
        </is>
      </c>
      <c r="C51" s="10" t="inlineStr">
        <is>
          <t>Role and school isolation</t>
        </is>
      </c>
      <c r="D51" s="10" t="inlineStr">
        <is>
          <t>Quyền truy cập theo vai trò và trường ở lớp API.</t>
        </is>
      </c>
      <c r="E51" s="10" t="inlineStr">
        <is>
          <t>Error guessing</t>
        </is>
      </c>
      <c r="F51" s="10" t="inlineStr">
        <is>
          <t>FS 1.2, VR-F5-S01, S02</t>
        </is>
      </c>
      <c r="G51" s="8">
        <f>COUNTIF('Test cases '!$B$2:$B$262,$A51)</f>
        <v/>
      </c>
      <c r="H51" s="8">
        <f>COUNTIFS('Test cases '!$B$2:$B$262,$A51,'Test cases '!$T$2:$T$262,"Approve")</f>
        <v/>
      </c>
      <c r="I51" s="8">
        <f>COUNTIFS('Test cases '!$B$2:$B$262,$A51,'Test cases '!$T$2:$T$262,"Draft")</f>
        <v/>
      </c>
      <c r="J51" s="8">
        <f>COUNTIFS('Test cases '!$B$2:$B$262,$A51,'Test cases '!$T$2:$T$262,"Block")</f>
        <v/>
      </c>
      <c r="K51" s="8">
        <f>IF(J51=G51,"Block",IF(J51&gt;0,"Partly blocked",IF(I51&gt;0,"Draft","Approve")))</f>
        <v/>
      </c>
    </row>
    <row r="52" ht="19" customHeight="1">
      <c r="A52" s="7" t="inlineStr">
        <is>
          <t>TS-051</t>
        </is>
      </c>
      <c r="B52" s="10" t="inlineStr">
        <is>
          <t>F5.12 Access, API and data</t>
        </is>
      </c>
      <c r="C52" s="10" t="inlineStr">
        <is>
          <t>Server side rules</t>
        </is>
      </c>
      <c r="D52" s="10" t="inlineStr">
        <is>
          <t>Máy chủ chạy lại mọi quy tắc và giữ dữ liệu.</t>
        </is>
      </c>
      <c r="E52" s="10" t="inlineStr">
        <is>
          <t>Error guessing</t>
        </is>
      </c>
      <c r="F52" s="10" t="inlineStr">
        <is>
          <t>BR3, VR-F5-S03 đến S10</t>
        </is>
      </c>
      <c r="G52" s="8">
        <f>COUNTIF('Test cases '!$B$2:$B$262,$A52)</f>
        <v/>
      </c>
      <c r="H52" s="8">
        <f>COUNTIFS('Test cases '!$B$2:$B$262,$A52,'Test cases '!$T$2:$T$262,"Approve")</f>
        <v/>
      </c>
      <c r="I52" s="8">
        <f>COUNTIFS('Test cases '!$B$2:$B$262,$A52,'Test cases '!$T$2:$T$262,"Draft")</f>
        <v/>
      </c>
      <c r="J52" s="8">
        <f>COUNTIFS('Test cases '!$B$2:$B$262,$A52,'Test cases '!$T$2:$T$262,"Block")</f>
        <v/>
      </c>
      <c r="K52" s="8">
        <f>IF(J52=G52,"Block",IF(J52&gt;0,"Partly blocked",IF(I52&gt;0,"Draft","Approve")))</f>
        <v/>
      </c>
    </row>
    <row r="53" ht="19" customHeight="1">
      <c r="A53" s="7" t="inlineStr">
        <is>
          <t>TS-052</t>
        </is>
      </c>
      <c r="B53" s="10" t="inlineStr">
        <is>
          <t>F5.12 Access, API and data</t>
        </is>
      </c>
      <c r="C53" s="10" t="inlineStr">
        <is>
          <t>Formats</t>
        </is>
      </c>
      <c r="D53" s="10" t="inlineStr">
        <is>
          <t>Định dạng ngày, giờ, tiền ở mọi màn.</t>
        </is>
      </c>
      <c r="E53" s="10" t="inlineStr">
        <is>
          <t>Equivalence partitioning</t>
        </is>
      </c>
      <c r="F53" s="10" t="inlineStr">
        <is>
          <t>VR-F5-S13</t>
        </is>
      </c>
      <c r="G53" s="8">
        <f>COUNTIF('Test cases '!$B$2:$B$262,$A53)</f>
        <v/>
      </c>
      <c r="H53" s="8">
        <f>COUNTIFS('Test cases '!$B$2:$B$262,$A53,'Test cases '!$T$2:$T$262,"Approve")</f>
        <v/>
      </c>
      <c r="I53" s="8">
        <f>COUNTIFS('Test cases '!$B$2:$B$262,$A53,'Test cases '!$T$2:$T$262,"Draft")</f>
        <v/>
      </c>
      <c r="J53" s="8">
        <f>COUNTIFS('Test cases '!$B$2:$B$262,$A53,'Test cases '!$T$2:$T$262,"Block")</f>
        <v/>
      </c>
      <c r="K53" s="8">
        <f>IF(J53=G53,"Block",IF(J53&gt;0,"Partly blocked",IF(I53&gt;0,"Draft","Approve")))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6" customWidth="1" min="3" max="3"/>
    <col width="52" customWidth="1" min="4" max="4"/>
    <col width="52" customWidth="1" min="5" max="5"/>
    <col width="36" customWidth="1" min="6" max="6"/>
    <col width="40" customWidth="1" min="7" max="7"/>
    <col width="36" customWidth="1" min="8" max="8"/>
    <col width="11" customWidth="1" min="9" max="9"/>
    <col width="28" customWidth="1" min="10" max="10"/>
    <col width="40" customWidth="1" min="11" max="11"/>
    <col width="9" customWidth="1" min="12" max="12"/>
  </cols>
  <sheetData>
    <row r="1" ht="31.5" customHeight="1">
      <c r="A1" s="1" t="inlineStr">
        <is>
          <t>ID</t>
        </is>
      </c>
      <c r="B1" s="1" t="inlineStr">
        <is>
          <t>Type</t>
        </is>
      </c>
      <c r="C1" s="1" t="inlineStr">
        <is>
          <t>Scope</t>
        </is>
      </c>
      <c r="D1" s="1" t="inlineStr">
        <is>
          <t>Original gap</t>
        </is>
      </c>
      <c r="E1" s="1" t="inlineStr">
        <is>
          <t>Assumption</t>
        </is>
      </c>
      <c r="F1" s="1" t="inlineStr">
        <is>
          <t>FS source</t>
        </is>
      </c>
      <c r="G1" s="1" t="inlineStr">
        <is>
          <t>Reason</t>
        </is>
      </c>
      <c r="H1" s="1" t="inlineStr">
        <is>
          <t>If the answer differs</t>
        </is>
      </c>
      <c r="I1" s="1" t="inlineStr">
        <is>
          <t>State</t>
        </is>
      </c>
      <c r="J1" s="1" t="inlineStr">
        <is>
          <t>Resolution</t>
        </is>
      </c>
      <c r="K1" s="1" t="inlineStr">
        <is>
          <t>Cases that make this assumption</t>
        </is>
      </c>
      <c r="L1" s="1" t="inlineStr">
        <is>
          <t>Owner</t>
        </is>
      </c>
    </row>
    <row r="2" ht="58" customHeight="1">
      <c r="A2" s="7" t="inlineStr">
        <is>
          <t>ASM-R5-01</t>
        </is>
      </c>
      <c r="B2" s="10" t="inlineStr">
        <is>
          <t>Rule</t>
        </is>
      </c>
      <c r="C2" s="10" t="inlineStr">
        <is>
          <t>Độ tuổi của con</t>
        </is>
      </c>
      <c r="D2" s="10" t="inlineStr">
        <is>
          <t>FS05 mục 6, BR2 và T5 cho con từ 7 đến 16 tuổi và chặn con 17 tuổi. FS01 F01-BR02 ghi tuổi đủ điều kiện từ đủ 7 tuổi đến trước sinh nhật 16 tuổi.</t>
        </is>
      </c>
      <c r="E2" s="10" t="inlineStr">
        <is>
          <t>FS05 là căn cứ của F5. Tuổi tính tại ngày nộp theo giờ Singapore. Con đúng 7 tuổi hôm nay hợp lệ, con 6 tuổi 364 ngày bị chặn. Con 16 tuổi 364 ngày và con đúng 16 tuổi hôm nay hợp lệ, con đúng 17 tuổi hôm nay bị chặn.</t>
        </is>
      </c>
      <c r="F2" s="10" t="inlineStr">
        <is>
          <t>FS 6, BR2, T5, FS01 F01-BR02, F02</t>
        </is>
      </c>
      <c r="G2" s="10" t="inlineStr">
        <is>
          <t>T5 chỉ cho biết con 17 tuổi bị chặn và BR2 ghi khoảng 7 đến 16.</t>
        </is>
      </c>
      <c r="H2" s="10" t="inlineStr">
        <is>
          <t>Các ca biên 16 tuổi và 17 tuổi đổi kết quả.</t>
        </is>
      </c>
      <c r="I2" s="10" t="inlineStr">
        <is>
          <t>Open</t>
        </is>
      </c>
      <c r="J2" s="10" t="inlineStr">
        <is>
          <t>Chưa có</t>
        </is>
      </c>
      <c r="K2" s="10" t="inlineStr">
        <is>
          <t>TC-187, TC-188, TC-189</t>
        </is>
      </c>
      <c r="L2" s="10" t="inlineStr">
        <is>
          <t>BA</t>
        </is>
      </c>
    </row>
    <row r="3" ht="45" customHeight="1">
      <c r="A3" s="7" t="inlineStr">
        <is>
          <t>ASM-R5-02</t>
        </is>
      </c>
      <c r="B3" s="10" t="inlineStr">
        <is>
          <t>Rule</t>
        </is>
      </c>
      <c r="C3" s="10" t="inlineStr">
        <is>
          <t>Một lần tải là một mẫu gia đình</t>
        </is>
      </c>
      <c r="D3" s="10" t="inlineStr">
        <is>
          <t>Hộp thoại Upload scans ghi One application is one student, trong khi FS 2 bước 5, BR1 và T10 cho một mẫu có nhiều con.</t>
        </is>
      </c>
      <c r="E3" s="10" t="inlineStr">
        <is>
          <t>Một lần tải là một mẫu của một gia đình. Giới hạn 5 file tính cho cả mẫu. Lời nhắc trong hộp thoại là chữ cũ và không ảnh hưởng đến quy tắc.</t>
        </is>
      </c>
      <c r="F3" s="10" t="inlineStr">
        <is>
          <t>FS 4, FS 2 bước 5, BR1, T10</t>
        </is>
      </c>
      <c r="G3" s="10" t="inlineStr">
        <is>
          <t>FS 2 và BR1 nói một mẫu một gia đình, nhiều đơn.</t>
        </is>
      </c>
      <c r="H3" s="10" t="inlineStr">
        <is>
          <t>Giới hạn 5 file và các ca nhiều con đổi.</t>
        </is>
      </c>
      <c r="I3" s="10" t="inlineStr">
        <is>
          <t>Open</t>
        </is>
      </c>
      <c r="J3" s="10" t="inlineStr">
        <is>
          <t>Chưa có</t>
        </is>
      </c>
      <c r="K3" s="10" t="inlineStr">
        <is>
          <t>TC-058, TC-059</t>
        </is>
      </c>
      <c r="L3" s="10" t="inlineStr">
        <is>
          <t>BA</t>
        </is>
      </c>
    </row>
    <row r="4" ht="32" customHeight="1">
      <c r="A4" s="7" t="inlineStr">
        <is>
          <t>ASM-R5-03</t>
        </is>
      </c>
      <c r="B4" s="10" t="inlineStr">
        <is>
          <t>Rule</t>
        </is>
      </c>
      <c r="C4" s="10" t="inlineStr">
        <is>
          <t>NRIC người khai không tra ra</t>
        </is>
      </c>
      <c r="D4" s="10" t="inlineStr">
        <is>
          <t>FS 2 bước 2 chỉ mô tả trường hợp NRIC khớp hồ sơ phụ huynh và dữ liệu Chính phủ.</t>
        </is>
      </c>
      <c r="E4" s="10" t="inlineStr">
        <is>
          <t>Không có giả định hợp lý. Có thể để trống và cho nhập tay, hoặc chặn, hoặc báo lỗi.</t>
        </is>
      </c>
      <c r="F4" s="10" t="inlineStr">
        <is>
          <t>FS 2 bước 2, FS 5 Part 1, BR3</t>
        </is>
      </c>
      <c r="G4" s="10" t="inlineStr">
        <is>
          <t>Không có câu nào về trường hợp không khớp.</t>
        </is>
      </c>
      <c r="H4" s="10" t="inlineStr">
        <is>
          <t>Ca này mở khoá khi BA trả lời.</t>
        </is>
      </c>
      <c r="I4" s="10" t="inlineStr">
        <is>
          <t>Open</t>
        </is>
      </c>
      <c r="J4" s="10" t="inlineStr">
        <is>
          <t>Chưa có</t>
        </is>
      </c>
      <c r="K4" s="10" t="inlineStr">
        <is>
          <t>TC-074</t>
        </is>
      </c>
      <c r="L4" s="10" t="inlineStr">
        <is>
          <t>BA</t>
        </is>
      </c>
    </row>
    <row r="5" ht="71" customHeight="1">
      <c r="A5" s="7" t="inlineStr">
        <is>
          <t>ASM-R5-04</t>
        </is>
      </c>
      <c r="B5" s="10" t="inlineStr">
        <is>
          <t>Rule</t>
        </is>
      </c>
      <c r="C5" s="10" t="inlineStr">
        <is>
          <t>Trường khoá và trường sửa được</t>
        </is>
      </c>
      <c r="D5" s="10" t="inlineStr">
        <is>
          <t>FS 5 Part 1 nói các trường tự điền bị khoá, nhưng hình Review application cho ô Phone number màu vàng và trông sửa được.</t>
        </is>
      </c>
      <c r="E5" s="10" t="inlineStr">
        <is>
          <t>Họ tên, ngày sinh, giới tính, category, nationality luôn khoá. Điện thoại, email, địa chỉ khoá sau khi tự điền. Relationship to child và School-based FAS luôn sửa được. Đổi NRIC người khai thay toàn bộ giá trị tự điền, còn Relationship và School-based FAS giữ nguyên.</t>
        </is>
      </c>
      <c r="F5" s="10" t="inlineStr">
        <is>
          <t>FS 5 Part 1, BR3, hình Review application</t>
        </is>
      </c>
      <c r="G5" s="10" t="inlineStr">
        <is>
          <t>FS 5 Part 1 và BR3 nói tự điền rồi khoá.</t>
        </is>
      </c>
      <c r="H5" s="10" t="inlineStr">
        <is>
          <t>Các ca ô khoá, ô sửa được và ca đổi NRIC đổi.</t>
        </is>
      </c>
      <c r="I5" s="10" t="inlineStr">
        <is>
          <t>Open</t>
        </is>
      </c>
      <c r="J5" s="10" t="inlineStr">
        <is>
          <t>Chưa có</t>
        </is>
      </c>
      <c r="K5" s="10" t="inlineStr">
        <is>
          <t>TC-073, TC-077, TC-078, TC-084, TC-085, TC-086, TC-087, TC-088, TC-089, TC-090, TC-091, TC-092, TC-093, TC-094, TC-095, TC-096, TC-097, TC-098, TC-105</t>
        </is>
      </c>
      <c r="L5" s="10" t="inlineStr">
        <is>
          <t>BA</t>
        </is>
      </c>
    </row>
    <row r="6" ht="58" customHeight="1">
      <c r="A6" s="7" t="inlineStr">
        <is>
          <t>ASM-R5-05</t>
        </is>
      </c>
      <c r="B6" s="10" t="inlineStr">
        <is>
          <t>Rule</t>
        </is>
      </c>
      <c r="C6" s="10" t="inlineStr">
        <is>
          <t>Số điện thoại</t>
        </is>
      </c>
      <c r="D6" s="10" t="inlineStr">
        <is>
          <t>FS 5 Part 1 ghi chỉ chữ số, tối đa 10. Hình hiển thị +65 9123 4567. FS không nêu số chữ số tối thiểu.</t>
        </is>
      </c>
      <c r="E6" s="10" t="inlineStr">
        <is>
          <t>Ô nhận chữ số 0 đến 9. Dấu cộng, khoảng trắng và chữ cái bị loại bỏ khi gõ hoặc dán. Số chữ số hợp lệ từ 8 đến 10 và mã nước 65 tính vào 10 chữ số. Số sai hiện Complete: Phone number (up to 10 digits).</t>
        </is>
      </c>
      <c r="F6" s="10" t="inlineStr">
        <is>
          <t>FS 5 Part 1, FS 6</t>
        </is>
      </c>
      <c r="G6" s="10" t="inlineStr">
        <is>
          <t>Thông báo trong FS 6 là thông báo duy nhất về điện thoại.</t>
        </is>
      </c>
      <c r="H6" s="10" t="inlineStr">
        <is>
          <t>Các ca số điện thoại đổi.</t>
        </is>
      </c>
      <c r="I6" s="10" t="inlineStr">
        <is>
          <t>Open</t>
        </is>
      </c>
      <c r="J6" s="10" t="inlineStr">
        <is>
          <t>Chưa có</t>
        </is>
      </c>
      <c r="K6" s="10" t="inlineStr">
        <is>
          <t>TC-084, TC-085, TC-086, TC-087, TC-088, TC-090</t>
        </is>
      </c>
      <c r="L6" s="10" t="inlineStr">
        <is>
          <t>BA</t>
        </is>
      </c>
    </row>
    <row r="7" ht="71" customHeight="1">
      <c r="A7" s="7" t="inlineStr">
        <is>
          <t>ASM-R5-06</t>
        </is>
      </c>
      <c r="B7" s="10" t="inlineStr">
        <is>
          <t>Rule</t>
        </is>
      </c>
      <c r="C7" s="10" t="inlineStr">
        <is>
          <t>NRIC/FIN: cấu trúc và chữ cái cuối</t>
        </is>
      </c>
      <c r="D7" s="10" t="inlineStr">
        <is>
          <t>FS không nêu định dạng NRIC/FIN. Ba NRIC mẫu trong hình FS không đạt thuật toán chữ cái kiểm tra công khai.</t>
        </is>
      </c>
      <c r="E7" s="10" t="inlineStr">
        <is>
          <t>Máy chủ chỉ kiểm cấu trúc: một chữ cái đầu S, T, F hoặc G, bảy chữ số, một chữ cái cuối. Chữ cái cuối không kiểm tra theo thuật toán nên NRIC mẫu của FS được nhận. Chữ thường tự đổi thành chữ hoa, khoảng trắng đầu cuối bị cắt. Sai cấu trúc hiện Enter a valid NRIC/FIN.</t>
        </is>
      </c>
      <c r="F7" s="10" t="inlineStr">
        <is>
          <t>FS 5, FS 6, T2 đến T7</t>
        </is>
      </c>
      <c r="G7" s="10" t="inlineStr">
        <is>
          <t>T2 đến T7 dùng các NRIC mẫu của FS như dữ liệu hợp lệ.</t>
        </is>
      </c>
      <c r="H7" s="10" t="inlineStr">
        <is>
          <t>Các ca NRIC mẫu của FS bị chặn và các ca cấu trúc đổi.</t>
        </is>
      </c>
      <c r="I7" s="10" t="inlineStr">
        <is>
          <t>Open</t>
        </is>
      </c>
      <c r="J7" s="10" t="inlineStr">
        <is>
          <t>Chưa có</t>
        </is>
      </c>
      <c r="K7" s="10" t="inlineStr">
        <is>
          <t>TC-069, TC-070, TC-079, TC-080, TC-081, TC-082, TC-083, TC-106, TC-126, TC-131</t>
        </is>
      </c>
      <c r="L7" s="10" t="inlineStr">
        <is>
          <t>BA</t>
        </is>
      </c>
    </row>
    <row r="8" ht="32" customHeight="1">
      <c r="A8" s="7" t="inlineStr">
        <is>
          <t>ASM-R5-07</t>
        </is>
      </c>
      <c r="B8" s="10" t="inlineStr">
        <is>
          <t>Rule</t>
        </is>
      </c>
      <c r="C8" s="10" t="inlineStr">
        <is>
          <t>Grade ngoài danh sách</t>
        </is>
      </c>
      <c r="D8" s="10" t="inlineStr">
        <is>
          <t>FS 5 Part 2 suy ra Level từ P1 đến P6, S1 đến S5, PU1 đến PU3. FS không nói Grade khác.</t>
        </is>
      </c>
      <c r="E8" s="10" t="inlineStr">
        <is>
          <t>Không có giả định hợp lý. Level có thể để trống, báo lỗi hoặc chặn.</t>
        </is>
      </c>
      <c r="F8" s="10" t="inlineStr">
        <is>
          <t>FS 5 Part 2</t>
        </is>
      </c>
      <c r="G8" s="10" t="inlineStr">
        <is>
          <t>Chỉ có ba dải khối trong FS.</t>
        </is>
      </c>
      <c r="H8" s="10" t="inlineStr">
        <is>
          <t>Ca này mở khoá khi BA trả lời.</t>
        </is>
      </c>
      <c r="I8" s="10" t="inlineStr">
        <is>
          <t>Open</t>
        </is>
      </c>
      <c r="J8" s="10" t="inlineStr">
        <is>
          <t>Chưa có</t>
        </is>
      </c>
      <c r="K8" s="10" t="inlineStr">
        <is>
          <t>TC-109</t>
        </is>
      </c>
      <c r="L8" s="10" t="inlineStr">
        <is>
          <t>BA</t>
        </is>
      </c>
    </row>
    <row r="9" ht="58" customHeight="1">
      <c r="A9" s="7" t="inlineStr">
        <is>
          <t>ASM-R5-08</t>
        </is>
      </c>
      <c r="B9" s="10" t="inlineStr">
        <is>
          <t>Rule</t>
        </is>
      </c>
      <c r="C9" s="10" t="inlineStr">
        <is>
          <t>Con học trường khác</t>
        </is>
      </c>
      <c r="D9" s="10" t="inlineStr">
        <is>
          <t>FS 1.2 nói School user chỉ thấy đơn của học sinh trường mình. Hình Review before submitting có hai con ở hai trường (Bukit View Primary và Meridian Secondary).</t>
        </is>
      </c>
      <c r="E9" s="10" t="inlineStr">
        <is>
          <t>Mẫu có con học trường khác vẫn nộp được khi ít nhất một con học trường của người dùng. Mỗi đơn chỉ hiện trong danh sách của trường đang học của con. SBFAS của con đó do trường của con quyết định.</t>
        </is>
      </c>
      <c r="F9" s="10" t="inlineStr">
        <is>
          <t>FS 1.2, FS 6, BR2, BR8, hình Review before submitting</t>
        </is>
      </c>
      <c r="G9" s="10" t="inlineStr">
        <is>
          <t>BR8 nói trường của con quyết định SBFAS.</t>
        </is>
      </c>
      <c r="H9" s="10" t="inlineStr">
        <is>
          <t>Các ca danh sách của hai trường đổi.</t>
        </is>
      </c>
      <c r="I9" s="10" t="inlineStr">
        <is>
          <t>Open</t>
        </is>
      </c>
      <c r="J9" s="10" t="inlineStr">
        <is>
          <t>Chưa có</t>
        </is>
      </c>
      <c r="K9" s="10" t="inlineStr">
        <is>
          <t>TC-035, TC-103, TC-111, TC-224</t>
        </is>
      </c>
      <c r="L9" s="10" t="inlineStr">
        <is>
          <t>BA</t>
        </is>
      </c>
    </row>
    <row r="10" ht="45" customHeight="1">
      <c r="A10" s="7" t="inlineStr">
        <is>
          <t>ASM-R5-09</t>
        </is>
      </c>
      <c r="B10" s="10" t="inlineStr">
        <is>
          <t>Rule</t>
        </is>
      </c>
      <c r="C10" s="10" t="inlineStr">
        <is>
          <t>Số dòng con và thành viên</t>
        </is>
      </c>
      <c r="D10" s="10" t="inlineStr">
        <is>
          <t>FS có Add child và Add member nhưng không nêu số tối đa và không có nút xoá dòng.</t>
        </is>
      </c>
      <c r="E10" s="10" t="inlineStr">
        <is>
          <t>Không giới hạn số dòng trong FS. QA chạy tới 5 con và 5 thành viên và kỳ vọng không lỗi. Dòng thêm nhầm được bỏ bằng cách để trống, không có nút xoá.</t>
        </is>
      </c>
      <c r="F10" s="10" t="inlineStr">
        <is>
          <t>FS 5 Part 2, Part 3</t>
        </is>
      </c>
      <c r="G10" s="10" t="inlineStr">
        <is>
          <t>FS không nêu giới hạn.</t>
        </is>
      </c>
      <c r="H10" s="10" t="inlineStr">
        <is>
          <t>Các ca số dòng đổi.</t>
        </is>
      </c>
      <c r="I10" s="10" t="inlineStr">
        <is>
          <t>Open</t>
        </is>
      </c>
      <c r="J10" s="10" t="inlineStr">
        <is>
          <t>Chưa có</t>
        </is>
      </c>
      <c r="K10" s="10" t="inlineStr">
        <is>
          <t>TC-112, TC-119, TC-120</t>
        </is>
      </c>
      <c r="L10" s="10" t="inlineStr">
        <is>
          <t>BA</t>
        </is>
      </c>
    </row>
    <row r="11" ht="32" customHeight="1">
      <c r="A11" s="7" t="inlineStr">
        <is>
          <t>ASM-R5-10</t>
        </is>
      </c>
      <c r="B11" s="10" t="inlineStr">
        <is>
          <t>Rule</t>
        </is>
      </c>
      <c r="C11" s="10" t="inlineStr">
        <is>
          <t>Gender của thành viên</t>
        </is>
      </c>
      <c r="D11" s="10" t="inlineStr">
        <is>
          <t>FS 5 Part 3 chỉ ghi cột Gender, hình hiển thị F.</t>
        </is>
      </c>
      <c r="E11" s="10" t="inlineStr">
        <is>
          <t>Gender của thành viên có Male, Female, Other như Part 1 và tuỳ chọn khi dòng thành viên để trống.</t>
        </is>
      </c>
      <c r="F11" s="10" t="inlineStr">
        <is>
          <t>FS 5 Part 3</t>
        </is>
      </c>
      <c r="G11" s="10" t="inlineStr">
        <is>
          <t>Dùng chung danh sách với Part 1.</t>
        </is>
      </c>
      <c r="H11" s="10" t="inlineStr">
        <is>
          <t>Ca Gender thành viên đổi.</t>
        </is>
      </c>
      <c r="I11" s="10" t="inlineStr">
        <is>
          <t>Open</t>
        </is>
      </c>
      <c r="J11" s="10" t="inlineStr">
        <is>
          <t>Chưa có</t>
        </is>
      </c>
      <c r="K11" s="10" t="inlineStr">
        <is>
          <t>TC-132</t>
        </is>
      </c>
      <c r="L11" s="10" t="inlineStr">
        <is>
          <t>BA</t>
        </is>
      </c>
    </row>
    <row r="12" ht="84" customHeight="1">
      <c r="A12" s="7" t="inlineStr">
        <is>
          <t>ASM-R5-11</t>
        </is>
      </c>
      <c r="B12" s="10" t="inlineStr">
        <is>
          <t>Rule</t>
        </is>
      </c>
      <c r="C12" s="10" t="inlineStr">
        <is>
          <t>Cách tính thu nhập</t>
        </is>
      </c>
      <c r="D12" s="10" t="inlineStr">
        <is>
          <t>FS 5 Part 3 hiển thị GHI, số người và PCI nhưng không nêu cách tính chi tiết.</t>
        </is>
      </c>
      <c r="E12" s="10" t="inlineStr">
        <is>
          <t>GHI là tổng thu nhập hằng tháng từ dữ liệu Chính phủ của người khai và các thành viên khác, không tính các con. Household size bằng 1 cộng số con cộng số thành viên. PCI bằng GHI chia Household size, hiển thị S$ #,##0.00 theo giá trị chính xác. Thiếu dữ liệu thu nhập của một người tính 0.</t>
        </is>
      </c>
      <c r="F12" s="10" t="inlineStr">
        <is>
          <t>FS 5 Part 3, FS 7, BR4, hình Review application</t>
        </is>
      </c>
      <c r="G12" s="10" t="inlineStr">
        <is>
          <t>Hình: 4,300.00 chia 4 bằng 1,075.00.</t>
        </is>
      </c>
      <c r="H12" s="10" t="inlineStr">
        <is>
          <t>Các ca GHI và PCI đổi.</t>
        </is>
      </c>
      <c r="I12" s="10" t="inlineStr">
        <is>
          <t>Open</t>
        </is>
      </c>
      <c r="J12" s="10" t="inlineStr">
        <is>
          <t>Chưa có</t>
        </is>
      </c>
      <c r="K12" s="10" t="inlineStr">
        <is>
          <t>TC-135, TC-136, TC-137, TC-138, TC-139</t>
        </is>
      </c>
      <c r="L12" s="10" t="inlineStr">
        <is>
          <t>BA</t>
        </is>
      </c>
    </row>
    <row r="13" ht="71" customHeight="1">
      <c r="A13" s="7" t="inlineStr">
        <is>
          <t>ASM-R5-12</t>
        </is>
      </c>
      <c r="B13" s="10" t="inlineStr">
        <is>
          <t>Rule</t>
        </is>
      </c>
      <c r="C13" s="10" t="inlineStr">
        <is>
          <t>Bản nháp</t>
        </is>
      </c>
      <c r="D13" s="10" t="inlineStr">
        <is>
          <t>FS 2 bước 4a và BR6 cho Save draft nhưng không nêu kiểm tra, xác nhận Discard và Delete, hay nhiều người cùng mở một bản nháp.</t>
        </is>
      </c>
      <c r="E13" s="10" t="inlineStr">
        <is>
          <t>Save draft không kiểm tra hợp lệ và lưu đúng những gì đã nhập, kể cả giá trị thiếu. Discard và Delete chạy ngay, nếu có hộp thoại xác nhận thì xác nhận. Bản nháp không hết hạn. Hai người cùng mở thì lần lưu sau ghi đè lần trước.</t>
        </is>
      </c>
      <c r="F13" s="10" t="inlineStr">
        <is>
          <t>FS 2 bước 4a, BR6, T9</t>
        </is>
      </c>
      <c r="G13" s="10" t="inlineStr">
        <is>
          <t>BR6 chỉ nói lưu theo trường kèm người lưu và thời gian.</t>
        </is>
      </c>
      <c r="H13" s="10" t="inlineStr">
        <is>
          <t>Các ca Save draft, Discard và Delete đổi.</t>
        </is>
      </c>
      <c r="I13" s="10" t="inlineStr">
        <is>
          <t>Open</t>
        </is>
      </c>
      <c r="J13" s="10" t="inlineStr">
        <is>
          <t>Chưa có</t>
        </is>
      </c>
      <c r="K13" s="10" t="inlineStr">
        <is>
          <t>TC-163, TC-164, TC-165, TC-166, TC-167, TC-169, TC-170, TC-171, TC-174</t>
        </is>
      </c>
      <c r="L13" s="10" t="inlineStr">
        <is>
          <t>BA</t>
        </is>
      </c>
    </row>
    <row r="14" ht="136" customHeight="1">
      <c r="A14" s="7" t="inlineStr">
        <is>
          <t>ASM-R5-13</t>
        </is>
      </c>
      <c r="B14" s="10" t="inlineStr">
        <is>
          <t>Rule</t>
        </is>
      </c>
      <c r="C14" s="10" t="inlineStr">
        <is>
          <t>Thông báo định dạng và độ dài do QA đề xuất</t>
        </is>
      </c>
      <c r="D14" s="10" t="inlineStr">
        <is>
          <t>FS chỉ định nghĩa thông báo ở mục 4 và mục 6.</t>
        </is>
      </c>
      <c r="E14" s="10" t="inlineStr">
        <is>
          <t>Các thông báo định dạng và độ dài trong cột Expected Result của ca này đúng như R5_FAS_Validation_Rules: Enter a valid NRIC/FIN., Enter a valid email address., Enter a valid date (DD/MM/YYYY)., Date signed cannot be after the date received., Context must be 2000 characters or fewer., Address must be 255 characters or fewer., Full name must be 100 characters or fewer., Full name contains invalid characters., {file}: the file is empty., {file} is already added., No applications found., Something went wrong. Please try again.</t>
        </is>
      </c>
      <c r="F14" s="10" t="inlineStr">
        <is>
          <t>FS 4, FS 6, R5_FAS_Validation_Rules mục 10</t>
        </is>
      </c>
      <c r="G14" s="10" t="inlineStr">
        <is>
          <t>Cùng chữ với các thông báo chung của F4.</t>
        </is>
      </c>
      <c r="H14" s="10" t="inlineStr">
        <is>
          <t>Chữ thông báo trong các ca này đổi, hành vi không đổi.</t>
        </is>
      </c>
      <c r="I14" s="10" t="inlineStr">
        <is>
          <t>Open</t>
        </is>
      </c>
      <c r="J14" s="10" t="inlineStr">
        <is>
          <t>Chưa có</t>
        </is>
      </c>
      <c r="K14" s="10" t="inlineStr">
        <is>
          <t>TC-013, TC-015, TC-016, TC-017, TC-020, TC-023, TC-044, TC-048, TC-055, TC-060, TC-061, TC-062, TC-075, TC-079, TC-080, TC-081, TC-082, TC-092, TC-094, TC-095, TC-097, TC-106, TC-107, TC-127, TC-129, TC-130, TC-131, TC-140, TC-144, TC-145, TC-157, TC-158, TC-159, TC-161, TC-232, TC-246, TC-248, TC-258, TC-259</t>
        </is>
      </c>
      <c r="L14" s="10" t="inlineStr">
        <is>
          <t>BA</t>
        </is>
      </c>
    </row>
    <row r="15" ht="58" customHeight="1">
      <c r="A15" s="7" t="inlineStr">
        <is>
          <t>ASM-R5-14</t>
        </is>
      </c>
      <c r="B15" s="10" t="inlineStr">
        <is>
          <t>Rule</t>
        </is>
      </c>
      <c r="C15" s="10" t="inlineStr">
        <is>
          <t>Date signed và Date received</t>
        </is>
      </c>
      <c r="D15" s="10" t="inlineStr">
        <is>
          <t>FS 5 Part 5 không có giới hạn dưới cho Date signed và không nói Date signed có được sau Date received không.</t>
        </is>
      </c>
      <c r="E15" s="10" t="inlineStr">
        <is>
          <t>Date signed là ngày có thật theo DD/MM/YYYY, không sau Date received và không có giới hạn dưới. Date received luôn là ngày hôm nay theo giờ Singapore, kể cả khi tiếp tục một bản nháp ở ngày khác.</t>
        </is>
      </c>
      <c r="F15" s="10" t="inlineStr">
        <is>
          <t>FS 5 Part 5</t>
        </is>
      </c>
      <c r="G15" s="10" t="inlineStr">
        <is>
          <t>Date received được FS định nghĩa là hôm nay.</t>
        </is>
      </c>
      <c r="H15" s="10" t="inlineStr">
        <is>
          <t>Các ca ngày ký đổi.</t>
        </is>
      </c>
      <c r="I15" s="10" t="inlineStr">
        <is>
          <t>Open</t>
        </is>
      </c>
      <c r="J15" s="10" t="inlineStr">
        <is>
          <t>Chưa có</t>
        </is>
      </c>
      <c r="K15" s="10" t="inlineStr">
        <is>
          <t>TC-154, TC-155, TC-156, TC-157, TC-158, TC-159, TC-160, TC-161</t>
        </is>
      </c>
      <c r="L15" s="10" t="inlineStr">
        <is>
          <t>BA</t>
        </is>
      </c>
    </row>
    <row r="16" ht="71" customHeight="1">
      <c r="A16" s="7" t="inlineStr">
        <is>
          <t>ASM-R5-15</t>
        </is>
      </c>
      <c r="B16" s="10" t="inlineStr">
        <is>
          <t>Rule</t>
        </is>
      </c>
      <c r="C16" s="10" t="inlineStr">
        <is>
          <t>Thế nào là form đang mở</t>
        </is>
      </c>
      <c r="D16" s="10" t="inlineStr">
        <is>
          <t>FS 6 và BR9 nói chỉ nộp khi form MOEFAS hoặc form SBFAS của trường của con đang mở, không nói về hai đầu khoảng.</t>
        </is>
      </c>
      <c r="E16" s="10" t="inlineStr">
        <is>
          <t>Form mở từ đầu ngày Form opens đến hết ngày Form closes theo giờ Singapore, tính cả hai đầu. Con không đủ điều kiện MOEFAS về quốc tịch chỉ xét form SBFAS của trường con. Nếu một con có form đóng thì cả mẫu bị chặn và mỗi con có ghi chú riêng.</t>
        </is>
      </c>
      <c r="F16" s="10" t="inlineStr">
        <is>
          <t>FS 6, BR8, BR9, T13</t>
        </is>
      </c>
      <c r="G16" s="10" t="inlineStr">
        <is>
          <t>F4 giữ form mở đến hết ngày Form closes.</t>
        </is>
      </c>
      <c r="H16" s="10" t="inlineStr">
        <is>
          <t>Các ca biên ngày và ca nhiều con đổi.</t>
        </is>
      </c>
      <c r="I16" s="10" t="inlineStr">
        <is>
          <t>Open</t>
        </is>
      </c>
      <c r="J16" s="10" t="inlineStr">
        <is>
          <t>Chưa có</t>
        </is>
      </c>
      <c r="K16" s="10" t="inlineStr">
        <is>
          <t>TC-192, TC-193, TC-196, TC-197, TC-230</t>
        </is>
      </c>
      <c r="L16" s="10" t="inlineStr">
        <is>
          <t>BA</t>
        </is>
      </c>
    </row>
    <row r="17" ht="71" customHeight="1">
      <c r="A17" s="7" t="inlineStr">
        <is>
          <t>ASM-R5-16</t>
        </is>
      </c>
      <c r="B17" s="10" t="inlineStr">
        <is>
          <t>Rule</t>
        </is>
      </c>
      <c r="C17" s="10" t="inlineStr">
        <is>
          <t>Hiển thị ghi chú chặn và cảnh báo sai lệch tên</t>
        </is>
      </c>
      <c r="D17" s="10" t="inlineStr">
        <is>
          <t>FS 6 và hình bị chặn cho hai ghi chú cùng lúc nhưng không nêu thứ tự, cuộn trang hay nội dung cảnh báo sai lệch tên.</t>
        </is>
      </c>
      <c r="E17" s="10" t="inlineStr">
        <is>
          <t>Mọi kiểm tra không đạt hiện cùng lúc, mỗi loại một ghi chú đỏ ở đầu trang, ghi chú theo con lặp cho từng con. Bấm lại Review and submit tính lại và xoá ghi chú cũ. Cảnh báo sai lệch tên của con là ghi chú ở dòng của con đó và không chặn nộp.</t>
        </is>
      </c>
      <c r="F17" s="10" t="inlineStr">
        <is>
          <t>FS 6, FS 5 Part 2, hình bị chặn khi nộp</t>
        </is>
      </c>
      <c r="G17" s="10" t="inlineStr">
        <is>
          <t>Hình cho hai ghi chú cùng lúc.</t>
        </is>
      </c>
      <c r="H17" s="10" t="inlineStr">
        <is>
          <t>Các ca hiển thị ghi chú đổi.</t>
        </is>
      </c>
      <c r="I17" s="10" t="inlineStr">
        <is>
          <t>Open</t>
        </is>
      </c>
      <c r="J17" s="10" t="inlineStr">
        <is>
          <t>Chưa có</t>
        </is>
      </c>
      <c r="K17" s="10" t="inlineStr">
        <is>
          <t>TC-089, TC-114, TC-150, TC-177, TC-179, TC-199, TC-200, TC-201, TC-233</t>
        </is>
      </c>
      <c r="L17" s="10" t="inlineStr">
        <is>
          <t>BA</t>
        </is>
      </c>
    </row>
    <row r="18" ht="58" customHeight="1">
      <c r="A18" s="7" t="inlineStr">
        <is>
          <t>ASM-R5-17</t>
        </is>
      </c>
      <c r="B18" s="10" t="inlineStr">
        <is>
          <t>Rule</t>
        </is>
      </c>
      <c r="C18" s="10" t="inlineStr">
        <is>
          <t>Nộp nhiều con là một giao dịch</t>
        </is>
      </c>
      <c r="D18" s="10" t="inlineStr">
        <is>
          <t>FS 2 bước 5 không nói khi một con vừa có đơn hoặc form vừa đóng ngay lúc bấm Confirm and submit.</t>
        </is>
      </c>
      <c r="E18" s="10" t="inlineStr">
        <is>
          <t>Kiểm tra lại ở máy chủ khi Confirm. Nếu một con không đạt thì không tạo đơn nào, bản nháp và mẫu giữ nguyên, hộp thoại đóng và hiện thông báo của quy tắc không đạt.</t>
        </is>
      </c>
      <c r="F18" s="10" t="inlineStr">
        <is>
          <t>FS 2 bước 5, BR2, BR9</t>
        </is>
      </c>
      <c r="G18" s="10" t="inlineStr">
        <is>
          <t>Một mẫu là một gia đình, BR1.</t>
        </is>
      </c>
      <c r="H18" s="10" t="inlineStr">
        <is>
          <t>Các ca nộp đồng thời và form đóng giữa chừng đổi.</t>
        </is>
      </c>
      <c r="I18" s="10" t="inlineStr">
        <is>
          <t>Open</t>
        </is>
      </c>
      <c r="J18" s="10" t="inlineStr">
        <is>
          <t>Chưa có</t>
        </is>
      </c>
      <c r="K18" s="10" t="inlineStr">
        <is>
          <t>TC-197, TC-228, TC-229, TC-230, TC-231, TC-232</t>
        </is>
      </c>
      <c r="L18" s="10" t="inlineStr">
        <is>
          <t>BA</t>
        </is>
      </c>
    </row>
    <row r="19" ht="45" customHeight="1">
      <c r="A19" s="7" t="inlineStr">
        <is>
          <t>ASM-R5-18</t>
        </is>
      </c>
      <c r="B19" s="10" t="inlineStr">
        <is>
          <t>Rule</t>
        </is>
      </c>
      <c r="C19" s="10" t="inlineStr">
        <is>
          <t>Sau khi nộp</t>
        </is>
      </c>
      <c r="D19" s="10" t="inlineStr">
        <is>
          <t>FS 2 bước 5 chỉ nói toast, xoá bản nháp và tạo đơn.</t>
        </is>
      </c>
      <c r="E19" s="10" t="inlineStr">
        <is>
          <t>Hộp thoại đóng, về danh sách Upload applications, các đơn mới hiện trong danh sách đã tải lại và dòng Draft biến mất. Mỗi đơn gắn đủ các file scan của mẫu.</t>
        </is>
      </c>
      <c r="F19" s="10" t="inlineStr">
        <is>
          <t>FS 2 bước 5</t>
        </is>
      </c>
      <c r="G19" s="10" t="inlineStr">
        <is>
          <t>Danh sách là màn gốc của F5.</t>
        </is>
      </c>
      <c r="H19" s="10" t="inlineStr">
        <is>
          <t>Các ca sau khi nộp đổi.</t>
        </is>
      </c>
      <c r="I19" s="10" t="inlineStr">
        <is>
          <t>Open</t>
        </is>
      </c>
      <c r="J19" s="10" t="inlineStr">
        <is>
          <t>Chưa có</t>
        </is>
      </c>
      <c r="K19" s="10" t="inlineStr">
        <is>
          <t>TC-210, TC-211, TC-212, TC-216</t>
        </is>
      </c>
      <c r="L19" s="10" t="inlineStr">
        <is>
          <t>BA</t>
        </is>
      </c>
    </row>
    <row r="20" ht="58" customHeight="1">
      <c r="A20" s="7" t="inlineStr">
        <is>
          <t>ASM-R5-19</t>
        </is>
      </c>
      <c r="B20" s="10" t="inlineStr">
        <is>
          <t>Rule</t>
        </is>
      </c>
      <c r="C20" s="10" t="inlineStr">
        <is>
          <t>School-based FAS là No và con không đủ điều kiện MOEFAS về quốc tịch</t>
        </is>
      </c>
      <c r="D20" s="10" t="inlineStr">
        <is>
          <t>BR8 nói không đủ điều kiện về quốc tịch thì SBFAS ngay lúc nộp, và cũng nói SBFAS chỉ khi Also consider SBFAS là Yes, nếu không thì Rejected.</t>
        </is>
      </c>
      <c r="E20" s="10" t="inlineStr">
        <is>
          <t>Không có giả định hợp lý. Hai câu của BR8 cho hai kết quả khác nhau: SBFAS Pending hoặc Rejected.</t>
        </is>
      </c>
      <c r="F20" s="10" t="inlineStr">
        <is>
          <t>BR8, FS 2 bước 5, backlog US-050</t>
        </is>
      </c>
      <c r="G20" s="10" t="inlineStr">
        <is>
          <t>BR8 tự mâu thuẫn cho trường hợp này. Cột Dependencies của US-050 ghi MOEFAS Not Eligible khác FAS Rejected, chưa đủ để kết luận cho trường hợp School-based FAS là No.</t>
        </is>
      </c>
      <c r="H20" s="10" t="inlineStr">
        <is>
          <t>Ca này mở khoá khi BA trả lời.</t>
        </is>
      </c>
      <c r="I20" s="10" t="inlineStr">
        <is>
          <t>Open</t>
        </is>
      </c>
      <c r="J20" s="10" t="inlineStr">
        <is>
          <t>Chưa có</t>
        </is>
      </c>
      <c r="K20" s="10" t="inlineStr">
        <is>
          <t>TC-222</t>
        </is>
      </c>
      <c r="L20" s="10" t="inlineStr">
        <is>
          <t>BA</t>
        </is>
      </c>
    </row>
    <row r="21" ht="110" customHeight="1">
      <c r="A21" s="7" t="inlineStr">
        <is>
          <t>ASM-R5-20</t>
        </is>
      </c>
      <c r="B21" s="10" t="inlineStr">
        <is>
          <t>Rule</t>
        </is>
      </c>
      <c r="C21" s="10" t="inlineStr">
        <is>
          <t>Sửa đơn Pending</t>
        </is>
      </c>
      <c r="D21" s="10" t="inlineStr">
        <is>
          <t>FS 8 liệt kê các nội dung được cập nhật nhưng không nêu con, NRIC con, thu nhập hay đơn đổi trạng thái trong lúc sửa.</t>
        </is>
      </c>
      <c r="E21" s="10" t="inlineStr">
        <is>
          <t>Khi sửa, NRIC người khai và NRIC các con bị khoá. Sửa được Relationship, thành viên gia đình, Context, Also consider SBFAS và các ô cam kết. Đổi NRIC thành viên thì tra lại thu nhập. Save changes chạy lại VR-F5-01 đến VR-F5-04, VR-F5-06 và VR-F5-08, không chạy VR-F5-07. Nếu đơn đã đổi trạng thái trong lúc sửa thì không lưu và hiện This application was already decided by {user} on {DD/MM/YYYY}.</t>
        </is>
      </c>
      <c r="F21" s="10" t="inlineStr">
        <is>
          <t>FS 8, BR9, T12</t>
        </is>
      </c>
      <c r="G21" s="10" t="inlineStr">
        <is>
          <t>FS 8 chỉ nói cập nhật mẫu đơn, hộ gia đình, thu nhập, quan hệ, also consider SBFAS, context.</t>
        </is>
      </c>
      <c r="H21" s="10" t="inlineStr">
        <is>
          <t>Các ca sửa đơn đổi.</t>
        </is>
      </c>
      <c r="I21" s="10" t="inlineStr">
        <is>
          <t>Open</t>
        </is>
      </c>
      <c r="J21" s="10" t="inlineStr">
        <is>
          <t>Chưa có</t>
        </is>
      </c>
      <c r="K21" s="10" t="inlineStr">
        <is>
          <t>TC-240, TC-243, TC-244, TC-245, TC-246, TC-247, TC-248</t>
        </is>
      </c>
      <c r="L21" s="10" t="inlineStr">
        <is>
          <t>BA</t>
        </is>
      </c>
    </row>
    <row r="22" ht="58" customHeight="1">
      <c r="A22" s="7" t="inlineStr">
        <is>
          <t>ASM-R5-21</t>
        </is>
      </c>
      <c r="B22" s="10" t="inlineStr">
        <is>
          <t>Rule</t>
        </is>
      </c>
      <c r="C22" s="10" t="inlineStr">
        <is>
          <t>Thẻ thống kê và bộ lọc</t>
        </is>
      </c>
      <c r="D22" s="10" t="inlineStr">
        <is>
          <t>FS 3 mục 2 và 4 không nói thẻ có theo Search và Uploaded không, và Draft có được đếm không. Hình có PENDING 1, MOEFAS 1, SBFAS 2.</t>
        </is>
      </c>
      <c r="E22" s="10" t="inlineStr">
        <is>
          <t>Thẻ đếm đơn đã nộp của trường, không đếm Draft, và không đổi theo Search hay Uploaded. Bấm thẻ đặt bộ lọc Status tương ứng. Search, Status, Tier và Uploaded kết hợp bằng AND và quay về trang 1.</t>
        </is>
      </c>
      <c r="F22" s="10" t="inlineStr">
        <is>
          <t>FS 3 mục 2, 3, 4</t>
        </is>
      </c>
      <c r="G22" s="10" t="inlineStr">
        <is>
          <t>FS 3 mục 2 ghi số đơn giấy của trường.</t>
        </is>
      </c>
      <c r="H22" s="10" t="inlineStr">
        <is>
          <t>Các ca thẻ và kết hợp bộ lọc đổi.</t>
        </is>
      </c>
      <c r="I22" s="10" t="inlineStr">
        <is>
          <t>Open</t>
        </is>
      </c>
      <c r="J22" s="10" t="inlineStr">
        <is>
          <t>Chưa có</t>
        </is>
      </c>
      <c r="K22" s="10" t="inlineStr">
        <is>
          <t>TC-003, TC-006, TC-007, TC-023, TC-024, TC-031</t>
        </is>
      </c>
      <c r="L22" s="10" t="inlineStr">
        <is>
          <t>BA</t>
        </is>
      </c>
    </row>
    <row r="23" ht="32" customHeight="1">
      <c r="A23" s="7" t="inlineStr">
        <is>
          <t>ASM-R5-22</t>
        </is>
      </c>
      <c r="B23" s="10" t="inlineStr">
        <is>
          <t>Rule</t>
        </is>
      </c>
      <c r="C23" s="10" t="inlineStr">
        <is>
          <t>Nút trên dòng Draft</t>
        </is>
      </c>
      <c r="D23" s="10" t="inlineStr">
        <is>
          <t>FS 3 mục 6 ghi nút Continue và Delete, hình không hiển thị hai nút này.</t>
        </is>
      </c>
      <c r="E23" s="10" t="inlineStr">
        <is>
          <t>Dòng Draft hiển thị nút Continue và Delete như FS 3 mục 6.</t>
        </is>
      </c>
      <c r="F23" s="10" t="inlineStr">
        <is>
          <t>FS 3 mục 6, hình Upload applications</t>
        </is>
      </c>
      <c r="G23" s="10" t="inlineStr">
        <is>
          <t>FS 3 mục 6 là câu rõ ràng duy nhất.</t>
        </is>
      </c>
      <c r="H23" s="10" t="inlineStr">
        <is>
          <t>Các ca nút Continue và Delete đổi.</t>
        </is>
      </c>
      <c r="I23" s="10" t="inlineStr">
        <is>
          <t>Open</t>
        </is>
      </c>
      <c r="J23" s="10" t="inlineStr">
        <is>
          <t>Chưa có</t>
        </is>
      </c>
      <c r="K23" s="10" t="inlineStr">
        <is>
          <t>TC-026, TC-171</t>
        </is>
      </c>
      <c r="L23" s="10" t="inlineStr">
        <is>
          <t>BA</t>
        </is>
      </c>
    </row>
    <row r="24" ht="71" customHeight="1">
      <c r="A24" s="7" t="inlineStr">
        <is>
          <t>ASM-R5-23</t>
        </is>
      </c>
      <c r="B24" s="10" t="inlineStr">
        <is>
          <t>Rule</t>
        </is>
      </c>
      <c r="C24" s="10" t="inlineStr">
        <is>
          <t>Phân trang, thứ tự và khoảng Uploaded</t>
        </is>
      </c>
      <c r="D24" s="10" t="inlineStr">
        <is>
          <t>FS 3 không nêu kích thước trang, thứ tự dòng đã nộp và cách tính Last 7 days, Last 30 days.</t>
        </is>
      </c>
      <c r="E24" s="10" t="inlineStr">
        <is>
          <t>Bản Draft đứng đầu, các dòng đã nộp theo Uploaded at mới nhất trước, 10 dòng mỗi trang. Uploaded at hiển thị DD/MM/YYYY HH:mm giờ Singapore. Last 7 days là từ ngày hôm nay trừ 7 ngày đến hết hôm nay theo ngày Singapore, Last 30 days tính tương tự.</t>
        </is>
      </c>
      <c r="F24" s="10" t="inlineStr">
        <is>
          <t>FS 3 mục 5, 6</t>
        </is>
      </c>
      <c r="G24" s="10" t="inlineStr">
        <is>
          <t>F4 dùng 10 dòng mỗi trang và cùng cách tính Last 7 days.</t>
        </is>
      </c>
      <c r="H24" s="10" t="inlineStr">
        <is>
          <t>Các ca phân trang, thứ tự và khoảng ngày đổi.</t>
        </is>
      </c>
      <c r="I24" s="10" t="inlineStr">
        <is>
          <t>Open</t>
        </is>
      </c>
      <c r="J24" s="10" t="inlineStr">
        <is>
          <t>Chưa có</t>
        </is>
      </c>
      <c r="K24" s="10" t="inlineStr">
        <is>
          <t>TC-029, TC-030, TC-031, TC-032, TC-167</t>
        </is>
      </c>
      <c r="L24" s="10" t="inlineStr">
        <is>
          <t>BA</t>
        </is>
      </c>
    </row>
    <row r="25" ht="45" customHeight="1">
      <c r="A25" s="7" t="inlineStr">
        <is>
          <t>ASM-R5-24</t>
        </is>
      </c>
      <c r="B25" s="10" t="inlineStr">
        <is>
          <t>Rule</t>
        </is>
      </c>
      <c r="C25" s="10" t="inlineStr">
        <is>
          <t>Hộp thoại Review before submitting</t>
        </is>
      </c>
      <c r="D25" s="10" t="inlineStr">
        <is>
          <t>Hình không hiển thị địa chỉ người khai. FS 7 không nói số EA khi con chưa có EA và Part 4 khi Context trống.</t>
        </is>
      </c>
      <c r="E25" s="10" t="inlineStr">
        <is>
          <t>Địa chỉ không hiển thị. Con chưa có EA hiển thị dấu gạch ngang (một ký tự). Context trống thì phần Part 4 hiển thị trống hoặc ẩn, không có lỗi.</t>
        </is>
      </c>
      <c r="F25" s="10" t="inlineStr">
        <is>
          <t>FS 7, hình Review before submitting, backlog US-042</t>
        </is>
      </c>
      <c r="G25" s="10" t="inlineStr">
        <is>
          <t>US-042 cho phép nộp đơn giấy cho học sinh không có EA. FS 7 liệt kê đúng các mục có trong hình.</t>
        </is>
      </c>
      <c r="H25" s="10" t="inlineStr">
        <is>
          <t>Các ca nội dung hộp thoại đổi.</t>
        </is>
      </c>
      <c r="I25" s="10" t="inlineStr">
        <is>
          <t>Open</t>
        </is>
      </c>
      <c r="J25" s="10" t="inlineStr">
        <is>
          <t>Chưa có</t>
        </is>
      </c>
      <c r="K25" s="10" t="inlineStr">
        <is>
          <t>TC-204, TC-205, TC-206</t>
        </is>
      </c>
      <c r="L25" s="10" t="inlineStr">
        <is>
          <t>BA</t>
        </is>
      </c>
    </row>
    <row r="26" ht="84" customHeight="1">
      <c r="A26" s="7" t="inlineStr">
        <is>
          <t>ASM-R5-25</t>
        </is>
      </c>
      <c r="B26" s="10" t="inlineStr">
        <is>
          <t>Rule</t>
        </is>
      </c>
      <c r="C26" s="10" t="inlineStr">
        <is>
          <t>Quy tắc file</t>
        </is>
      </c>
      <c r="D26" s="10" t="inlineStr">
        <is>
          <t>FS 4 chỉ nhận PDF, JPG, PNG, tối đa 10 MB mỗi file và 5 file. FS không nêu jpeg, cách đổi MB và file trùng.</t>
        </is>
      </c>
      <c r="E26" s="10" t="inlineStr">
        <is>
          <t>Phần mở rộng không phân biệt hoa thường. Phần mở rộng jpeg được coi là JPG. 10 MB là 10 x 1024 x 1024 byte. File 0 byte bị từ chối. Cùng một file thêm hai lần thì lần hai bị bỏ qua. Chọn nhiều file một lần thì file hợp lệ được thêm và file lỗi có thông báo riêng. Loại file đoán theo nội dung thật, không chỉ theo phần mở rộng.</t>
        </is>
      </c>
      <c r="F26" s="10" t="inlineStr">
        <is>
          <t>FS 4, T1</t>
        </is>
      </c>
      <c r="G26" s="10" t="inlineStr">
        <is>
          <t>Cách thông dụng, phù hợp với thông báo của FS 4.</t>
        </is>
      </c>
      <c r="H26" s="10" t="inlineStr">
        <is>
          <t>Các ca biên file đổi.</t>
        </is>
      </c>
      <c r="I26" s="10" t="inlineStr">
        <is>
          <t>Open</t>
        </is>
      </c>
      <c r="J26" s="10" t="inlineStr">
        <is>
          <t>Chưa có</t>
        </is>
      </c>
      <c r="K26" s="10" t="inlineStr">
        <is>
          <t>TC-042, TC-043, TC-044, TC-047, TC-048, TC-051, TC-054, TC-055, TC-064</t>
        </is>
      </c>
      <c r="L26" s="10" t="inlineStr">
        <is>
          <t>BA</t>
        </is>
      </c>
    </row>
    <row r="27" ht="71" customHeight="1">
      <c r="A27" s="7" t="inlineStr">
        <is>
          <t>ASM-R5-26</t>
        </is>
      </c>
      <c r="B27" s="10" t="inlineStr">
        <is>
          <t>Rule</t>
        </is>
      </c>
      <c r="C27" s="10" t="inlineStr">
        <is>
          <t>Đọc scan không được</t>
        </is>
      </c>
      <c r="D27" s="10" t="inlineStr">
        <is>
          <t>FS 2 bước 1 chỉ mô tả trường hợp đọc được và tô vàng ô không chắc chắn.</t>
        </is>
      </c>
      <c r="E27" s="10" t="inlineStr">
        <is>
          <t>File mã hoá, hỏng, trắng hoặc sai mẫu đơn không làm hỏng trang. Hộp thoại giữ mở, file giữ nguyên và hiện Something went wrong. Please try again. Hệ thống không mở màn Review application với dữ liệu sai. Ô vàng mất khi người dùng sửa ô đó.</t>
        </is>
      </c>
      <c r="F27" s="10" t="inlineStr">
        <is>
          <t>FS 2 bước 1, FS 4, backlog US-043</t>
        </is>
      </c>
      <c r="G27" s="10" t="inlineStr">
        <is>
          <t>US-043 nói giá trị OCR chưa được xác minh nên người dùng rà soát. Cùng cách F4 xử lý lỗi hệ thống.</t>
        </is>
      </c>
      <c r="H27" s="10" t="inlineStr">
        <is>
          <t>Các ca lỗi đọc scan đổi.</t>
        </is>
      </c>
      <c r="I27" s="10" t="inlineStr">
        <is>
          <t>Open</t>
        </is>
      </c>
      <c r="J27" s="10" t="inlineStr">
        <is>
          <t>Chưa có</t>
        </is>
      </c>
      <c r="K27" s="10" t="inlineStr">
        <is>
          <t>TC-057, TC-060, TC-061, TC-062, TC-063, TC-151</t>
        </is>
      </c>
      <c r="L27" s="10" t="inlineStr">
        <is>
          <t>BA</t>
        </is>
      </c>
    </row>
    <row r="28" ht="71" customHeight="1">
      <c r="A28" s="7" t="inlineStr">
        <is>
          <t>ASM-R5-27</t>
        </is>
      </c>
      <c r="B28" s="10" t="inlineStr">
        <is>
          <t>Rule</t>
        </is>
      </c>
      <c r="C28" s="10" t="inlineStr">
        <is>
          <t>Giới hạn độ dài và ô tìm kiếm do QA đề xuất</t>
        </is>
      </c>
      <c r="D28" s="10" t="inlineStr">
        <is>
          <t>FS không nêu giới hạn của Search, Address, Full name và Email.</t>
        </is>
      </c>
      <c r="E28" s="10" t="inlineStr">
        <is>
          <t>Search tối đa 100 ký tự, không phân biệt hoa thường, % và _ là văn bản thường. Address tối đa 255, Full name của thành viên tối đa 100 ký tự và chỉ chữ, khoảng trắng, dấu nháy đơn, dấu chấm, dấu gạch nối. Email tối đa 254 ký tự, phần trước @ tối đa 64.</t>
        </is>
      </c>
      <c r="F28" s="10" t="inlineStr">
        <is>
          <t>R5_FAS_Validation_Rules A3, C13, C14, C19</t>
        </is>
      </c>
      <c r="G28" s="10" t="inlineStr">
        <is>
          <t>Theo cách R4 xử lý ô tìm kiếm và Comment.</t>
        </is>
      </c>
      <c r="H28" s="10" t="inlineStr">
        <is>
          <t>Các ca giới hạn độ dài đổi.</t>
        </is>
      </c>
      <c r="I28" s="10" t="inlineStr">
        <is>
          <t>Open</t>
        </is>
      </c>
      <c r="J28" s="10" t="inlineStr">
        <is>
          <t>Chưa có</t>
        </is>
      </c>
      <c r="K28" s="10" t="inlineStr">
        <is>
          <t>TC-014, TC-015, TC-016, TC-017, TC-091, TC-094, TC-097, TC-127, TC-128, TC-129, TC-130, TC-144, TC-145, TC-259</t>
        </is>
      </c>
      <c r="L28" s="10" t="inlineStr">
        <is>
          <t>BA</t>
        </is>
      </c>
    </row>
    <row r="29" ht="97" customHeight="1">
      <c r="A29" s="7" t="inlineStr">
        <is>
          <t>ASM-R5-28</t>
        </is>
      </c>
      <c r="B29" s="10" t="inlineStr">
        <is>
          <t>Rule</t>
        </is>
      </c>
      <c r="C29" s="10" t="inlineStr">
        <is>
          <t>Quy tắc máy chủ và bảo mật theo F4</t>
        </is>
      </c>
      <c r="D29" s="10" t="inlineStr">
        <is>
          <t>FS 1.2 nói về phạm vi quyền. FS không nêu thông báo từ chối truy cập, ràng buộc duy nhất ở cơ sở dữ liệu và lưu trữ file.</t>
        </is>
      </c>
      <c r="E29" s="10" t="inlineStr">
        <is>
          <t>Yêu cầu không được phép trả HTTP 403 và You do not have access to this application., không đổi dữ liệu. Hai yêu cầu nộp đồng thời cho cùng một con chỉ tạo một đơn. File scan lưu ngoài thư mục web, tên do máy chủ đặt, chỉ School user của trường tải xuống được. Máy chủ chạy lại mọi kiểm tra và không nhận giá trị tự điền gửi lên.</t>
        </is>
      </c>
      <c r="F29" s="10" t="inlineStr">
        <is>
          <t>FS 1.2, BR2, BR3, R5_FAS_Validation_Rules VR-F5-S01 đến S13</t>
        </is>
      </c>
      <c r="G29" s="10" t="inlineStr">
        <is>
          <t>Cùng cách F4 xử lý các yêu cầu bị cấm.</t>
        </is>
      </c>
      <c r="H29" s="10" t="inlineStr">
        <is>
          <t>Các ca API và bảo mật đổi.</t>
        </is>
      </c>
      <c r="I29" s="10" t="inlineStr">
        <is>
          <t>Open</t>
        </is>
      </c>
      <c r="J29" s="10" t="inlineStr">
        <is>
          <t>Chưa có</t>
        </is>
      </c>
      <c r="K29" s="10" t="inlineStr">
        <is>
          <t>TC-065, TC-066, TC-067, TC-075, TC-098, TC-107, TC-140, TC-213, TC-229, TC-250, TC-252, TC-253, TC-254, TC-255, TC-256, TC-257, TC-258, TC-260, TC-261</t>
        </is>
      </c>
      <c r="L29" s="10" t="inlineStr">
        <is>
          <t>Dev</t>
        </is>
      </c>
    </row>
    <row r="30" ht="45" customHeight="1">
      <c r="A30" s="7" t="inlineStr">
        <is>
          <t>ASM-R5-29</t>
        </is>
      </c>
      <c r="B30" s="10" t="inlineStr">
        <is>
          <t>Rule</t>
        </is>
      </c>
      <c r="C30" s="10" t="inlineStr">
        <is>
          <t>Thế nào là đã có đơn trong năm nay</t>
        </is>
      </c>
      <c r="D30" s="10" t="inlineStr">
        <is>
          <t>BR2 và FS 6 chặn con đã có đơn trong năm hiện tại. FS không nói năm tính theo ngày nộp, năm của scheme hay năm của Application ID.</t>
        </is>
      </c>
      <c r="E30" s="10" t="inlineStr">
        <is>
          <t>Không có giả định hợp lý. Đơn APP-2026-00390 nộp 14/11/2025 cho MOEFAS 2026 thuộc năm 2025 theo ngày nộp nhưng thuộc năm 2026 theo scheme.</t>
        </is>
      </c>
      <c r="F30" s="10" t="inlineStr">
        <is>
          <t>FS 6, BR2, FS 3 mục 8</t>
        </is>
      </c>
      <c r="G30" s="10" t="inlineStr">
        <is>
          <t>Hai cách tính cho hai kết quả khác nhau.</t>
        </is>
      </c>
      <c r="H30" s="10" t="inlineStr">
        <is>
          <t>Ca này mở khoá khi BA trả lời.</t>
        </is>
      </c>
      <c r="I30" s="10" t="inlineStr">
        <is>
          <t>Open</t>
        </is>
      </c>
      <c r="J30" s="10" t="inlineStr">
        <is>
          <t>Chưa có</t>
        </is>
      </c>
      <c r="K30" s="10" t="inlineStr">
        <is>
          <t>TC-185</t>
        </is>
      </c>
      <c r="L30" s="10" t="inlineStr">
        <is>
          <t>BA</t>
        </is>
      </c>
    </row>
    <row r="31" ht="409" customHeight="1">
      <c r="A31" s="7" t="inlineStr">
        <is>
          <t>ENV-R5-01</t>
        </is>
      </c>
      <c r="B31" s="10" t="inlineStr">
        <is>
          <t>Environment</t>
        </is>
      </c>
      <c r="C31" s="10" t="inlineStr">
        <is>
          <t>Prototype</t>
        </is>
      </c>
      <c r="D31" s="10" t="inlineStr">
        <is>
          <t>Prototype edusave.vercel.app. Ngày mẫu cố định 18/10/2026. Màn Upload applications và hộp thoại có sẵn, dữ liệu là dữ liệu mô phỏng.</t>
        </is>
      </c>
      <c r="E31" s="10" t="inlineStr">
        <is>
          <t>Không phải giả định. Các case được liệt kê cần mục môi trường này.</t>
        </is>
      </c>
      <c r="F31" s="10" t="inlineStr">
        <is>
          <t>Không có</t>
        </is>
      </c>
      <c r="G31" s="10" t="inlineStr">
        <is>
          <t>Các case cần dữ liệu hoặc điều khiển này để chạy.</t>
        </is>
      </c>
      <c r="H31" s="10" t="inlineStr">
        <is>
          <t>Các case được liệt kê giữ Not Run.</t>
        </is>
      </c>
      <c r="I31" s="10" t="inlineStr">
        <is>
          <t>Available</t>
        </is>
      </c>
      <c r="J31" s="10" t="inlineStr">
        <is>
          <t>Có sẵn</t>
        </is>
      </c>
      <c r="K31" s="10" t="inlineStr">
        <is>
          <t>TC-001, TC-002, TC-003, TC-004, TC-005, TC-006, TC-007, TC-008, TC-009, TC-010, TC-011, TC-012, TC-013, TC-014, TC-015, TC-016, TC-017, TC-018, TC-019, TC-020, TC-021, TC-022, TC-023, TC-024, TC-025, TC-026, TC-027, TC-028, TC-032, TC-033, TC-034, TC-036, TC-037, TC-038, TC-039, TC-040, TC-041, TC-042, TC-043, TC-044, TC-045, TC-046, TC-047, TC-048, TC-049, TC-050, TC-051, TC-052, TC-053, TC-054, TC-055, TC-056, TC-057, TC-058, TC-059, TC-064, TC-065, TC-068, TC-069, TC-070, TC-076, TC-077, TC-078, TC-079, TC-080, TC-081, TC-082, TC-084, TC-085, TC-086, TC-087, TC-088, TC-089, TC-090, TC-091, TC-092, TC-093, TC-094, TC-095, TC-096, TC-097, TC-098, TC-099, TC-100, TC-101, TC-102, TC-103, TC-104, TC-106, TC-110, TC-111, TC-112, TC-113, TC-115, TC-116, TC-117, TC-118, TC-119, TC-121, TC-122, TC-123, TC-124, TC-125, TC-126, TC-127, TC-128, TC-129, TC-130, TC-131, TC-132, TC-133, TC-134, TC-135, TC-137, TC-141, TC-142, TC-144, TC-145, TC-146, TC-147, TC-148, TC-149, TC-150, TC-151, TC-152, TC-153, TC-155, TC-156, TC-157, TC-158, TC-159, TC-160, TC-161, TC-162, TC-163, TC-164, TC-165, TC-166, TC-167, TC-169, TC-170, TC-171, TC-172, TC-173, TC-176, TC-177, TC-178, TC-179, TC-180, TC-181, TC-183, TC-184, TC-185, TC-199, TC-200, TC-201, TC-202, TC-203, TC-204, TC-206, TC-207, TC-208, TC-209, TC-210, TC-211, TC-212, TC-213, TC-214, TC-215, TC-216, TC-217, TC-218, TC-219, TC-225, TC-226, TC-234, TC-235, TC-236, TC-237, TC-238, TC-239, TC-241, TC-243, TC-244, TC-245, TC-247, TC-261</t>
        </is>
      </c>
      <c r="L31" s="10" t="inlineStr">
        <is>
          <t>Dev</t>
        </is>
      </c>
    </row>
    <row r="32" ht="201" customHeight="1">
      <c r="A32" s="7" t="inlineStr">
        <is>
          <t>ENV-R5-02</t>
        </is>
      </c>
      <c r="B32" s="10" t="inlineStr">
        <is>
          <t>Environment</t>
        </is>
      </c>
      <c r="C32" s="10" t="inlineStr">
        <is>
          <t>Bản F5 có API</t>
        </is>
      </c>
      <c r="D32" s="10" t="inlineStr">
        <is>
          <t>Bản chạy thật có API cho danh sách, tải scan, lưu bản nháp, nộp và sửa đơn, để chạy các quy tắc máy chủ.</t>
        </is>
      </c>
      <c r="E32" s="10" t="inlineStr">
        <is>
          <t>Không phải giả định. Các case được liệt kê cần mục môi trường này.</t>
        </is>
      </c>
      <c r="F32" s="10" t="inlineStr">
        <is>
          <t>Không có</t>
        </is>
      </c>
      <c r="G32" s="10" t="inlineStr">
        <is>
          <t>Các case cần dữ liệu hoặc điều khiển này để chạy.</t>
        </is>
      </c>
      <c r="H32" s="10" t="inlineStr">
        <is>
          <t>Các case được liệt kê giữ Not Run.</t>
        </is>
      </c>
      <c r="I32" s="10" t="inlineStr">
        <is>
          <t>Open</t>
        </is>
      </c>
      <c r="J32" s="10" t="inlineStr">
        <is>
          <t>Chưa có</t>
        </is>
      </c>
      <c r="K32" s="10" t="inlineStr">
        <is>
          <t>TC-029, TC-030, TC-031, TC-035, TC-060, TC-061, TC-062, TC-063, TC-066, TC-067, TC-071, TC-072, TC-073, TC-074, TC-075, TC-083, TC-105, TC-107, TC-108, TC-109, TC-114, TC-120, TC-136, TC-138, TC-139, TC-140, TC-143, TC-154, TC-168, TC-174, TC-175, TC-182, TC-186, TC-187, TC-188, TC-189, TC-190, TC-191, TC-192, TC-193, TC-194, TC-195, TC-196, TC-197, TC-198, TC-205, TC-220, TC-221, TC-222, TC-223, TC-224, TC-227, TC-228, TC-229, TC-230, TC-231, TC-232, TC-233, TC-240, TC-242, TC-246, TC-248, TC-249, TC-250, TC-251, TC-252, TC-253, TC-254, TC-255, TC-256, TC-257, TC-258, TC-259, TC-260</t>
        </is>
      </c>
      <c r="L32" s="10" t="inlineStr">
        <is>
          <t>Dev</t>
        </is>
      </c>
    </row>
    <row r="33" ht="123" customHeight="1">
      <c r="A33" s="7" t="inlineStr">
        <is>
          <t>ENV-R5-03</t>
        </is>
      </c>
      <c r="B33" s="10" t="inlineStr">
        <is>
          <t>Environment</t>
        </is>
      </c>
      <c r="C33" s="10" t="inlineStr">
        <is>
          <t>Dữ liệu SEED-R5 đã nạp</t>
        </is>
      </c>
      <c r="D33" s="10" t="inlineStr">
        <is>
          <t>Hồ sơ MOE, hồ sơ phụ huynh và dữ liệu Chính phủ của các NRIC trong sheet Seed Data, gồm các con ở sát biên tuổi.</t>
        </is>
      </c>
      <c r="E33" s="10" t="inlineStr">
        <is>
          <t>Không phải giả định. Các case được liệt kê cần mục môi trường này.</t>
        </is>
      </c>
      <c r="F33" s="10" t="inlineStr">
        <is>
          <t>Không có</t>
        </is>
      </c>
      <c r="G33" s="10" t="inlineStr">
        <is>
          <t>Các case cần dữ liệu hoặc điều khiển này để chạy.</t>
        </is>
      </c>
      <c r="H33" s="10" t="inlineStr">
        <is>
          <t>Các case được liệt kê giữ Not Run.</t>
        </is>
      </c>
      <c r="I33" s="10" t="inlineStr">
        <is>
          <t>Open</t>
        </is>
      </c>
      <c r="J33" s="10" t="inlineStr">
        <is>
          <t>Chưa có</t>
        </is>
      </c>
      <c r="K33" s="10" t="inlineStr">
        <is>
          <t>TC-029, TC-030, TC-031, TC-035, TC-071, TC-072, TC-073, TC-074, TC-083, TC-105, TC-108, TC-109, TC-114, TC-120, TC-136, TC-138, TC-139, TC-143, TC-175, TC-182, TC-186, TC-187, TC-188, TC-189, TC-190, TC-191, TC-192, TC-193, TC-194, TC-195, TC-196, TC-197, TC-198, TC-205, TC-220, TC-221, TC-222, TC-223, TC-224, TC-227, TC-230, TC-231, TC-233, TC-240, TC-242, TC-256, TC-257</t>
        </is>
      </c>
      <c r="L33" s="10" t="inlineStr">
        <is>
          <t>Dev</t>
        </is>
      </c>
    </row>
    <row r="34" ht="45" customHeight="1">
      <c r="A34" s="7" t="inlineStr">
        <is>
          <t>ENV-R5-04</t>
        </is>
      </c>
      <c r="B34" s="10" t="inlineStr">
        <is>
          <t>Environment</t>
        </is>
      </c>
      <c r="C34" s="10" t="inlineStr">
        <is>
          <t>Điều khiển đồng hồ và form</t>
        </is>
      </c>
      <c r="D34" s="10" t="inlineStr">
        <is>
          <t>Đổi được ngày hiện tại và khoảng Form opens đến Form closes của MOEFAS và SBFAS để chạy ca biên và ca form đóng. Prototype cố định ngày 18/10/2026.</t>
        </is>
      </c>
      <c r="E34" s="10" t="inlineStr">
        <is>
          <t>Không phải giả định. Các case được liệt kê cần mục môi trường này.</t>
        </is>
      </c>
      <c r="F34" s="10" t="inlineStr">
        <is>
          <t>Không có</t>
        </is>
      </c>
      <c r="G34" s="10" t="inlineStr">
        <is>
          <t>Các case cần dữ liệu hoặc điều khiển này để chạy.</t>
        </is>
      </c>
      <c r="H34" s="10" t="inlineStr">
        <is>
          <t>Các case được liệt kê giữ Not Run.</t>
        </is>
      </c>
      <c r="I34" s="10" t="inlineStr">
        <is>
          <t>Open</t>
        </is>
      </c>
      <c r="J34" s="10" t="inlineStr">
        <is>
          <t>Chưa có</t>
        </is>
      </c>
      <c r="K34" s="10" t="inlineStr">
        <is>
          <t>TC-154, TC-189, TC-190, TC-191, TC-192, TC-193, TC-194, TC-195, TC-196, TC-197, TC-198, TC-227, TC-230, TC-242, TC-256</t>
        </is>
      </c>
      <c r="L34" s="10" t="inlineStr">
        <is>
          <t>Dev</t>
        </is>
      </c>
    </row>
    <row r="35" ht="32" customHeight="1">
      <c r="A35" s="7" t="inlineStr">
        <is>
          <t>ENV-R5-05</t>
        </is>
      </c>
      <c r="B35" s="10" t="inlineStr">
        <is>
          <t>Environment</t>
        </is>
      </c>
      <c r="C35" s="10" t="inlineStr">
        <is>
          <t>Hai phiên đăng nhập</t>
        </is>
      </c>
      <c r="D35" s="10" t="inlineStr">
        <is>
          <t>Hai người dùng cùng lúc trên cùng một dữ liệu, cho ca nộp đồng thời và sửa đồng thời.</t>
        </is>
      </c>
      <c r="E35" s="10" t="inlineStr">
        <is>
          <t>Không phải giả định. Các case được liệt kê cần mục môi trường này.</t>
        </is>
      </c>
      <c r="F35" s="10" t="inlineStr">
        <is>
          <t>Không có</t>
        </is>
      </c>
      <c r="G35" s="10" t="inlineStr">
        <is>
          <t>Các case cần dữ liệu hoặc điều khiển này để chạy.</t>
        </is>
      </c>
      <c r="H35" s="10" t="inlineStr">
        <is>
          <t>Các case được liệt kê giữ Not Run.</t>
        </is>
      </c>
      <c r="I35" s="10" t="inlineStr">
        <is>
          <t>Open</t>
        </is>
      </c>
      <c r="J35" s="10" t="inlineStr">
        <is>
          <t>Chưa có</t>
        </is>
      </c>
      <c r="K35" s="10" t="inlineStr">
        <is>
          <t>TC-174, TC-175, TC-229, TC-231, TC-246</t>
        </is>
      </c>
      <c r="L35" s="10" t="inlineStr">
        <is>
          <t>Dev</t>
        </is>
      </c>
    </row>
    <row r="36" ht="71" customHeight="1">
      <c r="A36" s="7" t="inlineStr">
        <is>
          <t>ENV-R5-06</t>
        </is>
      </c>
      <c r="B36" s="10" t="inlineStr">
        <is>
          <t>Environment</t>
        </is>
      </c>
      <c r="C36" s="10" t="inlineStr">
        <is>
          <t>File scan thử</t>
        </is>
      </c>
      <c r="D36" s="10" t="inlineStr">
        <is>
          <t>Bộ file thử: PDF, JPG, PNG đúng 10 MB và 10 MB cộng 1 byte, file 0 byte, file đổi tên phần mở rộng, file có mật khẩu, file hỏng.</t>
        </is>
      </c>
      <c r="E36" s="10" t="inlineStr">
        <is>
          <t>Không phải giả định. Các case được liệt kê cần mục môi trường này.</t>
        </is>
      </c>
      <c r="F36" s="10" t="inlineStr">
        <is>
          <t>Không có</t>
        </is>
      </c>
      <c r="G36" s="10" t="inlineStr">
        <is>
          <t>Các case cần dữ liệu hoặc điều khiển này để chạy.</t>
        </is>
      </c>
      <c r="H36" s="10" t="inlineStr">
        <is>
          <t>Các case được liệt kê giữ Not Run.</t>
        </is>
      </c>
      <c r="I36" s="10" t="inlineStr">
        <is>
          <t>Open</t>
        </is>
      </c>
      <c r="J36" s="10" t="inlineStr">
        <is>
          <t>Chưa có</t>
        </is>
      </c>
      <c r="K36" s="10" t="inlineStr">
        <is>
          <t>TC-039, TC-040, TC-041, TC-042, TC-043, TC-044, TC-045, TC-046, TC-047, TC-048, TC-049, TC-050, TC-051, TC-052, TC-053, TC-054, TC-055, TC-058, TC-060, TC-061, TC-064, TC-065, TC-066, TC-067</t>
        </is>
      </c>
      <c r="L36" s="10" t="inlineStr">
        <is>
          <t>QA</t>
        </is>
      </c>
    </row>
    <row r="37" ht="32" customHeight="1">
      <c r="A37" s="7" t="inlineStr">
        <is>
          <t>ENV-R5-07</t>
        </is>
      </c>
      <c r="B37" s="10" t="inlineStr">
        <is>
          <t>Environment</t>
        </is>
      </c>
      <c r="C37" s="10" t="inlineStr">
        <is>
          <t>Điều khiển nguồn dữ liệu ngoài</t>
        </is>
      </c>
      <c r="D37" s="10" t="inlineStr">
        <is>
          <t>Làm cho hồ sơ MOE, hồ sơ phụ huynh và API thu nhập Chính phủ trả lỗi hoặc không có dữ liệu.</t>
        </is>
      </c>
      <c r="E37" s="10" t="inlineStr">
        <is>
          <t>Không phải giả định. Các case được liệt kê cần mục môi trường này.</t>
        </is>
      </c>
      <c r="F37" s="10" t="inlineStr">
        <is>
          <t>Không có</t>
        </is>
      </c>
      <c r="G37" s="10" t="inlineStr">
        <is>
          <t>Các case cần dữ liệu hoặc điều khiển này để chạy.</t>
        </is>
      </c>
      <c r="H37" s="10" t="inlineStr">
        <is>
          <t>Các case được liệt kê giữ Not Run.</t>
        </is>
      </c>
      <c r="I37" s="10" t="inlineStr">
        <is>
          <t>Open</t>
        </is>
      </c>
      <c r="J37" s="10" t="inlineStr">
        <is>
          <t>Chưa có</t>
        </is>
      </c>
      <c r="K37" s="10" t="inlineStr">
        <is>
          <t>TC-062, TC-075, TC-107, TC-139, TC-140, TC-232, TC-248, TC-258</t>
        </is>
      </c>
      <c r="L37" s="10" t="inlineStr">
        <is>
          <t>Dev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6" customWidth="1" min="1" max="1"/>
    <col width="110" customWidth="1" min="2" max="2"/>
    <col width="50" customWidth="1" min="3" max="3"/>
  </cols>
  <sheetData>
    <row r="1" ht="31.5" customHeight="1">
      <c r="A1" s="1" t="inlineStr">
        <is>
          <t>Assumption Ref</t>
        </is>
      </c>
      <c r="B1" s="1" t="inlineStr">
        <is>
          <t>Question</t>
        </is>
      </c>
      <c r="C1" s="1" t="inlineStr">
        <is>
          <t>Answer</t>
        </is>
      </c>
    </row>
    <row r="2" ht="32" customHeight="1">
      <c r="A2" s="7" t="inlineStr">
        <is>
          <t>ASM-R5-01</t>
        </is>
      </c>
      <c r="B2" s="10" t="inlineStr">
        <is>
          <t>BA: Con đủ 16 tuổi có được nộp đơn F5 không (FS05 cho phép, FS01 dừng ở trước sinh nhật 16)? Tuổi tính tại ngày nộp hay ngày nhận đơn, và đơn của con 16 tuổi đã đóng Education Account áp dụng vào đâu? (O1)</t>
        </is>
      </c>
      <c r="C2" s="10" t="n"/>
    </row>
    <row r="3" ht="32" customHeight="1">
      <c r="A3" s="7" t="inlineStr">
        <is>
          <t>ASM-R5-02</t>
        </is>
      </c>
      <c r="B3" s="10" t="inlineStr">
        <is>
          <t>BA: Một lần tải là một mẫu gia đình hay một học sinh? Giới hạn 5 file tính cho mẫu hay cho từng con, và lời nhắc One application is one student có sửa không? (O2)</t>
        </is>
      </c>
      <c r="C3" s="10" t="n"/>
    </row>
    <row r="4" ht="32" customHeight="1">
      <c r="A4" s="7" t="inlineStr">
        <is>
          <t>ASM-R5-03</t>
        </is>
      </c>
      <c r="B4" s="10" t="inlineStr">
        <is>
          <t>BA: Khi NRIC người khai không có trong hồ sơ phụ huynh hay dữ liệu Chính phủ thì các trường Part 1 để trống và nhập tay được, hay bị chặn, và thông báo là gì? (O3)</t>
        </is>
      </c>
      <c r="C4" s="10" t="n"/>
    </row>
    <row r="5" ht="32" customHeight="1">
      <c r="A5" s="7" t="inlineStr">
        <is>
          <t>ASM-R5-04</t>
        </is>
      </c>
      <c r="B5" s="10" t="inlineStr">
        <is>
          <t>BA: Trường nào khoá hẳn, trường nào sửa được khi dữ liệu hồ sơ sai hoặc cũ (hình cho Phone number màu vàng và sửa được)? Đổi NRIC sau khi tự điền thì giữ hay thay giá trị Relationship và School-based FAS? (O4)</t>
        </is>
      </c>
      <c r="C5" s="10" t="n"/>
    </row>
    <row r="6" ht="32" customHeight="1">
      <c r="A6" s="7" t="inlineStr">
        <is>
          <t>ASM-R5-05</t>
        </is>
      </c>
      <c r="B6" s="10" t="inlineStr">
        <is>
          <t>BA: Số điện thoại có nhận mã nước 65 không, số chữ số tối thiểu là bao nhiêu (QA đề xuất 8), và dấu cộng với khoảng trắng bị loại tự động hay bị từ chối? (O5)</t>
        </is>
      </c>
      <c r="C6" s="10" t="n"/>
    </row>
    <row r="7" ht="32" customHeight="1">
      <c r="A7" s="7" t="inlineStr">
        <is>
          <t>ASM-R5-06</t>
        </is>
      </c>
      <c r="B7" s="10" t="inlineStr">
        <is>
          <t>BA: Chỉ kiểm cấu trúc NRIC/FIN hay kiểm cả chữ cái cuối (ba NRIC mẫu trong FS không đạt)? Có nhận FIN bắt đầu bằng M không? (O6)</t>
        </is>
      </c>
      <c r="C7" s="10" t="n"/>
    </row>
    <row r="8" ht="32" customHeight="1">
      <c r="A8" s="7" t="inlineStr">
        <is>
          <t>ASM-R5-07</t>
        </is>
      </c>
      <c r="B8" s="10" t="inlineStr">
        <is>
          <t>BA: Level hiển thị gì khi Grade của học sinh ngoài P1 đến P6, S1 đến S5, PU1 đến PU3, và đơn có nộp được không? (O8)</t>
        </is>
      </c>
      <c r="C8" s="10" t="n"/>
    </row>
    <row r="9" ht="19" customHeight="1">
      <c r="A9" s="7" t="inlineStr">
        <is>
          <t>ASM-R5-08</t>
        </is>
      </c>
      <c r="B9" s="10" t="inlineStr">
        <is>
          <t>BA: Đơn của con học trường khác có được tạo không, trường nào xem được, và trường nào quyết định SBFAS? (O9)</t>
        </is>
      </c>
      <c r="C9" s="10" t="n"/>
    </row>
    <row r="10" ht="19" customHeight="1">
      <c r="A10" s="7" t="inlineStr">
        <is>
          <t>ASM-R5-09</t>
        </is>
      </c>
      <c r="B10" s="10" t="inlineStr">
        <is>
          <t>BA: Số con và số thành viên tối đa là bao nhiêu, và có nút xoá một dòng đã thêm không? (O10)</t>
        </is>
      </c>
      <c r="C10" s="10" t="n"/>
    </row>
    <row r="11" ht="19" customHeight="1">
      <c r="A11" s="7" t="inlineStr">
        <is>
          <t>ASM-R5-10</t>
        </is>
      </c>
      <c r="B11" s="10" t="inlineStr">
        <is>
          <t>BA: Gender của thành viên có Male, Female, Other như Part 1 không, và bắt buộc hay tuỳ chọn? (O11)</t>
        </is>
      </c>
      <c r="C11" s="10" t="n"/>
    </row>
    <row r="12" ht="32" customHeight="1">
      <c r="A12" s="7" t="inlineStr">
        <is>
          <t>ASM-R5-11</t>
        </is>
      </c>
      <c r="B12" s="10" t="inlineStr">
        <is>
          <t>BA: Thu nhập của con có tính vào GHI không? Thành viên không có dữ liệu thu nhập tính 0 hay chặn nộp? PCI làm tròn thế nào? (O12)</t>
        </is>
      </c>
      <c r="C12" s="10" t="n"/>
    </row>
    <row r="13" ht="32" customHeight="1">
      <c r="A13" s="7" t="inlineStr">
        <is>
          <t>ASM-R5-12</t>
        </is>
      </c>
      <c r="B13" s="10" t="inlineStr">
        <is>
          <t>BA: Save draft có kiểm tra định dạng không? Discard và Delete có hộp thoại xác nhận không, bản nháp có hết hạn không, và hai người cùng mở một bản nháp thì sao? (O13)</t>
        </is>
      </c>
      <c r="C13" s="10" t="n"/>
    </row>
    <row r="14" ht="32" customHeight="1">
      <c r="A14" s="7" t="inlineStr">
        <is>
          <t>ASM-R5-13</t>
        </is>
      </c>
      <c r="B14" s="10" t="inlineStr">
        <is>
          <t>BA: Xin xác nhận hoặc sửa các thông báo định dạng và độ dài mà FS chưa có (danh sách ở mục 10 của R5_FAS_Validation_Rules). (O14)</t>
        </is>
      </c>
      <c r="C14" s="10" t="n"/>
    </row>
    <row r="15" ht="32" customHeight="1">
      <c r="A15" s="7" t="inlineStr">
        <is>
          <t>ASM-R5-14</t>
        </is>
      </c>
      <c r="B15" s="10" t="inlineStr">
        <is>
          <t>BA: Date signed có giới hạn dưới không, có được sau Date received không? Date received đổi sang ngày mới khi tiếp tục bản nháp hôm sau hay giữ ngày cũ? (O15)</t>
        </is>
      </c>
      <c r="C15" s="10" t="n"/>
    </row>
    <row r="16" ht="32" customHeight="1">
      <c r="A16" s="7" t="inlineStr">
        <is>
          <t>ASM-R5-15</t>
        </is>
      </c>
      <c r="B16" s="10" t="inlineStr">
        <is>
          <t>BA: Form có mở đúng ngày Form opens và đúng ngày Form closes không? Con không đủ điều kiện MOEFAS về quốc tịch chỉ xét form SBFAS đúng không? Một con có form mở, một con đóng thì chặn cả mẫu hay chỉ con đó? (O16)</t>
        </is>
      </c>
      <c r="C16" s="10" t="n"/>
    </row>
    <row r="17" ht="32" customHeight="1">
      <c r="A17" s="7" t="inlineStr">
        <is>
          <t>ASM-R5-16</t>
        </is>
      </c>
      <c r="B17" s="10" t="inlineStr">
        <is>
          <t>BA: Các ghi chú chặn hiện theo thứ tự nào, có cuộn lên đầu trang và có đánh dấu ô lỗi không? Cảnh báo sai lệch tên của con có nội dung gì và nằm ở đâu? (O17)</t>
        </is>
      </c>
      <c r="C17" s="10" t="n"/>
    </row>
    <row r="18" ht="32" customHeight="1">
      <c r="A18" s="7" t="inlineStr">
        <is>
          <t>ASM-R5-17</t>
        </is>
      </c>
      <c r="B18" s="10" t="inlineStr">
        <is>
          <t>BA: Nếu lúc bấm Confirm and submit một con vừa có đơn hoặc form vừa đóng, hệ thống tạo đơn cho các con còn lại hay không tạo gì? (O18)</t>
        </is>
      </c>
      <c r="C18" s="10" t="n"/>
    </row>
    <row r="19" ht="32" customHeight="1">
      <c r="A19" s="7" t="inlineStr">
        <is>
          <t>ASM-R5-18</t>
        </is>
      </c>
      <c r="B19" s="10" t="inlineStr">
        <is>
          <t>BA: Sau toast hệ thống đưa người dùng về đâu? Scan được gắn thế nào cho đơn của từng con, và có gửi thư cho phụ huynh khi nộp không? (O19)</t>
        </is>
      </c>
      <c r="C19" s="10" t="n"/>
    </row>
    <row r="20" ht="32" customHeight="1">
      <c r="A20" s="7" t="inlineStr">
        <is>
          <t>ASM-R5-19</t>
        </is>
      </c>
      <c r="B20" s="10" t="inlineStr">
        <is>
          <t>BA: Khi School-based FAS là No và con không đủ điều kiện MOEFAS về quốc tịch, đơn thành SBFAS Pending hay Rejected? (O20)</t>
        </is>
      </c>
      <c r="C20" s="10" t="n"/>
    </row>
    <row r="21" ht="32" customHeight="1">
      <c r="A21" s="7" t="inlineStr">
        <is>
          <t>ASM-R5-20</t>
        </is>
      </c>
      <c r="B21" s="10" t="inlineStr">
        <is>
          <t>BA: Khi sửa đơn Pending, con và NRIC của con có sửa được không, thu nhập có tra lại khi đổi NRIC thành viên không, đơn đổi trạng thái trong lúc sửa thì sao, và xếp hạng dùng dữ liệu lúc nộp hay lúc đóng form? (O21)</t>
        </is>
      </c>
      <c r="C21" s="10" t="n"/>
    </row>
    <row r="22" ht="32" customHeight="1">
      <c r="A22" s="7" t="inlineStr">
        <is>
          <t>ASM-R5-21</t>
        </is>
      </c>
      <c r="B22" s="10" t="inlineStr">
        <is>
          <t>BA: Thẻ thống kê có đổi theo ô Search và bộ lọc Uploaded không, có đếm Draft không, và bấm thẻ đồng bộ với bộ lọc Status thế nào? (O22)</t>
        </is>
      </c>
      <c r="C22" s="10" t="n"/>
    </row>
    <row r="23" ht="32" customHeight="1">
      <c r="A23" s="7" t="inlineStr">
        <is>
          <t>ASM-R5-22</t>
        </is>
      </c>
      <c r="B23" s="10" t="inlineStr">
        <is>
          <t>BA: Dòng Draft có nút Continue và Delete không (hình không hiển thị)? Dòng Draft của mẫu nhiều con hiển thị mấy tên học sinh? (O23)</t>
        </is>
      </c>
      <c r="C23" s="10" t="n"/>
    </row>
    <row r="24" ht="32" customHeight="1">
      <c r="A24" s="7" t="inlineStr">
        <is>
          <t>ASM-R5-23</t>
        </is>
      </c>
      <c r="B24" s="10" t="inlineStr">
        <is>
          <t>BA: Mỗi trang có mấy dòng và dòng đã nộp sắp thế nào? Last 7 days và Last 30 days tính từ ngày nào, và bản Draft cũ có bị ẩn khi lọc không? (O24, O13)</t>
        </is>
      </c>
      <c r="C24" s="10" t="n"/>
    </row>
    <row r="25" ht="32" customHeight="1">
      <c r="A25" s="7" t="inlineStr">
        <is>
          <t>ASM-R5-24</t>
        </is>
      </c>
      <c r="B25" s="10" t="inlineStr">
        <is>
          <t>BA: Hộp thoại Review before submitting có hiển thị địa chỉ không, số EA hiển thị thế nào khi con chưa có EA, và Part 4 hiển thị thế nào khi Context trống? (O25)</t>
        </is>
      </c>
      <c r="C25" s="10" t="n"/>
    </row>
    <row r="26" ht="32" customHeight="1">
      <c r="A26" s="7" t="inlineStr">
        <is>
          <t>ASM-R5-25</t>
        </is>
      </c>
      <c r="B26" s="10" t="inlineStr">
        <is>
          <t>BA: Phần mở rộng jpeg có nhận không, 10 MB là 10 x 1024 x 1024 byte hay 10 triệu byte, và file trùng tên hay trùng nội dung xử lý thế nào? (O26)</t>
        </is>
      </c>
      <c r="C26" s="10" t="n"/>
    </row>
    <row r="27" ht="32" customHeight="1">
      <c r="A27" s="7" t="inlineStr">
        <is>
          <t>ASM-R5-26</t>
        </is>
      </c>
      <c r="B27" s="10" t="inlineStr">
        <is>
          <t>BA: Khi file mã hoá mật khẩu, hỏng, trắng, sai mẫu đơn hay đọc quá thời gian thì hệ thống làm gì và thông báo gì? Đóng hộp thoại khi đang đọc thì sao? (O27)</t>
        </is>
      </c>
      <c r="C27" s="10" t="n"/>
    </row>
    <row r="28" ht="19" customHeight="1">
      <c r="A28" s="7" t="inlineStr">
        <is>
          <t>ASM-R5-27</t>
        </is>
      </c>
      <c r="B28" s="10" t="inlineStr">
        <is>
          <t>BA: Xin xác nhận giới hạn Search 100, Address 255, Full name thành viên 100, Email 254 và 64 trước @. (O28)</t>
        </is>
      </c>
      <c r="C28" s="10" t="n"/>
    </row>
    <row r="29" ht="32" customHeight="1">
      <c r="A29" s="7" t="inlineStr">
        <is>
          <t>ASM-R5-28</t>
        </is>
      </c>
      <c r="B29" s="10" t="inlineStr">
        <is>
          <t>Dev: Xin xác nhận thông báo từ chối truy cập, ràng buộc một đơn mỗi con mỗi năm ở cơ sở dữ liệu và quy tắc lưu file scan (VR-F5-S01 đến S09).</t>
        </is>
      </c>
      <c r="C29" s="10" t="n"/>
    </row>
    <row r="30" ht="32" customHeight="1">
      <c r="A30" s="7" t="inlineStr">
        <is>
          <t>ASM-R5-29</t>
        </is>
      </c>
      <c r="B30" s="10" t="inlineStr">
        <is>
          <t>BA: "Năm nay" tính theo ngày nộp, năm của scheme hay năm của Application ID? Mọi trạng thái kể cả Rejected đều chặn đúng không? (Điểm mới O29, chưa có trong R5_FAS_Validation_Rules)</t>
        </is>
      </c>
      <c r="C30" s="10"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90" customWidth="1" min="3" max="3"/>
    <col width="60" customWidth="1" min="4" max="4"/>
    <col width="8" customWidth="1" min="5" max="5"/>
    <col width="9" customWidth="1" min="6" max="6"/>
  </cols>
  <sheetData>
    <row r="1" ht="31.5" customHeight="1">
      <c r="A1" s="1" t="inlineStr">
        <is>
          <t>FS item</t>
        </is>
      </c>
      <c r="B1" s="1" t="inlineStr">
        <is>
          <t>Kind</t>
        </is>
      </c>
      <c r="C1" s="1" t="inlineStr">
        <is>
          <t>Statement</t>
        </is>
      </c>
      <c r="D1" s="1" t="inlineStr">
        <is>
          <t>Test cases that cite it</t>
        </is>
      </c>
      <c r="E1" s="1" t="inlineStr">
        <is>
          <t>Count</t>
        </is>
      </c>
      <c r="F1" s="1" t="inlineStr">
        <is>
          <t>Covered</t>
        </is>
      </c>
    </row>
    <row r="2" ht="32" customHeight="1">
      <c r="A2" s="7" t="inlineStr">
        <is>
          <t>1.2</t>
        </is>
      </c>
      <c r="B2" s="10" t="inlineStr">
        <is>
          <t>Quyền truy cập</t>
        </is>
      </c>
      <c r="C2" s="10" t="inlineStr">
        <is>
          <t>School user chỉ thấy và nhập đơn giấy của học sinh đang học tại trường của mình. MOE HQ không có quyền truy cập màn hình này.</t>
        </is>
      </c>
      <c r="D2" s="10" t="inlineStr">
        <is>
          <t>TC-033, TC-034, TC-035, TC-173, TC-250, TC-251, TC-252, TC-253</t>
        </is>
      </c>
      <c r="E2" s="8">
        <f>IF(D2="None",0,(LEN(D2)-LEN(SUBSTITUTE(D2,"TC-","")))/3)</f>
        <v/>
      </c>
      <c r="F2" s="8">
        <f>IF(E2&gt;0,"Yes","No")</f>
        <v/>
      </c>
    </row>
    <row r="3" ht="32" customHeight="1">
      <c r="A3" s="7" t="inlineStr">
        <is>
          <t>2.1</t>
        </is>
      </c>
      <c r="B3" s="10" t="inlineStr">
        <is>
          <t>Luồng xử lý, bước 1</t>
        </is>
      </c>
      <c r="C3" s="10" t="inlineStr">
        <is>
          <t>Bấm Upload scans, thêm các trang scan (PDF, JPG, PNG), bấm Upload and read. Hệ thống đọc mẫu, mở màn Review application, ô không chắc chắn tô vàng.</t>
        </is>
      </c>
      <c r="D3" s="10" t="inlineStr">
        <is>
          <t>TC-056, TC-058, TC-060, TC-061, TC-062</t>
        </is>
      </c>
      <c r="E3" s="8">
        <f>IF(D3="None",0,(LEN(D3)-LEN(SUBSTITUTE(D3,"TC-","")))/3)</f>
        <v/>
      </c>
      <c r="F3" s="8">
        <f>IF(E3&gt;0,"Yes","No")</f>
        <v/>
      </c>
    </row>
    <row r="4" ht="32" customHeight="1">
      <c r="A4" s="7" t="inlineStr">
        <is>
          <t>2.2</t>
        </is>
      </c>
      <c r="B4" s="10" t="inlineStr">
        <is>
          <t>Luồng xử lý, bước 2</t>
        </is>
      </c>
      <c r="C4" s="10" t="inlineStr">
        <is>
          <t>Nhập hoặc xác nhận NRIC của người khai và của từng con. Hệ thống tự điền thông tin người khai và từng con rồi khoá lại.</t>
        </is>
      </c>
      <c r="D4" s="10" t="inlineStr">
        <is>
          <t>TC-068, TC-074, TC-075, TC-107</t>
        </is>
      </c>
      <c r="E4" s="8">
        <f>IF(D4="None",0,(LEN(D4)-LEN(SUBSTITUTE(D4,"TC-","")))/3)</f>
        <v/>
      </c>
      <c r="F4" s="8">
        <f>IF(E4&gt;0,"Yes","No")</f>
        <v/>
      </c>
    </row>
    <row r="5" ht="32" customHeight="1">
      <c r="A5" s="7" t="inlineStr">
        <is>
          <t>2.3</t>
        </is>
      </c>
      <c r="B5" s="10" t="inlineStr">
        <is>
          <t>Luồng xử lý, bước 3</t>
        </is>
      </c>
      <c r="C5" s="10" t="inlineStr">
        <is>
          <t>Hoàn tất quan hệ, thành viên gia đình, context và các mục cam kết. Hệ thống tra thu nhập từ dữ liệu Chính phủ.</t>
        </is>
      </c>
      <c r="D5" s="10" t="inlineStr">
        <is>
          <t>TC-136, TC-140</t>
        </is>
      </c>
      <c r="E5" s="8">
        <f>IF(D5="None",0,(LEN(D5)-LEN(SUBSTITUTE(D5,"TC-","")))/3)</f>
        <v/>
      </c>
      <c r="F5" s="8">
        <f>IF(E5&gt;0,"Yes","No")</f>
        <v/>
      </c>
    </row>
    <row r="6" ht="19" customHeight="1">
      <c r="A6" s="7" t="inlineStr">
        <is>
          <t>2.4a</t>
        </is>
      </c>
      <c r="B6" s="10" t="inlineStr">
        <is>
          <t>Luồng xử lý, bước 4a</t>
        </is>
      </c>
      <c r="C6" s="10" t="inlineStr">
        <is>
          <t>Save draft lưu nháp, danh sách hiển thị trạng thái Draft.</t>
        </is>
      </c>
      <c r="D6" s="10" t="inlineStr">
        <is>
          <t>TC-162, TC-163, TC-164</t>
        </is>
      </c>
      <c r="E6" s="8">
        <f>IF(D6="None",0,(LEN(D6)-LEN(SUBSTITUTE(D6,"TC-","")))/3)</f>
        <v/>
      </c>
      <c r="F6" s="8">
        <f>IF(E6&gt;0,"Yes","No")</f>
        <v/>
      </c>
    </row>
    <row r="7" ht="19" customHeight="1">
      <c r="A7" s="7" t="inlineStr">
        <is>
          <t>2.4b</t>
        </is>
      </c>
      <c r="B7" s="10" t="inlineStr">
        <is>
          <t>Luồng xử lý, bước 4b</t>
        </is>
      </c>
      <c r="C7" s="10" t="inlineStr">
        <is>
          <t>Review and submit kiểm tra hợp lệ, nếu hợp lệ mở màn Review before submitting.</t>
        </is>
      </c>
      <c r="D7" s="10" t="inlineStr">
        <is>
          <t>TC-176</t>
        </is>
      </c>
      <c r="E7" s="8">
        <f>IF(D7="None",0,(LEN(D7)-LEN(SUBSTITUTE(D7,"TC-","")))/3)</f>
        <v/>
      </c>
      <c r="F7" s="8">
        <f>IF(E7&gt;0,"Yes","No")</f>
        <v/>
      </c>
    </row>
    <row r="8" ht="32" customHeight="1">
      <c r="A8" s="7" t="inlineStr">
        <is>
          <t>2.5</t>
        </is>
      </c>
      <c r="B8" s="10" t="inlineStr">
        <is>
          <t>Luồng xử lý, bước 5</t>
        </is>
      </c>
      <c r="C8" s="10" t="inlineStr">
        <is>
          <t>Confirm and submit tạo một đơn cho mỗi con, nguồn Paper, chung mã gia đình, phân luồng theo F4, xoá bản nháp, hiện toast.</t>
        </is>
      </c>
      <c r="D8" s="10" t="inlineStr">
        <is>
          <t>TC-172, TC-210, TC-211, TC-212, TC-214, TC-216, TC-218, TC-219, TC-220, TC-221, TC-225, TC-227, TC-228, TC-230, TC-231, TC-232</t>
        </is>
      </c>
      <c r="E8" s="8">
        <f>IF(D8="None",0,(LEN(D8)-LEN(SUBSTITUTE(D8,"TC-","")))/3)</f>
        <v/>
      </c>
      <c r="F8" s="8">
        <f>IF(E8&gt;0,"Yes","No")</f>
        <v/>
      </c>
    </row>
    <row r="9" ht="19" customHeight="1">
      <c r="A9" s="7" t="inlineStr">
        <is>
          <t>3.1</t>
        </is>
      </c>
      <c r="B9" s="10" t="inlineStr">
        <is>
          <t>Danh sách, mục 1</t>
        </is>
      </c>
      <c r="C9" s="10" t="inlineStr">
        <is>
          <t>Nút Upload scans mở hộp thoại Upload scans.</t>
        </is>
      </c>
      <c r="D9" s="10" t="inlineStr">
        <is>
          <t>TC-001, TC-036, TC-038</t>
        </is>
      </c>
      <c r="E9" s="8">
        <f>IF(D9="None",0,(LEN(D9)-LEN(SUBSTITUTE(D9,"TC-","")))/3)</f>
        <v/>
      </c>
      <c r="F9" s="8">
        <f>IF(E9&gt;0,"Yes","No")</f>
        <v/>
      </c>
    </row>
    <row r="10" ht="19" customHeight="1">
      <c r="A10" s="7" t="inlineStr">
        <is>
          <t>3.2</t>
        </is>
      </c>
      <c r="B10" s="10" t="inlineStr">
        <is>
          <t>Danh sách, mục 2</t>
        </is>
      </c>
      <c r="C10" s="10" t="inlineStr">
        <is>
          <t>Ba thẻ thống kê PENDING, MOEFAS, SBFAS, bấm để lọc, bấm lần nữa để bỏ lọc.</t>
        </is>
      </c>
      <c r="D10" s="10" t="inlineStr">
        <is>
          <t>TC-001, TC-003, TC-004, TC-005, TC-006, TC-007, TC-024</t>
        </is>
      </c>
      <c r="E10" s="8">
        <f>IF(D10="None",0,(LEN(D10)-LEN(SUBSTITUTE(D10,"TC-","")))/3)</f>
        <v/>
      </c>
      <c r="F10" s="8">
        <f>IF(E10&gt;0,"Yes","No")</f>
        <v/>
      </c>
    </row>
    <row r="11" ht="32" customHeight="1">
      <c r="A11" s="7" t="inlineStr">
        <is>
          <t>3.3</t>
        </is>
      </c>
      <c r="B11" s="10" t="inlineStr">
        <is>
          <t>Danh sách, mục 3</t>
        </is>
      </c>
      <c r="C11" s="10" t="inlineStr">
        <is>
          <t>Ô Search theo Application ID, người tải lên, số EA hoặc tên học sinh.</t>
        </is>
      </c>
      <c r="D11" s="10" t="inlineStr">
        <is>
          <t>TC-001, TC-007, TC-008, TC-009, TC-010, TC-011, TC-012, TC-013, TC-014, TC-015, TC-016, TC-017, TC-023</t>
        </is>
      </c>
      <c r="E11" s="8">
        <f>IF(D11="None",0,(LEN(D11)-LEN(SUBSTITUTE(D11,"TC-","")))/3)</f>
        <v/>
      </c>
      <c r="F11" s="8">
        <f>IF(E11&gt;0,"Yes","No")</f>
        <v/>
      </c>
    </row>
    <row r="12" ht="32" customHeight="1">
      <c r="A12" s="7" t="inlineStr">
        <is>
          <t>3.4</t>
        </is>
      </c>
      <c r="B12" s="10" t="inlineStr">
        <is>
          <t>Danh sách, mục 4</t>
        </is>
      </c>
      <c r="C12" s="10" t="inlineStr">
        <is>
          <t>Bộ lọc Status, Tier, Uploaded (mặc định Last 7 days).</t>
        </is>
      </c>
      <c r="D12" s="10" t="inlineStr">
        <is>
          <t>TC-001, TC-018, TC-019, TC-020, TC-021, TC-022, TC-023, TC-024, TC-029, TC-031</t>
        </is>
      </c>
      <c r="E12" s="8">
        <f>IF(D12="None",0,(LEN(D12)-LEN(SUBSTITUTE(D12,"TC-","")))/3)</f>
        <v/>
      </c>
      <c r="F12" s="8">
        <f>IF(E12&gt;0,"Yes","No")</f>
        <v/>
      </c>
    </row>
    <row r="13" ht="19" customHeight="1">
      <c r="A13" s="7" t="inlineStr">
        <is>
          <t>3.5</t>
        </is>
      </c>
      <c r="B13" s="10" t="inlineStr">
        <is>
          <t>Danh sách, mục 5</t>
        </is>
      </c>
      <c r="C13" s="10" t="inlineStr">
        <is>
          <t>Bảng File, Uploaded by, Uploaded at, Student, Application ID, Status, Tier khi lọc SBFAS.</t>
        </is>
      </c>
      <c r="D13" s="10" t="inlineStr">
        <is>
          <t>TC-001, TC-005, TC-012, TC-020, TC-021, TC-030, TC-032, TC-167</t>
        </is>
      </c>
      <c r="E13" s="8">
        <f>IF(D13="None",0,(LEN(D13)-LEN(SUBSTITUTE(D13,"TC-","")))/3)</f>
        <v/>
      </c>
      <c r="F13" s="8">
        <f>IF(E13&gt;0,"Yes","No")</f>
        <v/>
      </c>
    </row>
    <row r="14" ht="32" customHeight="1">
      <c r="A14" s="7" t="inlineStr">
        <is>
          <t>3.6</t>
        </is>
      </c>
      <c r="B14" s="10" t="inlineStr">
        <is>
          <t>Danh sách, mục 6</t>
        </is>
      </c>
      <c r="C14" s="10" t="inlineStr">
        <is>
          <t>Dòng Draft đứng đầu, Application ID Not submitted, nút Continue và Delete, bấm dòng tiếp tục bản nháp.</t>
        </is>
      </c>
      <c r="D14" s="10" t="inlineStr">
        <is>
          <t>TC-011, TC-025, TC-026, TC-027, TC-030, TC-162, TC-171</t>
        </is>
      </c>
      <c r="E14" s="8">
        <f>IF(D14="None",0,(LEN(D14)-LEN(SUBSTITUTE(D14,"TC-","")))/3)</f>
        <v/>
      </c>
      <c r="F14" s="8">
        <f>IF(E14&gt;0,"Yes","No")</f>
        <v/>
      </c>
    </row>
    <row r="15" ht="19" customHeight="1">
      <c r="A15" s="7" t="inlineStr">
        <is>
          <t>3.7</t>
        </is>
      </c>
      <c r="B15" s="10" t="inlineStr">
        <is>
          <t>Danh sách, mục 7</t>
        </is>
      </c>
      <c r="C15" s="10" t="inlineStr">
        <is>
          <t>Dòng đã nộp mở View application.</t>
        </is>
      </c>
      <c r="D15" s="10" t="inlineStr">
        <is>
          <t>TC-028</t>
        </is>
      </c>
      <c r="E15" s="8">
        <f>IF(D15="None",0,(LEN(D15)-LEN(SUBSTITUTE(D15,"TC-","")))/3)</f>
        <v/>
      </c>
      <c r="F15" s="8">
        <f>IF(E15&gt;0,"Yes","No")</f>
        <v/>
      </c>
    </row>
    <row r="16" ht="19" customHeight="1">
      <c r="A16" s="7" t="inlineStr">
        <is>
          <t>3.8</t>
        </is>
      </c>
      <c r="B16" s="10" t="inlineStr">
        <is>
          <t>Danh sách, mục 8</t>
        </is>
      </c>
      <c r="C16" s="10" t="inlineStr">
        <is>
          <t>Ghi chú cuối trang.</t>
        </is>
      </c>
      <c r="D16" s="10" t="inlineStr">
        <is>
          <t>TC-002, TC-028, TC-183</t>
        </is>
      </c>
      <c r="E16" s="8">
        <f>IF(D16="None",0,(LEN(D16)-LEN(SUBSTITUTE(D16,"TC-","")))/3)</f>
        <v/>
      </c>
      <c r="F16" s="8">
        <f>IF(E16&gt;0,"Yes","No")</f>
        <v/>
      </c>
    </row>
    <row r="17" ht="58" customHeight="1">
      <c r="A17" s="7" t="inlineStr">
        <is>
          <t>4</t>
        </is>
      </c>
      <c r="B17" s="10" t="inlineStr">
        <is>
          <t>Hộp thoại Upload scans</t>
        </is>
      </c>
      <c r="C17" s="10" t="inlineStr">
        <is>
          <t>Chỉ PDF, JPG, PNG. Tối đa 10 MB mỗi file. Tối đa 5 file. Upload and read bật khi có ít nhất một file.</t>
        </is>
      </c>
      <c r="D17" s="10" t="inlineStr">
        <is>
          <t>TC-036, TC-037, TC-039, TC-040, TC-041, TC-042, TC-043, TC-044, TC-045, TC-046, TC-047, TC-048, TC-049, TC-050, TC-051, TC-052, TC-053, TC-054, TC-055, TC-056, TC-057, TC-058, TC-059, TC-063, TC-064, TC-065, TC-066, TC-067</t>
        </is>
      </c>
      <c r="E17" s="8">
        <f>IF(D17="None",0,(LEN(D17)-LEN(SUBSTITUTE(D17,"TC-","")))/3)</f>
        <v/>
      </c>
      <c r="F17" s="8">
        <f>IF(E17&gt;0,"Yes","No")</f>
        <v/>
      </c>
    </row>
    <row r="18" ht="71" customHeight="1">
      <c r="A18" s="7" t="inlineStr">
        <is>
          <t>5.P1</t>
        </is>
      </c>
      <c r="B18" s="10" t="inlineStr">
        <is>
          <t>Review application, Part 1</t>
        </is>
      </c>
      <c r="C18" s="10" t="inlineStr">
        <is>
          <t>Người khai: NRIC, họ tên, ngày sinh, giới tính, category, nationality, quan hệ, điện thoại, email, địa chỉ, School-based FAS. Tự điền và khoá.</t>
        </is>
      </c>
      <c r="D18" s="10" t="inlineStr">
        <is>
          <t>TC-068, TC-069, TC-070, TC-071, TC-072, TC-073, TC-074, TC-076, TC-077, TC-078, TC-079, TC-080, TC-081, TC-082, TC-083, TC-084, TC-085, TC-086, TC-087, TC-088, TC-089, TC-090, TC-091, TC-092, TC-093, TC-094, TC-095, TC-096, TC-097, TC-098, TC-099, TC-100, TC-215</t>
        </is>
      </c>
      <c r="E18" s="8">
        <f>IF(D18="None",0,(LEN(D18)-LEN(SUBSTITUTE(D18,"TC-","")))/3)</f>
        <v/>
      </c>
      <c r="F18" s="8">
        <f>IF(E18&gt;0,"Yes","No")</f>
        <v/>
      </c>
    </row>
    <row r="19" ht="32" customHeight="1">
      <c r="A19" s="7" t="inlineStr">
        <is>
          <t>5.P2</t>
        </is>
      </c>
      <c r="B19" s="10" t="inlineStr">
        <is>
          <t>Review application, Part 2</t>
        </is>
      </c>
      <c r="C19" s="10" t="inlineStr">
        <is>
          <t>Các con: NRIC, họ tên, ngày sinh, giới tính, trường, level, grade, class, Add child. Tự điền và khoá.</t>
        </is>
      </c>
      <c r="D19" s="10" t="inlineStr">
        <is>
          <t>TC-102, TC-103, TC-104, TC-105, TC-106, TC-108, TC-109, TC-110, TC-112, TC-114, TC-233</t>
        </is>
      </c>
      <c r="E19" s="8">
        <f>IF(D19="None",0,(LEN(D19)-LEN(SUBSTITUTE(D19,"TC-","")))/3)</f>
        <v/>
      </c>
      <c r="F19" s="8">
        <f>IF(E19&gt;0,"Yes","No")</f>
        <v/>
      </c>
    </row>
    <row r="20" ht="32" customHeight="1">
      <c r="A20" s="7" t="inlineStr">
        <is>
          <t>5.P3</t>
        </is>
      </c>
      <c r="B20" s="10" t="inlineStr">
        <is>
          <t>Review application, Part 3</t>
        </is>
      </c>
      <c r="C20" s="10" t="inlineStr">
        <is>
          <t>Thành viên gia đình khác, GHI, số người trong hộ, PCI. Không có ô thu nhập.</t>
        </is>
      </c>
      <c r="D20" s="10" t="inlineStr">
        <is>
          <t>TC-115, TC-116, TC-119, TC-120, TC-127, TC-128, TC-129, TC-130, TC-131, TC-132, TC-133, TC-134, TC-135, TC-137, TC-138, TC-139</t>
        </is>
      </c>
      <c r="E20" s="8">
        <f>IF(D20="None",0,(LEN(D20)-LEN(SUBSTITUTE(D20,"TC-","")))/3)</f>
        <v/>
      </c>
      <c r="F20" s="8">
        <f>IF(E20&gt;0,"Yes","No")</f>
        <v/>
      </c>
    </row>
    <row r="21" ht="19" customHeight="1">
      <c r="A21" s="7" t="inlineStr">
        <is>
          <t>5.P4</t>
        </is>
      </c>
      <c r="B21" s="10" t="inlineStr">
        <is>
          <t>Review application, Part 4</t>
        </is>
      </c>
      <c r="C21" s="10" t="inlineStr">
        <is>
          <t>Context tuỳ chọn, tối đa 2000 ký tự.</t>
        </is>
      </c>
      <c r="D21" s="10" t="inlineStr">
        <is>
          <t>TC-141, TC-142, TC-143, TC-144, TC-145, TC-146, TC-147, TC-214</t>
        </is>
      </c>
      <c r="E21" s="8">
        <f>IF(D21="None",0,(LEN(D21)-LEN(SUBSTITUTE(D21,"TC-","")))/3)</f>
        <v/>
      </c>
      <c r="F21" s="8">
        <f>IF(E21&gt;0,"Yes","No")</f>
        <v/>
      </c>
    </row>
    <row r="22" ht="32" customHeight="1">
      <c r="A22" s="7" t="inlineStr">
        <is>
          <t>5.P5</t>
        </is>
      </c>
      <c r="B22" s="10" t="inlineStr">
        <is>
          <t>Review application, Part 5</t>
        </is>
      </c>
      <c r="C22" s="10" t="inlineStr">
        <is>
          <t>Declaration, Applicant signature checked, Date signed, Received by, Date received.</t>
        </is>
      </c>
      <c r="D22" s="10" t="inlineStr">
        <is>
          <t>TC-148, TC-149, TC-151, TC-152, TC-153, TC-154, TC-155, TC-156, TC-157, TC-158, TC-159, TC-160, TC-161</t>
        </is>
      </c>
      <c r="E22" s="8">
        <f>IF(D22="None",0,(LEN(D22)-LEN(SUBSTITUTE(D22,"TC-","")))/3)</f>
        <v/>
      </c>
      <c r="F22" s="8">
        <f>IF(E22&gt;0,"Yes","No")</f>
        <v/>
      </c>
    </row>
    <row r="23" ht="19" customHeight="1">
      <c r="A23" s="7" t="inlineStr">
        <is>
          <t>5.BTN</t>
        </is>
      </c>
      <c r="B23" s="10" t="inlineStr">
        <is>
          <t>Review application, nút đầu trang</t>
        </is>
      </c>
      <c r="C23" s="10" t="inlineStr">
        <is>
          <t>Discard, Save draft, Review and submit.</t>
        </is>
      </c>
      <c r="D23" s="10" t="inlineStr">
        <is>
          <t>TC-169, TC-170</t>
        </is>
      </c>
      <c r="E23" s="8">
        <f>IF(D23="None",0,(LEN(D23)-LEN(SUBSTITUTE(D23,"TC-","")))/3)</f>
        <v/>
      </c>
      <c r="F23" s="8">
        <f>IF(E23&gt;0,"Yes","No")</f>
        <v/>
      </c>
    </row>
    <row r="24" ht="19" customHeight="1">
      <c r="A24" s="7" t="inlineStr">
        <is>
          <t>5.NAME</t>
        </is>
      </c>
      <c r="B24" s="10" t="inlineStr">
        <is>
          <t>Review application, cảnh báo sai lệch tên</t>
        </is>
      </c>
      <c r="C24" s="10" t="inlineStr">
        <is>
          <t>Tên con khác dữ liệu Chính phủ thì có ghi chú, người dùng vẫn nộp được.</t>
        </is>
      </c>
      <c r="D24" s="10" t="inlineStr">
        <is>
          <t>TC-114, TC-233</t>
        </is>
      </c>
      <c r="E24" s="8">
        <f>IF(D24="None",0,(LEN(D24)-LEN(SUBSTITUTE(D24,"TC-","")))/3)</f>
        <v/>
      </c>
      <c r="F24" s="8">
        <f>IF(E24&gt;0,"Yes","No")</f>
        <v/>
      </c>
    </row>
    <row r="25" ht="123" customHeight="1">
      <c r="A25" s="7" t="inlineStr">
        <is>
          <t>6</t>
        </is>
      </c>
      <c r="B25" s="10" t="inlineStr">
        <is>
          <t>Kiểm tra hợp lệ</t>
        </is>
      </c>
      <c r="C25" s="10" t="inlineStr">
        <is>
          <t>Thiếu trường bắt buộc, NRIC con, tuổi 7 đến 16, đã có đơn, không có con ở trường, form đóng, NRIC trùng.</t>
        </is>
      </c>
      <c r="D25" s="10" t="inlineStr">
        <is>
          <t>TC-079, TC-080, TC-081, TC-082, TC-084, TC-085, TC-086, TC-087, TC-088, TC-089, TC-090, TC-091, TC-092, TC-093, TC-094, TC-095, TC-096, TC-097, TC-098, TC-101, TC-106, TC-111, TC-113, TC-117, TC-118, TC-121, TC-122, TC-123, TC-124, TC-125, TC-126, TC-148, TC-149, TC-150, TC-155, TC-156, TC-157, TC-158, TC-159, TC-160, TC-161, TC-175, TC-176, TC-177, TC-178, TC-179, TC-180, TC-181, TC-182, TC-183, TC-184, TC-185, TC-186, TC-187, TC-188, TC-189, TC-190, TC-191, TC-192, TC-193, TC-194, TC-195, TC-196, TC-197, TC-198, TC-199, TC-200, TC-201, TC-217, TC-229, TC-243</t>
        </is>
      </c>
      <c r="E25" s="8">
        <f>IF(D25="None",0,(LEN(D25)-LEN(SUBSTITUTE(D25,"TC-","")))/3)</f>
        <v/>
      </c>
      <c r="F25" s="8">
        <f>IF(E25&gt;0,"Yes","No")</f>
        <v/>
      </c>
    </row>
    <row r="26" ht="32" customHeight="1">
      <c r="A26" s="7" t="inlineStr">
        <is>
          <t>7</t>
        </is>
      </c>
      <c r="B26" s="10" t="inlineStr">
        <is>
          <t>Hộp thoại Review before submitting</t>
        </is>
      </c>
      <c r="C26" s="10" t="inlineStr">
        <is>
          <t>Hiển thị Part 1 đến Part 4, nút Back to edit và Confirm and submit.</t>
        </is>
      </c>
      <c r="D26" s="10" t="inlineStr">
        <is>
          <t>TC-100, TC-133, TC-135, TC-138, TC-142, TC-202, TC-203, TC-204, TC-205, TC-206, TC-207, TC-208, TC-209</t>
        </is>
      </c>
      <c r="E26" s="8">
        <f>IF(D26="None",0,(LEN(D26)-LEN(SUBSTITUTE(D26,"TC-","")))/3)</f>
        <v/>
      </c>
      <c r="F26" s="8">
        <f>IF(E26&gt;0,"Yes","No")</f>
        <v/>
      </c>
    </row>
    <row r="27" ht="45" customHeight="1">
      <c r="A27" s="7" t="inlineStr">
        <is>
          <t>8</t>
        </is>
      </c>
      <c r="B27" s="10" t="inlineStr">
        <is>
          <t>Xem và sửa đơn đã nộp</t>
        </is>
      </c>
      <c r="C27" s="10" t="inlineStr">
        <is>
          <t>View application chỉ đọc, Edit khi Pending, Save changes cập nhật và thêm History.</t>
        </is>
      </c>
      <c r="D27" s="10" t="inlineStr">
        <is>
          <t>TC-215, TC-234, TC-235, TC-236, TC-237, TC-238, TC-239, TC-240, TC-241, TC-242, TC-243, TC-244, TC-245, TC-246, TC-247, TC-248, TC-249</t>
        </is>
      </c>
      <c r="E27" s="8">
        <f>IF(D27="None",0,(LEN(D27)-LEN(SUBSTITUTE(D27,"TC-","")))/3)</f>
        <v/>
      </c>
      <c r="F27" s="8">
        <f>IF(E27&gt;0,"Yes","No")</f>
        <v/>
      </c>
    </row>
    <row r="28" ht="19" customHeight="1">
      <c r="A28" s="7" t="inlineStr">
        <is>
          <t>BR1</t>
        </is>
      </c>
      <c r="B28" s="10" t="inlineStr">
        <is>
          <t>Business rule</t>
        </is>
      </c>
      <c r="C28" s="10" t="inlineStr">
        <is>
          <t>Một mẫu đơn in là một gia đình, một đơn cho mỗi con, dùng chung mã gia đình khi nhiều con.</t>
        </is>
      </c>
      <c r="D28" s="10" t="inlineStr">
        <is>
          <t>TC-059, TC-210, TC-223, TC-257</t>
        </is>
      </c>
      <c r="E28" s="8">
        <f>IF(D28="None",0,(LEN(D28)-LEN(SUBSTITUTE(D28,"TC-","")))/3)</f>
        <v/>
      </c>
      <c r="F28" s="8">
        <f>IF(E28&gt;0,"Yes","No")</f>
        <v/>
      </c>
    </row>
    <row r="29" ht="32" customHeight="1">
      <c r="A29" s="7" t="inlineStr">
        <is>
          <t>BR2</t>
        </is>
      </c>
      <c r="B29" s="10" t="inlineStr">
        <is>
          <t>Business rule</t>
        </is>
      </c>
      <c r="C29" s="10" t="inlineStr">
        <is>
          <t>Mỗi con có trong hồ sơ MOE, từ 7 đến 16 tuổi, chưa có đơn trong năm hiện tại, ít nhất một con học tại trường của người dùng.</t>
        </is>
      </c>
      <c r="D29" s="10" t="inlineStr">
        <is>
          <t>TC-111, TC-175, TC-182, TC-183, TC-184, TC-185, TC-186, TC-187, TC-188, TC-189, TC-217, TC-229, TC-231, TC-245, TC-256</t>
        </is>
      </c>
      <c r="E29" s="8">
        <f>IF(D29="None",0,(LEN(D29)-LEN(SUBSTITUTE(D29,"TC-","")))/3)</f>
        <v/>
      </c>
      <c r="F29" s="8">
        <f>IF(E29&gt;0,"Yes","No")</f>
        <v/>
      </c>
    </row>
    <row r="30" ht="19" customHeight="1">
      <c r="A30" s="7" t="inlineStr">
        <is>
          <t>BR3</t>
        </is>
      </c>
      <c r="B30" s="10" t="inlineStr">
        <is>
          <t>Business rule</t>
        </is>
      </c>
      <c r="C30" s="10" t="inlineStr">
        <is>
          <t>Thông tin người khai và từng con lấy từ hồ sơ khi NRIC khớp và không sửa được trên mẫu.</t>
        </is>
      </c>
      <c r="D30" s="10" t="inlineStr">
        <is>
          <t>TC-073, TC-076, TC-077, TC-104, TC-105, TC-244, TC-255</t>
        </is>
      </c>
      <c r="E30" s="8">
        <f>IF(D30="None",0,(LEN(D30)-LEN(SUBSTITUTE(D30,"TC-","")))/3)</f>
        <v/>
      </c>
      <c r="F30" s="8">
        <f>IF(E30&gt;0,"Yes","No")</f>
        <v/>
      </c>
    </row>
    <row r="31" ht="32" customHeight="1">
      <c r="A31" s="7" t="inlineStr">
        <is>
          <t>BR4</t>
        </is>
      </c>
      <c r="B31" s="10" t="inlineStr">
        <is>
          <t>Business rule</t>
        </is>
      </c>
      <c r="C31" s="10" t="inlineStr">
        <is>
          <t>Thu nhập lấy từ dữ liệu Chính phủ cho người khai và từng thành viên, mẫu không có ô thu nhập. NRIC phải khác nhau trong một mẫu.</t>
        </is>
      </c>
      <c r="D31" s="10" t="inlineStr">
        <is>
          <t>TC-121, TC-122, TC-123, TC-124, TC-125, TC-126, TC-134, TC-136, TC-139</t>
        </is>
      </c>
      <c r="E31" s="8">
        <f>IF(D31="None",0,(LEN(D31)-LEN(SUBSTITUTE(D31,"TC-","")))/3)</f>
        <v/>
      </c>
      <c r="F31" s="8">
        <f>IF(E31&gt;0,"Yes","No")</f>
        <v/>
      </c>
    </row>
    <row r="32" ht="19" customHeight="1">
      <c r="A32" s="7" t="inlineStr">
        <is>
          <t>BR5</t>
        </is>
      </c>
      <c r="B32" s="10" t="inlineStr">
        <is>
          <t>Business rule</t>
        </is>
      </c>
      <c r="C32" s="10" t="inlineStr">
        <is>
          <t>Context tuỳ chọn, văn bản thuần, tối đa 2000 ký tự, lưu cùng đơn.</t>
        </is>
      </c>
      <c r="D32" s="10" t="inlineStr">
        <is>
          <t>TC-141, TC-143, TC-144, TC-145, TC-146, TC-147, TC-207, TC-259</t>
        </is>
      </c>
      <c r="E32" s="8">
        <f>IF(D32="None",0,(LEN(D32)-LEN(SUBSTITUTE(D32,"TC-","")))/3)</f>
        <v/>
      </c>
      <c r="F32" s="8">
        <f>IF(E32&gt;0,"Yes","No")</f>
        <v/>
      </c>
    </row>
    <row r="33" ht="32" customHeight="1">
      <c r="A33" s="7" t="inlineStr">
        <is>
          <t>BR6</t>
        </is>
      </c>
      <c r="B33" s="10" t="inlineStr">
        <is>
          <t>Business rule</t>
        </is>
      </c>
      <c r="C33" s="10" t="inlineStr">
        <is>
          <t>Bản nháp lưu theo trường kèm người lưu và thời gian, hiển thị Draft, bị xoá khi nộp hoặc Discard hoặc Delete.</t>
        </is>
      </c>
      <c r="D33" s="10" t="inlineStr">
        <is>
          <t>TC-162, TC-163, TC-165, TC-166, TC-167, TC-168, TC-169, TC-170, TC-171, TC-172, TC-173, TC-174, TC-212, TC-253</t>
        </is>
      </c>
      <c r="E33" s="8">
        <f>IF(D33="None",0,(LEN(D33)-LEN(SUBSTITUTE(D33,"TC-","")))/3)</f>
        <v/>
      </c>
      <c r="F33" s="8">
        <f>IF(E33&gt;0,"Yes","No")</f>
        <v/>
      </c>
    </row>
    <row r="34" ht="19" customHeight="1">
      <c r="A34" s="7" t="inlineStr">
        <is>
          <t>BR7</t>
        </is>
      </c>
      <c r="B34" s="10" t="inlineStr">
        <is>
          <t>Business rule</t>
        </is>
      </c>
      <c r="C34" s="10" t="inlineStr">
        <is>
          <t>Nộp luôn phải qua bước Review before submitting.</t>
        </is>
      </c>
      <c r="D34" s="10" t="inlineStr">
        <is>
          <t>TC-176</t>
        </is>
      </c>
      <c r="E34" s="8">
        <f>IF(D34="None",0,(LEN(D34)-LEN(SUBSTITUTE(D34,"TC-","")))/3)</f>
        <v/>
      </c>
      <c r="F34" s="8">
        <f>IF(E34&gt;0,"Yes","No")</f>
        <v/>
      </c>
    </row>
    <row r="35" ht="32" customHeight="1">
      <c r="A35" s="7" t="inlineStr">
        <is>
          <t>BR8</t>
        </is>
      </c>
      <c r="B35" s="10" t="inlineStr">
        <is>
          <t>Business rule</t>
        </is>
      </c>
      <c r="C35" s="10" t="inlineStr">
        <is>
          <t>Sau khi nộp áp dụng quy tắc F4: MOEFAS Pending đến khi form đóng, sau đó xếp hạng. Không đủ điều kiện quốc tịch thì SBFAS ngay lúc nộp.</t>
        </is>
      </c>
      <c r="D35" s="10" t="inlineStr">
        <is>
          <t>TC-035, TC-196, TC-210, TC-218, TC-219, TC-220, TC-221, TC-222, TC-223, TC-224, TC-225, TC-226, TC-227</t>
        </is>
      </c>
      <c r="E35" s="8">
        <f>IF(D35="None",0,(LEN(D35)-LEN(SUBSTITUTE(D35,"TC-","")))/3)</f>
        <v/>
      </c>
      <c r="F35" s="8">
        <f>IF(E35&gt;0,"Yes","No")</f>
        <v/>
      </c>
    </row>
    <row r="36" ht="32" customHeight="1">
      <c r="A36" s="7" t="inlineStr">
        <is>
          <t>BR9</t>
        </is>
      </c>
      <c r="B36" s="10" t="inlineStr">
        <is>
          <t>Business rule</t>
        </is>
      </c>
      <c r="C36" s="10" t="inlineStr">
        <is>
          <t>Chỉ nộp khi form MOEFAS hoặc form SBFAS của trường con đang mở. Vẫn sửa được đơn Pending sau khi form đóng.</t>
        </is>
      </c>
      <c r="D36" s="10" t="inlineStr">
        <is>
          <t>TC-190, TC-191, TC-192, TC-193, TC-194, TC-195, TC-196, TC-197, TC-230, TC-235, TC-236, TC-237, TC-238, TC-242, TC-246, TC-256</t>
        </is>
      </c>
      <c r="E36" s="8">
        <f>IF(D36="None",0,(LEN(D36)-LEN(SUBSTITUTE(D36,"TC-","")))/3)</f>
        <v/>
      </c>
      <c r="F36" s="8">
        <f>IF(E36&gt;0,"Yes","No")</f>
        <v/>
      </c>
    </row>
    <row r="37" ht="19" customHeight="1">
      <c r="A37" s="7" t="inlineStr">
        <is>
          <t>T1</t>
        </is>
      </c>
      <c r="B37" s="10" t="inlineStr">
        <is>
          <t>Test scenario của FS</t>
        </is>
      </c>
      <c r="C37" s="10" t="inlineStr">
        <is>
          <t>Tải lên file .docx.</t>
        </is>
      </c>
      <c r="D37" s="10" t="inlineStr">
        <is>
          <t>TC-040</t>
        </is>
      </c>
      <c r="E37" s="8">
        <f>IF(D37="None",0,(LEN(D37)-LEN(SUBSTITUTE(D37,"TC-","")))/3)</f>
        <v/>
      </c>
      <c r="F37" s="8">
        <f>IF(E37&gt;0,"Yes","No")</f>
        <v/>
      </c>
    </row>
    <row r="38" ht="19" customHeight="1">
      <c r="A38" s="7" t="inlineStr">
        <is>
          <t>T2</t>
        </is>
      </c>
      <c r="B38" s="10" t="inlineStr">
        <is>
          <t>Test scenario của FS</t>
        </is>
      </c>
      <c r="C38" s="10" t="inlineStr">
        <is>
          <t>Nhập NRIC của người khai.</t>
        </is>
      </c>
      <c r="D38" s="10" t="inlineStr">
        <is>
          <t>TC-068</t>
        </is>
      </c>
      <c r="E38" s="8">
        <f>IF(D38="None",0,(LEN(D38)-LEN(SUBSTITUTE(D38,"TC-","")))/3)</f>
        <v/>
      </c>
      <c r="F38" s="8">
        <f>IF(E38&gt;0,"Yes","No")</f>
        <v/>
      </c>
    </row>
    <row r="39" ht="19" customHeight="1">
      <c r="A39" s="7" t="inlineStr">
        <is>
          <t>T3</t>
        </is>
      </c>
      <c r="B39" s="10" t="inlineStr">
        <is>
          <t>Test scenario của FS</t>
        </is>
      </c>
      <c r="C39" s="10" t="inlineStr">
        <is>
          <t>Nhập NRIC của con.</t>
        </is>
      </c>
      <c r="D39" s="10" t="inlineStr">
        <is>
          <t>TC-102</t>
        </is>
      </c>
      <c r="E39" s="8">
        <f>IF(D39="None",0,(LEN(D39)-LEN(SUBSTITUTE(D39,"TC-","")))/3)</f>
        <v/>
      </c>
      <c r="F39" s="8">
        <f>IF(E39&gt;0,"Yes","No")</f>
        <v/>
      </c>
    </row>
    <row r="40" ht="19" customHeight="1">
      <c r="A40" s="7" t="inlineStr">
        <is>
          <t>T4</t>
        </is>
      </c>
      <c r="B40" s="10" t="inlineStr">
        <is>
          <t>Test scenario của FS</t>
        </is>
      </c>
      <c r="C40" s="10" t="inlineStr">
        <is>
          <t>NRIC của con không có trong hồ sơ MOE.</t>
        </is>
      </c>
      <c r="D40" s="10" t="inlineStr">
        <is>
          <t>TC-181</t>
        </is>
      </c>
      <c r="E40" s="8">
        <f>IF(D40="None",0,(LEN(D40)-LEN(SUBSTITUTE(D40,"TC-","")))/3)</f>
        <v/>
      </c>
      <c r="F40" s="8">
        <f>IF(E40&gt;0,"Yes","No")</f>
        <v/>
      </c>
    </row>
    <row r="41" ht="19" customHeight="1">
      <c r="A41" s="7" t="inlineStr">
        <is>
          <t>T5</t>
        </is>
      </c>
      <c r="B41" s="10" t="inlineStr">
        <is>
          <t>Test scenario của FS</t>
        </is>
      </c>
      <c r="C41" s="10" t="inlineStr">
        <is>
          <t>Con 17 tuổi.</t>
        </is>
      </c>
      <c r="D41" s="10" t="inlineStr">
        <is>
          <t>TC-182, TC-187, TC-188</t>
        </is>
      </c>
      <c r="E41" s="8">
        <f>IF(D41="None",0,(LEN(D41)-LEN(SUBSTITUTE(D41,"TC-","")))/3)</f>
        <v/>
      </c>
      <c r="F41" s="8">
        <f>IF(E41&gt;0,"Yes","No")</f>
        <v/>
      </c>
    </row>
    <row r="42" ht="19" customHeight="1">
      <c r="A42" s="7" t="inlineStr">
        <is>
          <t>T6</t>
        </is>
      </c>
      <c r="B42" s="10" t="inlineStr">
        <is>
          <t>Test scenario của FS</t>
        </is>
      </c>
      <c r="C42" s="10" t="inlineStr">
        <is>
          <t>Không có con nào của trường người dùng.</t>
        </is>
      </c>
      <c r="D42" s="10" t="inlineStr">
        <is>
          <t>TC-186</t>
        </is>
      </c>
      <c r="E42" s="8">
        <f>IF(D42="None",0,(LEN(D42)-LEN(SUBSTITUTE(D42,"TC-","")))/3)</f>
        <v/>
      </c>
      <c r="F42" s="8">
        <f>IF(E42&gt;0,"Yes","No")</f>
        <v/>
      </c>
    </row>
    <row r="43" ht="19" customHeight="1">
      <c r="A43" s="7" t="inlineStr">
        <is>
          <t>T7</t>
        </is>
      </c>
      <c r="B43" s="10" t="inlineStr">
        <is>
          <t>Test scenario của FS</t>
        </is>
      </c>
      <c r="C43" s="10" t="inlineStr">
        <is>
          <t>Thành viên gia đình trùng NRIC với người khai.</t>
        </is>
      </c>
      <c r="D43" s="10" t="inlineStr">
        <is>
          <t>TC-121, TC-122, TC-123, TC-124, TC-125</t>
        </is>
      </c>
      <c r="E43" s="8">
        <f>IF(D43="None",0,(LEN(D43)-LEN(SUBSTITUTE(D43,"TC-","")))/3)</f>
        <v/>
      </c>
      <c r="F43" s="8">
        <f>IF(E43&gt;0,"Yes","No")</f>
        <v/>
      </c>
    </row>
    <row r="44" ht="19" customHeight="1">
      <c r="A44" s="7" t="inlineStr">
        <is>
          <t>T8</t>
        </is>
      </c>
      <c r="B44" s="10" t="inlineStr">
        <is>
          <t>Test scenario của FS</t>
        </is>
      </c>
      <c r="C44" s="10" t="inlineStr">
        <is>
          <t>Chưa kiểm tra chữ ký.</t>
        </is>
      </c>
      <c r="D44" s="10" t="inlineStr">
        <is>
          <t>TC-149, TC-150, TC-179</t>
        </is>
      </c>
      <c r="E44" s="8">
        <f>IF(D44="None",0,(LEN(D44)-LEN(SUBSTITUTE(D44,"TC-","")))/3)</f>
        <v/>
      </c>
      <c r="F44" s="8">
        <f>IF(E44&gt;0,"Yes","No")</f>
        <v/>
      </c>
    </row>
    <row r="45" ht="19" customHeight="1">
      <c r="A45" s="7" t="inlineStr">
        <is>
          <t>T9</t>
        </is>
      </c>
      <c r="B45" s="10" t="inlineStr">
        <is>
          <t>Test scenario của FS</t>
        </is>
      </c>
      <c r="C45" s="10" t="inlineStr">
        <is>
          <t>Save draft rồi Continue.</t>
        </is>
      </c>
      <c r="D45" s="10" t="inlineStr">
        <is>
          <t>TC-027, TC-162</t>
        </is>
      </c>
      <c r="E45" s="8">
        <f>IF(D45="None",0,(LEN(D45)-LEN(SUBSTITUTE(D45,"TC-","")))/3)</f>
        <v/>
      </c>
      <c r="F45" s="8">
        <f>IF(E45&gt;0,"Yes","No")</f>
        <v/>
      </c>
    </row>
    <row r="46" ht="19" customHeight="1">
      <c r="A46" s="7" t="inlineStr">
        <is>
          <t>T10</t>
        </is>
      </c>
      <c r="B46" s="10" t="inlineStr">
        <is>
          <t>Test scenario của FS</t>
        </is>
      </c>
      <c r="C46" s="10" t="inlineStr">
        <is>
          <t>Mẫu có 2 con, Confirm and submit.</t>
        </is>
      </c>
      <c r="D46" s="10" t="inlineStr">
        <is>
          <t>TC-059, TC-103, TC-111, TC-210</t>
        </is>
      </c>
      <c r="E46" s="8">
        <f>IF(D46="None",0,(LEN(D46)-LEN(SUBSTITUTE(D46,"TC-","")))/3)</f>
        <v/>
      </c>
      <c r="F46" s="8">
        <f>IF(E46&gt;0,"Yes","No")</f>
        <v/>
      </c>
    </row>
    <row r="47" ht="19" customHeight="1">
      <c r="A47" s="7" t="inlineStr">
        <is>
          <t>T11</t>
        </is>
      </c>
      <c r="B47" s="10" t="inlineStr">
        <is>
          <t>Test scenario của FS</t>
        </is>
      </c>
      <c r="C47" s="10" t="inlineStr">
        <is>
          <t>Có nhập context.</t>
        </is>
      </c>
      <c r="D47" s="10" t="inlineStr">
        <is>
          <t>TC-142, TC-143, TC-214</t>
        </is>
      </c>
      <c r="E47" s="8">
        <f>IF(D47="None",0,(LEN(D47)-LEN(SUBSTITUTE(D47,"TC-","")))/3)</f>
        <v/>
      </c>
      <c r="F47" s="8">
        <f>IF(E47&gt;0,"Yes","No")</f>
        <v/>
      </c>
    </row>
    <row r="48" ht="19" customHeight="1">
      <c r="A48" s="7" t="inlineStr">
        <is>
          <t>T12</t>
        </is>
      </c>
      <c r="B48" s="10" t="inlineStr">
        <is>
          <t>Test scenario của FS</t>
        </is>
      </c>
      <c r="C48" s="10" t="inlineStr">
        <is>
          <t>Sửa đơn đang Pending.</t>
        </is>
      </c>
      <c r="D48" s="10" t="inlineStr">
        <is>
          <t>TC-239</t>
        </is>
      </c>
      <c r="E48" s="8">
        <f>IF(D48="None",0,(LEN(D48)-LEN(SUBSTITUTE(D48,"TC-","")))/3)</f>
        <v/>
      </c>
      <c r="F48" s="8">
        <f>IF(E48&gt;0,"Yes","No")</f>
        <v/>
      </c>
    </row>
    <row r="49" ht="19" customHeight="1">
      <c r="A49" s="7" t="inlineStr">
        <is>
          <t>T13</t>
        </is>
      </c>
      <c r="B49" s="10" t="inlineStr">
        <is>
          <t>Test scenario của FS</t>
        </is>
      </c>
      <c r="C49" s="10" t="inlineStr">
        <is>
          <t>Nộp khi không có form FAS nào đang mở.</t>
        </is>
      </c>
      <c r="D49" s="10" t="inlineStr">
        <is>
          <t>TC-190</t>
        </is>
      </c>
      <c r="E49" s="8">
        <f>IF(D49="None",0,(LEN(D49)-LEN(SUBSTITUTE(D49,"TC-","")))/3)</f>
        <v/>
      </c>
      <c r="F49" s="8">
        <f>IF(E49&gt;0,"Yes","No")</f>
        <v/>
      </c>
    </row>
    <row r="50" ht="409" customHeight="1">
      <c r="A50" s="7" t="inlineStr">
        <is>
          <t>US-042</t>
        </is>
      </c>
      <c r="B50" s="10" t="inlineStr">
        <is>
          <t>Backlog</t>
        </is>
      </c>
      <c r="C50" s="10" t="inlineStr">
        <is>
          <t>Paper FAS Application Entry: School user nộp đơn FAS nhận trên giấy cho học sinh của trường kể cả học sinh không có EA.</t>
        </is>
      </c>
      <c r="D50" s="10" t="inlineStr">
        <is>
          <t>TC-001, TC-002, TC-003, TC-004, TC-005, TC-006, TC-007, TC-008, TC-009, TC-010, TC-011, TC-012, TC-013, TC-014, TC-015, TC-016, TC-017, TC-018, TC-019, TC-020, TC-021, TC-022, TC-023, TC-024, TC-025, TC-026, TC-027, TC-028, TC-029, TC-030, TC-031, TC-032, TC-033, TC-034, TC-035, TC-036, TC-037, TC-038, TC-039, TC-040, TC-041, TC-042, TC-043, TC-044, TC-045, TC-046, TC-047, TC-048, TC-049, TC-050, TC-051, TC-052, TC-053, TC-054, TC-055, TC-056, TC-057, TC-058, TC-059, TC-060, TC-061, TC-062, TC-063, TC-064, TC-065, TC-066, TC-067, TC-068, TC-069, TC-070, TC-071, TC-072, TC-073, TC-074, TC-075, TC-076, TC-077, TC-078, TC-079, TC-080, TC-081, TC-082, TC-083, TC-084, TC-085, TC-086, TC-087, TC-088, TC-089, TC-090, TC-091, TC-092, TC-093, TC-094, TC-095, TC-096, TC-097, TC-098, TC-099, TC-100, TC-101, TC-102, TC-103, TC-104, TC-105, TC-106, TC-107, TC-108, TC-109, TC-110, TC-111, TC-112, TC-113, TC-114, TC-115, TC-116, TC-117, TC-118, TC-119, TC-120, TC-121, TC-122, TC-123, TC-124, TC-125, TC-126, TC-127, TC-128, TC-129, TC-130, TC-131, TC-132, TC-133, TC-134, TC-135, TC-136, TC-137, TC-138, TC-139, TC-140, TC-141, TC-142, TC-143, TC-144, TC-145, TC-146, TC-147, TC-148, TC-149, TC-150, TC-151, TC-152, TC-153, TC-154, TC-155, TC-156, TC-157, TC-158, TC-159, TC-160, TC-161, TC-162, TC-163, TC-164, TC-165, TC-166, TC-167, TC-168, TC-169, TC-170, TC-171, TC-172, TC-173, TC-174, TC-175, TC-176, TC-177, TC-178, TC-179, TC-180, TC-181, TC-182, TC-183, TC-184, TC-185, TC-186, TC-187, TC-188, TC-189, TC-190, TC-191, TC-192, TC-193, TC-194, TC-195, TC-196, TC-197, TC-198, TC-199, TC-200, TC-201, TC-202, TC-203, TC-204, TC-205, TC-206, TC-207, TC-208, TC-209, TC-210, TC-211, TC-212, TC-213, TC-214, TC-215, TC-216, TC-217, TC-218, TC-219, TC-220, TC-221, TC-222, TC-223, TC-224, TC-225, TC-226, TC-227, TC-228, TC-229, TC-230, TC-231, TC-232, TC-233, TC-234, TC-235, TC-236, TC-237, TC-238, TC-239, TC-240, TC-241, TC-242, TC-243, TC-244, TC-245, TC-246, TC-247, TC-248, TC-249, TC-250, TC-251, TC-252, TC-253, TC-254, TC-255, TC-256, TC-257, TC-258, TC-259, TC-260, TC-261</t>
        </is>
      </c>
      <c r="E50" s="8">
        <f>IF(D50="None",0,(LEN(D50)-LEN(SUBSTITUTE(D50,"TC-","")))/3)</f>
        <v/>
      </c>
      <c r="F50" s="8">
        <f>IF(E50&gt;0,"Yes","No")</f>
        <v/>
      </c>
    </row>
    <row r="51" ht="136" customHeight="1">
      <c r="A51" s="7" t="inlineStr">
        <is>
          <t>US-043</t>
        </is>
      </c>
      <c r="B51" s="10" t="inlineStr">
        <is>
          <t>Backlog</t>
        </is>
      </c>
      <c r="C51" s="10" t="inlineStr">
        <is>
          <t>Paper Form Scan and Simulated OCR Prefill: ảnh scan điền sẵn các trường để người dùng rà soát, không có OCR thật.</t>
        </is>
      </c>
      <c r="D51" s="10" t="inlineStr">
        <is>
          <t>TC-036, TC-037, TC-038, TC-039, TC-040, TC-041, TC-042, TC-043, TC-044, TC-045, TC-046, TC-047, TC-048, TC-049, TC-050, TC-051, TC-052, TC-053, TC-054, TC-055, TC-056, TC-057, TC-058, TC-059, TC-060, TC-061, TC-062, TC-063, TC-064, TC-065, TC-066, TC-067, TC-068, TC-069, TC-070, TC-071, TC-072, TC-073, TC-074, TC-075, TC-076, TC-077, TC-078, TC-079, TC-080, TC-081, TC-082, TC-083, TC-084, TC-085, TC-086, TC-087, TC-088, TC-089, TC-090, TC-091, TC-092, TC-093, TC-094, TC-095, TC-096, TC-097, TC-098, TC-099, TC-100, TC-101, TC-102, TC-103, TC-104, TC-105, TC-106, TC-107, TC-108, TC-109, TC-110, TC-111, TC-112, TC-113, TC-114</t>
        </is>
      </c>
      <c r="E51" s="8">
        <f>IF(D51="None",0,(LEN(D51)-LEN(SUBSTITUTE(D51,"TC-","")))/3)</f>
        <v/>
      </c>
      <c r="F51" s="8">
        <f>IF(E51&gt;0,"Yes","No")</f>
        <v/>
      </c>
    </row>
    <row r="52" ht="58" customHeight="1">
      <c r="A52" s="7" t="inlineStr">
        <is>
          <t>US-049</t>
        </is>
      </c>
      <c r="B52" s="10" t="inlineStr">
        <is>
          <t>Backlog</t>
        </is>
      </c>
      <c r="C52" s="10" t="inlineStr">
        <is>
          <t>MOEFAS Eligibility Assessment and Auto Grant: đơn đã nộp được đánh giá tự động.</t>
        </is>
      </c>
      <c r="D52" s="10" t="inlineStr">
        <is>
          <t>TC-210, TC-211, TC-212, TC-213, TC-214, TC-215, TC-216, TC-217, TC-218, TC-219, TC-220, TC-221, TC-222, TC-223, TC-224, TC-225, TC-226, TC-227, TC-228, TC-229, TC-230, TC-231, TC-232, TC-233</t>
        </is>
      </c>
      <c r="E52" s="8">
        <f>IF(D52="None",0,(LEN(D52)-LEN(SUBSTITUTE(D52,"TC-","")))/3)</f>
        <v/>
      </c>
      <c r="F52" s="8">
        <f>IF(E52&gt;0,"Yes","No")</f>
        <v/>
      </c>
    </row>
    <row r="53" ht="58" customHeight="1">
      <c r="A53" s="7" t="inlineStr">
        <is>
          <t>US-050</t>
        </is>
      </c>
      <c r="B53" s="10" t="inlineStr">
        <is>
          <t>Backlog</t>
        </is>
      </c>
      <c r="C53" s="10" t="inlineStr">
        <is>
          <t>SBFAS Manual Assessment and Grant Decision: trường duyệt các đơn không được MOEFAS.</t>
        </is>
      </c>
      <c r="D53" s="10" t="inlineStr">
        <is>
          <t>TC-210, TC-211, TC-212, TC-213, TC-214, TC-215, TC-216, TC-217, TC-218, TC-219, TC-220, TC-221, TC-222, TC-223, TC-224, TC-225, TC-226, TC-227, TC-228, TC-229, TC-230, TC-231, TC-232, TC-233</t>
        </is>
      </c>
      <c r="E53" s="8">
        <f>IF(D53="None",0,(LEN(D53)-LEN(SUBSTITUTE(D53,"TC-","")))/3)</f>
        <v/>
      </c>
      <c r="F53" s="8">
        <f>IF(E53&gt;0,"Yes","No")</f>
        <v/>
      </c>
    </row>
    <row r="54" ht="45" customHeight="1">
      <c r="A54" s="7" t="inlineStr">
        <is>
          <t>VR-F5-S01</t>
        </is>
      </c>
      <c r="B54" s="10" t="inlineStr">
        <is>
          <t>Quy tắc kiểm tra (R5_FAS_Validation_Rules)</t>
        </is>
      </c>
      <c r="C54" s="10" t="inlineStr">
        <is>
          <t>School user chỉ truy cập đơn và bản nháp của trường mình, qua giao diện hay API. Nếu không, không trả dữ liệu và báo You do not have access to this application. (thông báo do QA đề xuất, lấy từ F4).</t>
        </is>
      </c>
      <c r="D54" s="10" t="inlineStr">
        <is>
          <t>TC-250, TC-252, TC-253</t>
        </is>
      </c>
      <c r="E54" s="8">
        <f>IF(D54="None",0,(LEN(D54)-LEN(SUBSTITUTE(D54,"TC-","")))/3)</f>
        <v/>
      </c>
      <c r="F54" s="8">
        <f>IF(E54&gt;0,"Yes","No")</f>
        <v/>
      </c>
    </row>
    <row r="55" ht="19" customHeight="1">
      <c r="A55" s="7" t="inlineStr">
        <is>
          <t>VR-F5-S02</t>
        </is>
      </c>
      <c r="B55" s="10" t="inlineStr">
        <is>
          <t>Quy tắc kiểm tra (R5_FAS_Validation_Rules)</t>
        </is>
      </c>
      <c r="C55" s="10" t="inlineStr">
        <is>
          <t>Tài khoản MOE HQ gọi màn hoặc API của F5 bị từ chối, không có dữ liệu.</t>
        </is>
      </c>
      <c r="D55" s="10" t="inlineStr">
        <is>
          <t>TC-251</t>
        </is>
      </c>
      <c r="E55" s="8">
        <f>IF(D55="None",0,(LEN(D55)-LEN(SUBSTITUTE(D55,"TC-","")))/3)</f>
        <v/>
      </c>
      <c r="F55" s="8">
        <f>IF(E55&gt;0,"Yes","No")</f>
        <v/>
      </c>
    </row>
    <row r="56" ht="32" customHeight="1">
      <c r="A56" s="7" t="inlineStr">
        <is>
          <t>VR-F5-S03</t>
        </is>
      </c>
      <c r="B56" s="10" t="inlineStr">
        <is>
          <t>Quy tắc kiểm tra (R5_FAS_Validation_Rules)</t>
        </is>
      </c>
      <c r="C56" s="10" t="inlineStr">
        <is>
          <t>Máy chủ chạy lại mọi quy tắc kiểm tra khi nhận yêu cầu nộp, không tin dữ liệu của trình duyệt. Trường tự điền lấy lại từ hồ sơ.</t>
        </is>
      </c>
      <c r="D56" s="10" t="inlineStr">
        <is>
          <t>TC-255, TC-256</t>
        </is>
      </c>
      <c r="E56" s="8">
        <f>IF(D56="None",0,(LEN(D56)-LEN(SUBSTITUTE(D56,"TC-","")))/3)</f>
        <v/>
      </c>
      <c r="F56" s="8">
        <f>IF(E56&gt;0,"Yes","No")</f>
        <v/>
      </c>
    </row>
    <row r="57" ht="32" customHeight="1">
      <c r="A57" s="7" t="inlineStr">
        <is>
          <t>VR-F5-S04</t>
        </is>
      </c>
      <c r="B57" s="10" t="inlineStr">
        <is>
          <t>Quy tắc kiểm tra (R5_FAS_Validation_Rules)</t>
        </is>
      </c>
      <c r="C57" s="10" t="inlineStr">
        <is>
          <t>Một đơn mỗi con mỗi năm: hai yêu cầu nộp đồng thời cho cùng một con chỉ tạo một đơn (đề xuất QA).</t>
        </is>
      </c>
      <c r="D57" s="10" t="inlineStr">
        <is>
          <t>TC-229</t>
        </is>
      </c>
      <c r="E57" s="8">
        <f>IF(D57="None",0,(LEN(D57)-LEN(SUBSTITUTE(D57,"TC-","")))/3)</f>
        <v/>
      </c>
      <c r="F57" s="8">
        <f>IF(E57&gt;0,"Yes","No")</f>
        <v/>
      </c>
    </row>
    <row r="58" ht="19" customHeight="1">
      <c r="A58" s="7" t="inlineStr">
        <is>
          <t>VR-F5-S05</t>
        </is>
      </c>
      <c r="B58" s="10" t="inlineStr">
        <is>
          <t>Quy tắc kiểm tra (R5_FAS_Validation_Rules)</t>
        </is>
      </c>
      <c r="C58" s="10" t="inlineStr">
        <is>
          <t>Mẫu nhiều con dùng chung mã gia đình, mẫu một con có mã gia đình riêng.</t>
        </is>
      </c>
      <c r="D58" s="10" t="inlineStr">
        <is>
          <t>TC-257</t>
        </is>
      </c>
      <c r="E58" s="8">
        <f>IF(D58="None",0,(LEN(D58)-LEN(SUBSTITUTE(D58,"TC-","")))/3)</f>
        <v/>
      </c>
      <c r="F58" s="8">
        <f>IF(E58&gt;0,"Yes","No")</f>
        <v/>
      </c>
    </row>
    <row r="59" ht="19" customHeight="1">
      <c r="A59" s="7" t="inlineStr">
        <is>
          <t>VR-F5-S06</t>
        </is>
      </c>
      <c r="B59" s="10" t="inlineStr">
        <is>
          <t>Quy tắc kiểm tra (R5_FAS_Validation_Rules)</t>
        </is>
      </c>
      <c r="C59" s="10" t="inlineStr">
        <is>
          <t>Đơn tạo từ F5 có nguồn Paper, phân biệt với đơn online của F10.</t>
        </is>
      </c>
      <c r="D59" s="10" t="inlineStr">
        <is>
          <t>TC-214</t>
        </is>
      </c>
      <c r="E59" s="8">
        <f>IF(D59="None",0,(LEN(D59)-LEN(SUBSTITUTE(D59,"TC-","")))/3)</f>
        <v/>
      </c>
      <c r="F59" s="8">
        <f>IF(E59&gt;0,"Yes","No")</f>
        <v/>
      </c>
    </row>
    <row r="60" ht="19" customHeight="1">
      <c r="A60" s="7" t="inlineStr">
        <is>
          <t>VR-F5-S07</t>
        </is>
      </c>
      <c r="B60" s="10" t="inlineStr">
        <is>
          <t>Quy tắc kiểm tra (R5_FAS_Validation_Rules)</t>
        </is>
      </c>
      <c r="C60" s="10" t="inlineStr">
        <is>
          <t>Application ID duy nhất, định dạng APP, năm, số thứ tự như hình (suy luận từ hình).</t>
        </is>
      </c>
      <c r="D60" s="10" t="inlineStr">
        <is>
          <t>TC-213</t>
        </is>
      </c>
      <c r="E60" s="8">
        <f>IF(D60="None",0,(LEN(D60)-LEN(SUBSTITUTE(D60,"TC-","")))/3)</f>
        <v/>
      </c>
      <c r="F60" s="8">
        <f>IF(E60&gt;0,"Yes","No")</f>
        <v/>
      </c>
    </row>
    <row r="61" ht="32" customHeight="1">
      <c r="A61" s="7" t="inlineStr">
        <is>
          <t>VR-F5-S08</t>
        </is>
      </c>
      <c r="B61" s="10" t="inlineStr">
        <is>
          <t>Quy tắc kiểm tra (R5_FAS_Validation_Rules)</t>
        </is>
      </c>
      <c r="C61" s="10" t="inlineStr">
        <is>
          <t>Bản nháp lưu theo từng trường kèm người lưu và thời gian, thuộc về trường, hiển thị Draft, bị xoá khi nộp, Discard hoặc Delete.</t>
        </is>
      </c>
      <c r="D61" s="10" t="inlineStr">
        <is>
          <t>TC-162, TC-167, TC-172</t>
        </is>
      </c>
      <c r="E61" s="8">
        <f>IF(D61="None",0,(LEN(D61)-LEN(SUBSTITUTE(D61,"TC-","")))/3)</f>
        <v/>
      </c>
      <c r="F61" s="8">
        <f>IF(E61&gt;0,"Yes","No")</f>
        <v/>
      </c>
    </row>
    <row r="62" ht="32" customHeight="1">
      <c r="A62" s="7" t="inlineStr">
        <is>
          <t>VR-F5-S09</t>
        </is>
      </c>
      <c r="B62" s="10" t="inlineStr">
        <is>
          <t>Quy tắc kiểm tra (R5_FAS_Validation_Rules)</t>
        </is>
      </c>
      <c r="C62" s="10" t="inlineStr">
        <is>
          <t>File scan lưu ngoài thư mục web, tên do máy chủ đặt, chỉ School user của trường tải được, quét mã độc (đề xuất QA).</t>
        </is>
      </c>
      <c r="D62" s="10" t="inlineStr">
        <is>
          <t>TC-066, TC-067, TC-254, TC-260</t>
        </is>
      </c>
      <c r="E62" s="8">
        <f>IF(D62="None",0,(LEN(D62)-LEN(SUBSTITUTE(D62,"TC-","")))/3)</f>
        <v/>
      </c>
      <c r="F62" s="8">
        <f>IF(E62&gt;0,"Yes","No")</f>
        <v/>
      </c>
    </row>
    <row r="63" ht="32" customHeight="1">
      <c r="A63" s="7" t="inlineStr">
        <is>
          <t>VR-F5-S10</t>
        </is>
      </c>
      <c r="B63" s="10" t="inlineStr">
        <is>
          <t>Quy tắc kiểm tra (R5_FAS_Validation_Rules)</t>
        </is>
      </c>
      <c r="C63" s="10" t="inlineStr">
        <is>
          <t>Khi hồ sơ MOE, hồ sơ phụ huynh hoặc API Chính phủ lỗi: báo lỗi chung, không tự điền, không cho nộp khi thiếu thu nhập (đề xuất QA).</t>
        </is>
      </c>
      <c r="D63" s="10" t="inlineStr">
        <is>
          <t>TC-075, TC-107, TC-140, TC-258</t>
        </is>
      </c>
      <c r="E63" s="8">
        <f>IF(D63="None",0,(LEN(D63)-LEN(SUBSTITUTE(D63,"TC-","")))/3)</f>
        <v/>
      </c>
      <c r="F63" s="8">
        <f>IF(E63&gt;0,"Yes","No")</f>
        <v/>
      </c>
    </row>
    <row r="64" ht="32" customHeight="1">
      <c r="A64" s="7" t="inlineStr">
        <is>
          <t>VR-F5-S11</t>
        </is>
      </c>
      <c r="B64" s="10" t="inlineStr">
        <is>
          <t>Quy tắc kiểm tra (R5_FAS_Validation_Rules)</t>
        </is>
      </c>
      <c r="C64" s="10" t="inlineStr">
        <is>
          <t>Đơn MOEFAS đã nộp ở Pending đến khi form đóng, sau đó xếp hạng và duyệt, hoặc chuyển SBFAS của trường khi chọn Yes, hoặc Rejected. Quy tắc quyết định thuộc F4.</t>
        </is>
      </c>
      <c r="D64" s="10" t="inlineStr">
        <is>
          <t>TC-225, TC-226, TC-227</t>
        </is>
      </c>
      <c r="E64" s="8">
        <f>IF(D64="None",0,(LEN(D64)-LEN(SUBSTITUTE(D64,"TC-","")))/3)</f>
        <v/>
      </c>
      <c r="F64" s="8">
        <f>IF(E64&gt;0,"Yes","No")</f>
        <v/>
      </c>
    </row>
    <row r="65" ht="19" customHeight="1">
      <c r="A65" s="7" t="inlineStr">
        <is>
          <t>VR-F5-S12</t>
        </is>
      </c>
      <c r="B65" s="10" t="inlineStr">
        <is>
          <t>Quy tắc kiểm tra (R5_FAS_Validation_Rules)</t>
        </is>
      </c>
      <c r="C65" s="10" t="inlineStr">
        <is>
          <t>Chỉ sửa được đơn Pending, kể cả sau khi form đóng. Ghi History.</t>
        </is>
      </c>
      <c r="D65" s="10" t="inlineStr">
        <is>
          <t>TC-249</t>
        </is>
      </c>
      <c r="E65" s="8">
        <f>IF(D65="None",0,(LEN(D65)-LEN(SUBSTITUTE(D65,"TC-","")))/3)</f>
        <v/>
      </c>
      <c r="F65" s="8">
        <f>IF(E65&gt;0,"Yes","No")</f>
        <v/>
      </c>
    </row>
    <row r="66" ht="32" customHeight="1">
      <c r="A66" s="7" t="inlineStr">
        <is>
          <t>VR-F5-S13</t>
        </is>
      </c>
      <c r="B66" s="10" t="inlineStr">
        <is>
          <t>Quy tắc kiểm tra (R5_FAS_Validation_Rules)</t>
        </is>
      </c>
      <c r="C66" s="10" t="inlineStr">
        <is>
          <t>Định dạng hiển thị: ngày DD/MM/YYYY, giờ HH:mm giờ Singapore, tiền S$ #,##0.00 (đề xuất QA, theo F4).</t>
        </is>
      </c>
      <c r="D66" s="10" t="inlineStr">
        <is>
          <t>TC-261</t>
        </is>
      </c>
      <c r="E66" s="8">
        <f>IF(D66="None",0,(LEN(D66)-LEN(SUBSTITUTE(D66,"TC-","")))/3)</f>
        <v/>
      </c>
      <c r="F66" s="8">
        <f>IF(E66&gt;0,"Yes","No")</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16" customWidth="1" min="1" max="1"/>
    <col width="26" customWidth="1" min="2" max="2"/>
    <col width="30" customWidth="1" min="3" max="3"/>
    <col width="34" customWidth="1" min="4" max="4"/>
    <col width="30" customWidth="1" min="5" max="5"/>
    <col width="34" customWidth="1" min="6" max="6"/>
    <col width="22" customWidth="1" min="7" max="7"/>
    <col width="34" customWidth="1" min="8" max="8"/>
  </cols>
  <sheetData>
    <row r="1" ht="18" customHeight="1">
      <c r="A1" s="4" t="inlineStr">
        <is>
          <t>Seed data cho các test case R5 (FS F5 v1.2, dữ liệu mẫu)</t>
        </is>
      </c>
    </row>
    <row r="2" ht="19" customHeight="1">
      <c r="A2" s="5" t="inlineStr">
        <is>
          <t>Mọi tên, NRIC/FIN, mã đơn và số tiền là dữ liệu mẫu. Trạng thái gốc dưới đây đọc từ prototype và từ hình của FS05. Các dòng có mã SEED-R5-nn là dữ liệu mới, Dev cần nạp vào bản chạy (ENV-R5-03) vì prototype không có sẵn.</t>
        </is>
      </c>
    </row>
    <row r="4" ht="15.75" customHeight="1">
      <c r="A4" s="6" t="inlineStr">
        <is>
          <t>Quy tắc dùng seed</t>
        </is>
      </c>
    </row>
    <row r="5" ht="19" customHeight="1">
      <c r="A5" s="7" t="inlineStr">
        <is>
          <t>Reset</t>
        </is>
      </c>
      <c r="B5" s="10" t="inlineStr">
        <is>
          <t>Dùng Reset data trước mỗi case làm đổi dữ liệu. Reset nạp lại trạng thái gốc dưới đây.</t>
        </is>
      </c>
      <c r="C5" s="11" t="n"/>
      <c r="D5" s="11" t="n"/>
      <c r="E5" s="11" t="n"/>
      <c r="F5" s="11" t="n"/>
      <c r="G5" s="11" t="n"/>
      <c r="H5" s="9" t="n"/>
    </row>
    <row r="6" ht="19" customHeight="1">
      <c r="A6" s="7" t="inlineStr">
        <is>
          <t>Ngày</t>
        </is>
      </c>
      <c r="B6" s="10" t="inlineStr">
        <is>
          <t>Prototype cố định ngày 18/10/2026 giờ Singapore. Mọi tuổi trong sheet này tính tại ngày đó. Case cần ngày khác hoặc thời điểm đóng form cần ENV-R5-04.</t>
        </is>
      </c>
      <c r="C6" s="11" t="n"/>
      <c r="D6" s="11" t="n"/>
      <c r="E6" s="11" t="n"/>
      <c r="F6" s="11" t="n"/>
      <c r="G6" s="11" t="n"/>
      <c r="H6" s="9" t="n"/>
    </row>
    <row r="7" ht="19" customHeight="1">
      <c r="A7" s="7" t="inlineStr">
        <is>
          <t>Dữ liệu mẫu</t>
        </is>
      </c>
      <c r="B7" s="10" t="inlineStr">
        <is>
          <t>Không dùng dữ liệu thật. NRIC/FIN mới của seed có chữ cái cuối đúng thuật toán công khai. Các NRIC mẫu của FS (họ Tan và Lim) không đạt thuật toán đó và vẫn dùng đúng như FS, xem ASM-R5-06.</t>
        </is>
      </c>
      <c r="C7" s="11" t="n"/>
      <c r="D7" s="11" t="n"/>
      <c r="E7" s="11" t="n"/>
      <c r="F7" s="11" t="n"/>
      <c r="G7" s="11" t="n"/>
      <c r="H7" s="9" t="n"/>
    </row>
    <row r="8" ht="19" customHeight="1">
      <c r="A8" s="7" t="inlineStr">
        <is>
          <t>Nguồn giá trị</t>
        </is>
      </c>
      <c r="B8" s="10" t="inlineStr">
        <is>
          <t>Trạng thái gốc: prototype edusave.vercel.app đọc ngày 26/10/2026 và hình của FS05. Seed SEED-R5-nn: QA đề xuất, chờ Dev nạp. Thu nhập của các hộ trong seed do Dev đặt, các case ghi số tiền cụ thể ở cột Test Data.</t>
        </is>
      </c>
      <c r="C8" s="11" t="n"/>
      <c r="D8" s="11" t="n"/>
      <c r="E8" s="11" t="n"/>
      <c r="F8" s="11" t="n"/>
      <c r="G8" s="11" t="n"/>
      <c r="H8" s="9" t="n"/>
    </row>
    <row r="9" ht="19" customHeight="1">
      <c r="A9" s="7" t="inlineStr">
        <is>
          <t>Mã đơn</t>
        </is>
      </c>
      <c r="B9" s="10" t="inlineStr">
        <is>
          <t>APP-2026-00xxx là đơn mang số đó. Các case viết gọn thành 00xxx khi tìm kiếm.</t>
        </is>
      </c>
      <c r="C9" s="11" t="n"/>
      <c r="D9" s="11" t="n"/>
      <c r="E9" s="11" t="n"/>
      <c r="F9" s="11" t="n"/>
      <c r="G9" s="11" t="n"/>
      <c r="H9" s="9" t="n"/>
    </row>
    <row r="10" ht="19" customHeight="1">
      <c r="A10" s="7" t="inlineStr">
        <is>
          <t>Mức độ chắc chắn</t>
        </is>
      </c>
      <c r="B10" s="10" t="inlineStr">
        <is>
          <t>Dòng đánh dấu "Từ hình FS" lấy trực tiếp từ hình. Dòng "QA đề xuất" là dữ liệu QA thiết kế để chạm giá trị biên, không có trong FS.</t>
        </is>
      </c>
      <c r="C10" s="11" t="n"/>
      <c r="D10" s="11" t="n"/>
      <c r="E10" s="11" t="n"/>
      <c r="F10" s="11" t="n"/>
      <c r="G10" s="11" t="n"/>
      <c r="H10" s="9" t="n"/>
    </row>
    <row r="12" ht="15.75" customHeight="1">
      <c r="A12" s="6" t="inlineStr">
        <is>
          <t>Người dùng (đăng nhập prototype)</t>
        </is>
      </c>
    </row>
    <row r="13" ht="30" customHeight="1">
      <c r="A13" s="1" t="inlineStr">
        <is>
          <t>User</t>
        </is>
      </c>
      <c r="B13" s="1" t="inlineStr">
        <is>
          <t>Name</t>
        </is>
      </c>
      <c r="C13" s="1" t="inlineStr">
        <is>
          <t>Role</t>
        </is>
      </c>
      <c r="D13" s="1" t="inlineStr">
        <is>
          <t>School</t>
        </is>
      </c>
      <c r="E13" s="1" t="inlineStr">
        <is>
          <t>How to sign in</t>
        </is>
      </c>
      <c r="F13" s="1" t="inlineStr">
        <is>
          <t>Used for</t>
        </is>
      </c>
    </row>
    <row r="14" ht="32" customHeight="1">
      <c r="A14" s="7" t="inlineStr">
        <is>
          <t>BVP-0012</t>
        </is>
      </c>
      <c r="B14" s="10" t="inlineStr">
        <is>
          <t>Lan Nguyen</t>
        </is>
      </c>
      <c r="C14" s="10" t="inlineStr">
        <is>
          <t>School Admin</t>
        </is>
      </c>
      <c r="D14" s="10" t="inlineStr">
        <is>
          <t>Bukit View Primary</t>
        </is>
      </c>
      <c r="E14" s="10" t="inlineStr">
        <is>
          <t>Admin Portal, School user, School ID BVP-0012</t>
        </is>
      </c>
      <c r="F14" s="10" t="inlineStr">
        <is>
          <t>School user chính của F5. Tải scan, nhập, lưu nháp, nộp, xem và sửa.</t>
        </is>
      </c>
    </row>
    <row r="15" ht="45" customHeight="1">
      <c r="A15" s="7" t="inlineStr">
        <is>
          <t>MRS-0012</t>
        </is>
      </c>
      <c r="B15" s="10" t="inlineStr">
        <is>
          <t>Farah Tan</t>
        </is>
      </c>
      <c r="C15" s="10" t="inlineStr">
        <is>
          <t>School Admin</t>
        </is>
      </c>
      <c r="D15" s="10" t="inlineStr">
        <is>
          <t>Meridian Secondary</t>
        </is>
      </c>
      <c r="E15" s="10" t="inlineStr">
        <is>
          <t>Admin Portal, School user, School ID MRS-0012</t>
        </is>
      </c>
      <c r="F15" s="10" t="inlineStr">
        <is>
          <t>Trường thứ hai. Ca con học trường khác, ca cách ly dữ liệu giữa hai trường.</t>
        </is>
      </c>
    </row>
    <row r="16" ht="45" customHeight="1">
      <c r="A16" s="7" t="inlineStr">
        <is>
          <t>HQ</t>
        </is>
      </c>
      <c r="B16" s="10" t="inlineStr">
        <is>
          <t>Mei Lin Tan</t>
        </is>
      </c>
      <c r="C16" s="10" t="inlineStr">
        <is>
          <t>MOE HQ Administrator</t>
        </is>
      </c>
      <c r="D16" s="10" t="inlineStr">
        <is>
          <t>Tất cả trường</t>
        </is>
      </c>
      <c r="E16" s="10" t="inlineStr">
        <is>
          <t>Admin Portal, MOE HQ, một lần bấm "Sign in with MOE account"</t>
        </is>
      </c>
      <c r="F16" s="10" t="inlineStr">
        <is>
          <t>Ca kiểm tra không có quyền với màn F5 (FS 1.2) và ca Close form now (demo) để xem kết quả phân luồng F4.</t>
        </is>
      </c>
    </row>
    <row r="18" ht="15.75" customHeight="1">
      <c r="A18" s="6" t="inlineStr">
        <is>
          <t>Form ở trạng thái gốc (18/10/2026)</t>
        </is>
      </c>
    </row>
    <row r="19" ht="30" customHeight="1">
      <c r="A19" s="1" t="inlineStr">
        <is>
          <t>Scheme</t>
        </is>
      </c>
      <c r="B19" s="1" t="inlineStr">
        <is>
          <t>Type</t>
        </is>
      </c>
      <c r="C19" s="1" t="inlineStr">
        <is>
          <t>School</t>
        </is>
      </c>
      <c r="D19" s="1" t="inlineStr">
        <is>
          <t>Application form</t>
        </is>
      </c>
      <c r="E19" s="1" t="inlineStr">
        <is>
          <t>State at 18/10/2026</t>
        </is>
      </c>
      <c r="F19" s="1" t="inlineStr">
        <is>
          <t>Used for</t>
        </is>
      </c>
    </row>
    <row r="20" ht="32" customHeight="1">
      <c r="A20" s="7" t="inlineStr">
        <is>
          <t>MOEFAS 2027</t>
        </is>
      </c>
      <c r="B20" s="10" t="inlineStr">
        <is>
          <t>MOEFAS</t>
        </is>
      </c>
      <c r="C20" s="10" t="inlineStr">
        <is>
          <t>MOE HQ</t>
        </is>
      </c>
      <c r="D20" s="10" t="inlineStr">
        <is>
          <t>01/08/2026 to 31/12/2026</t>
        </is>
      </c>
      <c r="E20" s="10" t="inlineStr">
        <is>
          <t>Open</t>
        </is>
      </c>
      <c r="F20" s="10" t="inlineStr">
        <is>
          <t>Form MOEFAS đang mở. Điều kiện để nộp (BR9).</t>
        </is>
      </c>
    </row>
    <row r="21" ht="45" customHeight="1">
      <c r="A21" s="7" t="inlineStr">
        <is>
          <t>Tier 1, 2, 3 (2027)</t>
        </is>
      </c>
      <c r="B21" s="10" t="inlineStr">
        <is>
          <t>SBFAS</t>
        </is>
      </c>
      <c r="C21" s="10" t="inlineStr">
        <is>
          <t>Bukit View Primary</t>
        </is>
      </c>
      <c r="D21" s="10" t="inlineStr">
        <is>
          <t>01/08/2026 to 31/12/2026</t>
        </is>
      </c>
      <c r="E21" s="10" t="inlineStr">
        <is>
          <t>Open</t>
        </is>
      </c>
      <c r="F21" s="10" t="inlineStr">
        <is>
          <t>Form SBFAS của trường BVP đang mở. Meridian Secondary có sáu scheme SBFAS giống vậy trong prototype.</t>
        </is>
      </c>
    </row>
    <row r="22" ht="19" customHeight="1">
      <c r="A22" s="7" t="inlineStr">
        <is>
          <t>MOEFAS 2026</t>
        </is>
      </c>
      <c r="B22" s="10" t="inlineStr">
        <is>
          <t>MOEFAS</t>
        </is>
      </c>
      <c r="C22" s="10" t="inlineStr">
        <is>
          <t>MOE HQ</t>
        </is>
      </c>
      <c r="D22" s="10" t="inlineStr">
        <is>
          <t>01/08/2025 to 31/12/2025</t>
        </is>
      </c>
      <c r="E22" s="10" t="inlineStr">
        <is>
          <t>Closed, Assessed</t>
        </is>
      </c>
      <c r="F22" s="10" t="inlineStr">
        <is>
          <t>Form đã đóng. Không dùng để nộp.</t>
        </is>
      </c>
    </row>
    <row r="23" ht="32" customHeight="1">
      <c r="A23" s="7" t="inlineStr">
        <is>
          <t>Tier 1, 2, 3 (2026)</t>
        </is>
      </c>
      <c r="B23" s="10" t="inlineStr">
        <is>
          <t>SBFAS</t>
        </is>
      </c>
      <c r="C23" s="10" t="inlineStr">
        <is>
          <t>Bukit View Primary</t>
        </is>
      </c>
      <c r="D23" s="10" t="inlineStr">
        <is>
          <t>01/08/2025 to 31/12/2025</t>
        </is>
      </c>
      <c r="E23" s="10" t="inlineStr">
        <is>
          <t>Closed</t>
        </is>
      </c>
      <c r="F23" s="10" t="inlineStr">
        <is>
          <t>Form đã đóng.</t>
        </is>
      </c>
    </row>
    <row r="24" ht="45" customHeight="1">
      <c r="A24" s="7" t="inlineStr">
        <is>
          <t>SEED-R5-33 MOEFAS 2028</t>
        </is>
      </c>
      <c r="B24" s="10" t="inlineStr">
        <is>
          <t>MOEFAS</t>
        </is>
      </c>
      <c r="C24" s="10" t="inlineStr">
        <is>
          <t>MOE HQ</t>
        </is>
      </c>
      <c r="D24" s="10" t="inlineStr">
        <is>
          <t>01/08/2027 to 31/12/2027</t>
        </is>
      </c>
      <c r="E24" s="10" t="inlineStr">
        <is>
          <t>Published, chưa mở</t>
        </is>
      </c>
      <c r="F24" s="10" t="inlineStr">
        <is>
          <t>Ca không có form nào mở, thông báo "next opens 01/08/2027". Cần ENV-R5-04 để đóng các form 2027.</t>
        </is>
      </c>
    </row>
    <row r="26" ht="15.75" customHeight="1">
      <c r="A26" s="6" t="inlineStr">
        <is>
          <t>Danh sách Upload applications ở trạng thái gốc (BVP-0012)</t>
        </is>
      </c>
    </row>
    <row r="27" ht="30" customHeight="1">
      <c r="A27" s="1" t="inlineStr">
        <is>
          <t>File / Application</t>
        </is>
      </c>
      <c r="B27" s="1" t="inlineStr">
        <is>
          <t>Student</t>
        </is>
      </c>
      <c r="C27" s="1" t="inlineStr">
        <is>
          <t>NRIC/FIN</t>
        </is>
      </c>
      <c r="D27" s="1" t="inlineStr">
        <is>
          <t>Status</t>
        </is>
      </c>
      <c r="E27" s="1" t="inlineStr">
        <is>
          <t>Uploaded by</t>
        </is>
      </c>
      <c r="F27" s="1" t="inlineStr">
        <is>
          <t>Nguồn</t>
        </is>
      </c>
    </row>
    <row r="28" ht="32" customHeight="1">
      <c r="A28" s="7" t="inlineStr">
        <is>
          <t>Draft</t>
        </is>
      </c>
      <c r="B28" s="10" t="inlineStr">
        <is>
          <t>Tan Mei Ling</t>
        </is>
      </c>
      <c r="C28" s="10" t="inlineStr">
        <is>
          <t>T1412345B</t>
        </is>
      </c>
      <c r="D28" s="10" t="inlineStr">
        <is>
          <t>Draft, Application ID: Not submitted</t>
        </is>
      </c>
      <c r="E28" s="10" t="inlineStr">
        <is>
          <t>Lan Nguyen</t>
        </is>
      </c>
      <c r="F28" s="10" t="inlineStr">
        <is>
          <t>Từ hình FS</t>
        </is>
      </c>
    </row>
    <row r="29" ht="19" customHeight="1">
      <c r="A29" s="7" t="inlineStr">
        <is>
          <t>APP-2026-00412</t>
        </is>
      </c>
      <c r="B29" s="10" t="inlineStr">
        <is>
          <t>Aisha Rahman</t>
        </is>
      </c>
      <c r="C29" s="10" t="inlineStr">
        <is>
          <t>T1801177H</t>
        </is>
      </c>
      <c r="D29" s="10" t="inlineStr">
        <is>
          <t>Pending</t>
        </is>
      </c>
      <c r="E29" s="10" t="inlineStr">
        <is>
          <t>Lan Nguyen</t>
        </is>
      </c>
      <c r="F29" s="10" t="inlineStr">
        <is>
          <t>Prototype (seed R4)</t>
        </is>
      </c>
    </row>
    <row r="30" ht="19" customHeight="1">
      <c r="A30" s="7" t="inlineStr">
        <is>
          <t>APP-2026-00386</t>
        </is>
      </c>
      <c r="B30" s="10" t="inlineStr">
        <is>
          <t>Lucas Teo</t>
        </is>
      </c>
      <c r="C30" s="10" t="inlineStr">
        <is>
          <t>T1780445K</t>
        </is>
      </c>
      <c r="D30" s="10" t="inlineStr">
        <is>
          <t>Approved SBFAS Tier 3</t>
        </is>
      </c>
      <c r="E30" s="10" t="inlineStr">
        <is>
          <t>Lan Nguyen</t>
        </is>
      </c>
      <c r="F30" s="10" t="inlineStr">
        <is>
          <t>Prototype (seed R4)</t>
        </is>
      </c>
    </row>
    <row r="32" ht="19" customHeight="1">
      <c r="A32" s="5" t="inlineStr">
        <is>
          <t>Ba thẻ đầu trang theo hình FS là PENDING 1, MOEFAS 1, SBFAS 2. Hình và dữ liệu prototype không khớp hoàn toàn với số dòng trong bảng (chỉ 1 dòng SBFAS), nên các ca đếm thẻ ghi số đọc được khi chạy.</t>
        </is>
      </c>
    </row>
    <row r="34" ht="15.75" customHeight="1">
      <c r="A34" s="6" t="inlineStr">
        <is>
          <t>Gia đình mẫu của FS (hình Review application)</t>
        </is>
      </c>
    </row>
    <row r="35" ht="30" customHeight="1">
      <c r="A35" s="1" t="inlineStr">
        <is>
          <t>Person</t>
        </is>
      </c>
      <c r="B35" s="1" t="inlineStr">
        <is>
          <t>Name</t>
        </is>
      </c>
      <c r="C35" s="1" t="inlineStr">
        <is>
          <t>NRIC/FIN</t>
        </is>
      </c>
      <c r="D35" s="1" t="inlineStr">
        <is>
          <t>Vai trò</t>
        </is>
      </c>
      <c r="E35" s="1" t="inlineStr">
        <is>
          <t>Trường / lớp</t>
        </is>
      </c>
      <c r="F35" s="1" t="inlineStr">
        <is>
          <t>Ghi chú</t>
        </is>
      </c>
    </row>
    <row r="36" ht="45" customHeight="1">
      <c r="A36" s="7" t="inlineStr">
        <is>
          <t>Người khai</t>
        </is>
      </c>
      <c r="B36" s="10" t="inlineStr">
        <is>
          <t>Tan Wei Ming</t>
        </is>
      </c>
      <c r="C36" s="10" t="inlineStr">
        <is>
          <t>S7612345A</t>
        </is>
      </c>
      <c r="D36" s="10" t="inlineStr">
        <is>
          <t>Applicant, Father, Singapore Citizen, Chinese</t>
        </is>
      </c>
      <c r="E36" s="10" t="inlineStr">
        <is>
          <t>Không áp dụng</t>
        </is>
      </c>
      <c r="F36" s="10" t="inlineStr">
        <is>
          <t>Từ hình FS. Điện thoại, email, địa chỉ lấy từ hồ sơ. Email wm.tan@example.com.</t>
        </is>
      </c>
    </row>
    <row r="37" ht="32" customHeight="1">
      <c r="A37" s="7" t="inlineStr">
        <is>
          <t>Con 1</t>
        </is>
      </c>
      <c r="B37" s="10" t="inlineStr">
        <is>
          <t>Tan Mei Ling</t>
        </is>
      </c>
      <c r="C37" s="10" t="inlineStr">
        <is>
          <t>T1412345B</t>
        </is>
      </c>
      <c r="D37" s="10" t="inlineStr">
        <is>
          <t>Student, Gender F</t>
        </is>
      </c>
      <c r="E37" s="10" t="inlineStr">
        <is>
          <t>Bukit View Primary, P6, P6 Integrity</t>
        </is>
      </c>
      <c r="F37" s="10" t="inlineStr">
        <is>
          <t>Từ hình FS.</t>
        </is>
      </c>
    </row>
    <row r="38" ht="32" customHeight="1">
      <c r="A38" s="7" t="inlineStr">
        <is>
          <t>Con 2</t>
        </is>
      </c>
      <c r="B38" s="10" t="inlineStr">
        <is>
          <t>Tan Jun Kai</t>
        </is>
      </c>
      <c r="C38" s="10" t="inlineStr">
        <is>
          <t>T1012345A</t>
        </is>
      </c>
      <c r="D38" s="10" t="inlineStr">
        <is>
          <t>Student, Gender M</t>
        </is>
      </c>
      <c r="E38" s="10" t="inlineStr">
        <is>
          <t>Meridian Secondary, S4, S4 Excellence</t>
        </is>
      </c>
      <c r="F38" s="10" t="inlineStr">
        <is>
          <t>Từ hình FS. Học trường khác nên tạo ca con của trường khác.</t>
        </is>
      </c>
    </row>
    <row r="39" ht="19" customHeight="1">
      <c r="A39" s="7" t="inlineStr">
        <is>
          <t>Thành viên</t>
        </is>
      </c>
      <c r="B39" s="10" t="inlineStr">
        <is>
          <t>Lim Hui Min</t>
        </is>
      </c>
      <c r="C39" s="10" t="inlineStr">
        <is>
          <t>S8512301G</t>
        </is>
      </c>
      <c r="D39" s="10" t="inlineStr">
        <is>
          <t>Other family member</t>
        </is>
      </c>
      <c r="E39" s="10" t="inlineStr">
        <is>
          <t>Không áp dụng</t>
        </is>
      </c>
      <c r="F39" s="10" t="inlineStr">
        <is>
          <t>Từ hình FS.</t>
        </is>
      </c>
    </row>
    <row r="40" ht="58" customHeight="1">
      <c r="A40" s="7" t="inlineStr">
        <is>
          <t>Hộ</t>
        </is>
      </c>
      <c r="B40" s="10" t="inlineStr">
        <is>
          <t>Gia đình Tan</t>
        </is>
      </c>
      <c r="C40" s="10" t="inlineStr">
        <is>
          <t>Không áp dụng</t>
        </is>
      </c>
      <c r="D40" s="10" t="inlineStr">
        <is>
          <t>Household size 4</t>
        </is>
      </c>
      <c r="E40" s="10" t="inlineStr">
        <is>
          <t>GHI S$ 4,300.00, PCI S$ 1,075.00</t>
        </is>
      </c>
      <c r="F40" s="10" t="inlineStr">
        <is>
          <t>Từ hình FS. Vượt cả hai giới hạn MOEFAS 2027 (GHI 4,200.00 hoặc PCI 1,050.00), nên đơn công dân đi SBFAS khi đóng form.</t>
        </is>
      </c>
    </row>
    <row r="41" ht="32" customHeight="1">
      <c r="A41" s="7" t="inlineStr">
        <is>
          <t>NRIC thử</t>
        </is>
      </c>
      <c r="B41" s="10" t="inlineStr">
        <is>
          <t>Không tên</t>
        </is>
      </c>
      <c r="C41" s="10" t="inlineStr">
        <is>
          <t>S7612345Z, S8700111C, T2300001B</t>
        </is>
      </c>
      <c r="D41" s="10" t="inlineStr">
        <is>
          <t>NRIC không có trong hồ sơ</t>
        </is>
      </c>
      <c r="E41" s="10" t="inlineStr">
        <is>
          <t>Không áp dụng</t>
        </is>
      </c>
      <c r="F41" s="10" t="inlineStr">
        <is>
          <t>QA đề xuất. Dùng cho ca NRIC không tìm thấy.</t>
        </is>
      </c>
    </row>
    <row r="43" ht="15.75" customHeight="1">
      <c r="A43" s="6" t="inlineStr">
        <is>
          <t>Người khai theo category và quốc tịch (SEED-R5-01 đến 07)</t>
        </is>
      </c>
    </row>
    <row r="44" ht="30" customHeight="1">
      <c r="A44" s="1" t="inlineStr">
        <is>
          <t>Seed</t>
        </is>
      </c>
      <c r="B44" s="1" t="inlineStr">
        <is>
          <t>Name</t>
        </is>
      </c>
      <c r="C44" s="1" t="inlineStr">
        <is>
          <t>NRIC/FIN</t>
        </is>
      </c>
      <c r="D44" s="1" t="inlineStr">
        <is>
          <t>Category</t>
        </is>
      </c>
      <c r="E44" s="1" t="inlineStr">
        <is>
          <t>Nationality</t>
        </is>
      </c>
      <c r="F44" s="1" t="inlineStr">
        <is>
          <t>Used for</t>
        </is>
      </c>
    </row>
    <row r="45" ht="19" customHeight="1">
      <c r="A45" s="7" t="inlineStr">
        <is>
          <t>SEED-R5-01</t>
        </is>
      </c>
      <c r="B45" s="10" t="inlineStr">
        <is>
          <t>Priya Nair</t>
        </is>
      </c>
      <c r="C45" s="10" t="inlineStr">
        <is>
          <t>S7403219B</t>
        </is>
      </c>
      <c r="D45" s="10" t="inlineStr">
        <is>
          <t>Singapore PR</t>
        </is>
      </c>
      <c r="E45" s="10" t="inlineStr">
        <is>
          <t>Indian</t>
        </is>
      </c>
      <c r="F45" s="10" t="inlineStr">
        <is>
          <t>Quốc tịch: PR đủ điều kiện nộp F5.</t>
        </is>
      </c>
    </row>
    <row r="46" ht="32" customHeight="1">
      <c r="A46" s="7" t="inlineStr">
        <is>
          <t>SEED-R5-02</t>
        </is>
      </c>
      <c r="B46" s="10" t="inlineStr">
        <is>
          <t>Nguyen Thi Hoa</t>
        </is>
      </c>
      <c r="C46" s="10" t="inlineStr">
        <is>
          <t>F2214680R</t>
        </is>
      </c>
      <c r="D46" s="10" t="inlineStr">
        <is>
          <t>Foreigner, ASEAN</t>
        </is>
      </c>
      <c r="E46" s="10" t="inlineStr">
        <is>
          <t>Vietnamese</t>
        </is>
      </c>
      <c r="F46" s="10" t="inlineStr">
        <is>
          <t>Quốc tịch ASEAN: đủ điều kiện MOEFAS?</t>
        </is>
      </c>
    </row>
    <row r="47" ht="32" customHeight="1">
      <c r="A47" s="7" t="inlineStr">
        <is>
          <t>SEED-R5-03</t>
        </is>
      </c>
      <c r="B47" s="10" t="inlineStr">
        <is>
          <t>Daniel Okoro</t>
        </is>
      </c>
      <c r="C47" s="10" t="inlineStr">
        <is>
          <t>F3358024W</t>
        </is>
      </c>
      <c r="D47" s="10" t="inlineStr">
        <is>
          <t>Foreigner, non-ASEAN</t>
        </is>
      </c>
      <c r="E47" s="10" t="inlineStr">
        <is>
          <t>Nigerian</t>
        </is>
      </c>
      <c r="F47" s="10" t="inlineStr">
        <is>
          <t>Quốc tịch ngoài ASEAN: không đủ điều kiện, đi SBFAS.</t>
        </is>
      </c>
    </row>
    <row r="48" ht="19" customHeight="1">
      <c r="A48" s="7" t="inlineStr">
        <is>
          <t>SEED-R5-04</t>
        </is>
      </c>
      <c r="B48" s="10" t="inlineStr">
        <is>
          <t>Siti Noor</t>
        </is>
      </c>
      <c r="C48" s="10" t="inlineStr">
        <is>
          <t>S8205501J</t>
        </is>
      </c>
      <c r="D48" s="10" t="inlineStr">
        <is>
          <t>Singapore Citizen</t>
        </is>
      </c>
      <c r="E48" s="10" t="inlineStr">
        <is>
          <t>Malay</t>
        </is>
      </c>
      <c r="F48" s="10" t="inlineStr">
        <is>
          <t>Danh sách category: Malay.</t>
        </is>
      </c>
    </row>
    <row r="49" ht="19" customHeight="1">
      <c r="A49" s="7" t="inlineStr">
        <is>
          <t>SEED-R5-05</t>
        </is>
      </c>
      <c r="B49" s="10" t="inlineStr">
        <is>
          <t>Grace Pereira</t>
        </is>
      </c>
      <c r="C49" s="10" t="inlineStr">
        <is>
          <t>S7706633J</t>
        </is>
      </c>
      <c r="D49" s="10" t="inlineStr">
        <is>
          <t>Singapore Citizen</t>
        </is>
      </c>
      <c r="E49" s="10" t="inlineStr">
        <is>
          <t>Eurasian</t>
        </is>
      </c>
      <c r="F49" s="10" t="inlineStr">
        <is>
          <t>Danh sách category: Eurasian.</t>
        </is>
      </c>
    </row>
    <row r="50" ht="19" customHeight="1">
      <c r="A50" s="7" t="inlineStr">
        <is>
          <t>SEED-R5-06</t>
        </is>
      </c>
      <c r="B50" s="10" t="inlineStr">
        <is>
          <t>Ravi Kumar</t>
        </is>
      </c>
      <c r="C50" s="10" t="inlineStr">
        <is>
          <t>S7907712G</t>
        </is>
      </c>
      <c r="D50" s="10" t="inlineStr">
        <is>
          <t>Singapore Citizen</t>
        </is>
      </c>
      <c r="E50" s="10" t="inlineStr">
        <is>
          <t>Indian</t>
        </is>
      </c>
      <c r="F50" s="10" t="inlineStr">
        <is>
          <t>Danh sách category: Indian.</t>
        </is>
      </c>
    </row>
    <row r="51" ht="19" customHeight="1">
      <c r="A51" s="7" t="inlineStr">
        <is>
          <t>SEED-R5-07</t>
        </is>
      </c>
      <c r="B51" s="10" t="inlineStr">
        <is>
          <t>Karen Lee</t>
        </is>
      </c>
      <c r="C51" s="10" t="inlineStr">
        <is>
          <t>S8001126A</t>
        </is>
      </c>
      <c r="D51" s="10" t="inlineStr">
        <is>
          <t>Singapore Citizen</t>
        </is>
      </c>
      <c r="E51" s="10" t="inlineStr">
        <is>
          <t>Others</t>
        </is>
      </c>
      <c r="F51" s="10" t="inlineStr">
        <is>
          <t>Danh sách category: Others.</t>
        </is>
      </c>
    </row>
    <row r="53" ht="15.75" customHeight="1">
      <c r="A53" s="6" t="inlineStr">
        <is>
          <t>Con ở sát biên tuổi và level (SEED-R5-08 đến 17)</t>
        </is>
      </c>
    </row>
    <row r="54" ht="30" customHeight="1">
      <c r="A54" s="1" t="inlineStr">
        <is>
          <t>Seed</t>
        </is>
      </c>
      <c r="B54" s="1" t="inlineStr">
        <is>
          <t>Name</t>
        </is>
      </c>
      <c r="C54" s="1" t="inlineStr">
        <is>
          <t>NRIC/FIN</t>
        </is>
      </c>
      <c r="D54" s="1" t="inlineStr">
        <is>
          <t>Sinh / tuổi tại 18/10/2026</t>
        </is>
      </c>
      <c r="E54" s="1" t="inlineStr">
        <is>
          <t>Trường, level, grade</t>
        </is>
      </c>
      <c r="F54" s="1" t="inlineStr">
        <is>
          <t>Used for</t>
        </is>
      </c>
    </row>
    <row r="55" ht="19" customHeight="1">
      <c r="A55" s="7" t="inlineStr">
        <is>
          <t>SEED-R5-08</t>
        </is>
      </c>
      <c r="B55" s="10" t="inlineStr">
        <is>
          <t>Lim Zhi Wei</t>
        </is>
      </c>
      <c r="C55" s="10" t="inlineStr">
        <is>
          <t>T1990101C</t>
        </is>
      </c>
      <c r="D55" s="10" t="inlineStr">
        <is>
          <t>18/10/2019, đúng 7 tuổi</t>
        </is>
      </c>
      <c r="E55" s="10" t="inlineStr">
        <is>
          <t>Bukit View Primary, P2</t>
        </is>
      </c>
      <c r="F55" s="10" t="inlineStr">
        <is>
          <t>Biên dưới được nhận.</t>
        </is>
      </c>
    </row>
    <row r="56" ht="19" customHeight="1">
      <c r="A56" s="7" t="inlineStr">
        <is>
          <t>SEED-R5-09</t>
        </is>
      </c>
      <c r="B56" s="10" t="inlineStr">
        <is>
          <t>Ng Kai Xin</t>
        </is>
      </c>
      <c r="C56" s="10" t="inlineStr">
        <is>
          <t>T1990202H</t>
        </is>
      </c>
      <c r="D56" s="10" t="inlineStr">
        <is>
          <t>19/10/2019, 6 tuổi 364 ngày</t>
        </is>
      </c>
      <c r="E56" s="10" t="inlineStr">
        <is>
          <t>Bukit View Primary, P1</t>
        </is>
      </c>
      <c r="F56" s="10" t="inlineStr">
        <is>
          <t>Biên dưới bị chặn.</t>
        </is>
      </c>
    </row>
    <row r="57" ht="19" customHeight="1">
      <c r="A57" s="7" t="inlineStr">
        <is>
          <t>SEED-R5-10</t>
        </is>
      </c>
      <c r="B57" s="10" t="inlineStr">
        <is>
          <t>Wong Jia Hui</t>
        </is>
      </c>
      <c r="C57" s="10" t="inlineStr">
        <is>
          <t>T1090303Z</t>
        </is>
      </c>
      <c r="D57" s="10" t="inlineStr">
        <is>
          <t>18/10/2010, đúng 16 tuổi</t>
        </is>
      </c>
      <c r="E57" s="10" t="inlineStr">
        <is>
          <t>Meridian Secondary, S4</t>
        </is>
      </c>
      <c r="F57" s="10" t="inlineStr">
        <is>
          <t>Biên trên được nhận (ASM-R5-01).</t>
        </is>
      </c>
    </row>
    <row r="58" ht="19" customHeight="1">
      <c r="A58" s="7" t="inlineStr">
        <is>
          <t>SEED-R5-11</t>
        </is>
      </c>
      <c r="B58" s="10" t="inlineStr">
        <is>
          <t>Ong Mei Xuan</t>
        </is>
      </c>
      <c r="C58" s="10" t="inlineStr">
        <is>
          <t>T0990404I</t>
        </is>
      </c>
      <c r="D58" s="10" t="inlineStr">
        <is>
          <t>19/10/2009, 16 tuổi 364 ngày</t>
        </is>
      </c>
      <c r="E58" s="10" t="inlineStr">
        <is>
          <t>Meridian Secondary, S5</t>
        </is>
      </c>
      <c r="F58" s="10" t="inlineStr">
        <is>
          <t>Biên trên được nhận (ASM-R5-01).</t>
        </is>
      </c>
    </row>
    <row r="59" ht="19" customHeight="1">
      <c r="A59" s="7" t="inlineStr">
        <is>
          <t>SEED-R5-12</t>
        </is>
      </c>
      <c r="B59" s="10" t="inlineStr">
        <is>
          <t>Teo Jun Hao</t>
        </is>
      </c>
      <c r="C59" s="10" t="inlineStr">
        <is>
          <t>T0990505C</t>
        </is>
      </c>
      <c r="D59" s="10" t="inlineStr">
        <is>
          <t>18/10/2009, đúng 17 tuổi</t>
        </is>
      </c>
      <c r="E59" s="10" t="inlineStr">
        <is>
          <t>Meridian Secondary, S5</t>
        </is>
      </c>
      <c r="F59" s="10" t="inlineStr">
        <is>
          <t>Biên trên bị chặn (T5).</t>
        </is>
      </c>
    </row>
    <row r="60" ht="32" customHeight="1">
      <c r="A60" s="7" t="inlineStr">
        <is>
          <t>SEED-R5-14</t>
        </is>
      </c>
      <c r="B60" s="10" t="inlineStr">
        <is>
          <t>Yap Shu Ting</t>
        </is>
      </c>
      <c r="C60" s="10" t="inlineStr">
        <is>
          <t>T1380707D</t>
        </is>
      </c>
      <c r="D60" s="10" t="inlineStr">
        <is>
          <t>Không dùng để chặn theo tuổi</t>
        </is>
      </c>
      <c r="E60" s="10" t="inlineStr">
        <is>
          <t>Meridian Secondary, S1</t>
        </is>
      </c>
      <c r="F60" s="10" t="inlineStr">
        <is>
          <t>Không con nào của trường người dùng (T6).</t>
        </is>
      </c>
    </row>
    <row r="61" ht="32" customHeight="1">
      <c r="A61" s="7" t="inlineStr">
        <is>
          <t>SEED-R5-15</t>
        </is>
      </c>
      <c r="B61" s="10" t="inlineStr">
        <is>
          <t>Ismail Hakim</t>
        </is>
      </c>
      <c r="C61" s="10" t="inlineStr">
        <is>
          <t>T1610707C</t>
        </is>
      </c>
      <c r="D61" s="10" t="inlineStr">
        <is>
          <t>Trong khoảng 7 đến 16 tuổi</t>
        </is>
      </c>
      <c r="E61" s="10" t="inlineStr">
        <is>
          <t>Bukit View Primary, P4, category PR</t>
        </is>
      </c>
      <c r="F61" s="10" t="inlineStr">
        <is>
          <t>Con của người khai PR, cùng người khai với SEED-R5-23 khi cần.</t>
        </is>
      </c>
    </row>
    <row r="62" ht="32" customHeight="1">
      <c r="A62" s="7" t="inlineStr">
        <is>
          <t>SEED-R5-16</t>
        </is>
      </c>
      <c r="B62" s="10" t="inlineStr">
        <is>
          <t>Pham Minh Chau</t>
        </is>
      </c>
      <c r="C62" s="10" t="inlineStr">
        <is>
          <t>T1580909J</t>
        </is>
      </c>
      <c r="D62" s="10" t="inlineStr">
        <is>
          <t>Trong khoảng 7 đến 16 tuổi</t>
        </is>
      </c>
      <c r="E62" s="10" t="inlineStr">
        <is>
          <t>Bukit View Primary, P5, ASEAN</t>
        </is>
      </c>
      <c r="F62" s="10" t="inlineStr">
        <is>
          <t>Con có quốc tịch ASEAN cho ca phân luồng.</t>
        </is>
      </c>
    </row>
    <row r="63" ht="32" customHeight="1">
      <c r="A63" s="7" t="inlineStr">
        <is>
          <t>SEED-R5-17</t>
        </is>
      </c>
      <c r="B63" s="10" t="inlineStr">
        <is>
          <t>Rao Anika</t>
        </is>
      </c>
      <c r="C63" s="10" t="inlineStr">
        <is>
          <t>T2010808D</t>
        </is>
      </c>
      <c r="D63" s="10" t="inlineStr">
        <is>
          <t>Trong khoảng 7 đến 16 tuổi</t>
        </is>
      </c>
      <c r="E63" s="10" t="inlineStr">
        <is>
          <t>Bukit View Primary, P1, chưa có Education Account</t>
        </is>
      </c>
      <c r="F63" s="10" t="inlineStr">
        <is>
          <t>Số EA hiển thị dấu gạch ngang (J1, ASM-R5-24).</t>
        </is>
      </c>
    </row>
    <row r="65" ht="15.75" customHeight="1">
      <c r="A65" s="6" t="inlineStr">
        <is>
          <t>Dữ liệu khác trong seed</t>
        </is>
      </c>
    </row>
    <row r="66" ht="30" customHeight="1">
      <c r="A66" s="1" t="inlineStr">
        <is>
          <t>Seed</t>
        </is>
      </c>
      <c r="B66" s="1" t="inlineStr">
        <is>
          <t>Name</t>
        </is>
      </c>
      <c r="C66" s="1" t="inlineStr">
        <is>
          <t>NRIC/FIN</t>
        </is>
      </c>
      <c r="D66" s="1" t="inlineStr">
        <is>
          <t>Chi tiết</t>
        </is>
      </c>
      <c r="E66" s="1" t="inlineStr">
        <is>
          <t>Trường, level, grade</t>
        </is>
      </c>
      <c r="F66" s="1" t="inlineStr">
        <is>
          <t>Used for</t>
        </is>
      </c>
    </row>
    <row r="67" ht="32" customHeight="1">
      <c r="A67" s="7" t="inlineStr">
        <is>
          <t>SEED-R5-20</t>
        </is>
      </c>
      <c r="B67" s="10" t="inlineStr">
        <is>
          <t>Soh Kai Ming</t>
        </is>
      </c>
      <c r="C67" s="10" t="inlineStr">
        <is>
          <t>T1511212Z</t>
        </is>
      </c>
      <c r="D67" s="10" t="inlineStr">
        <is>
          <t>Grade SP1, ngoài danh sách P1 đến P6 và S1 đến S5</t>
        </is>
      </c>
      <c r="E67" s="10" t="inlineStr">
        <is>
          <t>Level Pre-University hay không do ASM-R5-07</t>
        </is>
      </c>
      <c r="F67" s="10" t="inlineStr">
        <is>
          <t>Ca grade ngoài danh sách (Block).</t>
        </is>
      </c>
    </row>
    <row r="68" ht="19" customHeight="1">
      <c r="A68" s="7" t="inlineStr">
        <is>
          <t>PU1</t>
        </is>
      </c>
      <c r="B68" s="10" t="inlineStr">
        <is>
          <t>Goh Wei Lun</t>
        </is>
      </c>
      <c r="C68" s="10" t="inlineStr">
        <is>
          <t>T0890101A</t>
        </is>
      </c>
      <c r="D68" s="10" t="inlineStr">
        <is>
          <t>Level Pre-University</t>
        </is>
      </c>
      <c r="E68" s="10" t="inlineStr">
        <is>
          <t>Pre-University</t>
        </is>
      </c>
      <c r="F68" s="10" t="inlineStr">
        <is>
          <t>Ca Level theo grade.</t>
        </is>
      </c>
    </row>
    <row r="69" ht="19" customHeight="1">
      <c r="A69" s="7" t="inlineStr">
        <is>
          <t>PU3</t>
        </is>
      </c>
      <c r="B69" s="10" t="inlineStr">
        <is>
          <t>Chia Li Ying</t>
        </is>
      </c>
      <c r="C69" s="10" t="inlineStr">
        <is>
          <t>T0690202I</t>
        </is>
      </c>
      <c r="D69" s="10" t="inlineStr">
        <is>
          <t>Level Pre-University</t>
        </is>
      </c>
      <c r="E69" s="10" t="inlineStr">
        <is>
          <t>Pre-University</t>
        </is>
      </c>
      <c r="F69" s="10" t="inlineStr">
        <is>
          <t>Ca Level theo grade.</t>
        </is>
      </c>
    </row>
    <row r="70" ht="32" customHeight="1">
      <c r="A70" s="7" t="inlineStr">
        <is>
          <t>SEED-R5-21</t>
        </is>
      </c>
      <c r="B70" s="10" t="inlineStr">
        <is>
          <t>Con có tên MOE khác tên Chính phủ</t>
        </is>
      </c>
      <c r="C70" s="10" t="inlineStr">
        <is>
          <t>T1822203A</t>
        </is>
      </c>
      <c r="D70" s="10" t="inlineStr">
        <is>
          <t>Tên trong hồ sơ MOE khác tên trong dữ liệu Chính phủ</t>
        </is>
      </c>
      <c r="E70" s="10" t="inlineStr">
        <is>
          <t>Bukit View Primary, P3</t>
        </is>
      </c>
      <c r="F70" s="10" t="inlineStr">
        <is>
          <t>Ca cảnh báo sai lệch tên vẫn nộp được (FS 5 Part 2 ghi chú cuối).</t>
        </is>
      </c>
    </row>
    <row r="71" ht="45" customHeight="1">
      <c r="A71" s="7" t="inlineStr">
        <is>
          <t>SEED-R5-22</t>
        </is>
      </c>
      <c r="B71" s="10" t="inlineStr">
        <is>
          <t>Các hộ thu nhập</t>
        </is>
      </c>
      <c r="C71" s="10" t="inlineStr">
        <is>
          <t>Nhiều NRIC</t>
        </is>
      </c>
      <c r="D71" s="10" t="inlineStr">
        <is>
          <t>Thu nhập người khai và thành viên: S$ 2,000.00, 3,000.00 và các tổ hợp cho GHI 1,000.00 đến 4,350.00</t>
        </is>
      </c>
      <c r="E71" s="10" t="inlineStr">
        <is>
          <t>Không áp dụng</t>
        </is>
      </c>
      <c r="F71" s="10" t="inlineStr">
        <is>
          <t>Ca tính GHI và PCI (FS 5 Part 3). Số tiền ghi ở cột Test Data của từng case.</t>
        </is>
      </c>
    </row>
    <row r="72" ht="32" customHeight="1">
      <c r="A72" s="7" t="inlineStr">
        <is>
          <t>SEED-R5-23</t>
        </is>
      </c>
      <c r="B72" s="10" t="inlineStr">
        <is>
          <t>Mohd Aiman</t>
        </is>
      </c>
      <c r="C72" s="10" t="inlineStr">
        <is>
          <t>T1711010H</t>
        </is>
      </c>
      <c r="D72" s="10" t="inlineStr">
        <is>
          <t>Đã có đơn trong năm hiện tại tạo sau khi bản nháp được lưu</t>
        </is>
      </c>
      <c r="E72" s="10" t="inlineStr">
        <is>
          <t>Bukit View Primary, P4</t>
        </is>
      </c>
      <c r="F72" s="10" t="inlineStr">
        <is>
          <t>Ca nộp bản nháp khi con đã có đơn (G3).</t>
        </is>
      </c>
    </row>
    <row r="73" ht="32" customHeight="1">
      <c r="A73" s="7" t="inlineStr">
        <is>
          <t>Thành viên</t>
        </is>
      </c>
      <c r="B73" s="10" t="inlineStr">
        <is>
          <t>Lim Hui Min và các thành viên khác</t>
        </is>
      </c>
      <c r="C73" s="10" t="inlineStr">
        <is>
          <t>S8512301G, S5811122H, T0211133G, G1555566T, S6611144Z</t>
        </is>
      </c>
      <c r="D73" s="10" t="inlineStr">
        <is>
          <t>Thành viên gia đình dùng cho ca trùng NRIC và giới hạn dòng</t>
        </is>
      </c>
      <c r="E73" s="10" t="inlineStr">
        <is>
          <t>Không áp dụng</t>
        </is>
      </c>
      <c r="F73" s="10" t="inlineStr">
        <is>
          <t>Ca Part 3.</t>
        </is>
      </c>
    </row>
    <row r="75" ht="15.75" customHeight="1">
      <c r="A75" s="6" t="inlineStr">
        <is>
          <t>Đơn đã có và dữ liệu danh sách</t>
        </is>
      </c>
    </row>
    <row r="76" ht="30" customHeight="1">
      <c r="A76" s="1" t="inlineStr">
        <is>
          <t>Seed / Application</t>
        </is>
      </c>
      <c r="B76" s="1" t="inlineStr">
        <is>
          <t>Student</t>
        </is>
      </c>
      <c r="C76" s="1" t="inlineStr">
        <is>
          <t>NRIC/FIN</t>
        </is>
      </c>
      <c r="D76" s="1" t="inlineStr">
        <is>
          <t>Trạng thái</t>
        </is>
      </c>
      <c r="E76" s="1" t="inlineStr">
        <is>
          <t>Trường</t>
        </is>
      </c>
      <c r="F76" s="1" t="inlineStr">
        <is>
          <t>Used for</t>
        </is>
      </c>
    </row>
    <row r="77" ht="19" customHeight="1">
      <c r="A77" s="7" t="inlineStr">
        <is>
          <t>APP-2026-00412</t>
        </is>
      </c>
      <c r="B77" s="10" t="inlineStr">
        <is>
          <t>Aisha Rahman</t>
        </is>
      </c>
      <c r="C77" s="10" t="inlineStr">
        <is>
          <t>T1801177H</t>
        </is>
      </c>
      <c r="D77" s="10" t="inlineStr">
        <is>
          <t>Pending, MOEFAS 2027</t>
        </is>
      </c>
      <c r="E77" s="10" t="inlineStr">
        <is>
          <t>Bukit View Primary</t>
        </is>
      </c>
      <c r="F77" s="10" t="inlineStr">
        <is>
          <t>Ca con đã có đơn (H2).</t>
        </is>
      </c>
    </row>
    <row r="78" ht="19" customHeight="1">
      <c r="A78" s="7" t="inlineStr">
        <is>
          <t>APP-2026-00386</t>
        </is>
      </c>
      <c r="B78" s="10" t="inlineStr">
        <is>
          <t>Lucas Teo</t>
        </is>
      </c>
      <c r="C78" s="10" t="inlineStr">
        <is>
          <t>T1780445K</t>
        </is>
      </c>
      <c r="D78" s="10" t="inlineStr">
        <is>
          <t>Approved SBFAS Tier 3</t>
        </is>
      </c>
      <c r="E78" s="10" t="inlineStr">
        <is>
          <t>Bukit View Primary</t>
        </is>
      </c>
      <c r="F78" s="10" t="inlineStr">
        <is>
          <t>Ca con đã có đơn (H2).</t>
        </is>
      </c>
    </row>
    <row r="79" ht="32" customHeight="1">
      <c r="A79" s="7" t="inlineStr">
        <is>
          <t>APP-2026-00390</t>
        </is>
      </c>
      <c r="B79" s="10" t="inlineStr">
        <is>
          <t>Chen Xin Yi</t>
        </is>
      </c>
      <c r="C79" s="10" t="inlineStr">
        <is>
          <t>T1775532J</t>
        </is>
      </c>
      <c r="D79" s="10" t="inlineStr">
        <is>
          <t>Nộp 14/11/2025 cho MOEFAS 2026</t>
        </is>
      </c>
      <c r="E79" s="10" t="inlineStr">
        <is>
          <t>Bukit View Primary</t>
        </is>
      </c>
      <c r="F79" s="10" t="inlineStr">
        <is>
          <t>Ca "năm nay" của đơn năm trước (ASM-R5-29, Block).</t>
        </is>
      </c>
    </row>
    <row r="80" ht="32" customHeight="1">
      <c r="A80" s="7" t="inlineStr">
        <is>
          <t>SEED-R5-30</t>
        </is>
      </c>
      <c r="B80" s="10" t="inlineStr">
        <is>
          <t>Hai đơn tải lên</t>
        </is>
      </c>
      <c r="C80" s="10" t="inlineStr">
        <is>
          <t>Không áp dụng</t>
        </is>
      </c>
      <c r="D80" s="10" t="inlineStr">
        <is>
          <t>Tải lên 11/10/2026 và 10/10/2026</t>
        </is>
      </c>
      <c r="E80" s="10" t="inlineStr">
        <is>
          <t>Bukit View Primary</t>
        </is>
      </c>
      <c r="F80" s="10" t="inlineStr">
        <is>
          <t>Ca bộ lọc Uploaded: Last 7 days (18/10 trừ 7 ngày là 11/10).</t>
        </is>
      </c>
    </row>
    <row r="81" ht="32" customHeight="1">
      <c r="A81" s="7" t="inlineStr">
        <is>
          <t>SEED-R5-31</t>
        </is>
      </c>
      <c r="B81" s="10" t="inlineStr">
        <is>
          <t>Mười một đơn đã nộp</t>
        </is>
      </c>
      <c r="C81" s="10" t="inlineStr">
        <is>
          <t>Không áp dụng</t>
        </is>
      </c>
      <c r="D81" s="10" t="inlineStr">
        <is>
          <t>Đã nộp, ngày tải lên khác nhau</t>
        </is>
      </c>
      <c r="E81" s="10" t="inlineStr">
        <is>
          <t>Bukit View Primary</t>
        </is>
      </c>
      <c r="F81" s="10" t="inlineStr">
        <is>
          <t>Ca phân trang 10 dòng mỗi trang và thứ tự (ASM-R5-23).</t>
        </is>
      </c>
    </row>
  </sheetData>
  <mergeCells count="8">
    <mergeCell ref="B8:H8"/>
    <mergeCell ref="B9:H9"/>
    <mergeCell ref="A2:H2"/>
    <mergeCell ref="B6:H6"/>
    <mergeCell ref="B7:H7"/>
    <mergeCell ref="B10:H10"/>
    <mergeCell ref="A32:H32"/>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2026-10-26T05:47:01Z</dcterms:created>
  <dcterms:modified xmlns:dcterms="http://purl.org/dc/terms/" xmlns:xsi="http://www.w3.org/2001/XMLSchema-instance" xsi:type="dcterms:W3CDTF">2026-10-26T05:47:01Z</dcterms:modified>
</cp:coreProperties>
</file>