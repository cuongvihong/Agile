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xmlns:r="http://schemas.openxmlformats.org/officeDocument/2006/relationships" name="Test cases " sheetId="1" state="visible" r:id="rId1"/>
    <sheet xmlns:r="http://schemas.openxmlformats.org/officeDocument/2006/relationships" name="Defect Reports" sheetId="2" state="visible" r:id="rId2"/>
    <sheet xmlns:r="http://schemas.openxmlformats.org/officeDocument/2006/relationships" name="Summary" sheetId="3" state="visible" r:id="rId3"/>
    <sheet xmlns:r="http://schemas.openxmlformats.org/officeDocument/2006/relationships" name="Scenarios" sheetId="4" state="visible" r:id="rId4"/>
    <sheet xmlns:r="http://schemas.openxmlformats.org/officeDocument/2006/relationships" name="Assumptions" sheetId="5" state="visible" r:id="rId5"/>
    <sheet xmlns:r="http://schemas.openxmlformats.org/officeDocument/2006/relationships" name="Questions" sheetId="6" state="visible" r:id="rId6"/>
    <sheet xmlns:r="http://schemas.openxmlformats.org/officeDocument/2006/relationships" name="FS Trace" sheetId="7" state="visible" r:id="rId7"/>
    <sheet xmlns:r="http://schemas.openxmlformats.org/officeDocument/2006/relationships" name="Seed Data" sheetId="8" state="visible" r:id="rId8"/>
  </sheets>
  <definedNames>
    <definedName name="_xlnm._FilterDatabase" localSheetId="0" hidden="1">'Test cases '!$A$1:$T$332</definedName>
  </definedNames>
  <calcPr calcId="124519" fullCalcOnLoad="1" refMode="A1" iterate="0" iterateCount="100" iterateDelta="0.0001"/>
</workbook>
</file>

<file path=xl/styles.xml><?xml version="1.0" encoding="utf-8"?>
<styleSheet xmlns="http://schemas.openxmlformats.org/spreadsheetml/2006/main">
  <numFmts count="0"/>
  <fonts count="12">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sz val="11"/>
    </font>
    <font>
      <name val="Arial"/>
      <charset val="1"/>
      <family val="0"/>
      <b val="1"/>
      <color rgb="FFFFFFFF"/>
      <sz val="11"/>
    </font>
    <font>
      <name val="Arial"/>
      <charset val="1"/>
      <family val="0"/>
      <b val="1"/>
      <sz val="14"/>
    </font>
    <font>
      <name val="Arial"/>
      <charset val="1"/>
      <family val="0"/>
      <sz val="10"/>
    </font>
    <font>
      <name val="Arial"/>
      <charset val="1"/>
      <family val="0"/>
      <b val="1"/>
      <sz val="12"/>
    </font>
    <font>
      <name val="Arial"/>
      <charset val="1"/>
      <family val="0"/>
      <b val="1"/>
      <sz val="10"/>
    </font>
    <font>
      <name val="Arial"/>
      <charset val="1"/>
      <family val="0"/>
      <b val="1"/>
      <sz val="11"/>
    </font>
  </fonts>
  <fills count="4">
    <fill>
      <patternFill/>
    </fill>
    <fill>
      <patternFill patternType="gray125"/>
    </fill>
    <fill>
      <patternFill patternType="solid">
        <fgColor rgb="FF17365D"/>
        <bgColor rgb="FF333333"/>
      </patternFill>
    </fill>
    <fill>
      <patternFill patternType="solid">
        <fgColor rgb="FFF7F9FC"/>
        <bgColor rgb="FFFFFFFF"/>
      </patternFill>
    </fill>
  </fills>
  <borders count="6">
    <border>
      <left/>
      <right/>
      <top/>
      <bottom/>
      <diagonal/>
    </border>
    <border>
      <left style="thin"/>
      <right style="thin"/>
      <top style="thin"/>
      <bottom style="thin"/>
      <diagonal/>
    </border>
    <border>
      <left/>
      <right/>
      <top style="thin"/>
      <bottom/>
      <diagonal/>
    </border>
    <border>
      <left/>
      <right style="thin"/>
      <top style="thin"/>
      <bottom/>
      <diagonal/>
    </border>
    <border>
      <left/>
      <right style="thin"/>
      <top style="thin"/>
      <bottom style="thin"/>
      <diagonal/>
    </border>
    <border>
      <left/>
      <right/>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9">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3" borderId="1" applyAlignment="1" pivotButton="0" quotePrefix="0" xfId="0">
      <alignment horizontal="general" vertical="center" wrapText="1"/>
    </xf>
    <xf numFmtId="0" fontId="6" fillId="2" borderId="1" applyAlignment="1" pivotButton="0" quotePrefix="0" xfId="0">
      <alignment horizontal="center" vertical="center" wrapText="1"/>
    </xf>
    <xf numFmtId="0" fontId="5" fillId="3" borderId="1" applyAlignment="1" pivotButton="0" quotePrefix="0" xfId="0">
      <alignment horizontal="general" vertical="top" wrapText="1"/>
    </xf>
    <xf numFmtId="0" fontId="7" fillId="0" borderId="0" applyAlignment="1" pivotButton="0" quotePrefix="0" xfId="0">
      <alignment horizontal="general" vertical="bottom"/>
    </xf>
    <xf numFmtId="0" fontId="8" fillId="0" borderId="0" applyAlignment="1" pivotButton="0" quotePrefix="0" xfId="0">
      <alignment horizontal="general" vertical="top" wrapText="1"/>
    </xf>
    <xf numFmtId="0" fontId="9" fillId="0" borderId="0" applyAlignment="1" pivotButton="0" quotePrefix="0" xfId="0">
      <alignment horizontal="general" vertical="bottom"/>
    </xf>
    <xf numFmtId="0" fontId="10" fillId="3" borderId="1" applyAlignment="1" pivotButton="0" quotePrefix="0" xfId="0">
      <alignment horizontal="general" vertical="top" wrapText="1"/>
    </xf>
    <xf numFmtId="0" fontId="8" fillId="3" borderId="1" applyAlignment="1" pivotButton="0" quotePrefix="0" xfId="0">
      <alignment horizontal="center" vertical="top" wrapText="1"/>
    </xf>
    <xf numFmtId="0" fontId="8" fillId="3" borderId="1" applyAlignment="1" pivotButton="0" quotePrefix="0" xfId="0">
      <alignment horizontal="general" vertical="top" wrapText="1"/>
    </xf>
    <xf numFmtId="0" fontId="11"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3" borderId="1" applyAlignment="1" pivotButton="0" quotePrefix="0" xfId="0">
      <alignment horizontal="general" vertical="center" wrapText="1"/>
    </xf>
    <xf numFmtId="0" fontId="6" fillId="2" borderId="1" applyAlignment="1" pivotButton="0" quotePrefix="0" xfId="0">
      <alignment horizontal="center" vertical="center" wrapText="1"/>
    </xf>
    <xf numFmtId="0" fontId="5" fillId="3" borderId="1" applyAlignment="1" pivotButton="0" quotePrefix="0" xfId="0">
      <alignment horizontal="general" vertical="top" wrapText="1"/>
    </xf>
    <xf numFmtId="0" fontId="7" fillId="0" borderId="0" applyAlignment="1" pivotButton="0" quotePrefix="0" xfId="0">
      <alignment horizontal="general" vertical="bottom"/>
    </xf>
    <xf numFmtId="0" fontId="8" fillId="0" borderId="0" applyAlignment="1" pivotButton="0" quotePrefix="0" xfId="0">
      <alignment horizontal="general" vertical="top" wrapText="1"/>
    </xf>
    <xf numFmtId="0" fontId="9" fillId="0" borderId="0" applyAlignment="1" pivotButton="0" quotePrefix="0" xfId="0">
      <alignment horizontal="general" vertical="bottom"/>
    </xf>
    <xf numFmtId="0" fontId="10" fillId="3" borderId="1" applyAlignment="1" pivotButton="0" quotePrefix="0" xfId="0">
      <alignment horizontal="general" vertical="top" wrapText="1"/>
    </xf>
    <xf numFmtId="0" fontId="8" fillId="3" borderId="1" applyAlignment="1" pivotButton="0" quotePrefix="0" xfId="0">
      <alignment horizontal="center" vertical="top" wrapText="1"/>
    </xf>
    <xf numFmtId="0" fontId="0" fillId="0" borderId="4" pivotButton="0" quotePrefix="0" xfId="0"/>
    <xf numFmtId="0" fontId="8" fillId="3" borderId="1" applyAlignment="1" pivotButton="0" quotePrefix="0" xfId="0">
      <alignment horizontal="general" vertical="top" wrapText="1"/>
    </xf>
    <xf numFmtId="0" fontId="11" fillId="0" borderId="0" applyAlignment="1" pivotButton="0" quotePrefix="0" xfId="0">
      <alignment horizontal="general" vertical="bottom"/>
    </xf>
    <xf numFmtId="0" fontId="0" fillId="0" borderId="5"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0">
    <dxf>
      <fill>
        <patternFill patternType="solid">
          <fgColor rgb="FF17365D"/>
          <bgColor rgb="FF000000"/>
        </patternFill>
      </fill>
    </dxf>
    <dxf>
      <fill>
        <patternFill patternType="solid">
          <fgColor rgb="FFF7F9FC"/>
          <bgColor rgb="FF000000"/>
        </patternFill>
      </fill>
    </dxf>
    <dxf>
      <fill>
        <patternFill patternType="solid">
          <fgColor rgb="FFFFFFFF"/>
          <bgColor rgb="FF000000"/>
        </patternFill>
      </fill>
    </dxf>
    <dxf>
      <fill>
        <patternFill patternType="solid">
          <bgColor rgb="FF000000"/>
        </patternFill>
      </fill>
    </dxf>
    <dxf>
      <fill>
        <patternFill patternType="solid">
          <fgColor rgb="FFC6EFCE"/>
          <bgColor rgb="FF000000"/>
        </patternFill>
      </fill>
    </dxf>
    <dxf>
      <fill>
        <patternFill patternType="solid">
          <fgColor rgb="FFF4CCCC"/>
          <bgColor rgb="FF000000"/>
        </patternFill>
      </fill>
    </dxf>
    <dxf>
      <fill>
        <patternFill patternType="solid">
          <fgColor rgb="FFFFF2CC"/>
          <bgColor rgb="FF000000"/>
        </patternFill>
      </fill>
    </dxf>
    <dxf>
      <fill>
        <patternFill>
          <bgColor rgb="FFC6EFCE"/>
        </patternFill>
      </fill>
    </dxf>
    <dxf>
      <fill>
        <patternFill>
          <bgColor rgb="FFF4CCCC"/>
        </patternFill>
      </fill>
    </dxf>
    <dxf>
      <fill>
        <patternFill>
          <bgColor rgb="FFFFF2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7F9F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4CCCC"/>
      <rgbColor rgb="FF3366FF"/>
      <rgbColor rgb="FF33CCCC"/>
      <rgbColor rgb="FF99CC00"/>
      <rgbColor rgb="FFFFCC00"/>
      <rgbColor rgb="FFFF9900"/>
      <rgbColor rgb="FFFF6600"/>
      <rgbColor rgb="FF666699"/>
      <rgbColor rgb="FF969696"/>
      <rgbColor rgb="FF17365D"/>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T332"/>
  <sheetViews>
    <sheetView showFormulas="0" showGridLines="0" showRowColHeaders="1" showZeros="1" rightToLeft="0" tabSelected="1" showOutlineSymbols="1" defaultGridColor="1"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customHeight="0" zeroHeight="0" outlineLevelRow="0"/>
  <cols>
    <col width="11" customWidth="1" style="13" min="1" max="1"/>
    <col width="12" customWidth="1" style="13" min="2" max="2"/>
    <col width="32" customWidth="1" style="13" min="3" max="3"/>
    <col width="20" customWidth="1" style="13" min="4" max="5"/>
    <col width="13" customWidth="1" style="14" min="5" max="5"/>
    <col width="12" customWidth="1" style="13" min="6" max="6"/>
    <col width="11" customWidth="1" style="13" min="7" max="7"/>
    <col width="12" customWidth="1" style="13" min="8" max="8"/>
    <col width="14" customWidth="1" style="13" min="9" max="9"/>
    <col width="24" customWidth="1" style="13" min="10" max="10"/>
    <col width="42" customWidth="1" style="13" min="11" max="11"/>
    <col width="30" customWidth="1" style="13" min="12" max="12"/>
    <col width="52" customWidth="1" style="13" min="13" max="14"/>
    <col width="13" customWidth="1" style="14" min="14" max="14"/>
    <col width="26" customWidth="1" style="13" min="15" max="15"/>
    <col width="46" customWidth="1" style="13" min="16" max="16"/>
    <col width="14" customWidth="1" style="13" min="17" max="17"/>
    <col width="34" customWidth="1" style="13" min="18" max="18"/>
    <col width="40" customWidth="1" style="13" min="19" max="19"/>
    <col width="15" customWidth="1" style="13" min="20" max="20"/>
  </cols>
  <sheetData>
    <row r="1" ht="34.5" customHeight="1" s="14">
      <c r="A1" s="15" t="inlineStr">
        <is>
          <t>ID</t>
        </is>
      </c>
      <c r="B1" s="15" t="inlineStr">
        <is>
          <t>Scenario ID</t>
        </is>
      </c>
      <c r="C1" s="15" t="inlineStr">
        <is>
          <t>Title</t>
        </is>
      </c>
      <c r="D1" s="15" t="inlineStr">
        <is>
          <t>Test Suite</t>
        </is>
      </c>
      <c r="E1" s="15" t="inlineStr">
        <is>
          <t>Page</t>
        </is>
      </c>
      <c r="F1" s="15" t="inlineStr">
        <is>
          <t>Severity</t>
        </is>
      </c>
      <c r="G1" s="15" t="inlineStr">
        <is>
          <t>Priority</t>
        </is>
      </c>
      <c r="H1" s="15" t="inlineStr">
        <is>
          <t>Execution Status</t>
        </is>
      </c>
      <c r="I1" s="15" t="inlineStr">
        <is>
          <t>Test Type</t>
        </is>
      </c>
      <c r="J1" s="15" t="inlineStr">
        <is>
          <t>Environment</t>
        </is>
      </c>
      <c r="K1" s="15" t="inlineStr">
        <is>
          <t>Preconditions</t>
        </is>
      </c>
      <c r="L1" s="15" t="inlineStr">
        <is>
          <t>Test Data</t>
        </is>
      </c>
      <c r="M1" s="15" t="inlineStr">
        <is>
          <t>Test Steps</t>
        </is>
      </c>
      <c r="N1" s="15" t="inlineStr">
        <is>
          <t>Expected Result</t>
        </is>
      </c>
      <c r="O1" s="15" t="inlineStr">
        <is>
          <t>Actual Result</t>
        </is>
      </c>
      <c r="P1" s="15" t="inlineStr">
        <is>
          <t>Assumption Ref</t>
        </is>
      </c>
      <c r="Q1" s="15" t="inlineStr">
        <is>
          <t>Defect ID</t>
        </is>
      </c>
      <c r="R1" s="15" t="inlineStr">
        <is>
          <t>Traceability</t>
        </is>
      </c>
      <c r="S1" s="15" t="inlineStr">
        <is>
          <t>Note</t>
        </is>
      </c>
      <c r="T1" s="15" t="inlineStr">
        <is>
          <t>Review Status</t>
        </is>
      </c>
    </row>
    <row r="2" ht="106.5" customHeight="1" s="14">
      <c r="A2" s="16" t="inlineStr">
        <is>
          <t>TC-001</t>
        </is>
      </c>
      <c r="B2" s="16" t="inlineStr">
        <is>
          <t>TS-001</t>
        </is>
      </c>
      <c r="C2" s="17" t="inlineStr">
        <is>
          <t>Waiting MOEFAS application shows Pending and System check Waiting</t>
        </is>
      </c>
      <c r="D2" s="17" t="inlineStr">
        <is>
          <t>F4.1 Submit routing</t>
        </is>
      </c>
      <c r="E2" s="17" t="inlineStr">
        <is>
          <t>FAS applications (MOE HQ)</t>
        </is>
      </c>
      <c r="F2" s="16" t="inlineStr">
        <is>
          <t>S2</t>
        </is>
      </c>
      <c r="G2" s="16" t="inlineStr">
        <is>
          <t>High</t>
        </is>
      </c>
      <c r="H2" s="16" t="inlineStr">
        <is>
          <t>Not Run</t>
        </is>
      </c>
      <c r="I2" s="16" t="inlineStr">
        <is>
          <t>Functional</t>
        </is>
      </c>
      <c r="J2" s="17" t="inlineStr">
        <is>
          <t>Prototype: edusave.vercel.app (sample date 18/10/2026)
Chrome (latest)
Build: to be recorded at execution
Needs: ENV-R4-01</t>
        </is>
      </c>
      <c r="K2" s="17" t="inlineStr">
        <is>
          <t>1. The prototype is open at the base state (use Reset data).
2. Signed in as MOE HQ (Mei Lin Tan).</t>
        </is>
      </c>
      <c r="L2" s="17" t="inlineStr">
        <is>
          <t>Application: APP-2026-00412 (Aisha Rahman, T1801177H, Bukit View Primary, P3)
MOEFAS 2027 form is Open until 31/12/2026</t>
        </is>
      </c>
      <c r="M2" s="17" t="inlineStr">
        <is>
          <t>1. Open FAS applications.
2. Search for 00412.
3. Read the row.</t>
        </is>
      </c>
      <c r="N2" s="17" t="inlineStr">
        <is>
          <t>1. The row shows Scheme MOEFAS, Submitted 17/10/2026, System check Waiting and Status Pending.
2. Tier and ML recommendation show a dash.</t>
        </is>
      </c>
      <c r="O2" s="17" t="n"/>
      <c r="P2" s="17" t="inlineStr">
        <is>
          <t>N/A</t>
        </is>
      </c>
      <c r="Q2" s="17" t="n"/>
      <c r="R2" s="17" t="inlineStr">
        <is>
          <t>Tender R4, PB-19, FS F4 v1.3: 2.1 step 3, 3.4 System check, 3.4 Tier, T1</t>
        </is>
      </c>
      <c r="S2" s="17" t="inlineStr">
        <is>
          <t>Base state, checked on the prototype in compare CMP-01.</t>
        </is>
      </c>
      <c r="T2" s="16" t="inlineStr">
        <is>
          <t>Approve</t>
        </is>
      </c>
    </row>
    <row r="3" ht="106.5" customHeight="1" s="14">
      <c r="A3" s="16" t="inlineStr">
        <is>
          <t>TC-002</t>
        </is>
      </c>
      <c r="B3" s="16" t="inlineStr">
        <is>
          <t>TS-001</t>
        </is>
      </c>
      <c r="C3" s="17" t="inlineStr">
        <is>
          <t>Waiting MOEFAS drawer explains the wait and records the submit in History</t>
        </is>
      </c>
      <c r="D3" s="17" t="inlineStr">
        <is>
          <t>F4.1 Submit routing</t>
        </is>
      </c>
      <c r="E3" s="17" t="inlineStr">
        <is>
          <t>Review drawer (MOE HQ)</t>
        </is>
      </c>
      <c r="F3" s="16" t="inlineStr">
        <is>
          <t>S2</t>
        </is>
      </c>
      <c r="G3" s="16" t="inlineStr">
        <is>
          <t>High</t>
        </is>
      </c>
      <c r="H3" s="16" t="inlineStr">
        <is>
          <t>Not Run</t>
        </is>
      </c>
      <c r="I3" s="16" t="inlineStr">
        <is>
          <t>Functional</t>
        </is>
      </c>
      <c r="J3" s="17" t="inlineStr">
        <is>
          <t>Prototype: edusave.vercel.app (sample date 18/10/2026)
Chrome (latest)
Build: to be recorded at execution
Needs: ENV-R4-01</t>
        </is>
      </c>
      <c r="K3" s="17" t="inlineStr">
        <is>
          <t>1. The prototype is open at the base state (use Reset data).
2. Signed in as MOE HQ (Mei Lin Tan).</t>
        </is>
      </c>
      <c r="L3" s="17" t="inlineStr">
        <is>
          <t>Application: APP-2026-00412</t>
        </is>
      </c>
      <c r="M3" s="17" t="inlineStr">
        <is>
          <t>1. Open FAS applications and click View on APP-2026-00412.
2. Read the Eligibility check block and the last row of History.</t>
        </is>
      </c>
      <c r="N3" s="17" t="inlineStr">
        <is>
          <t>1. The History has an "Uploaded by Lan Nguyen" row at 17/10/2026 09:12 (paper source) and a Submitted row at 17/10/2026 09:20.
2. The last History row reads "Waiting for the MOEFAS form to close on 31/12/2026".
3. The status stays Pending and the drawer has no Approve or Reject button.</t>
        </is>
      </c>
      <c r="O3" s="17" t="n"/>
      <c r="P3" s="17" t="inlineStr">
        <is>
          <t>N/A</t>
        </is>
      </c>
      <c r="Q3" s="17" t="n"/>
      <c r="R3" s="17" t="inlineStr">
        <is>
          <t>Tender R4, PB-19, FS F4 v1.3: 2.1 step 3, 4 Eligibility check, 4 Documents/History, T1</t>
        </is>
      </c>
      <c r="S3" s="17" t="n"/>
      <c r="T3" s="16" t="inlineStr">
        <is>
          <t>Approve</t>
        </is>
      </c>
    </row>
    <row r="4" ht="106.5" customHeight="1" s="14">
      <c r="A4" s="16" t="inlineStr">
        <is>
          <t>TC-003</t>
        </is>
      </c>
      <c r="B4" s="16" t="inlineStr">
        <is>
          <t>TS-001</t>
        </is>
      </c>
      <c r="C4" s="17" t="inlineStr">
        <is>
          <t>Waiting MOEFAS application is not visible to the School Admin</t>
        </is>
      </c>
      <c r="D4" s="17" t="inlineStr">
        <is>
          <t>F4.1 Submit routing</t>
        </is>
      </c>
      <c r="E4" s="17" t="inlineStr">
        <is>
          <t>FAS applications (School Admin)</t>
        </is>
      </c>
      <c r="F4" s="16" t="inlineStr">
        <is>
          <t>S1 (highest)</t>
        </is>
      </c>
      <c r="G4" s="16" t="inlineStr">
        <is>
          <t>Critical</t>
        </is>
      </c>
      <c r="H4" s="16" t="inlineStr">
        <is>
          <t>Not Run</t>
        </is>
      </c>
      <c r="I4" s="16" t="inlineStr">
        <is>
          <t>Functional</t>
        </is>
      </c>
      <c r="J4" s="17" t="inlineStr">
        <is>
          <t>Prototype: edusave.vercel.app (sample date 18/10/2026)
Chrome (latest)
Build: to be recorded at execution
Needs: ENV-R4-01</t>
        </is>
      </c>
      <c r="K4" s="17" t="inlineStr">
        <is>
          <t>1. The prototype is open at the base state (use Reset data).
2. Signed in as School user Lan Nguyen (BVP-0012), Bukit View Primary.</t>
        </is>
      </c>
      <c r="L4" s="17" t="inlineStr">
        <is>
          <t>Application: APP-2026-00412 (Bukit View Primary student, MOEFAS, Waiting)</t>
        </is>
      </c>
      <c r="M4" s="17" t="inlineStr">
        <is>
          <t>1. Open FAS applications.
2. Open the All tab.
3. Search for 00412.
4. Read the cards and the tab counts.</t>
        </is>
      </c>
      <c r="N4" s="17" t="inlineStr">
        <is>
          <t>1. The All tab lists only APP-2026-00398 and APP-2026-00386.
2. Searching 00412 shows "No applications found."
3. The Pending card shows 1 and the Pending tab shows 1.</t>
        </is>
      </c>
      <c r="O4" s="17" t="n"/>
      <c r="P4" s="17" t="inlineStr">
        <is>
          <t>N/A</t>
        </is>
      </c>
      <c r="Q4" s="17" t="n"/>
      <c r="R4" s="17" t="inlineStr">
        <is>
          <t>Tender R4, PB-19, FS F4 v1.3: BR12, 3.2 item 1, T1</t>
        </is>
      </c>
      <c r="S4" s="17" t="inlineStr">
        <is>
          <t>Compare CMP-23 matches.</t>
        </is>
      </c>
      <c r="T4" s="16" t="inlineStr">
        <is>
          <t>Approve</t>
        </is>
      </c>
    </row>
    <row r="5" ht="106.5" customHeight="1" s="14">
      <c r="A5" s="16" t="inlineStr">
        <is>
          <t>TC-004</t>
        </is>
      </c>
      <c r="B5" s="16" t="inlineStr">
        <is>
          <t>TS-002</t>
        </is>
      </c>
      <c r="C5" s="17" t="inlineStr">
        <is>
          <t>International student application is SBFAS Pending for the school</t>
        </is>
      </c>
      <c r="D5" s="17" t="inlineStr">
        <is>
          <t>F4.1 Submit routing</t>
        </is>
      </c>
      <c r="E5" s="17" t="inlineStr">
        <is>
          <t>FAS applications (MOE HQ)</t>
        </is>
      </c>
      <c r="F5" s="16" t="inlineStr">
        <is>
          <t>S1 (highest)</t>
        </is>
      </c>
      <c r="G5" s="16" t="inlineStr">
        <is>
          <t>Critical</t>
        </is>
      </c>
      <c r="H5" s="16" t="inlineStr">
        <is>
          <t>Not Run</t>
        </is>
      </c>
      <c r="I5" s="16" t="inlineStr">
        <is>
          <t>Functional</t>
        </is>
      </c>
      <c r="J5" s="17" t="inlineStr">
        <is>
          <t>Prototype: edusave.vercel.app (sample date 18/10/2026)
Chrome (latest)
Build: to be recorded at execution
Needs: ENV-R4-01</t>
        </is>
      </c>
      <c r="K5" s="17" t="inlineStr">
        <is>
          <t>1. The prototype is open at the base state (use Reset data).
2. Signed in as MOE HQ (Mei Lin Tan).</t>
        </is>
      </c>
      <c r="L5" s="17" t="inlineStr">
        <is>
          <t>Application: APP-2026-00398 (Daniel Ong, T1755501Q, International Student, Bukit View Primary)</t>
        </is>
      </c>
      <c r="M5" s="17" t="inlineStr">
        <is>
          <t>1. Open FAS applications.
2. Search for 00398.
3. Read the row and open View.
4. Read the last row of History.</t>
        </is>
      </c>
      <c r="N5" s="17" t="inlineStr">
        <is>
          <t>1. Scheme is SBFAS, System check is a dash, Status is Pending.
2. The History has the row "SBFAS application (not eligible for MOEFAS by nationality)".
3. No MOEFAS decision or priority is shown.</t>
        </is>
      </c>
      <c r="O5" s="17" t="n"/>
      <c r="P5" s="17" t="inlineStr">
        <is>
          <t>N/A</t>
        </is>
      </c>
      <c r="Q5" s="17" t="n"/>
      <c r="R5" s="17" t="inlineStr">
        <is>
          <t>Tender R4, PB-19, FS F4 v1.3: 2.1 step 2, T6</t>
        </is>
      </c>
      <c r="S5" s="17" t="inlineStr">
        <is>
          <t>Compare CMP-02 matches.</t>
        </is>
      </c>
      <c r="T5" s="16" t="inlineStr">
        <is>
          <t>Approve</t>
        </is>
      </c>
    </row>
    <row r="6" ht="121.5" customHeight="1" s="14">
      <c r="A6" s="16" t="inlineStr">
        <is>
          <t>TC-005</t>
        </is>
      </c>
      <c r="B6" s="16" t="inlineStr">
        <is>
          <t>TS-002</t>
        </is>
      </c>
      <c r="C6" s="17" t="inlineStr">
        <is>
          <t>Singapore PR application is SBFAS Pending for the school</t>
        </is>
      </c>
      <c r="D6" s="17" t="inlineStr">
        <is>
          <t>F4.1 Submit routing</t>
        </is>
      </c>
      <c r="E6" s="17" t="inlineStr">
        <is>
          <t>FAS applications (MOE HQ)</t>
        </is>
      </c>
      <c r="F6" s="16" t="inlineStr">
        <is>
          <t>S1 (highest)</t>
        </is>
      </c>
      <c r="G6" s="16" t="inlineStr">
        <is>
          <t>Critical</t>
        </is>
      </c>
      <c r="H6" s="16" t="inlineStr">
        <is>
          <t>Not Run</t>
        </is>
      </c>
      <c r="I6" s="16" t="inlineStr">
        <is>
          <t>Functional</t>
        </is>
      </c>
      <c r="J6" s="17" t="inlineStr">
        <is>
          <t>Prototype: edusave.vercel.app (sample date 18/10/2026)
Chrome (latest)
Build: to be recorded at execution
Needs: ENV-R4-01, SEED-R4-N9</t>
        </is>
      </c>
      <c r="K6" s="17" t="inlineStr">
        <is>
          <t>1. The prototype is open at the base state (use Reset data).
2. Signed in as MOE HQ (Mei Lin Tan).</t>
        </is>
      </c>
      <c r="L6" s="17" t="inlineStr">
        <is>
          <t>Application: a Singapore PR student with an application made while the MOEFAS form is open (SEED-R4-N9)</t>
        </is>
      </c>
      <c r="M6" s="17" t="inlineStr">
        <is>
          <t>1. Open FAS applications.
2. Find the application of the PR student.
3. Open View and read the History.</t>
        </is>
      </c>
      <c r="N6" s="17" t="inlineStr">
        <is>
          <t>1. Scheme is SBFAS and Status is Pending for the student's school.
2. The History has the row "SBFAS application (not eligible for MOEFAS by nationality)".</t>
        </is>
      </c>
      <c r="O6" s="17" t="n"/>
      <c r="P6" s="17" t="inlineStr">
        <is>
          <t>N/A</t>
        </is>
      </c>
      <c r="Q6" s="17" t="n"/>
      <c r="R6" s="17" t="inlineStr">
        <is>
          <t>Tender R4, PB-19, FS F4 v1.3: 2.1 step 2, T6</t>
        </is>
      </c>
      <c r="S6" s="17" t="n"/>
      <c r="T6" s="16" t="inlineStr">
        <is>
          <t>Approve</t>
        </is>
      </c>
    </row>
    <row r="7" ht="106.5" customHeight="1" s="14">
      <c r="A7" s="16" t="inlineStr">
        <is>
          <t>TC-006</t>
        </is>
      </c>
      <c r="B7" s="16" t="inlineStr">
        <is>
          <t>TS-002</t>
        </is>
      </c>
      <c r="C7" s="17" t="inlineStr">
        <is>
          <t>Singapore Citizen application is not routed to SBFAS at submit</t>
        </is>
      </c>
      <c r="D7" s="17" t="inlineStr">
        <is>
          <t>F4.1 Submit routing</t>
        </is>
      </c>
      <c r="E7" s="17" t="inlineStr">
        <is>
          <t>FAS applications (MOE HQ)</t>
        </is>
      </c>
      <c r="F7" s="16" t="inlineStr">
        <is>
          <t>S2</t>
        </is>
      </c>
      <c r="G7" s="16" t="inlineStr">
        <is>
          <t>High</t>
        </is>
      </c>
      <c r="H7" s="16" t="inlineStr">
        <is>
          <t>Not Run</t>
        </is>
      </c>
      <c r="I7" s="16" t="inlineStr">
        <is>
          <t>Functional</t>
        </is>
      </c>
      <c r="J7" s="17" t="inlineStr">
        <is>
          <t>Prototype: edusave.vercel.app (sample date 18/10/2026)
Chrome (latest)
Build: to be recorded at execution
Needs: ENV-R4-01</t>
        </is>
      </c>
      <c r="K7" s="17" t="inlineStr">
        <is>
          <t>1. The prototype is open at the base state (use Reset data).
2. Signed in as MOE HQ (Mei Lin Tan).</t>
        </is>
      </c>
      <c r="L7" s="17" t="inlineStr">
        <is>
          <t>Applications: APP-2026-00377, APP-2026-00412, APP-2026-00410 (all Citizens)</t>
        </is>
      </c>
      <c r="M7" s="17" t="inlineStr">
        <is>
          <t>1. Open FAS applications.
2. Filter Scheme = MOEFAS and Status = Pending.</t>
        </is>
      </c>
      <c r="N7" s="17" t="inlineStr">
        <is>
          <t>1. The three Citizen applications show Scheme MOEFAS and System check Waiting.
2. None of them shows Scheme SBFAS.</t>
        </is>
      </c>
      <c r="O7" s="17" t="n"/>
      <c r="P7" s="17" t="inlineStr">
        <is>
          <t>N/A</t>
        </is>
      </c>
      <c r="Q7" s="17" t="n"/>
      <c r="R7" s="17" t="inlineStr">
        <is>
          <t>Tender R4, PB-19, FS F4 v1.3: 2.1 step 3, 3.3 Scheme, T1</t>
        </is>
      </c>
      <c r="S7" s="17" t="n"/>
      <c r="T7" s="16" t="inlineStr">
        <is>
          <t>Approve</t>
        </is>
      </c>
    </row>
    <row r="8" ht="121.5" customHeight="1" s="14">
      <c r="A8" s="16" t="inlineStr">
        <is>
          <t>TC-007</t>
        </is>
      </c>
      <c r="B8" s="16" t="inlineStr">
        <is>
          <t>TS-003</t>
        </is>
      </c>
      <c r="C8" s="17" t="inlineStr">
        <is>
          <t>Submit is blocked when no form is open</t>
        </is>
      </c>
      <c r="D8" s="17" t="inlineStr">
        <is>
          <t>F4.1 Submit routing</t>
        </is>
      </c>
      <c r="E8" s="17" t="inlineStr">
        <is>
          <t>F10 Parent FAS application</t>
        </is>
      </c>
      <c r="F8" s="16" t="inlineStr">
        <is>
          <t>S1 (highest)</t>
        </is>
      </c>
      <c r="G8" s="16" t="inlineStr">
        <is>
          <t>Critical</t>
        </is>
      </c>
      <c r="H8" s="16" t="inlineStr">
        <is>
          <t>Not Run</t>
        </is>
      </c>
      <c r="I8" s="16" t="inlineStr">
        <is>
          <t>Integration</t>
        </is>
      </c>
      <c r="J8" s="17" t="inlineStr">
        <is>
          <t>F4 build with API (not available yet)
Chrome (latest)
Build: to be recorded at execution
Needs: ENV-R4-02, ENV-R4-04, SEED-R4-N22</t>
        </is>
      </c>
      <c r="K8" s="17" t="inlineStr">
        <is>
          <t>1. The F4 build is connected to F5 and F10.
2. Today is set to a date when neither the MOEFAS form nor the child's school SBFAS form is open (for example 01/01/2027).
3. Signed in as a Parent with a Citizen child.</t>
        </is>
      </c>
      <c r="L8" s="17" t="inlineStr">
        <is>
          <t>Today 01/01/2027
MOEFAS 2027 form closed on 31/12/2026
Next form opens on a date given by the seed (SEED-R4-N22)</t>
        </is>
      </c>
      <c r="M8" s="17" t="inlineStr">
        <is>
          <t>1. Open the FAS application in F10.
2. Fill the form and submit.</t>
        </is>
      </c>
      <c r="N8" s="17" t="inlineStr">
        <is>
          <t>1. The submit is blocked.
2. The screen shows "the FAS application form is closed (next opens DD/MM/YYYY)" with the next opening date.
3. No application is created and nothing appears in F4.</t>
        </is>
      </c>
      <c r="O8" s="17" t="n"/>
      <c r="P8" s="17" t="inlineStr">
        <is>
          <t>N/A</t>
        </is>
      </c>
      <c r="Q8" s="17" t="n"/>
      <c r="R8" s="17" t="inlineStr">
        <is>
          <t>Tender R4, PB-19, FS F4 v1.3: 2.1 step 1, BR1, T2</t>
        </is>
      </c>
      <c r="S8" s="17" t="inlineStr">
        <is>
          <t>F5 and F10 are other functions. Only the result is read in F4.</t>
        </is>
      </c>
      <c r="T8" s="16" t="inlineStr">
        <is>
          <t>Approve</t>
        </is>
      </c>
    </row>
    <row r="9" ht="106.5" customHeight="1" s="14">
      <c r="A9" s="16" t="inlineStr">
        <is>
          <t>TC-008</t>
        </is>
      </c>
      <c r="B9" s="16" t="inlineStr">
        <is>
          <t>TS-003</t>
        </is>
      </c>
      <c r="C9" s="17" t="inlineStr">
        <is>
          <t>Submit is allowed when only the school SBFAS form is open</t>
        </is>
      </c>
      <c r="D9" s="17" t="inlineStr">
        <is>
          <t>F4.1 Submit routing</t>
        </is>
      </c>
      <c r="E9" s="17" t="inlineStr">
        <is>
          <t>F5 Paper applications</t>
        </is>
      </c>
      <c r="F9" s="16" t="inlineStr">
        <is>
          <t>S2</t>
        </is>
      </c>
      <c r="G9" s="16" t="inlineStr">
        <is>
          <t>High</t>
        </is>
      </c>
      <c r="H9" s="16" t="inlineStr">
        <is>
          <t>Not Run</t>
        </is>
      </c>
      <c r="I9" s="16" t="inlineStr">
        <is>
          <t>Integration</t>
        </is>
      </c>
      <c r="J9" s="17" t="inlineStr">
        <is>
          <t>F4 build with API (not available yet)
Chrome (latest)
Build: to be recorded at execution
Needs: ENV-R4-02, ENV-R4-04, SEED-R4-N22</t>
        </is>
      </c>
      <c r="K9" s="17" t="inlineStr">
        <is>
          <t>1. The F4 build is connected to F5 and F10.
2. Today is set so the MOEFAS form is closed and the child's school SBFAS form is open.
3. Signed in as a School user entering a paper application.</t>
        </is>
      </c>
      <c r="L9" s="17" t="inlineStr">
        <is>
          <t>Student: a Singapore PR student of Bukit View Primary
School SBFAS form open, MOEFAS form closed (SEED-R4-N22)</t>
        </is>
      </c>
      <c r="M9" s="17" t="inlineStr">
        <is>
          <t>1. Enter the paper application for the PR student.
2. Submit.
3. Open FAS applications as the school.</t>
        </is>
      </c>
      <c r="N9" s="17" t="inlineStr">
        <is>
          <t>1. The submit is accepted.
2. An SBFAS application with Status Pending appears in the school list.</t>
        </is>
      </c>
      <c r="O9" s="17" t="n"/>
      <c r="P9" s="17" t="inlineStr">
        <is>
          <t>N/A</t>
        </is>
      </c>
      <c r="Q9" s="17" t="n"/>
      <c r="R9" s="17" t="inlineStr">
        <is>
          <t>Tender R4, PB-19, FS F4 v1.3: 2.1 step 1, BR1</t>
        </is>
      </c>
      <c r="S9" s="17" t="n"/>
      <c r="T9" s="16" t="inlineStr">
        <is>
          <t>Approve</t>
        </is>
      </c>
    </row>
    <row r="10" ht="92.25" customHeight="1" s="14">
      <c r="A10" s="16" t="inlineStr">
        <is>
          <t>TC-009</t>
        </is>
      </c>
      <c r="B10" s="16" t="inlineStr">
        <is>
          <t>TS-003</t>
        </is>
      </c>
      <c r="C10" s="17" t="inlineStr">
        <is>
          <t>Submit is allowed while the MOEFAS form is open and the application waits</t>
        </is>
      </c>
      <c r="D10" s="17" t="inlineStr">
        <is>
          <t>F4.1 Submit routing</t>
        </is>
      </c>
      <c r="E10" s="17" t="inlineStr">
        <is>
          <t>F10 Parent FAS application</t>
        </is>
      </c>
      <c r="F10" s="16" t="inlineStr">
        <is>
          <t>S2</t>
        </is>
      </c>
      <c r="G10" s="16" t="inlineStr">
        <is>
          <t>High</t>
        </is>
      </c>
      <c r="H10" s="16" t="inlineStr">
        <is>
          <t>Not Run</t>
        </is>
      </c>
      <c r="I10" s="16" t="inlineStr">
        <is>
          <t>Integration</t>
        </is>
      </c>
      <c r="J10" s="17" t="inlineStr">
        <is>
          <t>F4 build with API (not available yet)
Chrome (latest)
Build: to be recorded at execution
Needs: ENV-R4-02</t>
        </is>
      </c>
      <c r="K10" s="17" t="inlineStr">
        <is>
          <t>1. The F4 build is connected to F5 and F10.
2. Today is 18/10/2026 and the MOEFAS 2027 form is Open.
3. Signed in as a Parent with a Citizen child.</t>
        </is>
      </c>
      <c r="L10" s="17" t="inlineStr">
        <is>
          <t>Child: a Singapore Citizen student of Bukit View Primary</t>
        </is>
      </c>
      <c r="M10" s="17" t="inlineStr">
        <is>
          <t>1. Submit a FAS application in F10.
2. Open FAS applications as MOE HQ and find the new application.</t>
        </is>
      </c>
      <c r="N10" s="17" t="inlineStr">
        <is>
          <t>1. The application is MOEFAS, linked to MOEFAS 2027, Status Pending and System check Waiting.
2. The History has "Submitted" and "Waiting for the MOEFAS form to close on 31/12/2026".</t>
        </is>
      </c>
      <c r="O10" s="17" t="n"/>
      <c r="P10" s="17" t="inlineStr">
        <is>
          <t>N/A</t>
        </is>
      </c>
      <c r="Q10" s="17" t="n"/>
      <c r="R10" s="17" t="inlineStr">
        <is>
          <t>Tender R4, PB-19, FS F4 v1.3: 2.1 step 1, 2.1 step 3, BR1, T1</t>
        </is>
      </c>
      <c r="S10" s="17" t="n"/>
      <c r="T10" s="16" t="inlineStr">
        <is>
          <t>Approve</t>
        </is>
      </c>
    </row>
    <row r="11" ht="282" customHeight="1" s="14">
      <c r="A11" s="16" t="inlineStr">
        <is>
          <t>TC-010</t>
        </is>
      </c>
      <c r="B11" s="16" t="inlineStr">
        <is>
          <t>TS-004</t>
        </is>
      </c>
      <c r="C11" s="17" t="inlineStr">
        <is>
          <t>Closing the form ranks the waiting applications by lowest PCI first</t>
        </is>
      </c>
      <c r="D11" s="17" t="inlineStr">
        <is>
          <t>F4.2 MOEFAS ranking and assessment</t>
        </is>
      </c>
      <c r="E11" s="17" t="inlineStr">
        <is>
          <t>MOEFAS schemes (MOE HQ)</t>
        </is>
      </c>
      <c r="F11" s="16" t="inlineStr">
        <is>
          <t>S1 (highest)</t>
        </is>
      </c>
      <c r="G11" s="16" t="inlineStr">
        <is>
          <t>Critical</t>
        </is>
      </c>
      <c r="H11" s="16" t="inlineStr">
        <is>
          <t>Not Run</t>
        </is>
      </c>
      <c r="I11" s="16" t="inlineStr">
        <is>
          <t>Functional</t>
        </is>
      </c>
      <c r="J11" s="17" t="inlineStr">
        <is>
          <t>Prototype: edusave.vercel.app (sample date 18/10/2026)
Chrome (latest)
Build: to be recorded at execution
Needs: ENV-R4-01</t>
        </is>
      </c>
      <c r="K11" s="17" t="inlineStr">
        <is>
          <t>1. The prototype is open at the base state (use Reset data).
2. Signed in as MOE HQ (Mei Lin Tan).</t>
        </is>
      </c>
      <c r="L11" s="17" t="inlineStr">
        <is>
          <t>Scheme: MOEFAS 2027 (3 waiting)
Applications: 00377 (PCI 1,030.00), 00412 (PCI 1,087.50), 00410 (PCI 1,300.00)</t>
        </is>
      </c>
      <c r="M11" s="17" t="inlineStr">
        <is>
          <t>1. Open MOEFAS schemes.
2. Read the Application form cell of MOEFAS 2027.
3. Click Close form now (demo) and read the dialog.
4. Click Close form and assess.
5. Open View on 00377, 00412 and 00410 and read their History.</t>
        </is>
      </c>
      <c r="N11" s="17" t="inlineStr">
        <is>
          <t>1. Before: the form cell shows "Open" and "3 waiting".
2. The dialog "Close the application form now?" (DEMO ONLY · MOEFAS 2027) says the form closes today and no more MOEFAS applications are accepted.
3. It says the system ranks the 3 waiting applications by lowest per capita income first, then lowest household income, then earliest submitted.
4. It says rules met means approved from 01/01/2027 and not met means the school's SBFAS if the parent agreed, otherwise rejected.
5. A toast reads "Form closed. Applications were ranked by need and assessed."
6. The History of 00377 has "Form closed · priority 1 of 3 (lowest per capita income first)".
7. The History of 00412 has priority 2 of 3 and the History of 00410 has priority 3 of 3.</t>
        </is>
      </c>
      <c r="O11" s="17" t="n"/>
      <c r="P11" s="17" t="inlineStr">
        <is>
          <t>N/A</t>
        </is>
      </c>
      <c r="Q11" s="17" t="n"/>
      <c r="R11" s="17" t="inlineStr">
        <is>
          <t>Tender R4, PB-19, FS F4 v1.3: 2.2 step 1, 2.2 step 2, BR2, T3, 7.5</t>
        </is>
      </c>
      <c r="S11" s="17" t="inlineStr">
        <is>
          <t>Compare CMP-03 matches. In production the same processing runs by itself at the end of Form closes.</t>
        </is>
      </c>
      <c r="T11" s="16" t="inlineStr">
        <is>
          <t>Approve</t>
        </is>
      </c>
    </row>
    <row r="12" ht="106.5" customHeight="1" s="14">
      <c r="A12" s="16" t="inlineStr">
        <is>
          <t>TC-011</t>
        </is>
      </c>
      <c r="B12" s="16" t="inlineStr">
        <is>
          <t>TS-004</t>
        </is>
      </c>
      <c r="C12" s="17" t="inlineStr">
        <is>
          <t>Priority n of N is saved and shown in the Decision block</t>
        </is>
      </c>
      <c r="D12" s="17" t="inlineStr">
        <is>
          <t>F4.2 MOEFAS ranking and assessment</t>
        </is>
      </c>
      <c r="E12" s="17" t="inlineStr">
        <is>
          <t>Review drawer (MOE HQ)</t>
        </is>
      </c>
      <c r="F12" s="16" t="inlineStr">
        <is>
          <t>S2</t>
        </is>
      </c>
      <c r="G12" s="16" t="inlineStr">
        <is>
          <t>High</t>
        </is>
      </c>
      <c r="H12" s="16" t="inlineStr">
        <is>
          <t>Not Run</t>
        </is>
      </c>
      <c r="I12" s="16" t="inlineStr">
        <is>
          <t>Functional</t>
        </is>
      </c>
      <c r="J12" s="17" t="inlineStr">
        <is>
          <t>Prototype: edusave.vercel.app (sample date 18/10/2026)
Chrome (latest)
Build: to be recorded at execution
Needs: ENV-R4-01</t>
        </is>
      </c>
      <c r="K12" s="17" t="inlineStr">
        <is>
          <t>1. The prototype is open at the base state (use Reset data).
2. Signed in as MOE HQ (Mei Lin Tan).
3. The MOEFAS 2027 form was closed with Close form now (demo), so the 3 waiting applications are assessed.</t>
        </is>
      </c>
      <c r="L12" s="17" t="inlineStr">
        <is>
          <t>Application: APP-2026-00377 (priority 1 of 3)</t>
        </is>
      </c>
      <c r="M12" s="17" t="inlineStr">
        <is>
          <t>1. Open FAS applications and click View on 00377.
2. Read the Decision block.</t>
        </is>
      </c>
      <c r="N12" s="17" t="inlineStr">
        <is>
          <t>1. The Decision block shows "Priority" with "1 of 3 (lowest per capita income first)".</t>
        </is>
      </c>
      <c r="O12" s="17" t="n"/>
      <c r="P12" s="17" t="inlineStr">
        <is>
          <t>N/A</t>
        </is>
      </c>
      <c r="Q12" s="17" t="n"/>
      <c r="R12" s="17" t="inlineStr">
        <is>
          <t>Tender R4, PB-19, FS F4 v1.3: 2.2 step 2, 4 Decision, T3</t>
        </is>
      </c>
      <c r="S12" s="17" t="n"/>
      <c r="T12" s="16" t="inlineStr">
        <is>
          <t>Approve</t>
        </is>
      </c>
    </row>
    <row r="13" ht="106.5" customHeight="1" s="14">
      <c r="A13" s="16" t="inlineStr">
        <is>
          <t>TC-012</t>
        </is>
      </c>
      <c r="B13" s="16" t="inlineStr">
        <is>
          <t>TS-004</t>
        </is>
      </c>
      <c r="C13" s="17" t="inlineStr">
        <is>
          <t>Only waiting MOEFAS applications of the closing scheme are ranked</t>
        </is>
      </c>
      <c r="D13" s="17" t="inlineStr">
        <is>
          <t>F4.2 MOEFAS ranking and assessment</t>
        </is>
      </c>
      <c r="E13" s="17" t="inlineStr">
        <is>
          <t>FAS applications (MOE HQ)</t>
        </is>
      </c>
      <c r="F13" s="16" t="inlineStr">
        <is>
          <t>S1 (highest)</t>
        </is>
      </c>
      <c r="G13" s="16" t="inlineStr">
        <is>
          <t>High</t>
        </is>
      </c>
      <c r="H13" s="16" t="inlineStr">
        <is>
          <t>Not Run</t>
        </is>
      </c>
      <c r="I13" s="16" t="inlineStr">
        <is>
          <t>Functional</t>
        </is>
      </c>
      <c r="J13" s="17" t="inlineStr">
        <is>
          <t>Prototype: edusave.vercel.app (sample date 18/10/2026)
Chrome (latest)
Build: to be recorded at execution
Needs: ENV-R4-01</t>
        </is>
      </c>
      <c r="K13" s="17" t="inlineStr">
        <is>
          <t>1. The prototype is open at the base state (use Reset data).
2. Signed in as MOE HQ (Mei Lin Tan).
3. The MOEFAS 2027 form was closed with Close form now (demo), so the 3 waiting applications are assessed.</t>
        </is>
      </c>
      <c r="L13" s="17" t="inlineStr">
        <is>
          <t>Unchanged applications: 00390, 00381, 00328, 00301 (MOEFAS decided earlier), 00398, 00386 (SBFAS)</t>
        </is>
      </c>
      <c r="M13" s="17" t="inlineStr">
        <is>
          <t>1. Open FAS applications.
2. Open View on 00390 and 00328.
3. Check the status of 00398 and 00386.</t>
        </is>
      </c>
      <c r="N13" s="17" t="inlineStr">
        <is>
          <t>1. 00390 still shows "Priority 1 of 4" and 00328 still shows "Priority 4 of 4".
2. 00398 is still SBFAS Pending and 00386 is still SBFAS Approved Tier 3.
3. No decided application gets a new History row.</t>
        </is>
      </c>
      <c r="O13" s="17" t="n"/>
      <c r="P13" s="17" t="inlineStr">
        <is>
          <t>N/A</t>
        </is>
      </c>
      <c r="Q13" s="17" t="n"/>
      <c r="R13" s="17" t="inlineStr">
        <is>
          <t>Tender R4, PB-19, FS F4 v1.3: 2.2 step 1, 2.2 step 2, BR2</t>
        </is>
      </c>
      <c r="S13" s="17" t="n"/>
      <c r="T13" s="16" t="inlineStr">
        <is>
          <t>Approve</t>
        </is>
      </c>
    </row>
    <row r="14" ht="121.5" customHeight="1" s="14">
      <c r="A14" s="16" t="inlineStr">
        <is>
          <t>TC-013</t>
        </is>
      </c>
      <c r="B14" s="16" t="inlineStr">
        <is>
          <t>TS-004</t>
        </is>
      </c>
      <c r="C14" s="17" t="inlineStr">
        <is>
          <t>A form with one waiting application ranks 1 of 1</t>
        </is>
      </c>
      <c r="D14" s="17" t="inlineStr">
        <is>
          <t>F4.2 MOEFAS ranking and assessment</t>
        </is>
      </c>
      <c r="E14" s="17" t="inlineStr">
        <is>
          <t>MOEFAS schemes (MOE HQ)</t>
        </is>
      </c>
      <c r="F14" s="16" t="inlineStr">
        <is>
          <t>S2</t>
        </is>
      </c>
      <c r="G14" s="16" t="inlineStr">
        <is>
          <t>Medium</t>
        </is>
      </c>
      <c r="H14" s="16" t="inlineStr">
        <is>
          <t>Not Run</t>
        </is>
      </c>
      <c r="I14" s="16" t="inlineStr">
        <is>
          <t>Functional</t>
        </is>
      </c>
      <c r="J14" s="17" t="inlineStr">
        <is>
          <t>Prototype: edusave.vercel.app (sample date 18/10/2026)
Chrome (latest)
Build: to be recorded at execution
Needs: ENV-R4-01, SEED-R4-N11</t>
        </is>
      </c>
      <c r="K14" s="17" t="inlineStr">
        <is>
          <t>1. The prototype is open at the base state (use Reset data).
2. Signed in as MOE HQ (Mei Lin Tan).</t>
        </is>
      </c>
      <c r="L14" s="17" t="inlineStr">
        <is>
          <t>Scheme with exactly one waiting application (SEED-R4-N11)</t>
        </is>
      </c>
      <c r="M14" s="17" t="inlineStr">
        <is>
          <t>1. Open MOEFAS schemes and read the waiting count of that scheme.
2. Click Close form now (demo) and confirm.
3. Open View on the application.</t>
        </is>
      </c>
      <c r="N14" s="17" t="inlineStr">
        <is>
          <t>1. The waiting count is 1.
2. The History has "Form closed · priority 1 of 1 (lowest per capita income first)".
3. The application is assessed (Approved, SBFAS Pending or Rejected by its limits and the parent choice).</t>
        </is>
      </c>
      <c r="O14" s="17" t="n"/>
      <c r="P14" s="17" t="inlineStr">
        <is>
          <t>N/A</t>
        </is>
      </c>
      <c r="Q14" s="17" t="n"/>
      <c r="R14" s="17" t="inlineStr">
        <is>
          <t>Tender R4, PB-19, FS F4 v1.3: 2.2 step 2, T3</t>
        </is>
      </c>
      <c r="S14" s="17" t="n"/>
      <c r="T14" s="16" t="inlineStr">
        <is>
          <t>Approve</t>
        </is>
      </c>
    </row>
    <row r="15" ht="106.5" customHeight="1" s="14">
      <c r="A15" s="16" t="inlineStr">
        <is>
          <t>TC-014</t>
        </is>
      </c>
      <c r="B15" s="16" t="inlineStr">
        <is>
          <t>TS-004</t>
        </is>
      </c>
      <c r="C15" s="17" t="inlineStr">
        <is>
          <t>Closing a form with no waiting application changes nothing</t>
        </is>
      </c>
      <c r="D15" s="17" t="inlineStr">
        <is>
          <t>F4.2 MOEFAS ranking and assessment</t>
        </is>
      </c>
      <c r="E15" s="17" t="inlineStr">
        <is>
          <t>MOEFAS schemes (MOE HQ)</t>
        </is>
      </c>
      <c r="F15" s="16" t="inlineStr">
        <is>
          <t>S3</t>
        </is>
      </c>
      <c r="G15" s="16" t="inlineStr">
        <is>
          <t>Medium</t>
        </is>
      </c>
      <c r="H15" s="16" t="inlineStr">
        <is>
          <t>Not Run</t>
        </is>
      </c>
      <c r="I15" s="16" t="inlineStr">
        <is>
          <t>Functional</t>
        </is>
      </c>
      <c r="J15" s="17" t="inlineStr">
        <is>
          <t>Prototype: edusave.vercel.app (sample date 18/10/2026)
Chrome (latest)
Build: to be recorded at execution
Needs: ENV-R4-01</t>
        </is>
      </c>
      <c r="K15" s="17" t="inlineStr">
        <is>
          <t>1. The prototype is open at the base state (use Reset data).
2. Signed in as MOE HQ (Mei Lin Tan).
3. The MOEFAS 2027 form was closed with Close form now (demo), so the 3 waiting applications are assessed.</t>
        </is>
      </c>
      <c r="L15" s="17" t="inlineStr">
        <is>
          <t>Scheme: MOEFAS 2027 (already assessed, 0 waiting)</t>
        </is>
      </c>
      <c r="M15" s="17" t="inlineStr">
        <is>
          <t>1. Open MOEFAS schemes.
2. If Close form now (demo) is shown, click it and read the dialog.
3. Confirm.
4. Open FAS applications and compare the rows with the state before the click.</t>
        </is>
      </c>
      <c r="N15" s="17" t="inlineStr">
        <is>
          <t>1. The dialog says it ranks 0 waiting applications.
2. No application changes status and no History row is added.
3. No error is shown.</t>
        </is>
      </c>
      <c r="O15" s="17" t="n"/>
      <c r="P15" s="17" t="inlineStr">
        <is>
          <t>ASM-R4-01: The form is open through the whole Form closes date and the assessment runs at the end of that date. When the scheme shows Assessed, no more MOEFAS applications are accepted and Close form now (demo) is no longer offered.</t>
        </is>
      </c>
      <c r="Q15" s="17" t="n"/>
      <c r="R15" s="17" t="inlineStr">
        <is>
          <t>Tender R4, PB-19, FS F4 v1.3: 2.2 step 1, 2.2 step 4</t>
        </is>
      </c>
      <c r="S15" s="17" t="inlineStr">
        <is>
          <t>Compare CMP-06: the prototype still offers the button and accepts the second click.</t>
        </is>
      </c>
      <c r="T15" s="16" t="inlineStr">
        <is>
          <t>Draft</t>
        </is>
      </c>
    </row>
    <row r="16" ht="121.5" customHeight="1" s="14">
      <c r="A16" s="16" t="inlineStr">
        <is>
          <t>TC-015</t>
        </is>
      </c>
      <c r="B16" s="16" t="inlineStr">
        <is>
          <t>TS-004</t>
        </is>
      </c>
      <c r="C16" s="17" t="inlineStr">
        <is>
          <t>The form-close job runs by itself at the end of Form closes</t>
        </is>
      </c>
      <c r="D16" s="17" t="inlineStr">
        <is>
          <t>F4.2 MOEFAS ranking and assessment</t>
        </is>
      </c>
      <c r="E16" s="17" t="inlineStr">
        <is>
          <t>FAS applications (MOE HQ)</t>
        </is>
      </c>
      <c r="F16" s="16" t="inlineStr">
        <is>
          <t>S1 (highest)</t>
        </is>
      </c>
      <c r="G16" s="16" t="inlineStr">
        <is>
          <t>Critical</t>
        </is>
      </c>
      <c r="H16" s="16" t="inlineStr">
        <is>
          <t>Not Run</t>
        </is>
      </c>
      <c r="I16" s="16" t="inlineStr">
        <is>
          <t>Integration</t>
        </is>
      </c>
      <c r="J16" s="17" t="inlineStr">
        <is>
          <t>F4 build with API (not available yet)
Chrome (latest)
Build: to be recorded at execution
Needs: ENV-R4-02, ENV-R4-04</t>
        </is>
      </c>
      <c r="K16" s="17" t="inlineStr">
        <is>
          <t>1. The F4 build runs the form-close job on a schedule.
2. Today is set to 31/12/2026 before the end of the day.
3. The MOEFAS 2027 form has the 3 waiting applications of the seed.</t>
        </is>
      </c>
      <c r="L16" s="17" t="inlineStr">
        <is>
          <t>Scheme MOEFAS 2027, Form closes 31/12/2026
Applications 00377, 00412, 00410</t>
        </is>
      </c>
      <c r="M16" s="17" t="inlineStr">
        <is>
          <t>1. Check the scheme and the 3 applications at 23:00 on 31/12/2026.
2. Move the clock past the end of 31/12/2026.
3. Check the scheme and the applications again.</t>
        </is>
      </c>
      <c r="N16" s="17" t="inlineStr">
        <is>
          <t>1. At 23:00 the scheme shows "Open 3 waiting" and the applications are Pending with System check Waiting.
2. After the end of the day the scheme shows "Assessed 31/12/2026".
3. The applications show priority 1, 2 and 3 of 3 and the same outcomes as with the demo button.</t>
        </is>
      </c>
      <c r="O16" s="17" t="n"/>
      <c r="P16" s="17" t="inlineStr">
        <is>
          <t>ASM-R4-01: The form is open through the whole Form closes date and the assessment runs at the end of that date. When the scheme shows Assessed, no more MOEFAS applications are accepted and Close form now (demo) is no longer offered.</t>
        </is>
      </c>
      <c r="Q16" s="17" t="n"/>
      <c r="R16" s="17" t="inlineStr">
        <is>
          <t>Tender R4, PB-19, FS F4 v1.3: 2.2 step 1, 2.2 step 2, 2.2 step 3, 2.2 step 4, T3</t>
        </is>
      </c>
      <c r="S16" s="17" t="n"/>
      <c r="T16" s="16" t="inlineStr">
        <is>
          <t>Draft</t>
        </is>
      </c>
    </row>
    <row r="17" ht="106.5" customHeight="1" s="14">
      <c r="A17" s="16" t="inlineStr">
        <is>
          <t>TC-016</t>
        </is>
      </c>
      <c r="B17" s="16" t="inlineStr">
        <is>
          <t>TS-005</t>
        </is>
      </c>
      <c r="C17" s="17" t="inlineStr">
        <is>
          <t>Ranking follows PCI and not the submit time</t>
        </is>
      </c>
      <c r="D17" s="17" t="inlineStr">
        <is>
          <t>F4.2 MOEFAS ranking and assessment</t>
        </is>
      </c>
      <c r="E17" s="17" t="inlineStr">
        <is>
          <t>Review drawer (MOE HQ)</t>
        </is>
      </c>
      <c r="F17" s="16" t="inlineStr">
        <is>
          <t>S1 (highest)</t>
        </is>
      </c>
      <c r="G17" s="16" t="inlineStr">
        <is>
          <t>Critical</t>
        </is>
      </c>
      <c r="H17" s="16" t="inlineStr">
        <is>
          <t>Not Run</t>
        </is>
      </c>
      <c r="I17" s="16" t="inlineStr">
        <is>
          <t>Functional</t>
        </is>
      </c>
      <c r="J17" s="17" t="inlineStr">
        <is>
          <t>Prototype: edusave.vercel.app (sample date 18/10/2026)
Chrome (latest)
Build: to be recorded at execution
Needs: ENV-R4-01</t>
        </is>
      </c>
      <c r="K17" s="17" t="inlineStr">
        <is>
          <t>1. The prototype is open at the base state (use Reset data).
2. Signed in as MOE HQ (Mei Lin Tan).
3. The MOEFAS 2027 form was closed with Close form now (demo), so the 3 waiting applications are assessed.</t>
        </is>
      </c>
      <c r="L17" s="17" t="inlineStr">
        <is>
          <t>Submit order: 00410 (16/10/2026), then 00412 (17/10/2026 09:20), then 00377 (17/10/2026 10:05)
PCI order: 00377 (1,030.00), 00412 (1,087.50), 00410 (1,300.00)</t>
        </is>
      </c>
      <c r="M17" s="17" t="inlineStr">
        <is>
          <t>1. Open View on 00410, 00412 and 00377.
2. Read the priority in the History or Decision block of each.</t>
        </is>
      </c>
      <c r="N17" s="17" t="inlineStr">
        <is>
          <t>1. 00377 has priority 1 of 3, 00412 has priority 2 of 3 and 00410 has priority 3 of 3.
2. The earliest submitted application (00410) is last because its PCI is the highest.</t>
        </is>
      </c>
      <c r="O17" s="17" t="n"/>
      <c r="P17" s="17" t="inlineStr">
        <is>
          <t>N/A</t>
        </is>
      </c>
      <c r="Q17" s="17" t="n"/>
      <c r="R17" s="17" t="inlineStr">
        <is>
          <t>Tender R4, PB-19, FS F4 v1.3: 1.3 Priority rank, 2.2 step 2, BR2, T3</t>
        </is>
      </c>
      <c r="S17" s="17" t="inlineStr">
        <is>
          <t>Dates and times read from the History of each application on the prototype.</t>
        </is>
      </c>
      <c r="T17" s="16" t="inlineStr">
        <is>
          <t>Approve</t>
        </is>
      </c>
    </row>
    <row r="18" ht="121.5" customHeight="1" s="14">
      <c r="A18" s="16" t="inlineStr">
        <is>
          <t>TC-017</t>
        </is>
      </c>
      <c r="B18" s="16" t="inlineStr">
        <is>
          <t>TS-005</t>
        </is>
      </c>
      <c r="C18" s="17" t="inlineStr">
        <is>
          <t>Equal PCI: lower GHI ranks first</t>
        </is>
      </c>
      <c r="D18" s="17" t="inlineStr">
        <is>
          <t>F4.2 MOEFAS ranking and assessment</t>
        </is>
      </c>
      <c r="E18" s="17" t="inlineStr">
        <is>
          <t>Review drawer (MOE HQ)</t>
        </is>
      </c>
      <c r="F18" s="16" t="inlineStr">
        <is>
          <t>S2</t>
        </is>
      </c>
      <c r="G18" s="16" t="inlineStr">
        <is>
          <t>High</t>
        </is>
      </c>
      <c r="H18" s="16" t="inlineStr">
        <is>
          <t>Not Run</t>
        </is>
      </c>
      <c r="I18" s="16" t="inlineStr">
        <is>
          <t>Functional</t>
        </is>
      </c>
      <c r="J18" s="17" t="inlineStr">
        <is>
          <t>Prototype: edusave.vercel.app (sample date 18/10/2026)
Chrome (latest)
Build: to be recorded at execution
Needs: ENV-R4-01, SEED-R4-N5</t>
        </is>
      </c>
      <c r="K18" s="17" t="inlineStr">
        <is>
          <t>1. The prototype is open at the base state (use Reset data).
2. Signed in as MOE HQ (Mei Lin Tan).</t>
        </is>
      </c>
      <c r="L18" s="17" t="inlineStr">
        <is>
          <t>Two waiting applications with the same PCI 1,000.00:
Application A: GHI 4,000.00, household size 4
Application B: GHI 3,000.00, household size 3
(SEED-R4-N5)</t>
        </is>
      </c>
      <c r="M18" s="17" t="inlineStr">
        <is>
          <t>1. Close the MOEFAS form with Close form now (demo).
2. Open View on A and B and read the priority.</t>
        </is>
      </c>
      <c r="N18" s="17" t="inlineStr">
        <is>
          <t>1. B (GHI 3,000.00) has the lower priority number than A (GHI 4,000.00).
2. Both Histories show "Form closed · priority n of N".</t>
        </is>
      </c>
      <c r="O18" s="17" t="n"/>
      <c r="P18" s="17" t="inlineStr">
        <is>
          <t>N/A</t>
        </is>
      </c>
      <c r="Q18" s="17" t="n"/>
      <c r="R18" s="17" t="inlineStr">
        <is>
          <t>Tender R4, PB-19, FS F4 v1.3: 1.3 Priority rank, 2.2 step 2</t>
        </is>
      </c>
      <c r="S18" s="17" t="n"/>
      <c r="T18" s="16" t="inlineStr">
        <is>
          <t>Approve</t>
        </is>
      </c>
    </row>
    <row r="19" ht="121.5" customHeight="1" s="14">
      <c r="A19" s="16" t="inlineStr">
        <is>
          <t>TC-018</t>
        </is>
      </c>
      <c r="B19" s="16" t="inlineStr">
        <is>
          <t>TS-005</t>
        </is>
      </c>
      <c r="C19" s="17" t="inlineStr">
        <is>
          <t>Equal PCI and GHI: earliest submitted ranks first</t>
        </is>
      </c>
      <c r="D19" s="17" t="inlineStr">
        <is>
          <t>F4.2 MOEFAS ranking and assessment</t>
        </is>
      </c>
      <c r="E19" s="17" t="inlineStr">
        <is>
          <t>Review drawer (MOE HQ)</t>
        </is>
      </c>
      <c r="F19" s="16" t="inlineStr">
        <is>
          <t>S2</t>
        </is>
      </c>
      <c r="G19" s="16" t="inlineStr">
        <is>
          <t>High</t>
        </is>
      </c>
      <c r="H19" s="16" t="inlineStr">
        <is>
          <t>Not Run</t>
        </is>
      </c>
      <c r="I19" s="16" t="inlineStr">
        <is>
          <t>Functional</t>
        </is>
      </c>
      <c r="J19" s="17" t="inlineStr">
        <is>
          <t>Prototype: edusave.vercel.app (sample date 18/10/2026)
Chrome (latest)
Build: to be recorded at execution
Needs: ENV-R4-01, SEED-R4-N6</t>
        </is>
      </c>
      <c r="K19" s="17" t="inlineStr">
        <is>
          <t>1. The prototype is open at the base state (use Reset data).
2. Signed in as MOE HQ (Mei Lin Tan).</t>
        </is>
      </c>
      <c r="L19" s="17" t="inlineStr">
        <is>
          <t>Two waiting applications with PCI 1,000.00 and GHI 4,000.00:
Application C submitted 10/10/2026 09:00
Application D submitted 10/10/2026 09:30
(SEED-R4-N6)</t>
        </is>
      </c>
      <c r="M19" s="17" t="inlineStr">
        <is>
          <t>1. Close the MOEFAS form with Close form now (demo).
2. Open View on C and D and read the priority.</t>
        </is>
      </c>
      <c r="N19" s="17" t="inlineStr">
        <is>
          <t>1. C has the lower priority number than D.</t>
        </is>
      </c>
      <c r="O19" s="17" t="n"/>
      <c r="P19" s="17" t="inlineStr">
        <is>
          <t>N/A</t>
        </is>
      </c>
      <c r="Q19" s="17" t="n"/>
      <c r="R19" s="17" t="inlineStr">
        <is>
          <t>Tender R4, PB-19, FS F4 v1.3: 1.3 Priority rank, 2.2 step 2</t>
        </is>
      </c>
      <c r="S19" s="17" t="n"/>
      <c r="T19" s="16" t="inlineStr">
        <is>
          <t>Approve</t>
        </is>
      </c>
    </row>
    <row r="20" ht="121.5" customHeight="1" s="14">
      <c r="A20" s="16" t="inlineStr">
        <is>
          <t>TC-019</t>
        </is>
      </c>
      <c r="B20" s="16" t="inlineStr">
        <is>
          <t>TS-005</t>
        </is>
      </c>
      <c r="C20" s="17" t="inlineStr">
        <is>
          <t>Equal PCI, GHI and submit time still gives one stable order</t>
        </is>
      </c>
      <c r="D20" s="17" t="inlineStr">
        <is>
          <t>F4.2 MOEFAS ranking and assessment</t>
        </is>
      </c>
      <c r="E20" s="17" t="inlineStr">
        <is>
          <t>Review drawer (MOE HQ)</t>
        </is>
      </c>
      <c r="F20" s="16" t="inlineStr">
        <is>
          <t>S3</t>
        </is>
      </c>
      <c r="G20" s="16" t="inlineStr">
        <is>
          <t>Medium</t>
        </is>
      </c>
      <c r="H20" s="16" t="inlineStr">
        <is>
          <t>Not Run</t>
        </is>
      </c>
      <c r="I20" s="16" t="inlineStr">
        <is>
          <t>Functional</t>
        </is>
      </c>
      <c r="J20" s="17" t="inlineStr">
        <is>
          <t>Prototype: edusave.vercel.app (sample date 18/10/2026)
Chrome (latest)
Build: to be recorded at execution
Needs: ENV-R4-01, SEED-R4-N23</t>
        </is>
      </c>
      <c r="K20" s="17" t="inlineStr">
        <is>
          <t>1. The prototype is open at the base state (use Reset data).
2. Signed in as MOE HQ (Mei Lin Tan).</t>
        </is>
      </c>
      <c r="L20" s="17" t="inlineStr">
        <is>
          <t>Two waiting applications with the same PCI, GHI and submit time (SEED-R4-N23)</t>
        </is>
      </c>
      <c r="M20" s="17" t="inlineStr">
        <is>
          <t>1. Close the MOEFAS form with Close form now (demo).
2. Open View on both and read the priority.</t>
        </is>
      </c>
      <c r="N20" s="17" t="inlineStr">
        <is>
          <t>1. The two applications get different priorities, for example 1 of 2 and 2 of 2.
2. The lower Application ID has the lower priority number.
3. Repeating the setup gives the same order.</t>
        </is>
      </c>
      <c r="O20" s="17" t="n"/>
      <c r="P20" s="17" t="inlineStr">
        <is>
          <t>ASM-R4-02: Ranking uses the exact PCI (GHI divided by household size). Earliest submitted uses date and time. When all three are equal the lower Application ID ranks first.</t>
        </is>
      </c>
      <c r="Q20" s="17" t="n"/>
      <c r="R20" s="17" t="inlineStr">
        <is>
          <t>Tender R4, PB-19, FS F4 v1.3: 2.2 step 2</t>
        </is>
      </c>
      <c r="S20" s="17" t="n"/>
      <c r="T20" s="16" t="inlineStr">
        <is>
          <t>Draft</t>
        </is>
      </c>
    </row>
    <row r="21" ht="121.5" customHeight="1" s="14">
      <c r="A21" s="16" t="inlineStr">
        <is>
          <t>TC-020</t>
        </is>
      </c>
      <c r="B21" s="16" t="inlineStr">
        <is>
          <t>TS-005</t>
        </is>
      </c>
      <c r="C21" s="17" t="inlineStr">
        <is>
          <t>Ranking uses the exact PCI and not the rounded display</t>
        </is>
      </c>
      <c r="D21" s="17" t="inlineStr">
        <is>
          <t>F4.2 MOEFAS ranking and assessment</t>
        </is>
      </c>
      <c r="E21" s="17" t="inlineStr">
        <is>
          <t>Review drawer (MOE HQ)</t>
        </is>
      </c>
      <c r="F21" s="16" t="inlineStr">
        <is>
          <t>S2</t>
        </is>
      </c>
      <c r="G21" s="16" t="inlineStr">
        <is>
          <t>High</t>
        </is>
      </c>
      <c r="H21" s="16" t="inlineStr">
        <is>
          <t>Not Run</t>
        </is>
      </c>
      <c r="I21" s="16" t="inlineStr">
        <is>
          <t>Functional</t>
        </is>
      </c>
      <c r="J21" s="17" t="inlineStr">
        <is>
          <t>Prototype: edusave.vercel.app (sample date 18/10/2026)
Chrome (latest)
Build: to be recorded at execution
Needs: ENV-R4-01, SEED-R4-N12</t>
        </is>
      </c>
      <c r="K21" s="17" t="inlineStr">
        <is>
          <t>1. The prototype is open at the base state (use Reset data).
2. Signed in as MOE HQ (Mei Lin Tan).</t>
        </is>
      </c>
      <c r="L21" s="17" t="inlineStr">
        <is>
          <t>Application E: GHI 6,525.00, household size 6, PCI 1,087.50 (1,088 when rounded)
Application F: GHI 4,352.00, household size 4, PCI 1,088.00
(SEED-R4-N12)</t>
        </is>
      </c>
      <c r="M21" s="17" t="inlineStr">
        <is>
          <t>1. Close the MOEFAS form with Close form now (demo).
2. Open View on E and F and read the priority.</t>
        </is>
      </c>
      <c r="N21" s="17" t="inlineStr">
        <is>
          <t>1. E has the lower priority number than F because 1,087.50 is lower than 1,088.00.
2. If the rounded values were used, F would rank first because its GHI is lower.</t>
        </is>
      </c>
      <c r="O21" s="17" t="n"/>
      <c r="P21" s="17" t="inlineStr">
        <is>
          <t>ASM-R4-02: Ranking uses the exact PCI (GHI divided by household size). Earliest submitted uses date and time. When all three are equal the lower Application ID ranks first.</t>
        </is>
      </c>
      <c r="Q21" s="17" t="n"/>
      <c r="R21" s="17" t="inlineStr">
        <is>
          <t>Tender R4, PB-19, FS F4 v1.3: 1.3 Priority rank, 2.2 step 2</t>
        </is>
      </c>
      <c r="S21" s="17" t="n"/>
      <c r="T21" s="16" t="inlineStr">
        <is>
          <t>Draft</t>
        </is>
      </c>
    </row>
    <row r="22" ht="135.75" customHeight="1" s="14">
      <c r="A22" s="16" t="inlineStr">
        <is>
          <t>TC-021</t>
        </is>
      </c>
      <c r="B22" s="16" t="inlineStr">
        <is>
          <t>TS-006</t>
        </is>
      </c>
      <c r="C22" s="17" t="inlineStr">
        <is>
          <t>A passing application is approved by the system</t>
        </is>
      </c>
      <c r="D22" s="17" t="inlineStr">
        <is>
          <t>F4.2 MOEFAS ranking and assessment</t>
        </is>
      </c>
      <c r="E22" s="17" t="inlineStr">
        <is>
          <t>Review drawer (MOE HQ)</t>
        </is>
      </c>
      <c r="F22" s="16" t="inlineStr">
        <is>
          <t>S1 (highest)</t>
        </is>
      </c>
      <c r="G22" s="16" t="inlineStr">
        <is>
          <t>Critical</t>
        </is>
      </c>
      <c r="H22" s="16" t="inlineStr">
        <is>
          <t>Not Run</t>
        </is>
      </c>
      <c r="I22" s="16" t="inlineStr">
        <is>
          <t>Functional</t>
        </is>
      </c>
      <c r="J22" s="17" t="inlineStr">
        <is>
          <t>Prototype: edusave.vercel.app (sample date 18/10/2026)
Chrome (latest)
Build: to be recorded at execution
Needs: ENV-R4-01</t>
        </is>
      </c>
      <c r="K22" s="17" t="inlineStr">
        <is>
          <t>1. The prototype is open at the base state (use Reset data).
2. Signed in as MOE HQ (Mei Lin Tan).
3. The MOEFAS 2027 form was closed with Close form now (demo), so the 3 waiting applications are assessed.</t>
        </is>
      </c>
      <c r="L22" s="17" t="inlineStr">
        <is>
          <t>Application: APP-2026-00377 (Nur Aisyah, GHI 4,120.00, PCI 1,030.00)
Scheme MOEFAS 2027 limits: GHI up to S$ 4,200.00 or PCI up to S$ 1,050.00</t>
        </is>
      </c>
      <c r="M22" s="17" t="inlineStr">
        <is>
          <t>1. Open FAS applications and read the row of 00377.
2. Open View and read the Decision block.</t>
        </is>
      </c>
      <c r="N22" s="17" t="inlineStr">
        <is>
          <t>1. The row shows Status Approved, System check Pass, Tier and ML recommendation as a dash.
2. The Decision block shows Result Approved and "Granted · MOEFAS (MOEFAS 2027) · from 01/01/2027".
3. It shows Priority "1 of 3 (lowest per capita income first)".
4. Decided by shows "System (auto-approved)" with the date 18/10/2026 and a time in HH:mm.</t>
        </is>
      </c>
      <c r="O22" s="17" t="n"/>
      <c r="P22" s="17" t="inlineStr">
        <is>
          <t>N/A</t>
        </is>
      </c>
      <c r="Q22" s="17" t="n"/>
      <c r="R22" s="17" t="inlineStr">
        <is>
          <t>Tender R4, PB-19, FS F4 v1.3: 2.2 step 3, 4 Decision, 3.4 System check, 3.4 Tier, 8 MOEFAS approved, T4</t>
        </is>
      </c>
      <c r="S22" s="17" t="inlineStr">
        <is>
          <t>Compare CMP-04 matches.</t>
        </is>
      </c>
      <c r="T22" s="16" t="inlineStr">
        <is>
          <t>Approve</t>
        </is>
      </c>
    </row>
    <row r="23" ht="106.5" customHeight="1" s="14">
      <c r="A23" s="16" t="inlineStr">
        <is>
          <t>TC-022</t>
        </is>
      </c>
      <c r="B23" s="16" t="inlineStr">
        <is>
          <t>TS-006</t>
        </is>
      </c>
      <c r="C23" s="17" t="inlineStr">
        <is>
          <t>History of an automatic approval lists priority, approval and the email</t>
        </is>
      </c>
      <c r="D23" s="17" t="inlineStr">
        <is>
          <t>F4.2 MOEFAS ranking and assessment</t>
        </is>
      </c>
      <c r="E23" s="17" t="inlineStr">
        <is>
          <t>Review drawer (MOE HQ)</t>
        </is>
      </c>
      <c r="F23" s="16" t="inlineStr">
        <is>
          <t>S2</t>
        </is>
      </c>
      <c r="G23" s="16" t="inlineStr">
        <is>
          <t>High</t>
        </is>
      </c>
      <c r="H23" s="16" t="inlineStr">
        <is>
          <t>Not Run</t>
        </is>
      </c>
      <c r="I23" s="16" t="inlineStr">
        <is>
          <t>Functional</t>
        </is>
      </c>
      <c r="J23" s="17" t="inlineStr">
        <is>
          <t>Prototype: edusave.vercel.app (sample date 18/10/2026)
Chrome (latest)
Build: to be recorded at execution
Needs: ENV-R4-01</t>
        </is>
      </c>
      <c r="K23" s="17" t="inlineStr">
        <is>
          <t>1. The prototype is open at the base state (use Reset data).
2. Signed in as MOE HQ (Mei Lin Tan).
3. The MOEFAS 2027 form was closed with Close form now (demo), so the 3 waiting applications are assessed.</t>
        </is>
      </c>
      <c r="L23" s="17" t="inlineStr">
        <is>
          <t>Application: APP-2026-00377</t>
        </is>
      </c>
      <c r="M23" s="17" t="inlineStr">
        <is>
          <t>1. Open View on 00377.
2. Read the History from the top.</t>
        </is>
      </c>
      <c r="N23" s="17" t="inlineStr">
        <is>
          <t>1. The History is in this order (oldest first): Submitted, "Waiting for the MOEFAS form to close on 31/12/2026", "Form closed · priority 1 of 3 (lowest per capita income first)", "MOEFAS rules met · approved automatically", "Email with result sent to parent".</t>
        </is>
      </c>
      <c r="O23" s="17" t="n"/>
      <c r="P23" s="17" t="inlineStr">
        <is>
          <t>N/A</t>
        </is>
      </c>
      <c r="Q23" s="17" t="n"/>
      <c r="R23" s="17" t="inlineStr">
        <is>
          <t>Tender R4, PB-19, FS F4 v1.3: 2.2 step 3, 8 MOEFAS approved, 4 Documents/History, T4</t>
        </is>
      </c>
      <c r="S23" s="17" t="inlineStr">
        <is>
          <t>History wording and order read from APP-2026-00377 on the prototype (compare CMP-03 and CMP-04).</t>
        </is>
      </c>
      <c r="T23" s="16" t="inlineStr">
        <is>
          <t>Approve</t>
        </is>
      </c>
    </row>
    <row r="24" ht="106.5" customHeight="1" s="14">
      <c r="A24" s="16" t="inlineStr">
        <is>
          <t>TC-023</t>
        </is>
      </c>
      <c r="B24" s="16" t="inlineStr">
        <is>
          <t>TS-006</t>
        </is>
      </c>
      <c r="C24" s="17" t="inlineStr">
        <is>
          <t>Effective from is the scheme Effective from when the scheme starts later</t>
        </is>
      </c>
      <c r="D24" s="17" t="inlineStr">
        <is>
          <t>F4.2 MOEFAS ranking and assessment</t>
        </is>
      </c>
      <c r="E24" s="17" t="inlineStr">
        <is>
          <t>Review drawer (MOE HQ)</t>
        </is>
      </c>
      <c r="F24" s="16" t="inlineStr">
        <is>
          <t>S1 (highest)</t>
        </is>
      </c>
      <c r="G24" s="16" t="inlineStr">
        <is>
          <t>High</t>
        </is>
      </c>
      <c r="H24" s="16" t="inlineStr">
        <is>
          <t>Not Run</t>
        </is>
      </c>
      <c r="I24" s="16" t="inlineStr">
        <is>
          <t>Functional</t>
        </is>
      </c>
      <c r="J24" s="17" t="inlineStr">
        <is>
          <t>Prototype: edusave.vercel.app (sample date 18/10/2026)
Chrome (latest)
Build: to be recorded at execution
Needs: ENV-R4-01</t>
        </is>
      </c>
      <c r="K24" s="17" t="inlineStr">
        <is>
          <t>1. The prototype is open at the base state (use Reset data).
2. Signed in as MOE HQ (Mei Lin Tan).
3. The MOEFAS 2027 form was closed with Close form now (demo), so the 3 waiting applications are assessed.</t>
        </is>
      </c>
      <c r="L24" s="17" t="inlineStr">
        <is>
          <t>Application: APP-2026-00377 assessed on 18/10/2026
Scheme MOEFAS 2027 Effective from 01/01/2027</t>
        </is>
      </c>
      <c r="M24" s="17" t="inlineStr">
        <is>
          <t>1. Open View on 00377.
2. Read the Effective from date in the Decision block.</t>
        </is>
      </c>
      <c r="N24" s="17" t="inlineStr">
        <is>
          <t>1. The Decision block shows "from 01/01/2027", not 18/10/2026.</t>
        </is>
      </c>
      <c r="O24" s="17" t="n"/>
      <c r="P24" s="17" t="inlineStr">
        <is>
          <t>N/A</t>
        </is>
      </c>
      <c r="Q24" s="17" t="n"/>
      <c r="R24" s="17" t="inlineStr">
        <is>
          <t>Tender R4, PB-19, FS F4 v1.3: 2.2 step 3, T4</t>
        </is>
      </c>
      <c r="S24" s="17" t="n"/>
      <c r="T24" s="16" t="inlineStr">
        <is>
          <t>Approve</t>
        </is>
      </c>
    </row>
    <row r="25" ht="106.5" customHeight="1" s="14">
      <c r="A25" s="16" t="inlineStr">
        <is>
          <t>TC-024</t>
        </is>
      </c>
      <c r="B25" s="16" t="inlineStr">
        <is>
          <t>TS-006</t>
        </is>
      </c>
      <c r="C25" s="17" t="inlineStr">
        <is>
          <t>Effective from is today when the assessment runs after the scheme start</t>
        </is>
      </c>
      <c r="D25" s="17" t="inlineStr">
        <is>
          <t>F4.2 MOEFAS ranking and assessment</t>
        </is>
      </c>
      <c r="E25" s="17" t="inlineStr">
        <is>
          <t>Review drawer (MOE HQ)</t>
        </is>
      </c>
      <c r="F25" s="16" t="inlineStr">
        <is>
          <t>S2</t>
        </is>
      </c>
      <c r="G25" s="16" t="inlineStr">
        <is>
          <t>High</t>
        </is>
      </c>
      <c r="H25" s="16" t="inlineStr">
        <is>
          <t>Not Run</t>
        </is>
      </c>
      <c r="I25" s="16" t="inlineStr">
        <is>
          <t>Integration</t>
        </is>
      </c>
      <c r="J25" s="17" t="inlineStr">
        <is>
          <t>F4 build with API (not available yet)
Chrome (latest)
Build: to be recorded at execution
Needs: ENV-R4-02, ENV-R4-04, SEED-R4-N24</t>
        </is>
      </c>
      <c r="K25" s="17" t="inlineStr">
        <is>
          <t>1. The F4 build runs the form-close job on a schedule.
2. The job is delayed until after the scheme Effective from.</t>
        </is>
      </c>
      <c r="L25" s="17" t="inlineStr">
        <is>
          <t>Scheme: Form closes 31/12/2026, Effective from 01/01/2027
The job runs on 05/01/2027 (SEED-R4-N24)
One waiting application that passes</t>
        </is>
      </c>
      <c r="M25" s="17" t="inlineStr">
        <is>
          <t>1. Set today to 05/01/2027 and run the form-close job.
2. Open View on the application.</t>
        </is>
      </c>
      <c r="N25" s="17" t="inlineStr">
        <is>
          <t>1. The Decision block shows "from 05/01/2027" (today), not 01/01/2027.</t>
        </is>
      </c>
      <c r="O25" s="17" t="n"/>
      <c r="P25" s="17" t="inlineStr">
        <is>
          <t>N/A</t>
        </is>
      </c>
      <c r="Q25" s="17" t="n"/>
      <c r="R25" s="17" t="inlineStr">
        <is>
          <t>Tender R4, PB-19, FS F4 v1.3: 2.2 step 3</t>
        </is>
      </c>
      <c r="S25" s="17" t="n"/>
      <c r="T25" s="16" t="inlineStr">
        <is>
          <t>Approve</t>
        </is>
      </c>
    </row>
    <row r="26" ht="106.5" customHeight="1" s="14">
      <c r="A26" s="16" t="inlineStr">
        <is>
          <t>TC-025</t>
        </is>
      </c>
      <c r="B26" s="16" t="inlineStr">
        <is>
          <t>TS-006</t>
        </is>
      </c>
      <c r="C26" s="17" t="inlineStr">
        <is>
          <t>Cards and tab counts update after the automatic decisions</t>
        </is>
      </c>
      <c r="D26" s="17" t="inlineStr">
        <is>
          <t>F4.2 MOEFAS ranking and assessment</t>
        </is>
      </c>
      <c r="E26" s="17" t="inlineStr">
        <is>
          <t>FAS applications (MOE HQ)</t>
        </is>
      </c>
      <c r="F26" s="16" t="inlineStr">
        <is>
          <t>S2</t>
        </is>
      </c>
      <c r="G26" s="16" t="inlineStr">
        <is>
          <t>High</t>
        </is>
      </c>
      <c r="H26" s="16" t="inlineStr">
        <is>
          <t>Not Run</t>
        </is>
      </c>
      <c r="I26" s="16" t="inlineStr">
        <is>
          <t>Functional</t>
        </is>
      </c>
      <c r="J26" s="17" t="inlineStr">
        <is>
          <t>Prototype: edusave.vercel.app (sample date 18/10/2026)
Chrome (latest)
Build: to be recorded at execution
Needs: ENV-R4-01</t>
        </is>
      </c>
      <c r="K26" s="17" t="inlineStr">
        <is>
          <t>1. The prototype is open at the base state (use Reset data).
2. Signed in as MOE HQ (Mei Lin Tan).</t>
        </is>
      </c>
      <c r="L26" s="17" t="inlineStr">
        <is>
          <t>Base state: cards 9, 3, 4, 1. Tabs Pending 4, All 9, Approved 4, Rejected 1.</t>
        </is>
      </c>
      <c r="M26" s="17" t="inlineStr">
        <is>
          <t>1. Read the cards and tabs.
2. Close the MOEFAS 2027 form with Close form now (demo).
3. Open FAS applications again and read the cards and tabs.</t>
        </is>
      </c>
      <c r="N26" s="17" t="inlineStr">
        <is>
          <t>1. Before: Total 9, MOEFAS approved 3, Approved 4, Rejected 1. Tabs Pending 4, All 9, Approved 4, Rejected 1.
2. After: Total 9, MOEFAS approved 4, Approved 5, Rejected 1. Tabs Pending 3, All 9, Approved 5, Rejected 1.</t>
        </is>
      </c>
      <c r="O26" s="17" t="n"/>
      <c r="P26" s="17" t="inlineStr">
        <is>
          <t>N/A</t>
        </is>
      </c>
      <c r="Q26" s="17" t="n"/>
      <c r="R26" s="17" t="inlineStr">
        <is>
          <t>Tender R4, PB-19, FS F4 v1.3: 3.1 item 3, 3.1 item 4, 8 Any decision</t>
        </is>
      </c>
      <c r="S26" s="17" t="inlineStr">
        <is>
          <t>Values observed on the prototype (compare CMP-09 and CMP-10).</t>
        </is>
      </c>
      <c r="T26" s="16" t="inlineStr">
        <is>
          <t>Approve</t>
        </is>
      </c>
    </row>
    <row r="27" ht="106.5" customHeight="1" s="14">
      <c r="A27" s="16" t="inlineStr">
        <is>
          <t>TC-026</t>
        </is>
      </c>
      <c r="B27" s="16" t="inlineStr">
        <is>
          <t>TS-006</t>
        </is>
      </c>
      <c r="C27" s="17" t="inlineStr">
        <is>
          <t>Automatically approved MOEFAS application is final and read only</t>
        </is>
      </c>
      <c r="D27" s="17" t="inlineStr">
        <is>
          <t>F4.2 MOEFAS ranking and assessment</t>
        </is>
      </c>
      <c r="E27" s="17" t="inlineStr">
        <is>
          <t>Review drawer (MOE HQ)</t>
        </is>
      </c>
      <c r="F27" s="16" t="inlineStr">
        <is>
          <t>S2</t>
        </is>
      </c>
      <c r="G27" s="16" t="inlineStr">
        <is>
          <t>Medium</t>
        </is>
      </c>
      <c r="H27" s="16" t="inlineStr">
        <is>
          <t>Not Run</t>
        </is>
      </c>
      <c r="I27" s="16" t="inlineStr">
        <is>
          <t>Functional</t>
        </is>
      </c>
      <c r="J27" s="17" t="inlineStr">
        <is>
          <t>Prototype: edusave.vercel.app (sample date 18/10/2026)
Chrome (latest)
Build: to be recorded at execution
Needs: ENV-R4-01</t>
        </is>
      </c>
      <c r="K27" s="17" t="inlineStr">
        <is>
          <t>1. The prototype is open at the base state (use Reset data).
2. Signed in as MOE HQ (Mei Lin Tan).
3. The MOEFAS 2027 form was closed with Close form now (demo), so the 3 waiting applications are assessed.</t>
        </is>
      </c>
      <c r="L27" s="17" t="inlineStr">
        <is>
          <t>Application: APP-2026-00377</t>
        </is>
      </c>
      <c r="M27" s="17" t="inlineStr">
        <is>
          <t>1. Open View on 00377.
2. Look for any field to edit and any Approve or Reject button.</t>
        </is>
      </c>
      <c r="N27" s="17" t="inlineStr">
        <is>
          <t>1. The drawer shows no editable field and no button other than the close X.
2. The Status stays Approved.</t>
        </is>
      </c>
      <c r="O27" s="17" t="n"/>
      <c r="P27" s="17" t="inlineStr">
        <is>
          <t>N/A</t>
        </is>
      </c>
      <c r="Q27" s="17" t="n"/>
      <c r="R27" s="17" t="inlineStr">
        <is>
          <t>Tender R4, PB-19, FS F4 v1.3: 2.4, 8 Any decision, 4 Buttons, BR2</t>
        </is>
      </c>
      <c r="S27" s="17" t="n"/>
      <c r="T27" s="16" t="inlineStr">
        <is>
          <t>Approve</t>
        </is>
      </c>
    </row>
    <row r="28" ht="106.5" customHeight="1" s="14">
      <c r="A28" s="16" t="inlineStr">
        <is>
          <t>TC-027</t>
        </is>
      </c>
      <c r="B28" s="16" t="inlineStr">
        <is>
          <t>TS-007</t>
        </is>
      </c>
      <c r="C28" s="17" t="inlineStr">
        <is>
          <t>Both GHI and PCI within the limits pass</t>
        </is>
      </c>
      <c r="D28" s="17" t="inlineStr">
        <is>
          <t>F4.2 MOEFAS ranking and assessment</t>
        </is>
      </c>
      <c r="E28" s="17" t="inlineStr">
        <is>
          <t>Review drawer (MOE HQ)</t>
        </is>
      </c>
      <c r="F28" s="16" t="inlineStr">
        <is>
          <t>S1 (highest)</t>
        </is>
      </c>
      <c r="G28" s="16" t="inlineStr">
        <is>
          <t>High</t>
        </is>
      </c>
      <c r="H28" s="16" t="inlineStr">
        <is>
          <t>Not Run</t>
        </is>
      </c>
      <c r="I28" s="16" t="inlineStr">
        <is>
          <t>Functional</t>
        </is>
      </c>
      <c r="J28" s="17" t="inlineStr">
        <is>
          <t>Prototype: edusave.vercel.app (sample date 18/10/2026)
Chrome (latest)
Build: to be recorded at execution
Needs: ENV-R4-01</t>
        </is>
      </c>
      <c r="K28" s="17" t="inlineStr">
        <is>
          <t>1. The prototype is open at the base state (use Reset data).
2. Signed in as MOE HQ (Mei Lin Tan).
3. The MOEFAS 2027 form was closed with Close form now (demo), so the 3 waiting applications are assessed.</t>
        </is>
      </c>
      <c r="L28" s="17" t="inlineStr">
        <is>
          <t>Application 00377: GHI 4,120.00 (limit 4,200.00), PCI 1,030.00 (limit 1,050.00), Singapore Citizen</t>
        </is>
      </c>
      <c r="M28" s="17" t="inlineStr">
        <is>
          <t>1. Open View on 00377.
2. Read the Eligibility check rows.</t>
        </is>
      </c>
      <c r="N28" s="17" t="inlineStr">
        <is>
          <t>1. Nationality, GHI and PCI all show Pass.
2. The application is Approved.</t>
        </is>
      </c>
      <c r="O28" s="17" t="n"/>
      <c r="P28" s="17" t="inlineStr">
        <is>
          <t>N/A</t>
        </is>
      </c>
      <c r="Q28" s="17" t="n"/>
      <c r="R28" s="17" t="inlineStr">
        <is>
          <t>Tender R4, PB-19, FS F4 v1.3: 2.2 step 3, 4 Eligibility check, 7.2 step 2</t>
        </is>
      </c>
      <c r="S28" s="17" t="n"/>
      <c r="T28" s="16" t="inlineStr">
        <is>
          <t>Approve</t>
        </is>
      </c>
    </row>
    <row r="29" ht="121.5" customHeight="1" s="14">
      <c r="A29" s="16" t="inlineStr">
        <is>
          <t>TC-028</t>
        </is>
      </c>
      <c r="B29" s="16" t="inlineStr">
        <is>
          <t>TS-007</t>
        </is>
      </c>
      <c r="C29" s="17" t="inlineStr">
        <is>
          <t>Only PCI within its limit passes when the match rule is any</t>
        </is>
      </c>
      <c r="D29" s="17" t="inlineStr">
        <is>
          <t>F4.2 MOEFAS ranking and assessment</t>
        </is>
      </c>
      <c r="E29" s="17" t="inlineStr">
        <is>
          <t>Review drawer (MOE HQ)</t>
        </is>
      </c>
      <c r="F29" s="16" t="inlineStr">
        <is>
          <t>S1 (highest)</t>
        </is>
      </c>
      <c r="G29" s="16" t="inlineStr">
        <is>
          <t>High</t>
        </is>
      </c>
      <c r="H29" s="16" t="inlineStr">
        <is>
          <t>Not Run</t>
        </is>
      </c>
      <c r="I29" s="16" t="inlineStr">
        <is>
          <t>Functional</t>
        </is>
      </c>
      <c r="J29" s="17" t="inlineStr">
        <is>
          <t>Prototype: edusave.vercel.app (sample date 18/10/2026)
Chrome (latest)
Build: to be recorded at execution
Needs: ENV-R4-01, SEED-R4-N2</t>
        </is>
      </c>
      <c r="K29" s="17" t="inlineStr">
        <is>
          <t>1. The prototype is open at the base state (use Reset data).
2. Signed in as MOE HQ (Mei Lin Tan).</t>
        </is>
      </c>
      <c r="L29" s="17" t="inlineStr">
        <is>
          <t>Application G: GHI 4,201.00, household size 5, PCI 840.20, Citizen (SEED-R4-N2)
Scheme MOEFAS 2027, match rule any (GHI up to 4,200.00 or PCI up to 1,050.00)</t>
        </is>
      </c>
      <c r="M29" s="17" t="inlineStr">
        <is>
          <t>1. Close the MOEFAS form with Close form now (demo).
2. Open View on G.</t>
        </is>
      </c>
      <c r="N29" s="17" t="inlineStr">
        <is>
          <t>1. GHI shows Fail and PCI shows Pass.
2. The application is Approved by the system.</t>
        </is>
      </c>
      <c r="O29" s="17" t="n"/>
      <c r="P29" s="17" t="inlineStr">
        <is>
          <t>N/A</t>
        </is>
      </c>
      <c r="Q29" s="17" t="n"/>
      <c r="R29" s="17" t="inlineStr">
        <is>
          <t>Tender R4, PB-19, FS F4 v1.3: 2.2 step 3, 7.2 step 2, BR7</t>
        </is>
      </c>
      <c r="S29" s="17" t="n"/>
      <c r="T29" s="16" t="inlineStr">
        <is>
          <t>Approve</t>
        </is>
      </c>
    </row>
    <row r="30" ht="121.5" customHeight="1" s="14">
      <c r="A30" s="16" t="inlineStr">
        <is>
          <t>TC-029</t>
        </is>
      </c>
      <c r="B30" s="16" t="inlineStr">
        <is>
          <t>TS-007</t>
        </is>
      </c>
      <c r="C30" s="17" t="inlineStr">
        <is>
          <t>Only GHI within its limit passes when the match rule is any</t>
        </is>
      </c>
      <c r="D30" s="17" t="inlineStr">
        <is>
          <t>F4.2 MOEFAS ranking and assessment</t>
        </is>
      </c>
      <c r="E30" s="17" t="inlineStr">
        <is>
          <t>Review drawer (MOE HQ)</t>
        </is>
      </c>
      <c r="F30" s="16" t="inlineStr">
        <is>
          <t>S1 (highest)</t>
        </is>
      </c>
      <c r="G30" s="16" t="inlineStr">
        <is>
          <t>High</t>
        </is>
      </c>
      <c r="H30" s="16" t="inlineStr">
        <is>
          <t>Not Run</t>
        </is>
      </c>
      <c r="I30" s="16" t="inlineStr">
        <is>
          <t>Functional</t>
        </is>
      </c>
      <c r="J30" s="17" t="inlineStr">
        <is>
          <t>Prototype: edusave.vercel.app (sample date 18/10/2026)
Chrome (latest)
Build: to be recorded at execution
Needs: ENV-R4-01, SEED-R4-N3</t>
        </is>
      </c>
      <c r="K30" s="17" t="inlineStr">
        <is>
          <t>1. The prototype is open at the base state (use Reset data).
2. Signed in as MOE HQ (Mei Lin Tan).</t>
        </is>
      </c>
      <c r="L30" s="17" t="inlineStr">
        <is>
          <t>Application H: GHI 4,000.00, household size 2, PCI 2,000.00, Citizen (SEED-R4-N3)
Scheme MOEFAS 2027, match rule any</t>
        </is>
      </c>
      <c r="M30" s="17" t="inlineStr">
        <is>
          <t>1. Close the MOEFAS form with Close form now (demo).
2. Open View on H.</t>
        </is>
      </c>
      <c r="N30" s="17" t="inlineStr">
        <is>
          <t>1. GHI shows Pass and PCI shows Fail.
2. The application is Approved by the system.</t>
        </is>
      </c>
      <c r="O30" s="17" t="n"/>
      <c r="P30" s="17" t="inlineStr">
        <is>
          <t>N/A</t>
        </is>
      </c>
      <c r="Q30" s="17" t="n"/>
      <c r="R30" s="17" t="inlineStr">
        <is>
          <t>Tender R4, PB-19, FS F4 v1.3: 2.2 step 3, 7.2 step 2, BR7</t>
        </is>
      </c>
      <c r="S30" s="17" t="n"/>
      <c r="T30" s="16" t="inlineStr">
        <is>
          <t>Approve</t>
        </is>
      </c>
    </row>
    <row r="31" ht="121.5" customHeight="1" s="14">
      <c r="A31" s="16" t="inlineStr">
        <is>
          <t>TC-030</t>
        </is>
      </c>
      <c r="B31" s="16" t="inlineStr">
        <is>
          <t>TS-007</t>
        </is>
      </c>
      <c r="C31" s="17" t="inlineStr">
        <is>
          <t>Values equal to the limits pass</t>
        </is>
      </c>
      <c r="D31" s="17" t="inlineStr">
        <is>
          <t>F4.2 MOEFAS ranking and assessment</t>
        </is>
      </c>
      <c r="E31" s="17" t="inlineStr">
        <is>
          <t>Review drawer (MOE HQ)</t>
        </is>
      </c>
      <c r="F31" s="16" t="inlineStr">
        <is>
          <t>S1 (highest)</t>
        </is>
      </c>
      <c r="G31" s="16" t="inlineStr">
        <is>
          <t>High</t>
        </is>
      </c>
      <c r="H31" s="16" t="inlineStr">
        <is>
          <t>Not Run</t>
        </is>
      </c>
      <c r="I31" s="16" t="inlineStr">
        <is>
          <t>Functional</t>
        </is>
      </c>
      <c r="J31" s="17" t="inlineStr">
        <is>
          <t>Prototype: edusave.vercel.app (sample date 18/10/2026)
Chrome (latest)
Build: to be recorded at execution
Needs: ENV-R4-01, SEED-R4-N1</t>
        </is>
      </c>
      <c r="K31" s="17" t="inlineStr">
        <is>
          <t>1. The prototype is open at the base state (use Reset data).
2. Signed in as MOE HQ (Mei Lin Tan).</t>
        </is>
      </c>
      <c r="L31" s="17" t="inlineStr">
        <is>
          <t>Application I: GHI 4,200.00, household size 4, PCI 1,050.00, Citizen (SEED-R4-N1)
Limits: GHI up to 4,200.00 or PCI up to 1,050.00</t>
        </is>
      </c>
      <c r="M31" s="17" t="inlineStr">
        <is>
          <t>1. Close the MOEFAS form with Close form now (demo).
2. Open View on I.</t>
        </is>
      </c>
      <c r="N31" s="17" t="inlineStr">
        <is>
          <t>1. GHI shows Pass and PCI shows Pass because both limits are shown with "≤".
2. The application is Approved.</t>
        </is>
      </c>
      <c r="O31" s="17" t="n"/>
      <c r="P31" s="17" t="inlineStr">
        <is>
          <t>N/A</t>
        </is>
      </c>
      <c r="Q31" s="17" t="n"/>
      <c r="R31" s="17" t="inlineStr">
        <is>
          <t>Tender R4, PB-19, FS F4 v1.3: 2.2 step 3, 4 Eligibility check, BR7</t>
        </is>
      </c>
      <c r="S31" s="17" t="n"/>
      <c r="T31" s="16" t="inlineStr">
        <is>
          <t>Approve</t>
        </is>
      </c>
    </row>
    <row r="32" ht="121.5" customHeight="1" s="14">
      <c r="A32" s="16" t="inlineStr">
        <is>
          <t>TC-031</t>
        </is>
      </c>
      <c r="B32" s="16" t="inlineStr">
        <is>
          <t>TS-007</t>
        </is>
      </c>
      <c r="C32" s="17" t="inlineStr">
        <is>
          <t>Values just above the limits fail</t>
        </is>
      </c>
      <c r="D32" s="17" t="inlineStr">
        <is>
          <t>F4.2 MOEFAS ranking and assessment</t>
        </is>
      </c>
      <c r="E32" s="17" t="inlineStr">
        <is>
          <t>Review drawer (MOE HQ)</t>
        </is>
      </c>
      <c r="F32" s="16" t="inlineStr">
        <is>
          <t>S1 (highest)</t>
        </is>
      </c>
      <c r="G32" s="16" t="inlineStr">
        <is>
          <t>High</t>
        </is>
      </c>
      <c r="H32" s="16" t="inlineStr">
        <is>
          <t>Not Run</t>
        </is>
      </c>
      <c r="I32" s="16" t="inlineStr">
        <is>
          <t>Functional</t>
        </is>
      </c>
      <c r="J32" s="17" t="inlineStr">
        <is>
          <t>Prototype: edusave.vercel.app (sample date 18/10/2026)
Chrome (latest)
Build: to be recorded at execution
Needs: ENV-R4-01, SEED-R4-N4</t>
        </is>
      </c>
      <c r="K32" s="17" t="inlineStr">
        <is>
          <t>1. The prototype is open at the base state (use Reset data).
2. Signed in as MOE HQ (Mei Lin Tan).</t>
        </is>
      </c>
      <c r="L32" s="17" t="inlineStr">
        <is>
          <t>Application J: GHI 4,201.00, household size 4, PCI 1,050.25, Citizen (SEED-R4-N4)</t>
        </is>
      </c>
      <c r="M32" s="17" t="inlineStr">
        <is>
          <t>1. Close the MOEFAS form with Close form now (demo).
2. Open View on J.</t>
        </is>
      </c>
      <c r="N32" s="17" t="inlineStr">
        <is>
          <t>1. GHI shows Fail and PCI shows Fail.
2. The application is not approved and goes to SBFAS Pending or Rejected by the parent choice.</t>
        </is>
      </c>
      <c r="O32" s="17" t="n"/>
      <c r="P32" s="17" t="inlineStr">
        <is>
          <t>N/A</t>
        </is>
      </c>
      <c r="Q32" s="17" t="n"/>
      <c r="R32" s="17" t="inlineStr">
        <is>
          <t>Tender R4, PB-19, FS F4 v1.3: 2.2 step 3, 4 Eligibility check, BR7</t>
        </is>
      </c>
      <c r="S32" s="17" t="n"/>
      <c r="T32" s="16" t="inlineStr">
        <is>
          <t>Approve</t>
        </is>
      </c>
    </row>
    <row r="33" ht="106.5" customHeight="1" s="14">
      <c r="A33" s="16" t="inlineStr">
        <is>
          <t>TC-032</t>
        </is>
      </c>
      <c r="B33" s="16" t="inlineStr">
        <is>
          <t>TS-007</t>
        </is>
      </c>
      <c r="C33" s="17" t="inlineStr">
        <is>
          <t>Both GHI and PCI above the limits fail</t>
        </is>
      </c>
      <c r="D33" s="17" t="inlineStr">
        <is>
          <t>F4.2 MOEFAS ranking and assessment</t>
        </is>
      </c>
      <c r="E33" s="17" t="inlineStr">
        <is>
          <t>Review drawer (MOE HQ)</t>
        </is>
      </c>
      <c r="F33" s="16" t="inlineStr">
        <is>
          <t>S1 (highest)</t>
        </is>
      </c>
      <c r="G33" s="16" t="inlineStr">
        <is>
          <t>Critical</t>
        </is>
      </c>
      <c r="H33" s="16" t="inlineStr">
        <is>
          <t>Not Run</t>
        </is>
      </c>
      <c r="I33" s="16" t="inlineStr">
        <is>
          <t>Functional</t>
        </is>
      </c>
      <c r="J33" s="17" t="inlineStr">
        <is>
          <t>Prototype: edusave.vercel.app (sample date 18/10/2026)
Chrome (latest)
Build: to be recorded at execution
Needs: ENV-R4-01</t>
        </is>
      </c>
      <c r="K33" s="17" t="inlineStr">
        <is>
          <t>1. The prototype is open at the base state (use Reset data).
2. Signed in as MOE HQ (Mei Lin Tan).
3. The MOEFAS 2027 form was closed with Close form now (demo), so the 3 waiting applications are assessed.</t>
        </is>
      </c>
      <c r="L33" s="17" t="inlineStr">
        <is>
          <t>Application 00412: GHI 4,350.00, PCI 1,087.50
Application 00410: GHI 5,200.00, PCI 1,300.00</t>
        </is>
      </c>
      <c r="M33" s="17" t="inlineStr">
        <is>
          <t>1. Open View on 00412 and 00410.
2. Read the History.</t>
        </is>
      </c>
      <c r="N33" s="17" t="inlineStr">
        <is>
          <t>1. Both applications are no longer MOEFAS Pending.
2. The History of each shows the MOEFAS check as not eligible and the application sent to the school's SBFAS.</t>
        </is>
      </c>
      <c r="O33" s="17" t="n"/>
      <c r="P33" s="17" t="inlineStr">
        <is>
          <t>N/A</t>
        </is>
      </c>
      <c r="Q33" s="17" t="n"/>
      <c r="R33" s="17" t="inlineStr">
        <is>
          <t>Tender R4, PB-19, FS F4 v1.3: 2.2 step 3, 8 MOEFAS not eligible, T5</t>
        </is>
      </c>
      <c r="S33" s="17" t="inlineStr">
        <is>
          <t>The prototype shows PCI S$ 1,088.00 for 00412 (rounded). See compare CMP-33.</t>
        </is>
      </c>
      <c r="T33" s="16" t="inlineStr">
        <is>
          <t>Approve</t>
        </is>
      </c>
    </row>
    <row r="34" ht="121.5" customHeight="1" s="14">
      <c r="A34" s="16" t="inlineStr">
        <is>
          <t>TC-033</t>
        </is>
      </c>
      <c r="B34" s="16" t="inlineStr">
        <is>
          <t>TS-007</t>
        </is>
      </c>
      <c r="C34" s="17" t="inlineStr">
        <is>
          <t>Match rule all needs every selected band to pass</t>
        </is>
      </c>
      <c r="D34" s="17" t="inlineStr">
        <is>
          <t>F4.2 MOEFAS ranking and assessment</t>
        </is>
      </c>
      <c r="E34" s="17" t="inlineStr">
        <is>
          <t>Review drawer (MOE HQ)</t>
        </is>
      </c>
      <c r="F34" s="16" t="inlineStr">
        <is>
          <t>S2</t>
        </is>
      </c>
      <c r="G34" s="16" t="inlineStr">
        <is>
          <t>High</t>
        </is>
      </c>
      <c r="H34" s="16" t="inlineStr">
        <is>
          <t>Not Run</t>
        </is>
      </c>
      <c r="I34" s="16" t="inlineStr">
        <is>
          <t>Functional</t>
        </is>
      </c>
      <c r="J34" s="17" t="inlineStr">
        <is>
          <t>Prototype: edusave.vercel.app (sample date 18/10/2026)
Chrome (latest)
Build: to be recorded at execution
Needs: ENV-R4-01, SEED-R4-N8</t>
        </is>
      </c>
      <c r="K34" s="17" t="inlineStr">
        <is>
          <t>1. The prototype is open at the base state (use Reset data).
2. Signed in as MOE HQ (Mei Lin Tan).</t>
        </is>
      </c>
      <c r="L34" s="17" t="inlineStr">
        <is>
          <t>Scheme with match rule all (SEED-R4-N8)
Application K: GHI 4,000.00, household size 2, PCI 2,000.00</t>
        </is>
      </c>
      <c r="M34" s="17" t="inlineStr">
        <is>
          <t>1. Close the form of that scheme with Close form now (demo).
2. Open View on K.</t>
        </is>
      </c>
      <c r="N34" s="17" t="inlineStr">
        <is>
          <t>1. GHI shows Pass and PCI shows Fail.
2. Because the rule is all, the application fails and is not approved.</t>
        </is>
      </c>
      <c r="O34" s="17" t="n"/>
      <c r="P34" s="17" t="inlineStr">
        <is>
          <t>N/A</t>
        </is>
      </c>
      <c r="Q34" s="17" t="n"/>
      <c r="R34" s="17" t="inlineStr">
        <is>
          <t>Tender R4, PB-19, FS F4 v1.3: 2.2 step 3, 7.2 step 2</t>
        </is>
      </c>
      <c r="S34" s="17" t="n"/>
      <c r="T34" s="16" t="inlineStr">
        <is>
          <t>Approve</t>
        </is>
      </c>
    </row>
    <row r="35" ht="106.5" customHeight="1" s="14">
      <c r="A35" s="16" t="inlineStr">
        <is>
          <t>TC-034</t>
        </is>
      </c>
      <c r="B35" s="16" t="inlineStr">
        <is>
          <t>TS-007</t>
        </is>
      </c>
      <c r="C35" s="17" t="inlineStr">
        <is>
          <t>Limits come from the scheme of the application</t>
        </is>
      </c>
      <c r="D35" s="17" t="inlineStr">
        <is>
          <t>F4.2 MOEFAS ranking and assessment</t>
        </is>
      </c>
      <c r="E35" s="17" t="inlineStr">
        <is>
          <t>Review drawer (MOE HQ)</t>
        </is>
      </c>
      <c r="F35" s="16" t="inlineStr">
        <is>
          <t>S1 (highest)</t>
        </is>
      </c>
      <c r="G35" s="16" t="inlineStr">
        <is>
          <t>High</t>
        </is>
      </c>
      <c r="H35" s="16" t="inlineStr">
        <is>
          <t>Not Run</t>
        </is>
      </c>
      <c r="I35" s="16" t="inlineStr">
        <is>
          <t>Functional</t>
        </is>
      </c>
      <c r="J35" s="17" t="inlineStr">
        <is>
          <t>Prototype: edusave.vercel.app (sample date 18/10/2026)
Chrome (latest)
Build: to be recorded at execution
Needs: ENV-R4-01</t>
        </is>
      </c>
      <c r="K35" s="17" t="inlineStr">
        <is>
          <t>1. The prototype is open at the base state (use Reset data).
2. Signed in as MOE HQ (Mei Lin Tan).
3. The MOEFAS 2027 form was closed with Close form now (demo), so the 3 waiting applications are assessed.</t>
        </is>
      </c>
      <c r="L35" s="17" t="inlineStr">
        <is>
          <t>Application 00377 is linked to MOEFAS 2027 (GHI 4,200.00, PCI 1,050.00)
Application 00390 is linked to MOEFAS 2026 (GHI 4,000.00, PCI 1,000.00)</t>
        </is>
      </c>
      <c r="M35" s="17" t="inlineStr">
        <is>
          <t>1. Open View on 00377 and read the limits.
2. Open View on 00390 and read the limits.</t>
        </is>
      </c>
      <c r="N35" s="17" t="inlineStr">
        <is>
          <t>1. 00377 shows the limits ≤ S$ 4,200.00 and ≤ S$ 1,050.00 and the scheme name MOEFAS 2027.
2. 00390 shows the limits ≤ S$ 4,000.00 and ≤ S$ 1,000.00 and the scheme name MOEFAS 2026.
3. 00377 passes only because the 2027 limits are used.</t>
        </is>
      </c>
      <c r="O35" s="17" t="n"/>
      <c r="P35" s="17" t="inlineStr">
        <is>
          <t>N/A</t>
        </is>
      </c>
      <c r="Q35" s="17" t="n"/>
      <c r="R35" s="17" t="inlineStr">
        <is>
          <t>Tender R4, PB-19, FS F4 v1.3: BR7, 4 Eligibility check, 7.2 step 2</t>
        </is>
      </c>
      <c r="S35" s="17" t="n"/>
      <c r="T35" s="16" t="inlineStr">
        <is>
          <t>Approve</t>
        </is>
      </c>
    </row>
    <row r="36" ht="106.5" customHeight="1" s="14">
      <c r="A36" s="16" t="inlineStr">
        <is>
          <t>TC-035</t>
        </is>
      </c>
      <c r="B36" s="16" t="inlineStr">
        <is>
          <t>TS-008</t>
        </is>
      </c>
      <c r="C36" s="17" t="inlineStr">
        <is>
          <t>Fail with Also consider for SBFAS Yes becomes SBFAS Pending for the school</t>
        </is>
      </c>
      <c r="D36" s="17" t="inlineStr">
        <is>
          <t>F4.2 MOEFAS ranking and assessment</t>
        </is>
      </c>
      <c r="E36" s="17" t="inlineStr">
        <is>
          <t>Review drawer (MOE HQ)</t>
        </is>
      </c>
      <c r="F36" s="16" t="inlineStr">
        <is>
          <t>S1 (highest)</t>
        </is>
      </c>
      <c r="G36" s="16" t="inlineStr">
        <is>
          <t>Critical</t>
        </is>
      </c>
      <c r="H36" s="16" t="inlineStr">
        <is>
          <t>Not Run</t>
        </is>
      </c>
      <c r="I36" s="16" t="inlineStr">
        <is>
          <t>Functional</t>
        </is>
      </c>
      <c r="J36" s="17" t="inlineStr">
        <is>
          <t>Prototype: edusave.vercel.app (sample date 18/10/2026)
Chrome (latest)
Build: to be recorded at execution
Needs: ENV-R4-01</t>
        </is>
      </c>
      <c r="K36" s="17" t="inlineStr">
        <is>
          <t>1. The prototype is open at the base state (use Reset data).
2. Signed in as MOE HQ (Mei Lin Tan).
3. The MOEFAS 2027 form was closed with Close form now (demo), so the 3 waiting applications are assessed.</t>
        </is>
      </c>
      <c r="L36" s="17" t="inlineStr">
        <is>
          <t>Application: APP-2026-00412 (parent agreed to SBFAS)</t>
        </is>
      </c>
      <c r="M36" s="17" t="inlineStr">
        <is>
          <t>1. Open FAS applications and read the row of 00412.
2. Open View and read the History.</t>
        </is>
      </c>
      <c r="N36" s="17" t="inlineStr">
        <is>
          <t>1. The row shows Scheme SBFAS, System check a dash, Status Pending, School Bukit View Primary.
2. The History has "Form closed · priority 2 of 3" and the row "MOEFAS check: not eligible · sent to the school's SBFAS (parent agreed)".</t>
        </is>
      </c>
      <c r="O36" s="17" t="n"/>
      <c r="P36" s="17" t="inlineStr">
        <is>
          <t>N/A</t>
        </is>
      </c>
      <c r="Q36" s="17" t="n"/>
      <c r="R36" s="17" t="inlineStr">
        <is>
          <t>Tender R4, PB-19, FS F4 v1.3: 2.2 step 3, 8 MOEFAS not eligible, T5</t>
        </is>
      </c>
      <c r="S36" s="17" t="inlineStr">
        <is>
          <t>Compare CMP-05 matches.</t>
        </is>
      </c>
      <c r="T36" s="16" t="inlineStr">
        <is>
          <t>Approve</t>
        </is>
      </c>
    </row>
    <row r="37" ht="121.5" customHeight="1" s="14">
      <c r="A37" s="16" t="inlineStr">
        <is>
          <t>TC-036</t>
        </is>
      </c>
      <c r="B37" s="16" t="inlineStr">
        <is>
          <t>TS-008</t>
        </is>
      </c>
      <c r="C37" s="17" t="inlineStr">
        <is>
          <t>The school sees the transferred application with an ML recommendation</t>
        </is>
      </c>
      <c r="D37" s="17" t="inlineStr">
        <is>
          <t>F4.2 MOEFAS ranking and assessment</t>
        </is>
      </c>
      <c r="E37" s="17" t="inlineStr">
        <is>
          <t>FAS applications (School Admin)</t>
        </is>
      </c>
      <c r="F37" s="16" t="inlineStr">
        <is>
          <t>S1 (highest)</t>
        </is>
      </c>
      <c r="G37" s="16" t="inlineStr">
        <is>
          <t>Critical</t>
        </is>
      </c>
      <c r="H37" s="16" t="inlineStr">
        <is>
          <t>Not Run</t>
        </is>
      </c>
      <c r="I37" s="16" t="inlineStr">
        <is>
          <t>Functional</t>
        </is>
      </c>
      <c r="J37" s="17" t="inlineStr">
        <is>
          <t>Prototype: edusave.vercel.app (sample date 18/10/2026)
Chrome (latest)
Build: to be recorded at execution
Needs: ENV-R4-01</t>
        </is>
      </c>
      <c r="K37" s="17" t="inlineStr">
        <is>
          <t>1. The prototype is open at the base state (use Reset data).
2. MOE HQ closed the MOEFAS 2027 form with Close form now (demo), so 00412 and 00410 are SBFAS Pending at Bukit View Primary.
3. Signed in as School user Lan Nguyen (BVP-0012), Bukit View Primary.</t>
        </is>
      </c>
      <c r="L37" s="17" t="inlineStr">
        <is>
          <t>Applications: 00412 (PCI 1,087.50) and 00410 (PCI 1,300.00)
School SBFAS 2027 schemes: Tier 1 PCI up to 600, Tier 2 601 to 1,000, Tier 3 1,001 to 1,500</t>
        </is>
      </c>
      <c r="M37" s="17" t="inlineStr">
        <is>
          <t>1. Open FAS applications.
2. Read the Pending tab and the Pending card.
3. Read the ML recommendation of 00412 and 00410.</t>
        </is>
      </c>
      <c r="N37" s="17" t="inlineStr">
        <is>
          <t>1. The Pending tab shows 3 rows: 00412, 00410 and 00398. The Pending card shows 3.
2. ML recommendation is Tier 3 for 00412 and for 00410.
3. Both rows have a Review button.</t>
        </is>
      </c>
      <c r="O37" s="17" t="n"/>
      <c r="P37" s="17" t="inlineStr">
        <is>
          <t>N/A</t>
        </is>
      </c>
      <c r="Q37" s="17" t="n"/>
      <c r="R37" s="17" t="inlineStr">
        <is>
          <t>Tender R4, PB-19, FS F4 v1.3: 2.2 step 3, 3.2 item 1, 3.2 item 2, 5 Recommended tier, 8 MOEFAS not eligible</t>
        </is>
      </c>
      <c r="S37" s="17" t="n"/>
      <c r="T37" s="16" t="inlineStr">
        <is>
          <t>Approve</t>
        </is>
      </c>
    </row>
    <row r="38" ht="121.5" customHeight="1" s="14">
      <c r="A38" s="16" t="inlineStr">
        <is>
          <t>TC-037</t>
        </is>
      </c>
      <c r="B38" s="16" t="inlineStr">
        <is>
          <t>TS-008</t>
        </is>
      </c>
      <c r="C38" s="17" t="inlineStr">
        <is>
          <t>Fail with Also consider for SBFAS No is Rejected with the reason and an email</t>
        </is>
      </c>
      <c r="D38" s="17" t="inlineStr">
        <is>
          <t>F4.2 MOEFAS ranking and assessment</t>
        </is>
      </c>
      <c r="E38" s="17" t="inlineStr">
        <is>
          <t>Review drawer (MOE HQ)</t>
        </is>
      </c>
      <c r="F38" s="16" t="inlineStr">
        <is>
          <t>S1 (highest)</t>
        </is>
      </c>
      <c r="G38" s="16" t="inlineStr">
        <is>
          <t>Critical</t>
        </is>
      </c>
      <c r="H38" s="16" t="inlineStr">
        <is>
          <t>Not Run</t>
        </is>
      </c>
      <c r="I38" s="16" t="inlineStr">
        <is>
          <t>Functional</t>
        </is>
      </c>
      <c r="J38" s="17" t="inlineStr">
        <is>
          <t>Prototype: edusave.vercel.app (sample date 18/10/2026)
Chrome (latest)
Build: to be recorded at execution
Needs: ENV-R4-01, SEED-R4-N7</t>
        </is>
      </c>
      <c r="K38" s="17" t="inlineStr">
        <is>
          <t>1. The prototype is open at the base state (use Reset data).
2. Signed in as MOE HQ (Mei Lin Tan).</t>
        </is>
      </c>
      <c r="L38" s="17" t="inlineStr">
        <is>
          <t>Application L: fails the limits and the parent did not ask for SBFAS (SEED-R4-N7)
Sample already in the prototype: APP-2026-00328 (Rejected, MOEFAS 2026)</t>
        </is>
      </c>
      <c r="M38" s="17" t="inlineStr">
        <is>
          <t>1. Close the MOEFAS form with Close form now (demo).
2. Open View on L.
3. Read the Decision block and the History.</t>
        </is>
      </c>
      <c r="N38" s="17" t="inlineStr">
        <is>
          <t>1. Status is Rejected and System check is Fail.
2. The Decision block shows Reason "Not eligible for MOEFAS" and Decided by "System".
3. The History has a row stating the application was closed because the parent did not ask for SBFAS, and "Email with reason sent to parent".
4. No SBFAS application exists for the student.</t>
        </is>
      </c>
      <c r="O38" s="17" t="n"/>
      <c r="P38" s="17" t="inlineStr">
        <is>
          <t>ASM-R4-11: A rejection by the system shows Decided by "System".</t>
        </is>
      </c>
      <c r="Q38" s="17" t="n"/>
      <c r="R38" s="17" t="inlineStr">
        <is>
          <t>Tender R4, PB-19, FS F4 v1.3: 2.2 step 3, 8 MOEFAS not eligible, T5, BR11</t>
        </is>
      </c>
      <c r="S38" s="17" t="inlineStr">
        <is>
          <t>The Rejected path is checked on the sample APP-2026-00328 in compare CMP-05. A live run needs SEED-R4-N7.</t>
        </is>
      </c>
      <c r="T38" s="16" t="inlineStr">
        <is>
          <t>Draft</t>
        </is>
      </c>
    </row>
    <row r="39" ht="106.5" customHeight="1" s="14">
      <c r="A39" s="16" t="inlineStr">
        <is>
          <t>TC-038</t>
        </is>
      </c>
      <c r="B39" s="16" t="inlineStr">
        <is>
          <t>TS-008</t>
        </is>
      </c>
      <c r="C39" s="17" t="inlineStr">
        <is>
          <t>A transferred SBFAS application is not visible to other schools</t>
        </is>
      </c>
      <c r="D39" s="17" t="inlineStr">
        <is>
          <t>F4.2 MOEFAS ranking and assessment</t>
        </is>
      </c>
      <c r="E39" s="17" t="inlineStr">
        <is>
          <t>FAS applications (School Admin)</t>
        </is>
      </c>
      <c r="F39" s="16" t="inlineStr">
        <is>
          <t>S1 (highest)</t>
        </is>
      </c>
      <c r="G39" s="16" t="inlineStr">
        <is>
          <t>Critical</t>
        </is>
      </c>
      <c r="H39" s="16" t="inlineStr">
        <is>
          <t>Not Run</t>
        </is>
      </c>
      <c r="I39" s="16" t="inlineStr">
        <is>
          <t>Functional</t>
        </is>
      </c>
      <c r="J39" s="17" t="inlineStr">
        <is>
          <t>Prototype: edusave.vercel.app (sample date 18/10/2026)
Chrome (latest)
Build: to be recorded at execution
Needs: ENV-R4-01</t>
        </is>
      </c>
      <c r="K39" s="17" t="inlineStr">
        <is>
          <t>1. The prototype is open at the base state (use Reset data).
2. MOE HQ closed the MOEFAS 2027 form with Close form now (demo).
3. Signed in as School user MRS-0012, Meridian Secondary.</t>
        </is>
      </c>
      <c r="L39" s="17" t="inlineStr">
        <is>
          <t>Applications 00412 and 00410 belong to Bukit View Primary students</t>
        </is>
      </c>
      <c r="M39" s="17" t="inlineStr">
        <is>
          <t>1. Open FAS applications.
2. Search for 00412 and 00410.
3. Read the list.</t>
        </is>
      </c>
      <c r="N39" s="17" t="inlineStr">
        <is>
          <t>1. Both searches show "No applications found."
2. No Bukit View Primary student appears in any tab.</t>
        </is>
      </c>
      <c r="O39" s="17" t="n"/>
      <c r="P39" s="17" t="inlineStr">
        <is>
          <t>N/A</t>
        </is>
      </c>
      <c r="Q39" s="17" t="n"/>
      <c r="R39" s="17" t="inlineStr">
        <is>
          <t>Tender R4, PB-19, FS F4 v1.3: BR5, BR12, 3.2 item 1, 8 MOEFAS not eligible</t>
        </is>
      </c>
      <c r="S39" s="17" t="n"/>
      <c r="T39" s="16" t="inlineStr">
        <is>
          <t>Approve</t>
        </is>
      </c>
    </row>
    <row r="40" ht="106.5" customHeight="1" s="14">
      <c r="A40" s="16" t="inlineStr">
        <is>
          <t>TC-039</t>
        </is>
      </c>
      <c r="B40" s="16" t="inlineStr">
        <is>
          <t>TS-009</t>
        </is>
      </c>
      <c r="C40" s="17" t="inlineStr">
        <is>
          <t>The scheme shows Assessed and no waiting count after processing</t>
        </is>
      </c>
      <c r="D40" s="17" t="inlineStr">
        <is>
          <t>F4.2 MOEFAS ranking and assessment</t>
        </is>
      </c>
      <c r="E40" s="17" t="inlineStr">
        <is>
          <t>MOEFAS schemes (MOE HQ)</t>
        </is>
      </c>
      <c r="F40" s="16" t="inlineStr">
        <is>
          <t>S2</t>
        </is>
      </c>
      <c r="G40" s="16" t="inlineStr">
        <is>
          <t>High</t>
        </is>
      </c>
      <c r="H40" s="16" t="inlineStr">
        <is>
          <t>Not Run</t>
        </is>
      </c>
      <c r="I40" s="16" t="inlineStr">
        <is>
          <t>Functional</t>
        </is>
      </c>
      <c r="J40" s="17" t="inlineStr">
        <is>
          <t>Prototype: edusave.vercel.app (sample date 18/10/2026)
Chrome (latest)
Build: to be recorded at execution
Needs: ENV-R4-01</t>
        </is>
      </c>
      <c r="K40" s="17" t="inlineStr">
        <is>
          <t>1. The prototype is open at the base state (use Reset data).
2. Signed in as MOE HQ (Mei Lin Tan).
3. The MOEFAS 2027 form was closed with Close form now (demo), so the 3 waiting applications are assessed.</t>
        </is>
      </c>
      <c r="L40" s="17" t="inlineStr">
        <is>
          <t>Scheme: MOEFAS 2027</t>
        </is>
      </c>
      <c r="M40" s="17" t="inlineStr">
        <is>
          <t>1. Open MOEFAS schemes and read the Application form cell of MOEFAS 2027.</t>
        </is>
      </c>
      <c r="N40" s="17" t="inlineStr">
        <is>
          <t>1. The cell shows the form period, a badge, and "Assessed 18/10/2026".
2. The text "n waiting" is no longer shown.</t>
        </is>
      </c>
      <c r="O40" s="17" t="n"/>
      <c r="P40" s="17" t="inlineStr">
        <is>
          <t>ASM-R4-01: The form is open through the whole Form closes date and the assessment runs at the end of that date. When the scheme shows Assessed, no more MOEFAS applications are accepted and Close form now (demo) is no longer offered.</t>
        </is>
      </c>
      <c r="Q40" s="17" t="n"/>
      <c r="R40" s="17" t="inlineStr">
        <is>
          <t>Tender R4, PB-19, FS F4 v1.3: 2.2 step 4, 7.1 item 3</t>
        </is>
      </c>
      <c r="S40" s="17" t="inlineStr">
        <is>
          <t>Compare CMP-06: the prototype keeps the badge Open after the demo close.</t>
        </is>
      </c>
      <c r="T40" s="16" t="inlineStr">
        <is>
          <t>Draft</t>
        </is>
      </c>
    </row>
    <row r="41" ht="106.5" customHeight="1" s="14">
      <c r="A41" s="16" t="inlineStr">
        <is>
          <t>TC-040</t>
        </is>
      </c>
      <c r="B41" s="16" t="inlineStr">
        <is>
          <t>TS-009</t>
        </is>
      </c>
      <c r="C41" s="17" t="inlineStr">
        <is>
          <t>No more MOEFAS applications are accepted after the assessment</t>
        </is>
      </c>
      <c r="D41" s="17" t="inlineStr">
        <is>
          <t>F4.2 MOEFAS ranking and assessment</t>
        </is>
      </c>
      <c r="E41" s="17" t="inlineStr">
        <is>
          <t>F10 Parent FAS application</t>
        </is>
      </c>
      <c r="F41" s="16" t="inlineStr">
        <is>
          <t>S1 (highest)</t>
        </is>
      </c>
      <c r="G41" s="16" t="inlineStr">
        <is>
          <t>High</t>
        </is>
      </c>
      <c r="H41" s="16" t="inlineStr">
        <is>
          <t>Not Run</t>
        </is>
      </c>
      <c r="I41" s="16" t="inlineStr">
        <is>
          <t>Integration</t>
        </is>
      </c>
      <c r="J41" s="17" t="inlineStr">
        <is>
          <t>F4 build with API (not available yet)
Chrome (latest)
Build: to be recorded at execution
Needs: ENV-R4-02, ENV-R4-04</t>
        </is>
      </c>
      <c r="K41" s="17" t="inlineStr">
        <is>
          <t>1. The F4 build is connected to F5 and F10.
2. The MOEFAS 2027 form was assessed.
3. Signed in as a Parent with a Citizen child.</t>
        </is>
      </c>
      <c r="L41" s="17" t="inlineStr">
        <is>
          <t>Scheme MOEFAS 2027 shows Assessed 31/12/2026
Today is 31/12/2026 after the job ran</t>
        </is>
      </c>
      <c r="M41" s="17" t="inlineStr">
        <is>
          <t>1. Try to submit a FAS application in F10 for the same year.</t>
        </is>
      </c>
      <c r="N41" s="17" t="inlineStr">
        <is>
          <t>1. The submit is blocked with the form closed message.
2. No MOEFAS application is added to MOEFAS 2027.</t>
        </is>
      </c>
      <c r="O41" s="17" t="n"/>
      <c r="P41" s="17" t="inlineStr">
        <is>
          <t>ASM-R4-01: The form is open through the whole Form closes date and the assessment runs at the end of that date. When the scheme shows Assessed, no more MOEFAS applications are accepted and Close form now (demo) is no longer offered.</t>
        </is>
      </c>
      <c r="Q41" s="17" t="n"/>
      <c r="R41" s="17" t="inlineStr">
        <is>
          <t>Tender R4, PB-19, FS F4 v1.3: 2.2 step 4, BR1</t>
        </is>
      </c>
      <c r="S41" s="17" t="n"/>
      <c r="T41" s="16" t="inlineStr">
        <is>
          <t>Draft</t>
        </is>
      </c>
    </row>
    <row r="42" ht="106.5" customHeight="1" s="14">
      <c r="A42" s="16" t="inlineStr">
        <is>
          <t>TC-041</t>
        </is>
      </c>
      <c r="B42" s="16" t="inlineStr">
        <is>
          <t>TS-009</t>
        </is>
      </c>
      <c r="C42" s="17" t="inlineStr">
        <is>
          <t>Earlier schemes keep their Assessed date and the new one starts waiting</t>
        </is>
      </c>
      <c r="D42" s="17" t="inlineStr">
        <is>
          <t>F4.2 MOEFAS ranking and assessment</t>
        </is>
      </c>
      <c r="E42" s="17" t="inlineStr">
        <is>
          <t>MOEFAS schemes (MOE HQ)</t>
        </is>
      </c>
      <c r="F42" s="16" t="inlineStr">
        <is>
          <t>S3</t>
        </is>
      </c>
      <c r="G42" s="16" t="inlineStr">
        <is>
          <t>Medium</t>
        </is>
      </c>
      <c r="H42" s="16" t="inlineStr">
        <is>
          <t>Not Run</t>
        </is>
      </c>
      <c r="I42" s="16" t="inlineStr">
        <is>
          <t>Functional</t>
        </is>
      </c>
      <c r="J42" s="17" t="inlineStr">
        <is>
          <t>Prototype: edusave.vercel.app (sample date 18/10/2026)
Chrome (latest)
Build: to be recorded at execution
Needs: ENV-R4-01</t>
        </is>
      </c>
      <c r="K42" s="17" t="inlineStr">
        <is>
          <t>1. The prototype is open at the base state (use Reset data).
2. Signed in as MOE HQ (Mei Lin Tan).</t>
        </is>
      </c>
      <c r="L42" s="17" t="inlineStr">
        <is>
          <t>Schemes MOEFAS 2025 (Closed), MOEFAS 2026 (Closed) and MOEFAS 2027 (Open, 3 waiting)</t>
        </is>
      </c>
      <c r="M42" s="17" t="inlineStr">
        <is>
          <t>1. Open MOEFAS schemes.
2. Read the Application form cells of the 3 schemes.</t>
        </is>
      </c>
      <c r="N42" s="17" t="inlineStr">
        <is>
          <t>1. MOEFAS 2025 shows "Closed" and "Assessed 01/01/2025".
2. MOEFAS 2026 shows "Closed" and "Assessed 01/01/2026".
3. MOEFAS 2027 shows "Open" and "3 waiting".</t>
        </is>
      </c>
      <c r="O42" s="17" t="n"/>
      <c r="P42" s="17" t="inlineStr">
        <is>
          <t>N/A</t>
        </is>
      </c>
      <c r="Q42" s="17" t="n"/>
      <c r="R42" s="17" t="inlineStr">
        <is>
          <t>Tender R4, PB-19, FS F4 v1.3: 7.1 item 3, 2.2 step 4</t>
        </is>
      </c>
      <c r="S42" s="17" t="inlineStr">
        <is>
          <t>Check the Assessed dates of 2025 and 2026 on the prototype before the run.</t>
        </is>
      </c>
      <c r="T42" s="16" t="inlineStr">
        <is>
          <t>Approve</t>
        </is>
      </c>
    </row>
    <row r="43" ht="106.5" customHeight="1" s="14">
      <c r="A43" s="16" t="inlineStr">
        <is>
          <t>TC-042</t>
        </is>
      </c>
      <c r="B43" s="16" t="inlineStr">
        <is>
          <t>TS-010</t>
        </is>
      </c>
      <c r="C43" s="17" t="inlineStr">
        <is>
          <t>MOE HQ has no Approve or Reject on any application</t>
        </is>
      </c>
      <c r="D43" s="17" t="inlineStr">
        <is>
          <t>F4.2 MOEFAS ranking and assessment</t>
        </is>
      </c>
      <c r="E43" s="17" t="inlineStr">
        <is>
          <t>Review drawer (MOE HQ)</t>
        </is>
      </c>
      <c r="F43" s="16" t="inlineStr">
        <is>
          <t>S1 (highest)</t>
        </is>
      </c>
      <c r="G43" s="16" t="inlineStr">
        <is>
          <t>Critical</t>
        </is>
      </c>
      <c r="H43" s="16" t="inlineStr">
        <is>
          <t>Not Run</t>
        </is>
      </c>
      <c r="I43" s="16" t="inlineStr">
        <is>
          <t>Functional</t>
        </is>
      </c>
      <c r="J43" s="17" t="inlineStr">
        <is>
          <t>Prototype: edusave.vercel.app (sample date 18/10/2026)
Chrome (latest)
Build: to be recorded at execution
Needs: ENV-R4-01</t>
        </is>
      </c>
      <c r="K43" s="17" t="inlineStr">
        <is>
          <t>1. The prototype is open at the base state (use Reset data).
2. Signed in as MOE HQ (Mei Lin Tan).</t>
        </is>
      </c>
      <c r="L43" s="17" t="inlineStr">
        <is>
          <t>Applications: 00412 (MOEFAS Pending), 00398 (SBFAS Pending), 00386 (SBFAS Approved), 00328 (MOEFAS Rejected)</t>
        </is>
      </c>
      <c r="M43" s="17" t="inlineStr">
        <is>
          <t>1. Open View on each of the four applications.
2. Look at the drawer buttons.</t>
        </is>
      </c>
      <c r="N43" s="17" t="inlineStr">
        <is>
          <t>1. No drawer shows Approve or Reject.
2. The list shows View, not Review, on every row.</t>
        </is>
      </c>
      <c r="O43" s="17" t="n"/>
      <c r="P43" s="17" t="inlineStr">
        <is>
          <t>N/A</t>
        </is>
      </c>
      <c r="Q43" s="17" t="n"/>
      <c r="R43" s="17" t="inlineStr">
        <is>
          <t>Tender R4, PB-19, FS F4 v1.3: BR2, BR5, 4 Buttons, 3.1 item 7, 1.2</t>
        </is>
      </c>
      <c r="S43" s="17" t="inlineStr">
        <is>
          <t>Compare CMP-21 and CMP-31 match.</t>
        </is>
      </c>
      <c r="T43" s="16" t="inlineStr">
        <is>
          <t>Approve</t>
        </is>
      </c>
    </row>
    <row r="44" ht="106.5" customHeight="1" s="14">
      <c r="A44" s="16" t="inlineStr">
        <is>
          <t>TC-043</t>
        </is>
      </c>
      <c r="B44" s="16" t="inlineStr">
        <is>
          <t>TS-010</t>
        </is>
      </c>
      <c r="C44" s="17" t="inlineStr">
        <is>
          <t>The School Admin cannot decide a MOEFAS application</t>
        </is>
      </c>
      <c r="D44" s="17" t="inlineStr">
        <is>
          <t>F4.2 MOEFAS ranking and assessment</t>
        </is>
      </c>
      <c r="E44" s="17" t="inlineStr">
        <is>
          <t>FAS applications (School Admin)</t>
        </is>
      </c>
      <c r="F44" s="16" t="inlineStr">
        <is>
          <t>S1 (highest)</t>
        </is>
      </c>
      <c r="G44" s="16" t="inlineStr">
        <is>
          <t>Critical</t>
        </is>
      </c>
      <c r="H44" s="16" t="inlineStr">
        <is>
          <t>Not Run</t>
        </is>
      </c>
      <c r="I44" s="16" t="inlineStr">
        <is>
          <t>Functional</t>
        </is>
      </c>
      <c r="J44" s="17" t="inlineStr">
        <is>
          <t>Prototype: edusave.vercel.app (sample date 18/10/2026)
Chrome (latest)
Build: to be recorded at execution
Needs: ENV-R4-01</t>
        </is>
      </c>
      <c r="K44" s="17" t="inlineStr">
        <is>
          <t>1. The prototype is open at the base state (use Reset data).
2. Signed in as School user Lan Nguyen (BVP-0012), Bukit View Primary.</t>
        </is>
      </c>
      <c r="L44" s="17" t="inlineStr">
        <is>
          <t>Application: APP-2026-00412 (MOEFAS Waiting)</t>
        </is>
      </c>
      <c r="M44" s="17" t="inlineStr">
        <is>
          <t>1. Open FAS applications.
2. Search for 00412 in the All tab.</t>
        </is>
      </c>
      <c r="N44" s="17" t="inlineStr">
        <is>
          <t>1. The application is not listed.
2. No MOEFAS row, filter or button exists for the School Admin.</t>
        </is>
      </c>
      <c r="O44" s="17" t="n"/>
      <c r="P44" s="17" t="inlineStr">
        <is>
          <t>N/A</t>
        </is>
      </c>
      <c r="Q44" s="17" t="n"/>
      <c r="R44" s="17" t="inlineStr">
        <is>
          <t>Tender R4, PB-19, FS F4 v1.3: BR2, BR12, 1.2</t>
        </is>
      </c>
      <c r="S44" s="17" t="n"/>
      <c r="T44" s="16" t="inlineStr">
        <is>
          <t>Approve</t>
        </is>
      </c>
    </row>
    <row r="45" ht="92.25" customHeight="1" s="14">
      <c r="A45" s="16" t="inlineStr">
        <is>
          <t>TC-044</t>
        </is>
      </c>
      <c r="B45" s="16" t="inlineStr">
        <is>
          <t>TS-010</t>
        </is>
      </c>
      <c r="C45" s="17" t="inlineStr">
        <is>
          <t>Decide requests on a MOEFAS application are rejected by the server</t>
        </is>
      </c>
      <c r="D45" s="17" t="inlineStr">
        <is>
          <t>F4.2 MOEFAS ranking and assessment</t>
        </is>
      </c>
      <c r="E45" s="17" t="inlineStr">
        <is>
          <t>API (Approve and Reject)</t>
        </is>
      </c>
      <c r="F45" s="16" t="inlineStr">
        <is>
          <t>S1 (highest)</t>
        </is>
      </c>
      <c r="G45" s="16" t="inlineStr">
        <is>
          <t>Critical</t>
        </is>
      </c>
      <c r="H45" s="16" t="inlineStr">
        <is>
          <t>Not Run</t>
        </is>
      </c>
      <c r="I45" s="16" t="inlineStr">
        <is>
          <t>Security</t>
        </is>
      </c>
      <c r="J45" s="17" t="inlineStr">
        <is>
          <t>F4 build with API (not available yet)
Chrome (latest)
Build: to be recorded at execution
Needs: ENV-R4-02</t>
        </is>
      </c>
      <c r="K45" s="17" t="inlineStr">
        <is>
          <t>1. The F4 build exposes the decision API.
2. Signed in as MOE HQ and as a School Admin of the student's school.</t>
        </is>
      </c>
      <c r="L45" s="17" t="inlineStr">
        <is>
          <t>Application: a Pending MOEFAS application (for example 00412)</t>
        </is>
      </c>
      <c r="M45" s="17" t="inlineStr">
        <is>
          <t>1. As MOE HQ, send an approve request for the MOEFAS application.
2. As MOE HQ, send a reject request for it.
3. As the School Admin of the student's school, send an approve request for it.
4. Open the application in the list.</t>
        </is>
      </c>
      <c r="N45" s="17" t="inlineStr">
        <is>
          <t>1. Each request is refused with HTTP 403 and no data is changed.
2. The application is still MOEFAS Pending with System check Waiting.</t>
        </is>
      </c>
      <c r="O45" s="17" t="n"/>
      <c r="P45" s="17" t="inlineStr">
        <is>
          <t>ASM-R4-15: A request that the role may not make returns HTTP 403, changes nothing and returns no data. A link to an application of another school shows "You do not have access." (wording of FS v1.1).</t>
        </is>
      </c>
      <c r="Q45" s="17" t="n"/>
      <c r="R45" s="17" t="inlineStr">
        <is>
          <t>Tender R4, PB-19, FS F4 v1.3: BR2, BR12, 1.2</t>
        </is>
      </c>
      <c r="S45" s="17" t="n"/>
      <c r="T45" s="16" t="inlineStr">
        <is>
          <t>Draft</t>
        </is>
      </c>
    </row>
    <row r="46" ht="165" customHeight="1" s="14">
      <c r="A46" s="16" t="inlineStr">
        <is>
          <t>TC-045</t>
        </is>
      </c>
      <c r="B46" s="16" t="inlineStr">
        <is>
          <t>TS-011</t>
        </is>
      </c>
      <c r="C46" s="17" t="inlineStr">
        <is>
          <t>MOE HQ list shows the subtitle, Export button and note</t>
        </is>
      </c>
      <c r="D46" s="17" t="inlineStr">
        <is>
          <t>F4.3 Applications list, MOE HQ</t>
        </is>
      </c>
      <c r="E46" s="17" t="inlineStr">
        <is>
          <t>FAS applications (MOE HQ)</t>
        </is>
      </c>
      <c r="F46" s="16" t="inlineStr">
        <is>
          <t>S3</t>
        </is>
      </c>
      <c r="G46" s="16" t="inlineStr">
        <is>
          <t>Medium</t>
        </is>
      </c>
      <c r="H46" s="16" t="inlineStr">
        <is>
          <t>Not Run</t>
        </is>
      </c>
      <c r="I46" s="16" t="inlineStr">
        <is>
          <t>Functional</t>
        </is>
      </c>
      <c r="J46" s="17" t="inlineStr">
        <is>
          <t>Prototype: edusave.vercel.app (sample date 18/10/2026)
Chrome (latest)
Build: to be recorded at execution
Needs: ENV-R4-01</t>
        </is>
      </c>
      <c r="K46" s="17" t="inlineStr">
        <is>
          <t>1. The prototype is open at the base state (use Reset data).
2. Signed in as MOE HQ (Mei Lin Tan).</t>
        </is>
      </c>
      <c r="L46" s="17" t="inlineStr">
        <is>
          <t>Menu path: Financial assistance &gt; FAS applications</t>
        </is>
      </c>
      <c r="M46" s="17" t="inlineStr">
        <is>
          <t>1. Open Financial assistance &gt; FAS applications.
2. Read the title, subtitle, the Export button and the note under the table.</t>
        </is>
      </c>
      <c r="N46" s="17" t="inlineStr">
        <is>
          <t>1. The subtitle reads "All schools. MOEFAS is assessed automatically by the system after its application form closes. SBFAS is decided by each school."
2. The Export button is shown.
3. The note reads "MOEFAS has no tiers. Its applications wait until the application form closes. The system then ranks them by need (lowest per capita income first) and approves or rejects them automatically. SBFAS is decided by each school (view only here)."</t>
        </is>
      </c>
      <c r="O46" s="17" t="n"/>
      <c r="P46" s="17" t="inlineStr">
        <is>
          <t>N/A</t>
        </is>
      </c>
      <c r="Q46" s="17" t="n"/>
      <c r="R46" s="17" t="inlineStr">
        <is>
          <t>Tender R4, PB-19, FS F4 v1.3: 3.1 item 1, 3.1 item 2, 3.1 item 8</t>
        </is>
      </c>
      <c r="S46" s="17" t="inlineStr">
        <is>
          <t>Compare CMP-08 and CMP-21. The FS note joins two sentences with a semicolon. Compare the wording on screen, not the punctuation.</t>
        </is>
      </c>
      <c r="T46" s="16" t="inlineStr">
        <is>
          <t>Approve</t>
        </is>
      </c>
    </row>
    <row r="47" ht="106.5" customHeight="1" s="14">
      <c r="A47" s="16" t="inlineStr">
        <is>
          <t>TC-046</t>
        </is>
      </c>
      <c r="B47" s="16" t="inlineStr">
        <is>
          <t>TS-011</t>
        </is>
      </c>
      <c r="C47" s="17" t="inlineStr">
        <is>
          <t>MOE HQ cards show the base counts and ignore filters and search</t>
        </is>
      </c>
      <c r="D47" s="17" t="inlineStr">
        <is>
          <t>F4.3 Applications list, MOE HQ</t>
        </is>
      </c>
      <c r="E47" s="17" t="inlineStr">
        <is>
          <t>FAS applications (MOE HQ)</t>
        </is>
      </c>
      <c r="F47" s="16" t="inlineStr">
        <is>
          <t>S2</t>
        </is>
      </c>
      <c r="G47" s="16" t="inlineStr">
        <is>
          <t>High</t>
        </is>
      </c>
      <c r="H47" s="16" t="inlineStr">
        <is>
          <t>Not Run</t>
        </is>
      </c>
      <c r="I47" s="16" t="inlineStr">
        <is>
          <t>Functional</t>
        </is>
      </c>
      <c r="J47" s="17" t="inlineStr">
        <is>
          <t>Prototype: edusave.vercel.app (sample date 18/10/2026)
Chrome (latest)
Build: to be recorded at execution
Needs: ENV-R4-01</t>
        </is>
      </c>
      <c r="K47" s="17" t="inlineStr">
        <is>
          <t>1. The prototype is open at the base state (use Reset data).
2. Signed in as MOE HQ (Mei Lin Tan).</t>
        </is>
      </c>
      <c r="L47" s="17" t="inlineStr">
        <is>
          <t>Base state: 9 applications (see Seed Data)</t>
        </is>
      </c>
      <c r="M47" s="17" t="inlineStr">
        <is>
          <t>1. Read the four cards.
2. Set School = Riverside Secondary and type "lee" in Search.
3. Read the four cards again.</t>
        </is>
      </c>
      <c r="N47" s="17" t="inlineStr">
        <is>
          <t>1. The cards read Total applications 9 (All schools), MOEFAS approved 3 (Approved automatically), Approved 4 (MOEFAS and SBFAS), Rejected 1 (MOEFAS and SBFAS).
2. After the filter and the search the cards still read 9, 3, 4 and 1.</t>
        </is>
      </c>
      <c r="O47" s="17" t="n"/>
      <c r="P47" s="17" t="inlineStr">
        <is>
          <t>N/A</t>
        </is>
      </c>
      <c r="Q47" s="17" t="n"/>
      <c r="R47" s="17" t="inlineStr">
        <is>
          <t>Tender R4, PB-19, FS F4 v1.3: 3.1 item 3</t>
        </is>
      </c>
      <c r="S47" s="17" t="inlineStr">
        <is>
          <t>Compare CMP-09.</t>
        </is>
      </c>
      <c r="T47" s="16" t="inlineStr">
        <is>
          <t>Approve</t>
        </is>
      </c>
    </row>
    <row r="48" ht="106.5" customHeight="1" s="14">
      <c r="A48" s="16" t="inlineStr">
        <is>
          <t>TC-047</t>
        </is>
      </c>
      <c r="B48" s="16" t="inlineStr">
        <is>
          <t>TS-011</t>
        </is>
      </c>
      <c r="C48" s="17" t="inlineStr">
        <is>
          <t>MOE HQ tabs show the counts and open on All</t>
        </is>
      </c>
      <c r="D48" s="17" t="inlineStr">
        <is>
          <t>F4.3 Applications list, MOE HQ</t>
        </is>
      </c>
      <c r="E48" s="17" t="inlineStr">
        <is>
          <t>FAS applications (MOE HQ)</t>
        </is>
      </c>
      <c r="F48" s="16" t="inlineStr">
        <is>
          <t>S2</t>
        </is>
      </c>
      <c r="G48" s="16" t="inlineStr">
        <is>
          <t>High</t>
        </is>
      </c>
      <c r="H48" s="16" t="inlineStr">
        <is>
          <t>Not Run</t>
        </is>
      </c>
      <c r="I48" s="16" t="inlineStr">
        <is>
          <t>Functional</t>
        </is>
      </c>
      <c r="J48" s="17" t="inlineStr">
        <is>
          <t>Prototype: edusave.vercel.app (sample date 18/10/2026)
Chrome (latest)
Build: to be recorded at execution
Needs: ENV-R4-01</t>
        </is>
      </c>
      <c r="K48" s="17" t="inlineStr">
        <is>
          <t>1. The prototype is open at the base state (use Reset data).
2. Signed in as MOE HQ (Mei Lin Tan).</t>
        </is>
      </c>
      <c r="L48" s="17" t="inlineStr">
        <is>
          <t>Base state: Pending 4, All 9, Approved 4, Rejected 1</t>
        </is>
      </c>
      <c r="M48" s="17" t="inlineStr">
        <is>
          <t>1. Open FAS applications and note the selected tab.
2. Click Pending, Approved and Rejected in turn and read the rows.</t>
        </is>
      </c>
      <c r="N48" s="17" t="inlineStr">
        <is>
          <t>1. The tabs are Pending, All, Approved and Rejected with counts 4, 9, 4 and 1.
2. All is selected when the screen opens.
3. Pending lists 00377, 00412, 00410 and 00398. Approved lists 00390, 00386, 00381 and 00301. Rejected lists 00328.</t>
        </is>
      </c>
      <c r="O48" s="17" t="n"/>
      <c r="P48" s="17" t="inlineStr">
        <is>
          <t>N/A</t>
        </is>
      </c>
      <c r="Q48" s="17" t="n"/>
      <c r="R48" s="17" t="inlineStr">
        <is>
          <t>Tender R4, PB-19, FS F4 v1.3: 3.1 item 4, 2.4</t>
        </is>
      </c>
      <c r="S48" s="17" t="inlineStr">
        <is>
          <t>Compare CMP-10.</t>
        </is>
      </c>
      <c r="T48" s="16" t="inlineStr">
        <is>
          <t>Approve</t>
        </is>
      </c>
    </row>
    <row r="49" ht="106.5" customHeight="1" s="14">
      <c r="A49" s="16" t="inlineStr">
        <is>
          <t>TC-048</t>
        </is>
      </c>
      <c r="B49" s="16" t="inlineStr">
        <is>
          <t>TS-011</t>
        </is>
      </c>
      <c r="C49" s="17" t="inlineStr">
        <is>
          <t>Tab counts stay fixed when filters or search change the rows</t>
        </is>
      </c>
      <c r="D49" s="17" t="inlineStr">
        <is>
          <t>F4.3 Applications list, MOE HQ</t>
        </is>
      </c>
      <c r="E49" s="17" t="inlineStr">
        <is>
          <t>FAS applications (MOE HQ)</t>
        </is>
      </c>
      <c r="F49" s="16" t="inlineStr">
        <is>
          <t>S3</t>
        </is>
      </c>
      <c r="G49" s="16" t="inlineStr">
        <is>
          <t>Medium</t>
        </is>
      </c>
      <c r="H49" s="16" t="inlineStr">
        <is>
          <t>Not Run</t>
        </is>
      </c>
      <c r="I49" s="16" t="inlineStr">
        <is>
          <t>Functional</t>
        </is>
      </c>
      <c r="J49" s="17" t="inlineStr">
        <is>
          <t>Prototype: edusave.vercel.app (sample date 18/10/2026)
Chrome (latest)
Build: to be recorded at execution
Needs: ENV-R4-01</t>
        </is>
      </c>
      <c r="K49" s="17" t="inlineStr">
        <is>
          <t>1. The prototype is open at the base state (use Reset data).
2. Signed in as MOE HQ (Mei Lin Tan).</t>
        </is>
      </c>
      <c r="L49" s="17" t="inlineStr">
        <is>
          <t>Base state</t>
        </is>
      </c>
      <c r="M49" s="17" t="inlineStr">
        <is>
          <t>1. Set School = Riverside Secondary.
2. Read the tab counts.
3. Type "aisha" in Search and read the tab counts again.</t>
        </is>
      </c>
      <c r="N49" s="17" t="inlineStr">
        <is>
          <t>1. The tab counts stay Pending 4, All 9, Approved 4, Rejected 1 in both steps.
2. The table shows only the matching rows.</t>
        </is>
      </c>
      <c r="O49" s="17" t="n"/>
      <c r="P49" s="17" t="inlineStr">
        <is>
          <t>ASM-R4-06: Tab counts are not affected by filters or search, like the cards. A tab and the Status filter combine with AND, so Pending with Approved shows No applications found.</t>
        </is>
      </c>
      <c r="Q49" s="17" t="n"/>
      <c r="R49" s="17" t="inlineStr">
        <is>
          <t>Tender R4, PB-19, FS F4 v1.3: 3.1 item 4, 3.3</t>
        </is>
      </c>
      <c r="S49" s="17" t="inlineStr">
        <is>
          <t>Compare CMP-10.</t>
        </is>
      </c>
      <c r="T49" s="16" t="inlineStr">
        <is>
          <t>Draft</t>
        </is>
      </c>
    </row>
    <row r="50" ht="106.5" customHeight="1" s="14">
      <c r="A50" s="16" t="inlineStr">
        <is>
          <t>TC-049</t>
        </is>
      </c>
      <c r="B50" s="16" t="inlineStr">
        <is>
          <t>TS-012</t>
        </is>
      </c>
      <c r="C50" s="17" t="inlineStr">
        <is>
          <t>MOE HQ table has the 12 columns in the right order</t>
        </is>
      </c>
      <c r="D50" s="17" t="inlineStr">
        <is>
          <t>F4.3 Applications list, MOE HQ</t>
        </is>
      </c>
      <c r="E50" s="17" t="inlineStr">
        <is>
          <t>FAS applications (MOE HQ)</t>
        </is>
      </c>
      <c r="F50" s="16" t="inlineStr">
        <is>
          <t>S2</t>
        </is>
      </c>
      <c r="G50" s="16" t="inlineStr">
        <is>
          <t>High</t>
        </is>
      </c>
      <c r="H50" s="16" t="inlineStr">
        <is>
          <t>Not Run</t>
        </is>
      </c>
      <c r="I50" s="16" t="inlineStr">
        <is>
          <t>Functional</t>
        </is>
      </c>
      <c r="J50" s="17" t="inlineStr">
        <is>
          <t>Prototype: edusave.vercel.app (sample date 18/10/2026)
Chrome (latest)
Build: to be recorded at execution
Needs: ENV-R4-01</t>
        </is>
      </c>
      <c r="K50" s="17" t="inlineStr">
        <is>
          <t>1. The prototype is open at the base state (use Reset data).
2. Signed in as MOE HQ (Mei Lin Tan).</t>
        </is>
      </c>
      <c r="L50" s="17" t="inlineStr">
        <is>
          <t>Base state</t>
        </is>
      </c>
      <c r="M50" s="17" t="inlineStr">
        <is>
          <t>1. Open FAS applications and read the table header.</t>
        </is>
      </c>
      <c r="N50" s="17" t="inlineStr">
        <is>
          <t>1. The columns are Application, Student, School, Grade, Scheme, Submitted, System check, Tier, ML recommendation, ML risk, Status and an action column with View.</t>
        </is>
      </c>
      <c r="O50" s="17" t="n"/>
      <c r="P50" s="17" t="inlineStr">
        <is>
          <t>N/A</t>
        </is>
      </c>
      <c r="Q50" s="17" t="n"/>
      <c r="R50" s="17" t="inlineStr">
        <is>
          <t>Tender R4, PB-19, FS F4 v1.3: 3.1 item 6, 3.4 Application, 3.4 School, 3.4 Scheme</t>
        </is>
      </c>
      <c r="S50" s="17" t="inlineStr">
        <is>
          <t>Compare CMP-16.</t>
        </is>
      </c>
      <c r="T50" s="16" t="inlineStr">
        <is>
          <t>Approve</t>
        </is>
      </c>
    </row>
    <row r="51" ht="106.5" customHeight="1" s="14">
      <c r="A51" s="16" t="inlineStr">
        <is>
          <t>TC-050</t>
        </is>
      </c>
      <c r="B51" s="16" t="inlineStr">
        <is>
          <t>TS-012</t>
        </is>
      </c>
      <c r="C51" s="17" t="inlineStr">
        <is>
          <t>Application and Student cells use the required formats</t>
        </is>
      </c>
      <c r="D51" s="17" t="inlineStr">
        <is>
          <t>F4.3 Applications list, MOE HQ</t>
        </is>
      </c>
      <c r="E51" s="17" t="inlineStr">
        <is>
          <t>FAS applications (MOE HQ)</t>
        </is>
      </c>
      <c r="F51" s="16" t="inlineStr">
        <is>
          <t>S3</t>
        </is>
      </c>
      <c r="G51" s="16" t="inlineStr">
        <is>
          <t>Medium</t>
        </is>
      </c>
      <c r="H51" s="16" t="inlineStr">
        <is>
          <t>Not Run</t>
        </is>
      </c>
      <c r="I51" s="16" t="inlineStr">
        <is>
          <t>Functional</t>
        </is>
      </c>
      <c r="J51" s="17" t="inlineStr">
        <is>
          <t>Prototype: edusave.vercel.app (sample date 18/10/2026)
Chrome (latest)
Build: to be recorded at execution
Needs: ENV-R4-01</t>
        </is>
      </c>
      <c r="K51" s="17" t="inlineStr">
        <is>
          <t>1. The prototype is open at the base state (use Reset data).
2. Signed in as MOE HQ (Mei Lin Tan).</t>
        </is>
      </c>
      <c r="L51" s="17" t="inlineStr">
        <is>
          <t>Row: APP-2026-00412, Aisha Rahman, T1801177H</t>
        </is>
      </c>
      <c r="M51" s="17" t="inlineStr">
        <is>
          <t>1. Read the Application and Student cells of 00412.</t>
        </is>
      </c>
      <c r="N51" s="17" t="inlineStr">
        <is>
          <t>1. Application reads APP-2026-00412 (APP-YYYY-NNNNN).
2. Student shows the name Aisha Rahman with the NRIC/FIN T1801177H under it.</t>
        </is>
      </c>
      <c r="O51" s="17" t="n"/>
      <c r="P51" s="17" t="inlineStr">
        <is>
          <t>N/A</t>
        </is>
      </c>
      <c r="Q51" s="17" t="n"/>
      <c r="R51" s="17" t="inlineStr">
        <is>
          <t>Tender R4, PB-19, FS F4 v1.3: 3.4 Application, 3.4 Student</t>
        </is>
      </c>
      <c r="S51" s="17" t="n"/>
      <c r="T51" s="16" t="inlineStr">
        <is>
          <t>Approve</t>
        </is>
      </c>
    </row>
    <row r="52" ht="106.5" customHeight="1" s="14">
      <c r="A52" s="16" t="inlineStr">
        <is>
          <t>TC-051</t>
        </is>
      </c>
      <c r="B52" s="16" t="inlineStr">
        <is>
          <t>TS-012</t>
        </is>
      </c>
      <c r="C52" s="17" t="inlineStr">
        <is>
          <t>System check shows Waiting, Pass, Fail or a dash by scheme and status</t>
        </is>
      </c>
      <c r="D52" s="17" t="inlineStr">
        <is>
          <t>F4.3 Applications list, MOE HQ</t>
        </is>
      </c>
      <c r="E52" s="17" t="inlineStr">
        <is>
          <t>FAS applications (MOE HQ)</t>
        </is>
      </c>
      <c r="F52" s="16" t="inlineStr">
        <is>
          <t>S1 (highest)</t>
        </is>
      </c>
      <c r="G52" s="16" t="inlineStr">
        <is>
          <t>High</t>
        </is>
      </c>
      <c r="H52" s="16" t="inlineStr">
        <is>
          <t>Not Run</t>
        </is>
      </c>
      <c r="I52" s="16" t="inlineStr">
        <is>
          <t>Functional</t>
        </is>
      </c>
      <c r="J52" s="17" t="inlineStr">
        <is>
          <t>Prototype: edusave.vercel.app (sample date 18/10/2026)
Chrome (latest)
Build: to be recorded at execution
Needs: ENV-R4-01</t>
        </is>
      </c>
      <c r="K52" s="17" t="inlineStr">
        <is>
          <t>1. The prototype is open at the base state (use Reset data).
2. Signed in as MOE HQ (Mei Lin Tan).</t>
        </is>
      </c>
      <c r="L52" s="17" t="inlineStr">
        <is>
          <t>Rows: 00377 (MOEFAS Pending), 00390 (MOEFAS Approved), 00328 (MOEFAS Rejected), 00398 (SBFAS Pending)</t>
        </is>
      </c>
      <c r="M52" s="17" t="inlineStr">
        <is>
          <t>1. Read the System check cell of each row.</t>
        </is>
      </c>
      <c r="N52" s="17" t="inlineStr">
        <is>
          <t>1. 00377 shows Waiting.
2. 00390 shows Pass.
3. 00328 shows Fail.
4. 00398 shows a dash.</t>
        </is>
      </c>
      <c r="O52" s="17" t="n"/>
      <c r="P52" s="17" t="inlineStr">
        <is>
          <t>N/A</t>
        </is>
      </c>
      <c r="Q52" s="17" t="n"/>
      <c r="R52" s="17" t="inlineStr">
        <is>
          <t>Tender R4, PB-19, FS F4 v1.3: 3.4 System check, 2.4</t>
        </is>
      </c>
      <c r="S52" s="17" t="inlineStr">
        <is>
          <t>Compare CMP-17.</t>
        </is>
      </c>
      <c r="T52" s="16" t="inlineStr">
        <is>
          <t>Approve</t>
        </is>
      </c>
    </row>
    <row r="53" ht="106.5" customHeight="1" s="14">
      <c r="A53" s="16" t="inlineStr">
        <is>
          <t>TC-052</t>
        </is>
      </c>
      <c r="B53" s="16" t="inlineStr">
        <is>
          <t>TS-012</t>
        </is>
      </c>
      <c r="C53" s="17" t="inlineStr">
        <is>
          <t>Tier and ML recommendation follow the scheme and the decision</t>
        </is>
      </c>
      <c r="D53" s="17" t="inlineStr">
        <is>
          <t>F4.3 Applications list, MOE HQ</t>
        </is>
      </c>
      <c r="E53" s="17" t="inlineStr">
        <is>
          <t>FAS applications (MOE HQ)</t>
        </is>
      </c>
      <c r="F53" s="16" t="inlineStr">
        <is>
          <t>S2</t>
        </is>
      </c>
      <c r="G53" s="16" t="inlineStr">
        <is>
          <t>High</t>
        </is>
      </c>
      <c r="H53" s="16" t="inlineStr">
        <is>
          <t>Not Run</t>
        </is>
      </c>
      <c r="I53" s="16" t="inlineStr">
        <is>
          <t>Functional</t>
        </is>
      </c>
      <c r="J53" s="17" t="inlineStr">
        <is>
          <t>Prototype: edusave.vercel.app (sample date 18/10/2026)
Chrome (latest)
Build: to be recorded at execution
Needs: ENV-R4-01</t>
        </is>
      </c>
      <c r="K53" s="17" t="inlineStr">
        <is>
          <t>1. The prototype is open at the base state (use Reset data).
2. Signed in as MOE HQ (Mei Lin Tan).</t>
        </is>
      </c>
      <c r="L53" s="17" t="inlineStr">
        <is>
          <t>Rows: 00386 (SBFAS Approved Tier 3, ML Tier 2), 00398 (SBFAS Pending, no tier fits), 00377 (MOEFAS)</t>
        </is>
      </c>
      <c r="M53" s="17" t="inlineStr">
        <is>
          <t>1. Read the Tier and ML recommendation cells of 00386, 00398 and 00377.</t>
        </is>
      </c>
      <c r="N53" s="17" t="inlineStr">
        <is>
          <t>1. 00386 shows Tier 3 in Tier and Tier 2 in ML recommendation.
2. 00398 shows an empty Tier and a dash in ML recommendation.
3. 00377 shows a dash in both cells.</t>
        </is>
      </c>
      <c r="O53" s="17" t="n"/>
      <c r="P53" s="17" t="inlineStr">
        <is>
          <t>N/A</t>
        </is>
      </c>
      <c r="Q53" s="17" t="n"/>
      <c r="R53" s="17" t="inlineStr">
        <is>
          <t>Tender R4, PB-19, FS F4 v1.3: 3.4 Tier, 3.4 ML recommendation, 5</t>
        </is>
      </c>
      <c r="S53" s="17" t="inlineStr">
        <is>
          <t>Compare CMP-18. The FS says "otherwise empty" for Tier and the prototype shows an empty cell.</t>
        </is>
      </c>
      <c r="T53" s="16" t="inlineStr">
        <is>
          <t>Approve</t>
        </is>
      </c>
    </row>
    <row r="54" ht="106.5" customHeight="1" s="14">
      <c r="A54" s="16" t="inlineStr">
        <is>
          <t>TC-053</t>
        </is>
      </c>
      <c r="B54" s="16" t="inlineStr">
        <is>
          <t>TS-012</t>
        </is>
      </c>
      <c r="C54" s="17" t="inlineStr">
        <is>
          <t>Grade shows a dash when the student has no class</t>
        </is>
      </c>
      <c r="D54" s="17" t="inlineStr">
        <is>
          <t>F4.3 Applications list, MOE HQ</t>
        </is>
      </c>
      <c r="E54" s="17" t="inlineStr">
        <is>
          <t>FAS applications (MOE HQ)</t>
        </is>
      </c>
      <c r="F54" s="16" t="inlineStr">
        <is>
          <t>S3</t>
        </is>
      </c>
      <c r="G54" s="16" t="inlineStr">
        <is>
          <t>Medium</t>
        </is>
      </c>
      <c r="H54" s="16" t="inlineStr">
        <is>
          <t>Not Run</t>
        </is>
      </c>
      <c r="I54" s="16" t="inlineStr">
        <is>
          <t>Functional</t>
        </is>
      </c>
      <c r="J54" s="17" t="inlineStr">
        <is>
          <t>Prototype: edusave.vercel.app (sample date 18/10/2026)
Chrome (latest)
Build: to be recorded at execution
Needs: ENV-R4-01</t>
        </is>
      </c>
      <c r="K54" s="17" t="inlineStr">
        <is>
          <t>1. The prototype is open at the base state (use Reset data).
2. Signed in as MOE HQ (Mei Lin Tan).</t>
        </is>
      </c>
      <c r="L54" s="17" t="inlineStr">
        <is>
          <t>Rows: 00328 and 00381 (Lee Zhi Hao, Riverside Secondary, no class), 00412 (P3)</t>
        </is>
      </c>
      <c r="M54" s="17" t="inlineStr">
        <is>
          <t>1. Read the Grade cell of 00328, 00381 and 00412.</t>
        </is>
      </c>
      <c r="N54" s="17" t="inlineStr">
        <is>
          <t>1. 00328 and 00381 show a dash.
2. 00412 shows P3.</t>
        </is>
      </c>
      <c r="O54" s="17" t="n"/>
      <c r="P54" s="17" t="inlineStr">
        <is>
          <t>N/A</t>
        </is>
      </c>
      <c r="Q54" s="17" t="n"/>
      <c r="R54" s="17" t="inlineStr">
        <is>
          <t>Tender R4, PB-19, FS F4 v1.3: 3.4 Grade</t>
        </is>
      </c>
      <c r="S54" s="17" t="inlineStr">
        <is>
          <t>Compare CMP-19.</t>
        </is>
      </c>
      <c r="T54" s="16" t="inlineStr">
        <is>
          <t>Approve</t>
        </is>
      </c>
    </row>
    <row r="55" ht="106.5" customHeight="1" s="14">
      <c r="A55" s="16" t="inlineStr">
        <is>
          <t>TC-054</t>
        </is>
      </c>
      <c r="B55" s="16" t="inlineStr">
        <is>
          <t>TS-012</t>
        </is>
      </c>
      <c r="C55" s="17" t="inlineStr">
        <is>
          <t>ML risk and Status show only the allowed values</t>
        </is>
      </c>
      <c r="D55" s="17" t="inlineStr">
        <is>
          <t>F4.3 Applications list, MOE HQ</t>
        </is>
      </c>
      <c r="E55" s="17" t="inlineStr">
        <is>
          <t>FAS applications (MOE HQ)</t>
        </is>
      </c>
      <c r="F55" s="16" t="inlineStr">
        <is>
          <t>S3</t>
        </is>
      </c>
      <c r="G55" s="16" t="inlineStr">
        <is>
          <t>Medium</t>
        </is>
      </c>
      <c r="H55" s="16" t="inlineStr">
        <is>
          <t>Not Run</t>
        </is>
      </c>
      <c r="I55" s="16" t="inlineStr">
        <is>
          <t>Functional</t>
        </is>
      </c>
      <c r="J55" s="17" t="inlineStr">
        <is>
          <t>Prototype: edusave.vercel.app (sample date 18/10/2026)
Chrome (latest)
Build: to be recorded at execution
Needs: ENV-R4-01</t>
        </is>
      </c>
      <c r="K55" s="17" t="inlineStr">
        <is>
          <t>1. The prototype is open at the base state (use Reset data).
2. Signed in as MOE HQ (Mei Lin Tan).</t>
        </is>
      </c>
      <c r="L55" s="17" t="inlineStr">
        <is>
          <t>Base state</t>
        </is>
      </c>
      <c r="M55" s="17" t="inlineStr">
        <is>
          <t>1. Read the ML risk and Status columns for all 9 rows.</t>
        </is>
      </c>
      <c r="N55" s="17" t="inlineStr">
        <is>
          <t>1. ML risk is High for 00390, Low for 00328 and Medium for the 7 other rows.
2. Status is only Pending, Approved or Rejected.</t>
        </is>
      </c>
      <c r="O55" s="17" t="n"/>
      <c r="P55" s="17" t="inlineStr">
        <is>
          <t>N/A</t>
        </is>
      </c>
      <c r="Q55" s="17" t="n"/>
      <c r="R55" s="17" t="inlineStr">
        <is>
          <t>Tender R4, PB-19, FS F4 v1.3: 3.4 ML risk, 3.4 Status, 2.4, 5</t>
        </is>
      </c>
      <c r="S55" s="17" t="inlineStr">
        <is>
          <t>Compare CMP-07. The risk value comes from the engine and cannot be derived on screen (compare CMP-38).</t>
        </is>
      </c>
      <c r="T55" s="16" t="inlineStr">
        <is>
          <t>Approve</t>
        </is>
      </c>
    </row>
    <row r="56" ht="106.5" customHeight="1" s="14">
      <c r="A56" s="16" t="inlineStr">
        <is>
          <t>TC-055</t>
        </is>
      </c>
      <c r="B56" s="16" t="inlineStr">
        <is>
          <t>TS-013</t>
        </is>
      </c>
      <c r="C56" s="17" t="inlineStr">
        <is>
          <t>List is sorted by Submitted, newest first</t>
        </is>
      </c>
      <c r="D56" s="17" t="inlineStr">
        <is>
          <t>F4.3 Applications list, MOE HQ</t>
        </is>
      </c>
      <c r="E56" s="17" t="inlineStr">
        <is>
          <t>FAS applications (MOE HQ)</t>
        </is>
      </c>
      <c r="F56" s="16" t="inlineStr">
        <is>
          <t>S2</t>
        </is>
      </c>
      <c r="G56" s="16" t="inlineStr">
        <is>
          <t>High</t>
        </is>
      </c>
      <c r="H56" s="16" t="inlineStr">
        <is>
          <t>Not Run</t>
        </is>
      </c>
      <c r="I56" s="16" t="inlineStr">
        <is>
          <t>Functional</t>
        </is>
      </c>
      <c r="J56" s="17" t="inlineStr">
        <is>
          <t>Prototype: edusave.vercel.app (sample date 18/10/2026)
Chrome (latest)
Build: to be recorded at execution
Needs: ENV-R4-01</t>
        </is>
      </c>
      <c r="K56" s="17" t="inlineStr">
        <is>
          <t>1. The prototype is open at the base state (use Reset data).
2. Signed in as MOE HQ (Mei Lin Tan).</t>
        </is>
      </c>
      <c r="L56" s="17" t="inlineStr">
        <is>
          <t>Base state</t>
        </is>
      </c>
      <c r="M56" s="17" t="inlineStr">
        <is>
          <t>1. Open FAS applications (All tab) and read the Application column from top to bottom.</t>
        </is>
      </c>
      <c r="N56" s="17" t="inlineStr">
        <is>
          <t>1. The order is 00377 (17/10/2026), 00412 (17/10/2026), 00410 (16/10/2026), 00398 (14/10/2026), 00390 (14/11/2025), 00386 (12/11/2025), 00328 (07/11/2025), 00381 (16/10/2025), 00301 (20/09/2025).
2. Two rows of the same date list the later time first (00377 at 10:05 before 00412 at 09:20).</t>
        </is>
      </c>
      <c r="O56" s="17" t="n"/>
      <c r="P56" s="17" t="inlineStr">
        <is>
          <t>N/A</t>
        </is>
      </c>
      <c r="Q56" s="17" t="n"/>
      <c r="R56" s="17" t="inlineStr">
        <is>
          <t>Tender R4, PB-19, FS F4 v1.3: 3.4 sort</t>
        </is>
      </c>
      <c r="S56" s="17" t="inlineStr">
        <is>
          <t>Compare CMP-20.</t>
        </is>
      </c>
      <c r="T56" s="16" t="inlineStr">
        <is>
          <t>Approve</t>
        </is>
      </c>
    </row>
    <row r="57" ht="106.5" customHeight="1" s="14">
      <c r="A57" s="16" t="inlineStr">
        <is>
          <t>TC-056</t>
        </is>
      </c>
      <c r="B57" s="16" t="inlineStr">
        <is>
          <t>TS-013</t>
        </is>
      </c>
      <c r="C57" s="17" t="inlineStr">
        <is>
          <t>Footer shows the row range and paging buttons for one page</t>
        </is>
      </c>
      <c r="D57" s="17" t="inlineStr">
        <is>
          <t>F4.3 Applications list, MOE HQ</t>
        </is>
      </c>
      <c r="E57" s="17" t="inlineStr">
        <is>
          <t>FAS applications (MOE HQ)</t>
        </is>
      </c>
      <c r="F57" s="16" t="inlineStr">
        <is>
          <t>S3</t>
        </is>
      </c>
      <c r="G57" s="16" t="inlineStr">
        <is>
          <t>Medium</t>
        </is>
      </c>
      <c r="H57" s="16" t="inlineStr">
        <is>
          <t>Not Run</t>
        </is>
      </c>
      <c r="I57" s="16" t="inlineStr">
        <is>
          <t>Functional</t>
        </is>
      </c>
      <c r="J57" s="17" t="inlineStr">
        <is>
          <t>Prototype: edusave.vercel.app (sample date 18/10/2026)
Chrome (latest)
Build: to be recorded at execution
Needs: ENV-R4-01</t>
        </is>
      </c>
      <c r="K57" s="17" t="inlineStr">
        <is>
          <t>1. The prototype is open at the base state (use Reset data).
2. Signed in as MOE HQ (Mei Lin Tan).</t>
        </is>
      </c>
      <c r="L57" s="17" t="inlineStr">
        <is>
          <t>Base state (9 rows)</t>
        </is>
      </c>
      <c r="M57" s="17" t="inlineStr">
        <is>
          <t>1. Read the footer under the table.</t>
        </is>
      </c>
      <c r="N57" s="17" t="inlineStr">
        <is>
          <t>1. The footer reads "Showing 1–9 of 9" with Previous and Next.
2. Neither button moves to another page.</t>
        </is>
      </c>
      <c r="O57" s="17" t="n"/>
      <c r="P57" s="17" t="inlineStr">
        <is>
          <t>N/A</t>
        </is>
      </c>
      <c r="Q57" s="17" t="n"/>
      <c r="R57" s="17" t="inlineStr">
        <is>
          <t>Tender R4, PB-19, FS F4 v1.3: 3.4 paging</t>
        </is>
      </c>
      <c r="S57" s="17" t="inlineStr">
        <is>
          <t>Compare CMP-20.</t>
        </is>
      </c>
      <c r="T57" s="16" t="inlineStr">
        <is>
          <t>Approve</t>
        </is>
      </c>
    </row>
    <row r="58" ht="121.5" customHeight="1" s="14">
      <c r="A58" s="16" t="inlineStr">
        <is>
          <t>TC-057</t>
        </is>
      </c>
      <c r="B58" s="16" t="inlineStr">
        <is>
          <t>TS-013</t>
        </is>
      </c>
      <c r="C58" s="17" t="inlineStr">
        <is>
          <t>Ten rows fit on one page and the eleventh opens page 2</t>
        </is>
      </c>
      <c r="D58" s="17" t="inlineStr">
        <is>
          <t>F4.3 Applications list, MOE HQ</t>
        </is>
      </c>
      <c r="E58" s="17" t="inlineStr">
        <is>
          <t>FAS applications (MOE HQ)</t>
        </is>
      </c>
      <c r="F58" s="16" t="inlineStr">
        <is>
          <t>S2</t>
        </is>
      </c>
      <c r="G58" s="16" t="inlineStr">
        <is>
          <t>High</t>
        </is>
      </c>
      <c r="H58" s="16" t="inlineStr">
        <is>
          <t>Not Run</t>
        </is>
      </c>
      <c r="I58" s="16" t="inlineStr">
        <is>
          <t>Functional</t>
        </is>
      </c>
      <c r="J58" s="17" t="inlineStr">
        <is>
          <t>Prototype: edusave.vercel.app (sample date 18/10/2026)
Chrome (latest)
Build: to be recorded at execution
Needs: ENV-R4-01, SEED-R4-N25</t>
        </is>
      </c>
      <c r="K58" s="17" t="inlineStr">
        <is>
          <t>1. The prototype is open at the base state (use Reset data).
2. Signed in as MOE HQ (Mei Lin Tan).</t>
        </is>
      </c>
      <c r="L58" s="17" t="inlineStr">
        <is>
          <t>Seed A: exactly 10 applications (SEED-R4-N25)
Seed B: 11 applications (SEED-R4-N25)</t>
        </is>
      </c>
      <c r="M58" s="17" t="inlineStr">
        <is>
          <t>1. Load seed A and open FAS applications.
2. Read the footer and the Next button.
3. Load seed B and open FAS applications.
4. Read the footer, click Next and read the footer again.</t>
        </is>
      </c>
      <c r="N58" s="17" t="inlineStr">
        <is>
          <t>1. With 10 rows the footer reads "Showing 1–10 of 10" and Next stays on the same page.
2. With 11 rows page 1 shows 10 rows and "Showing 1–10 of 11".
3. Page 2 shows 1 row and "Showing 11–11 of 11".</t>
        </is>
      </c>
      <c r="O58" s="17" t="n"/>
      <c r="P58" s="17" t="inlineStr">
        <is>
          <t>N/A</t>
        </is>
      </c>
      <c r="Q58" s="17" t="n"/>
      <c r="R58" s="17" t="inlineStr">
        <is>
          <t>Tender R4, PB-19, FS F4 v1.3: 3.4 paging</t>
        </is>
      </c>
      <c r="S58" s="17" t="inlineStr">
        <is>
          <t>The prototype has only 9 rows (compare CMP-20).</t>
        </is>
      </c>
      <c r="T58" s="16" t="inlineStr">
        <is>
          <t>Approve</t>
        </is>
      </c>
    </row>
    <row r="59" ht="106.5" customHeight="1" s="14">
      <c r="A59" s="16" t="inlineStr">
        <is>
          <t>TC-058</t>
        </is>
      </c>
      <c r="B59" s="16" t="inlineStr">
        <is>
          <t>TS-013</t>
        </is>
      </c>
      <c r="C59" s="17" t="inlineStr">
        <is>
          <t>Empty result shows the message and an empty footer</t>
        </is>
      </c>
      <c r="D59" s="17" t="inlineStr">
        <is>
          <t>F4.3 Applications list, MOE HQ</t>
        </is>
      </c>
      <c r="E59" s="17" t="inlineStr">
        <is>
          <t>FAS applications (MOE HQ)</t>
        </is>
      </c>
      <c r="F59" s="16" t="inlineStr">
        <is>
          <t>S3</t>
        </is>
      </c>
      <c r="G59" s="16" t="inlineStr">
        <is>
          <t>Medium</t>
        </is>
      </c>
      <c r="H59" s="16" t="inlineStr">
        <is>
          <t>Not Run</t>
        </is>
      </c>
      <c r="I59" s="16" t="inlineStr">
        <is>
          <t>Functional</t>
        </is>
      </c>
      <c r="J59" s="17" t="inlineStr">
        <is>
          <t>Prototype: edusave.vercel.app (sample date 18/10/2026)
Chrome (latest)
Build: to be recorded at execution
Needs: ENV-R4-01</t>
        </is>
      </c>
      <c r="K59" s="17" t="inlineStr">
        <is>
          <t>1. The prototype is open at the base state (use Reset data).
2. Signed in as MOE HQ (Mei Lin Tan).</t>
        </is>
      </c>
      <c r="L59" s="17" t="inlineStr">
        <is>
          <t>Search term: zzzz</t>
        </is>
      </c>
      <c r="M59" s="17" t="inlineStr">
        <is>
          <t>1. Type "zzzz" in Search.
2. Read the table and the footer.</t>
        </is>
      </c>
      <c r="N59" s="17" t="inlineStr">
        <is>
          <t>1. The table shows "No applications found."
2. The footer reads "Showing 0–0 of 0".
3. No error appears.</t>
        </is>
      </c>
      <c r="O59" s="17" t="n"/>
      <c r="P59" s="17" t="inlineStr">
        <is>
          <t>N/A</t>
        </is>
      </c>
      <c r="Q59" s="17" t="n"/>
      <c r="R59" s="17" t="inlineStr">
        <is>
          <t>Tender R4, PB-19, FS F4 v1.3: 3.4 empty, 3.3 Search</t>
        </is>
      </c>
      <c r="S59" s="17" t="inlineStr">
        <is>
          <t>Compare CMP-14 and CMP-20.</t>
        </is>
      </c>
      <c r="T59" s="16" t="inlineStr">
        <is>
          <t>Approve</t>
        </is>
      </c>
    </row>
    <row r="60" ht="106.5" customHeight="1" s="14">
      <c r="A60" s="16" t="inlineStr">
        <is>
          <t>TC-059</t>
        </is>
      </c>
      <c r="B60" s="16" t="inlineStr">
        <is>
          <t>TS-014</t>
        </is>
      </c>
      <c r="C60" s="17" t="inlineStr">
        <is>
          <t>School Admin sees only SBFAS applications of the own school</t>
        </is>
      </c>
      <c r="D60" s="17" t="inlineStr">
        <is>
          <t>F4.4 Applications list, School Admin</t>
        </is>
      </c>
      <c r="E60" s="17" t="inlineStr">
        <is>
          <t>FAS applications (School Admin)</t>
        </is>
      </c>
      <c r="F60" s="16" t="inlineStr">
        <is>
          <t>S1 (highest)</t>
        </is>
      </c>
      <c r="G60" s="16" t="inlineStr">
        <is>
          <t>Critical</t>
        </is>
      </c>
      <c r="H60" s="16" t="inlineStr">
        <is>
          <t>Not Run</t>
        </is>
      </c>
      <c r="I60" s="16" t="inlineStr">
        <is>
          <t>Functional</t>
        </is>
      </c>
      <c r="J60" s="17" t="inlineStr">
        <is>
          <t>Prototype: edusave.vercel.app (sample date 18/10/2026)
Chrome (latest)
Build: to be recorded at execution
Needs: ENV-R4-01</t>
        </is>
      </c>
      <c r="K60" s="17" t="inlineStr">
        <is>
          <t>1. The prototype is open at the base state (use Reset data).
2. Signed in as School user Lan Nguyen (BVP-0012), Bukit View Primary.</t>
        </is>
      </c>
      <c r="L60" s="17" t="inlineStr">
        <is>
          <t>Bukit View Primary has 6 applications (4 MOEFAS and 2 SBFAS: 00398 and 00386)</t>
        </is>
      </c>
      <c r="M60" s="17" t="inlineStr">
        <is>
          <t>1. Open FAS applications and open the All tab.
2. Read the rows.</t>
        </is>
      </c>
      <c r="N60" s="17" t="inlineStr">
        <is>
          <t>1. Only APP-2026-00398 and APP-2026-00386 are listed.
2. No MOEFAS row (00412, 00410, 00390, 00301) is listed.
3. No application of another school is listed.</t>
        </is>
      </c>
      <c r="O60" s="17" t="n"/>
      <c r="P60" s="17" t="inlineStr">
        <is>
          <t>N/A</t>
        </is>
      </c>
      <c r="Q60" s="17" t="n"/>
      <c r="R60" s="17" t="inlineStr">
        <is>
          <t>Tender R4, PB-19, FS F4 v1.3: 3.2 item 1, BR12, 1.2</t>
        </is>
      </c>
      <c r="S60" s="17" t="inlineStr">
        <is>
          <t>Compare CMP-23.</t>
        </is>
      </c>
      <c r="T60" s="16" t="inlineStr">
        <is>
          <t>Approve</t>
        </is>
      </c>
    </row>
    <row r="61" ht="106.5" customHeight="1" s="14">
      <c r="A61" s="16" t="inlineStr">
        <is>
          <t>TC-060</t>
        </is>
      </c>
      <c r="B61" s="16" t="inlineStr">
        <is>
          <t>TS-014</t>
        </is>
      </c>
      <c r="C61" s="17" t="inlineStr">
        <is>
          <t>School Admin of a school without SBFAS applications sees an empty list</t>
        </is>
      </c>
      <c r="D61" s="17" t="inlineStr">
        <is>
          <t>F4.4 Applications list, School Admin</t>
        </is>
      </c>
      <c r="E61" s="17" t="inlineStr">
        <is>
          <t>FAS applications (School Admin)</t>
        </is>
      </c>
      <c r="F61" s="16" t="inlineStr">
        <is>
          <t>S2</t>
        </is>
      </c>
      <c r="G61" s="16" t="inlineStr">
        <is>
          <t>Medium</t>
        </is>
      </c>
      <c r="H61" s="16" t="inlineStr">
        <is>
          <t>Not Run</t>
        </is>
      </c>
      <c r="I61" s="16" t="inlineStr">
        <is>
          <t>Functional</t>
        </is>
      </c>
      <c r="J61" s="17" t="inlineStr">
        <is>
          <t>Prototype: edusave.vercel.app (sample date 18/10/2026)
Chrome (latest)
Build: to be recorded at execution
Needs: ENV-R4-01</t>
        </is>
      </c>
      <c r="K61" s="17" t="inlineStr">
        <is>
          <t>1. The prototype is open at the base state (use Reset data).
2. Signed in as School user MRS-0012, Meridian Secondary.</t>
        </is>
      </c>
      <c r="L61" s="17" t="inlineStr">
        <is>
          <t>Meridian Secondary has one MOEFAS application (00377) and no SBFAS application</t>
        </is>
      </c>
      <c r="M61" s="17" t="inlineStr">
        <is>
          <t>1. Open FAS applications.
2. Read the cards and the list.</t>
        </is>
      </c>
      <c r="N61" s="17" t="inlineStr">
        <is>
          <t>1. The list shows "No applications found."
2. The cards read Pending 0, SBFAS approved 0 and SBFAS rejected 0.
3. The MOEFAS application 00377 is not listed.</t>
        </is>
      </c>
      <c r="O61" s="17" t="n"/>
      <c r="P61" s="17" t="inlineStr">
        <is>
          <t>N/A</t>
        </is>
      </c>
      <c r="Q61" s="17" t="n"/>
      <c r="R61" s="17" t="inlineStr">
        <is>
          <t>Tender R4, PB-19, FS F4 v1.3: 3.2 item 1, 3.2 item 2, BR12</t>
        </is>
      </c>
      <c r="S61" s="17" t="n"/>
      <c r="T61" s="16" t="inlineStr">
        <is>
          <t>Approve</t>
        </is>
      </c>
    </row>
    <row r="62" ht="106.5" customHeight="1" s="14">
      <c r="A62" s="16" t="inlineStr">
        <is>
          <t>TC-061</t>
        </is>
      </c>
      <c r="B62" s="16" t="inlineStr">
        <is>
          <t>TS-014</t>
        </is>
      </c>
      <c r="C62" s="17" t="inlineStr">
        <is>
          <t>School cards show Pending, SBFAS approved and SBFAS rejected for this year</t>
        </is>
      </c>
      <c r="D62" s="17" t="inlineStr">
        <is>
          <t>F4.4 Applications list, School Admin</t>
        </is>
      </c>
      <c r="E62" s="17" t="inlineStr">
        <is>
          <t>FAS applications (School Admin)</t>
        </is>
      </c>
      <c r="F62" s="16" t="inlineStr">
        <is>
          <t>S2</t>
        </is>
      </c>
      <c r="G62" s="16" t="inlineStr">
        <is>
          <t>High</t>
        </is>
      </c>
      <c r="H62" s="16" t="inlineStr">
        <is>
          <t>Not Run</t>
        </is>
      </c>
      <c r="I62" s="16" t="inlineStr">
        <is>
          <t>Functional</t>
        </is>
      </c>
      <c r="J62" s="17" t="inlineStr">
        <is>
          <t>Prototype: edusave.vercel.app (sample date 18/10/2026)
Chrome (latest)
Build: to be recorded at execution
Needs: ENV-R4-01</t>
        </is>
      </c>
      <c r="K62" s="17" t="inlineStr">
        <is>
          <t>1. The prototype is open at the base state (use Reset data).
2. Signed in as School user Lan Nguyen (BVP-0012), Bukit View Primary.</t>
        </is>
      </c>
      <c r="L62" s="17" t="inlineStr">
        <is>
          <t>Base state of Bukit View Primary: 00398 Pending, 00386 Approved on 13/01/2026</t>
        </is>
      </c>
      <c r="M62" s="17" t="inlineStr">
        <is>
          <t>1. Read the three cards.</t>
        </is>
      </c>
      <c r="N62" s="17" t="inlineStr">
        <is>
          <t>1. The cards read Pending 1 (Pending SBFAS), SBFAS approved 1 (This year) and SBFAS rejected 0 (This year).</t>
        </is>
      </c>
      <c r="O62" s="17" t="n"/>
      <c r="P62" s="17" t="inlineStr">
        <is>
          <t>ASM-R4-16: The calendar year of the decision date in Singapore time.</t>
        </is>
      </c>
      <c r="Q62" s="17" t="n"/>
      <c r="R62" s="17" t="inlineStr">
        <is>
          <t>Tender R4, PB-19, FS F4 v1.3: 3.2 item 2</t>
        </is>
      </c>
      <c r="S62" s="17" t="inlineStr">
        <is>
          <t>Compare CMP-24.</t>
        </is>
      </c>
      <c r="T62" s="16" t="inlineStr">
        <is>
          <t>Draft</t>
        </is>
      </c>
    </row>
    <row r="63" ht="106.5" customHeight="1" s="14">
      <c r="A63" s="16" t="inlineStr">
        <is>
          <t>TC-062</t>
        </is>
      </c>
      <c r="B63" s="16" t="inlineStr">
        <is>
          <t>TS-014</t>
        </is>
      </c>
      <c r="C63" s="17" t="inlineStr">
        <is>
          <t>This year counts decisions of the current calendar year only</t>
        </is>
      </c>
      <c r="D63" s="17" t="inlineStr">
        <is>
          <t>F4.4 Applications list, School Admin</t>
        </is>
      </c>
      <c r="E63" s="17" t="inlineStr">
        <is>
          <t>FAS applications (School Admin)</t>
        </is>
      </c>
      <c r="F63" s="16" t="inlineStr">
        <is>
          <t>S3</t>
        </is>
      </c>
      <c r="G63" s="16" t="inlineStr">
        <is>
          <t>Medium</t>
        </is>
      </c>
      <c r="H63" s="16" t="inlineStr">
        <is>
          <t>Not Run</t>
        </is>
      </c>
      <c r="I63" s="16" t="inlineStr">
        <is>
          <t>Functional</t>
        </is>
      </c>
      <c r="J63" s="17" t="inlineStr">
        <is>
          <t>F4 build with API (not available yet)
Chrome (latest)
Build: to be recorded at execution
Needs: ENV-R4-02, ENV-R4-04, SEED-R4-N14</t>
        </is>
      </c>
      <c r="K63" s="17" t="inlineStr">
        <is>
          <t>1. The F4 build is running with a clock control.
2. Signed in as a School Admin of Bukit View Primary.</t>
        </is>
      </c>
      <c r="L63" s="17" t="inlineStr">
        <is>
          <t>Seed: one SBFAS approval decided on 31/12/2025 and one decided on 01/01/2026 (SEED-R4-N14)
Today 18/10/2026</t>
        </is>
      </c>
      <c r="M63" s="17" t="inlineStr">
        <is>
          <t>1. Open FAS applications and read the SBFAS approved card.
2. Set today to 01/01/2027 and read the card again.</t>
        </is>
      </c>
      <c r="N63" s="17" t="inlineStr">
        <is>
          <t>1. On 18/10/2026 the card counts only the decision of 01/01/2026.
2. On 01/01/2027 the card counts neither decision.</t>
        </is>
      </c>
      <c r="O63" s="17" t="n"/>
      <c r="P63" s="17" t="inlineStr">
        <is>
          <t>ASM-R4-16: The calendar year of the decision date in Singapore time.</t>
        </is>
      </c>
      <c r="Q63" s="17" t="n"/>
      <c r="R63" s="17" t="inlineStr">
        <is>
          <t>Tender R4, PB-19, FS F4 v1.3: 3.2 item 2</t>
        </is>
      </c>
      <c r="S63" s="17" t="n"/>
      <c r="T63" s="16" t="inlineStr">
        <is>
          <t>Draft</t>
        </is>
      </c>
    </row>
    <row r="64" ht="106.5" customHeight="1" s="14">
      <c r="A64" s="16" t="inlineStr">
        <is>
          <t>TC-063</t>
        </is>
      </c>
      <c r="B64" s="16" t="inlineStr">
        <is>
          <t>TS-014</t>
        </is>
      </c>
      <c r="C64" s="17" t="inlineStr">
        <is>
          <t>School tabs open on Pending and show counts</t>
        </is>
      </c>
      <c r="D64" s="17" t="inlineStr">
        <is>
          <t>F4.4 Applications list, School Admin</t>
        </is>
      </c>
      <c r="E64" s="17" t="inlineStr">
        <is>
          <t>FAS applications (School Admin)</t>
        </is>
      </c>
      <c r="F64" s="16" t="inlineStr">
        <is>
          <t>S2</t>
        </is>
      </c>
      <c r="G64" s="16" t="inlineStr">
        <is>
          <t>High</t>
        </is>
      </c>
      <c r="H64" s="16" t="inlineStr">
        <is>
          <t>Not Run</t>
        </is>
      </c>
      <c r="I64" s="16" t="inlineStr">
        <is>
          <t>Functional</t>
        </is>
      </c>
      <c r="J64" s="17" t="inlineStr">
        <is>
          <t>Prototype: edusave.vercel.app (sample date 18/10/2026)
Chrome (latest)
Build: to be recorded at execution
Needs: ENV-R4-01</t>
        </is>
      </c>
      <c r="K64" s="17" t="inlineStr">
        <is>
          <t>1. The prototype is open at the base state (use Reset data).
2. Signed in as School user Lan Nguyen (BVP-0012), Bukit View Primary.</t>
        </is>
      </c>
      <c r="L64" s="17" t="inlineStr">
        <is>
          <t>Base state of Bukit View Primary</t>
        </is>
      </c>
      <c r="M64" s="17" t="inlineStr">
        <is>
          <t>1. Open FAS applications and note the selected tab and the counts.
2. Click All, Approved and Rejected in turn.</t>
        </is>
      </c>
      <c r="N64" s="17" t="inlineStr">
        <is>
          <t>1. Pending is selected on opening. The counts are Pending 1, All 2, Approved 1 and Rejected without a count.
2. Pending lists 00398. All lists 00398 and 00386. Approved lists 00386. Rejected shows "No applications found."</t>
        </is>
      </c>
      <c r="O64" s="17" t="n"/>
      <c r="P64" s="17" t="inlineStr">
        <is>
          <t>N/A</t>
        </is>
      </c>
      <c r="Q64" s="17" t="n"/>
      <c r="R64" s="17" t="inlineStr">
        <is>
          <t>Tender R4, PB-19, FS F4 v1.3: 3.2 item 3</t>
        </is>
      </c>
      <c r="S64" s="17" t="inlineStr">
        <is>
          <t>Compare CMP-25.</t>
        </is>
      </c>
      <c r="T64" s="16" t="inlineStr">
        <is>
          <t>Approve</t>
        </is>
      </c>
    </row>
    <row r="65" ht="106.5" customHeight="1" s="14">
      <c r="A65" s="16" t="inlineStr">
        <is>
          <t>TC-064</t>
        </is>
      </c>
      <c r="B65" s="16" t="inlineStr">
        <is>
          <t>TS-014</t>
        </is>
      </c>
      <c r="C65" s="17" t="inlineStr">
        <is>
          <t>A student who moved to another school is listed by the new school only</t>
        </is>
      </c>
      <c r="D65" s="17" t="inlineStr">
        <is>
          <t>F4.4 Applications list, School Admin</t>
        </is>
      </c>
      <c r="E65" s="17" t="inlineStr">
        <is>
          <t>FAS applications (School Admin)</t>
        </is>
      </c>
      <c r="F65" s="16" t="inlineStr">
        <is>
          <t>S1 (highest)</t>
        </is>
      </c>
      <c r="G65" s="16" t="inlineStr">
        <is>
          <t>High</t>
        </is>
      </c>
      <c r="H65" s="16" t="inlineStr">
        <is>
          <t>Not Run</t>
        </is>
      </c>
      <c r="I65" s="16" t="inlineStr">
        <is>
          <t>Integration</t>
        </is>
      </c>
      <c r="J65" s="17" t="inlineStr">
        <is>
          <t>F4 build with API (not available yet)
Chrome (latest)
Build: to be recorded at execution
Needs: ENV-R4-02, SEED-R4-N13</t>
        </is>
      </c>
      <c r="K65" s="17" t="inlineStr">
        <is>
          <t>1. The F4 build is connected to F3 (students and enrolment).
2. Signed in as a School Admin.</t>
        </is>
      </c>
      <c r="L65" s="17" t="inlineStr">
        <is>
          <t>Student: SBFAS applicant of Bukit View Primary transferred to Meridian Secondary (SEED-R4-N13)</t>
        </is>
      </c>
      <c r="M65" s="17" t="inlineStr">
        <is>
          <t>1. Open FAS applications as a School Admin of Bukit View Primary and search for the student.
2. Open FAS applications as a School Admin of Meridian Secondary and search for the student.</t>
        </is>
      </c>
      <c r="N65" s="17" t="inlineStr">
        <is>
          <t>1. Bukit View Primary shows "No applications found."
2. Meridian Secondary lists the application, because it shows students currently enrolled in the school.</t>
        </is>
      </c>
      <c r="O65" s="17" t="n"/>
      <c r="P65" s="17" t="inlineStr">
        <is>
          <t>N/A</t>
        </is>
      </c>
      <c r="Q65" s="17" t="n"/>
      <c r="R65" s="17" t="inlineStr">
        <is>
          <t>Tender R4, PB-19, FS F4 v1.3: 3.2 item 1, BR12</t>
        </is>
      </c>
      <c r="S65" s="17" t="n"/>
      <c r="T65" s="16" t="inlineStr">
        <is>
          <t>Approve</t>
        </is>
      </c>
    </row>
    <row r="66" ht="106.5" customHeight="1" s="14">
      <c r="A66" s="16" t="inlineStr">
        <is>
          <t>TC-065</t>
        </is>
      </c>
      <c r="B66" s="16" t="inlineStr">
        <is>
          <t>TS-015</t>
        </is>
      </c>
      <c r="C66" s="17" t="inlineStr">
        <is>
          <t>School table has the 9 columns with Tier before ML recommendation</t>
        </is>
      </c>
      <c r="D66" s="17" t="inlineStr">
        <is>
          <t>F4.4 Applications list, School Admin</t>
        </is>
      </c>
      <c r="E66" s="17" t="inlineStr">
        <is>
          <t>FAS applications (School Admin)</t>
        </is>
      </c>
      <c r="F66" s="16" t="inlineStr">
        <is>
          <t>S2</t>
        </is>
      </c>
      <c r="G66" s="16" t="inlineStr">
        <is>
          <t>High</t>
        </is>
      </c>
      <c r="H66" s="16" t="inlineStr">
        <is>
          <t>Not Run</t>
        </is>
      </c>
      <c r="I66" s="16" t="inlineStr">
        <is>
          <t>Functional</t>
        </is>
      </c>
      <c r="J66" s="17" t="inlineStr">
        <is>
          <t>Prototype: edusave.vercel.app (sample date 18/10/2026)
Chrome (latest)
Build: to be recorded at execution
Needs: ENV-R4-01</t>
        </is>
      </c>
      <c r="K66" s="17" t="inlineStr">
        <is>
          <t>1. The prototype is open at the base state (use Reset data).
2. Signed in as School user Lan Nguyen (BVP-0012), Bukit View Primary.</t>
        </is>
      </c>
      <c r="L66" s="17" t="inlineStr">
        <is>
          <t>Base state of Bukit View Primary</t>
        </is>
      </c>
      <c r="M66" s="17" t="inlineStr">
        <is>
          <t>1. Open FAS applications and read the table header.</t>
        </is>
      </c>
      <c r="N66" s="17" t="inlineStr">
        <is>
          <t>1. The columns are Application, Student, Grade, Submitted, Tier, ML recommendation, ML risk, Status and an action column.
2. There is no School, Scheme or System check column.</t>
        </is>
      </c>
      <c r="O66" s="17" t="n"/>
      <c r="P66" s="17" t="inlineStr">
        <is>
          <t>N/A</t>
        </is>
      </c>
      <c r="Q66" s="17" t="n"/>
      <c r="R66" s="17" t="inlineStr">
        <is>
          <t>Tender R4, PB-19, FS F4 v1.3: 3.2 item 5, 3.4 School, 3.4 System check, T7</t>
        </is>
      </c>
      <c r="S66" s="17" t="inlineStr">
        <is>
          <t>Compare CMP-26.</t>
        </is>
      </c>
      <c r="T66" s="16" t="inlineStr">
        <is>
          <t>Approve</t>
        </is>
      </c>
    </row>
    <row r="67" ht="106.5" customHeight="1" s="14">
      <c r="A67" s="16" t="inlineStr">
        <is>
          <t>TC-066</t>
        </is>
      </c>
      <c r="B67" s="16" t="inlineStr">
        <is>
          <t>TS-015</t>
        </is>
      </c>
      <c r="C67" s="17" t="inlineStr">
        <is>
          <t>Review shows for Pending SBFAS and View for decided ones</t>
        </is>
      </c>
      <c r="D67" s="17" t="inlineStr">
        <is>
          <t>F4.4 Applications list, School Admin</t>
        </is>
      </c>
      <c r="E67" s="17" t="inlineStr">
        <is>
          <t>FAS applications (School Admin)</t>
        </is>
      </c>
      <c r="F67" s="16" t="inlineStr">
        <is>
          <t>S1 (highest)</t>
        </is>
      </c>
      <c r="G67" s="16" t="inlineStr">
        <is>
          <t>High</t>
        </is>
      </c>
      <c r="H67" s="16" t="inlineStr">
        <is>
          <t>Not Run</t>
        </is>
      </c>
      <c r="I67" s="16" t="inlineStr">
        <is>
          <t>Functional</t>
        </is>
      </c>
      <c r="J67" s="17" t="inlineStr">
        <is>
          <t>Prototype: edusave.vercel.app (sample date 18/10/2026)
Chrome (latest)
Build: to be recorded at execution
Needs: ENV-R4-01</t>
        </is>
      </c>
      <c r="K67" s="17" t="inlineStr">
        <is>
          <t>1. The prototype is open at the base state (use Reset data).
2. Signed in as School user Lan Nguyen (BVP-0012), Bukit View Primary.</t>
        </is>
      </c>
      <c r="L67" s="17" t="inlineStr">
        <is>
          <t>Rows: 00398 (Pending) and 00386 (Approved)</t>
        </is>
      </c>
      <c r="M67" s="17" t="inlineStr">
        <is>
          <t>1. Open the All tab.
2. Read the action button of each row.
3. Click View on 00386.</t>
        </is>
      </c>
      <c r="N67" s="17" t="inlineStr">
        <is>
          <t>1. 00398 shows Review (primary button) and 00386 shows View.
2. View opens the drawer for 00386 with no Approve or Reject button.</t>
        </is>
      </c>
      <c r="O67" s="17" t="n"/>
      <c r="P67" s="17" t="inlineStr">
        <is>
          <t>N/A</t>
        </is>
      </c>
      <c r="Q67" s="17" t="n"/>
      <c r="R67" s="17" t="inlineStr">
        <is>
          <t>Tender R4, PB-19, FS F4 v1.3: 3.2 item 6, 4 Buttons</t>
        </is>
      </c>
      <c r="S67" s="17" t="n"/>
      <c r="T67" s="16" t="inlineStr">
        <is>
          <t>Approve</t>
        </is>
      </c>
    </row>
    <row r="68" ht="106.5" customHeight="1" s="14">
      <c r="A68" s="16" t="inlineStr">
        <is>
          <t>TC-067</t>
        </is>
      </c>
      <c r="B68" s="16" t="inlineStr">
        <is>
          <t>TS-015</t>
        </is>
      </c>
      <c r="C68" s="17" t="inlineStr">
        <is>
          <t>School table values for a pending and an approved SBFAS row</t>
        </is>
      </c>
      <c r="D68" s="17" t="inlineStr">
        <is>
          <t>F4.4 Applications list, School Admin</t>
        </is>
      </c>
      <c r="E68" s="17" t="inlineStr">
        <is>
          <t>FAS applications (School Admin)</t>
        </is>
      </c>
      <c r="F68" s="16" t="inlineStr">
        <is>
          <t>S2</t>
        </is>
      </c>
      <c r="G68" s="16" t="inlineStr">
        <is>
          <t>High</t>
        </is>
      </c>
      <c r="H68" s="16" t="inlineStr">
        <is>
          <t>Not Run</t>
        </is>
      </c>
      <c r="I68" s="16" t="inlineStr">
        <is>
          <t>Functional</t>
        </is>
      </c>
      <c r="J68" s="17" t="inlineStr">
        <is>
          <t>Prototype: edusave.vercel.app (sample date 18/10/2026)
Chrome (latest)
Build: to be recorded at execution
Needs: ENV-R4-01</t>
        </is>
      </c>
      <c r="K68" s="17" t="inlineStr">
        <is>
          <t>1. The prototype is open at the base state (use Reset data).
2. Signed in as School user Lan Nguyen (BVP-0012), Bukit View Primary.</t>
        </is>
      </c>
      <c r="L68" s="17" t="inlineStr">
        <is>
          <t>Rows: 00398 and 00386</t>
        </is>
      </c>
      <c r="M68" s="17" t="inlineStr">
        <is>
          <t>1. Open the All tab.
2. Read the cells of 00398 and 00386.</t>
        </is>
      </c>
      <c r="N68" s="17" t="inlineStr">
        <is>
          <t>1. 00398: Grade P2, Submitted 14/10/2026, Tier empty, ML recommendation a dash, ML risk Medium, Status Pending.
2. 00386: Grade P4, Submitted 12/11/2025, Tier Tier 3, ML recommendation Tier 2, ML risk Medium, Status Approved.</t>
        </is>
      </c>
      <c r="O68" s="17" t="n"/>
      <c r="P68" s="17" t="inlineStr">
        <is>
          <t>N/A</t>
        </is>
      </c>
      <c r="Q68" s="17" t="n"/>
      <c r="R68" s="17" t="inlineStr">
        <is>
          <t>Tender R4, PB-19, FS F4 v1.3: 3.4 Tier, 3.4 ML recommendation, 3.4 Grade, T7</t>
        </is>
      </c>
      <c r="S68" s="17" t="inlineStr">
        <is>
          <t>Compare CMP-18.</t>
        </is>
      </c>
      <c r="T68" s="16" t="inlineStr">
        <is>
          <t>Approve</t>
        </is>
      </c>
    </row>
    <row r="69" ht="106.5" customHeight="1" s="14">
      <c r="A69" s="16" t="inlineStr">
        <is>
          <t>TC-068</t>
        </is>
      </c>
      <c r="B69" s="16" t="inlineStr">
        <is>
          <t>TS-015</t>
        </is>
      </c>
      <c r="C69" s="17" t="inlineStr">
        <is>
          <t>School list note explains Tier and MOE HQ only data</t>
        </is>
      </c>
      <c r="D69" s="17" t="inlineStr">
        <is>
          <t>F4.4 Applications list, School Admin</t>
        </is>
      </c>
      <c r="E69" s="17" t="inlineStr">
        <is>
          <t>FAS applications (School Admin)</t>
        </is>
      </c>
      <c r="F69" s="16" t="inlineStr">
        <is>
          <t>S4 (lowest)</t>
        </is>
      </c>
      <c r="G69" s="16" t="inlineStr">
        <is>
          <t>Low</t>
        </is>
      </c>
      <c r="H69" s="16" t="inlineStr">
        <is>
          <t>Not Run</t>
        </is>
      </c>
      <c r="I69" s="16" t="inlineStr">
        <is>
          <t>Functional</t>
        </is>
      </c>
      <c r="J69" s="17" t="inlineStr">
        <is>
          <t>Prototype: edusave.vercel.app (sample date 18/10/2026)
Chrome (latest)
Build: to be recorded at execution
Needs: ENV-R4-01</t>
        </is>
      </c>
      <c r="K69" s="17" t="inlineStr">
        <is>
          <t>1. The prototype is open at the base state (use Reset data).
2. Signed in as School user Lan Nguyen (BVP-0012), Bukit View Primary.</t>
        </is>
      </c>
      <c r="L69" s="17" t="inlineStr">
        <is>
          <t>Base state</t>
        </is>
      </c>
      <c r="M69" s="17" t="inlineStr">
        <is>
          <t>1. Read the note under the table.</t>
        </is>
      </c>
      <c r="N69" s="17" t="inlineStr">
        <is>
          <t>1. The note reads "Tier is the SBFAS scheme your school grants. MOEFAS applications and income details are visible to MOE HQ only."</t>
        </is>
      </c>
      <c r="O69" s="17" t="n"/>
      <c r="P69" s="17" t="inlineStr">
        <is>
          <t>N/A</t>
        </is>
      </c>
      <c r="Q69" s="17" t="n"/>
      <c r="R69" s="17" t="inlineStr">
        <is>
          <t>Tender R4, PB-19, FS F4 v1.3: 3.2 item 7</t>
        </is>
      </c>
      <c r="S69" s="17" t="inlineStr">
        <is>
          <t>Compare CMP-27.</t>
        </is>
      </c>
      <c r="T69" s="16" t="inlineStr">
        <is>
          <t>Approve</t>
        </is>
      </c>
    </row>
    <row r="70" ht="106.5" customHeight="1" s="14">
      <c r="A70" s="16" t="inlineStr">
        <is>
          <t>TC-069</t>
        </is>
      </c>
      <c r="B70" s="16" t="inlineStr">
        <is>
          <t>TS-016</t>
        </is>
      </c>
      <c r="C70" s="17" t="inlineStr">
        <is>
          <t>Search by Application ID finds one application</t>
        </is>
      </c>
      <c r="D70" s="17" t="inlineStr">
        <is>
          <t>F4.5 Filters and search</t>
        </is>
      </c>
      <c r="E70" s="17" t="inlineStr">
        <is>
          <t>FAS applications (MOE HQ)</t>
        </is>
      </c>
      <c r="F70" s="16" t="inlineStr">
        <is>
          <t>S2</t>
        </is>
      </c>
      <c r="G70" s="16" t="inlineStr">
        <is>
          <t>High</t>
        </is>
      </c>
      <c r="H70" s="16" t="inlineStr">
        <is>
          <t>Not Run</t>
        </is>
      </c>
      <c r="I70" s="16" t="inlineStr">
        <is>
          <t>Functional</t>
        </is>
      </c>
      <c r="J70" s="17" t="inlineStr">
        <is>
          <t>Prototype: edusave.vercel.app (sample date 18/10/2026)
Chrome (latest)
Build: to be recorded at execution
Needs: ENV-R4-01</t>
        </is>
      </c>
      <c r="K70" s="17" t="inlineStr">
        <is>
          <t>1. The prototype is open at the base state (use Reset data).
2. Signed in as MOE HQ (Mei Lin Tan).</t>
        </is>
      </c>
      <c r="L70" s="17" t="inlineStr">
        <is>
          <t>Search terms: 00412, APP-2026-00412, app-2026-00412</t>
        </is>
      </c>
      <c r="M70" s="17" t="inlineStr">
        <is>
          <t>1. Type each search term in turn in Search.
2. Read the rows after each term.</t>
        </is>
      </c>
      <c r="N70" s="17" t="inlineStr">
        <is>
          <t>1. Each term shows only APP-2026-00412.</t>
        </is>
      </c>
      <c r="O70" s="17" t="n"/>
      <c r="P70" s="17" t="inlineStr">
        <is>
          <t>N/A</t>
        </is>
      </c>
      <c r="Q70" s="17" t="n"/>
      <c r="R70" s="17" t="inlineStr">
        <is>
          <t>Tender R4, PB-19, FS F4 v1.3: 3.3 Search</t>
        </is>
      </c>
      <c r="S70" s="17" t="inlineStr">
        <is>
          <t>Compare CMP-14.</t>
        </is>
      </c>
      <c r="T70" s="16" t="inlineStr">
        <is>
          <t>Approve</t>
        </is>
      </c>
    </row>
    <row r="71" ht="106.5" customHeight="1" s="14">
      <c r="A71" s="16" t="inlineStr">
        <is>
          <t>TC-070</t>
        </is>
      </c>
      <c r="B71" s="16" t="inlineStr">
        <is>
          <t>TS-016</t>
        </is>
      </c>
      <c r="C71" s="17" t="inlineStr">
        <is>
          <t>Search by student name is a case-insensitive contains match</t>
        </is>
      </c>
      <c r="D71" s="17" t="inlineStr">
        <is>
          <t>F4.5 Filters and search</t>
        </is>
      </c>
      <c r="E71" s="17" t="inlineStr">
        <is>
          <t>FAS applications (MOE HQ)</t>
        </is>
      </c>
      <c r="F71" s="16" t="inlineStr">
        <is>
          <t>S2</t>
        </is>
      </c>
      <c r="G71" s="16" t="inlineStr">
        <is>
          <t>High</t>
        </is>
      </c>
      <c r="H71" s="16" t="inlineStr">
        <is>
          <t>Not Run</t>
        </is>
      </c>
      <c r="I71" s="16" t="inlineStr">
        <is>
          <t>Functional</t>
        </is>
      </c>
      <c r="J71" s="17" t="inlineStr">
        <is>
          <t>Prototype: edusave.vercel.app (sample date 18/10/2026)
Chrome (latest)
Build: to be recorded at execution
Needs: ENV-R4-01</t>
        </is>
      </c>
      <c r="K71" s="17" t="inlineStr">
        <is>
          <t>1. The prototype is open at the base state (use Reset data).
2. Signed in as MOE HQ (Mei Lin Tan).</t>
        </is>
      </c>
      <c r="L71" s="17" t="inlineStr">
        <is>
          <t>Search terms: aisha, AISHA, Rahman, lee zhi</t>
        </is>
      </c>
      <c r="M71" s="17" t="inlineStr">
        <is>
          <t>1. Type each search term in turn in Search.
2. Read the rows after each term.</t>
        </is>
      </c>
      <c r="N71" s="17" t="inlineStr">
        <is>
          <t>1. aisha, AISHA and Rahman each show only 00412.
2. lee zhi shows 00328 and 00381.</t>
        </is>
      </c>
      <c r="O71" s="17" t="n"/>
      <c r="P71" s="17" t="inlineStr">
        <is>
          <t>N/A</t>
        </is>
      </c>
      <c r="Q71" s="17" t="n"/>
      <c r="R71" s="17" t="inlineStr">
        <is>
          <t>Tender R4, PB-19, FS F4 v1.3: 3.3 Search</t>
        </is>
      </c>
      <c r="S71" s="17" t="inlineStr">
        <is>
          <t>Compare CMP-14.</t>
        </is>
      </c>
      <c r="T71" s="16" t="inlineStr">
        <is>
          <t>Approve</t>
        </is>
      </c>
    </row>
    <row r="72" ht="106.5" customHeight="1" s="14">
      <c r="A72" s="16" t="inlineStr">
        <is>
          <t>TC-071</t>
        </is>
      </c>
      <c r="B72" s="16" t="inlineStr">
        <is>
          <t>TS-016</t>
        </is>
      </c>
      <c r="C72" s="17" t="inlineStr">
        <is>
          <t>Search by NRIC/FIN matches the whole or a part of the number</t>
        </is>
      </c>
      <c r="D72" s="17" t="inlineStr">
        <is>
          <t>F4.5 Filters and search</t>
        </is>
      </c>
      <c r="E72" s="17" t="inlineStr">
        <is>
          <t>FAS applications (MOE HQ)</t>
        </is>
      </c>
      <c r="F72" s="16" t="inlineStr">
        <is>
          <t>S2</t>
        </is>
      </c>
      <c r="G72" s="16" t="inlineStr">
        <is>
          <t>High</t>
        </is>
      </c>
      <c r="H72" s="16" t="inlineStr">
        <is>
          <t>Not Run</t>
        </is>
      </c>
      <c r="I72" s="16" t="inlineStr">
        <is>
          <t>Functional</t>
        </is>
      </c>
      <c r="J72" s="17" t="inlineStr">
        <is>
          <t>Prototype: edusave.vercel.app (sample date 18/10/2026)
Chrome (latest)
Build: to be recorded at execution
Needs: ENV-R4-01</t>
        </is>
      </c>
      <c r="K72" s="17" t="inlineStr">
        <is>
          <t>1. The prototype is open at the base state (use Reset data).
2. Signed in as MOE HQ (Mei Lin Tan).</t>
        </is>
      </c>
      <c r="L72" s="17" t="inlineStr">
        <is>
          <t>Search terms: T1801177H, t1801177h, 1801177</t>
        </is>
      </c>
      <c r="M72" s="17" t="inlineStr">
        <is>
          <t>1. Type each search term in turn in Search.
2. Read the rows after each term.</t>
        </is>
      </c>
      <c r="N72" s="17" t="inlineStr">
        <is>
          <t>1. Each term shows only 00412.</t>
        </is>
      </c>
      <c r="O72" s="17" t="n"/>
      <c r="P72" s="17" t="inlineStr">
        <is>
          <t>N/A</t>
        </is>
      </c>
      <c r="Q72" s="17" t="n"/>
      <c r="R72" s="17" t="inlineStr">
        <is>
          <t>Tender R4, PB-19, FS F4 v1.3: 3.3 Search</t>
        </is>
      </c>
      <c r="S72" s="17" t="inlineStr">
        <is>
          <t>Compare CMP-14.</t>
        </is>
      </c>
      <c r="T72" s="16" t="inlineStr">
        <is>
          <t>Approve</t>
        </is>
      </c>
    </row>
    <row r="73" ht="106.5" customHeight="1" s="14">
      <c r="A73" s="16" t="inlineStr">
        <is>
          <t>TC-072</t>
        </is>
      </c>
      <c r="B73" s="16" t="inlineStr">
        <is>
          <t>TS-016</t>
        </is>
      </c>
      <c r="C73" s="17" t="inlineStr">
        <is>
          <t>Search with no match shows the empty message</t>
        </is>
      </c>
      <c r="D73" s="17" t="inlineStr">
        <is>
          <t>F4.5 Filters and search</t>
        </is>
      </c>
      <c r="E73" s="17" t="inlineStr">
        <is>
          <t>FAS applications (MOE HQ)</t>
        </is>
      </c>
      <c r="F73" s="16" t="inlineStr">
        <is>
          <t>S3</t>
        </is>
      </c>
      <c r="G73" s="16" t="inlineStr">
        <is>
          <t>Medium</t>
        </is>
      </c>
      <c r="H73" s="16" t="inlineStr">
        <is>
          <t>Not Run</t>
        </is>
      </c>
      <c r="I73" s="16" t="inlineStr">
        <is>
          <t>Functional</t>
        </is>
      </c>
      <c r="J73" s="17" t="inlineStr">
        <is>
          <t>Prototype: edusave.vercel.app (sample date 18/10/2026)
Chrome (latest)
Build: to be recorded at execution
Needs: ENV-R4-01</t>
        </is>
      </c>
      <c r="K73" s="17" t="inlineStr">
        <is>
          <t>1. The prototype is open at the base state (use Reset data).
2. Signed in as MOE HQ (Mei Lin Tan).</t>
        </is>
      </c>
      <c r="L73" s="17" t="inlineStr">
        <is>
          <t>Search term: zzzz</t>
        </is>
      </c>
      <c r="M73" s="17" t="inlineStr">
        <is>
          <t>1. Type the term in Search.</t>
        </is>
      </c>
      <c r="N73" s="17" t="inlineStr">
        <is>
          <t>1. The table shows "No applications found." and no error.
2. Clearing the search shows all 9 rows again.</t>
        </is>
      </c>
      <c r="O73" s="17" t="n"/>
      <c r="P73" s="17" t="inlineStr">
        <is>
          <t>N/A</t>
        </is>
      </c>
      <c r="Q73" s="17" t="n"/>
      <c r="R73" s="17" t="inlineStr">
        <is>
          <t>Tender R4, PB-19, FS F4 v1.3: 3.3 Search, 3.4 empty</t>
        </is>
      </c>
      <c r="S73" s="17" t="n"/>
      <c r="T73" s="16" t="inlineStr">
        <is>
          <t>Approve</t>
        </is>
      </c>
    </row>
    <row r="74" ht="106.5" customHeight="1" s="14">
      <c r="A74" s="16" t="inlineStr">
        <is>
          <t>TC-073</t>
        </is>
      </c>
      <c r="B74" s="16" t="inlineStr">
        <is>
          <t>TS-016</t>
        </is>
      </c>
      <c r="C74" s="17" t="inlineStr">
        <is>
          <t>Search trims leading and trailing spaces</t>
        </is>
      </c>
      <c r="D74" s="17" t="inlineStr">
        <is>
          <t>F4.5 Filters and search</t>
        </is>
      </c>
      <c r="E74" s="17" t="inlineStr">
        <is>
          <t>FAS applications (MOE HQ)</t>
        </is>
      </c>
      <c r="F74" s="16" t="inlineStr">
        <is>
          <t>S3</t>
        </is>
      </c>
      <c r="G74" s="16" t="inlineStr">
        <is>
          <t>Medium</t>
        </is>
      </c>
      <c r="H74" s="16" t="inlineStr">
        <is>
          <t>Not Run</t>
        </is>
      </c>
      <c r="I74" s="16" t="inlineStr">
        <is>
          <t>Functional</t>
        </is>
      </c>
      <c r="J74" s="17" t="inlineStr">
        <is>
          <t>Prototype: edusave.vercel.app (sample date 18/10/2026)
Chrome (latest)
Build: to be recorded at execution
Needs: ENV-R4-01</t>
        </is>
      </c>
      <c r="K74" s="17" t="inlineStr">
        <is>
          <t>1. The prototype is open at the base state (use Reset data).
2. Signed in as MOE HQ (Mei Lin Tan).</t>
        </is>
      </c>
      <c r="L74" s="17" t="inlineStr">
        <is>
          <t>Search term: "  aisha  " (two spaces before and after)</t>
        </is>
      </c>
      <c r="M74" s="17" t="inlineStr">
        <is>
          <t>1. Type the term in Search.</t>
        </is>
      </c>
      <c r="N74" s="17" t="inlineStr">
        <is>
          <t>1. Only 00412 is shown, as for "aisha".</t>
        </is>
      </c>
      <c r="O74" s="17" t="n"/>
      <c r="P74" s="17" t="inlineStr">
        <is>
          <t>ASM-R4-07: Leading and trailing spaces are trimmed. The search accepts up to 100 characters with a helper text above that. Special characters are literal, so % and _ are not wildcards.</t>
        </is>
      </c>
      <c r="Q74" s="17" t="n"/>
      <c r="R74" s="17" t="inlineStr">
        <is>
          <t>Tender R4, PB-19, FS F4 v1.3: 3.3 Search</t>
        </is>
      </c>
      <c r="S74" s="17" t="inlineStr">
        <is>
          <t>Compare CMP-15: the prototype does not trim, so the result is empty.</t>
        </is>
      </c>
      <c r="T74" s="16" t="inlineStr">
        <is>
          <t>Draft</t>
        </is>
      </c>
    </row>
    <row r="75" ht="106.5" customHeight="1" s="14">
      <c r="A75" s="16" t="inlineStr">
        <is>
          <t>TC-074</t>
        </is>
      </c>
      <c r="B75" s="16" t="inlineStr">
        <is>
          <t>TS-016</t>
        </is>
      </c>
      <c r="C75" s="17" t="inlineStr">
        <is>
          <t>Search accepts up to 100 characters and warns above that</t>
        </is>
      </c>
      <c r="D75" s="17" t="inlineStr">
        <is>
          <t>F4.5 Filters and search</t>
        </is>
      </c>
      <c r="E75" s="17" t="inlineStr">
        <is>
          <t>FAS applications (MOE HQ)</t>
        </is>
      </c>
      <c r="F75" s="16" t="inlineStr">
        <is>
          <t>S4 (lowest)</t>
        </is>
      </c>
      <c r="G75" s="16" t="inlineStr">
        <is>
          <t>Low</t>
        </is>
      </c>
      <c r="H75" s="16" t="inlineStr">
        <is>
          <t>Not Run</t>
        </is>
      </c>
      <c r="I75" s="16" t="inlineStr">
        <is>
          <t>Functional</t>
        </is>
      </c>
      <c r="J75" s="17" t="inlineStr">
        <is>
          <t>Prototype: edusave.vercel.app (sample date 18/10/2026)
Chrome (latest)
Build: to be recorded at execution
Needs: ENV-R4-01</t>
        </is>
      </c>
      <c r="K75" s="17" t="inlineStr">
        <is>
          <t>1. The prototype is open at the base state (use Reset data).
2. Signed in as MOE HQ (Mei Lin Tan).</t>
        </is>
      </c>
      <c r="L75" s="17" t="inlineStr">
        <is>
          <t>Terms of 100 and 101 characters (letter a repeated)</t>
        </is>
      </c>
      <c r="M75" s="17" t="inlineStr">
        <is>
          <t>1. Type the 100-character term in Search.
2. Type the 101-character term in Search.</t>
        </is>
      </c>
      <c r="N75" s="17" t="inlineStr">
        <is>
          <t>1. The 100-character term is accepted and shows "No applications found."
2. The 101-character term shows a helper text and does not run the search.</t>
        </is>
      </c>
      <c r="O75" s="17" t="n"/>
      <c r="P75" s="17" t="inlineStr">
        <is>
          <t>ASM-R4-07: Leading and trailing spaces are trimmed. The search accepts up to 100 characters with a helper text above that. Special characters are literal, so % and _ are not wildcards.</t>
        </is>
      </c>
      <c r="Q75" s="17" t="n"/>
      <c r="R75" s="17" t="inlineStr">
        <is>
          <t>Tender R4, PB-19, FS F4 v1.3: 3.3 Search</t>
        </is>
      </c>
      <c r="S75" s="17" t="inlineStr">
        <is>
          <t>Compare CMP-15: the prototype accepts 120 characters with no helper text.</t>
        </is>
      </c>
      <c r="T75" s="16" t="inlineStr">
        <is>
          <t>Draft</t>
        </is>
      </c>
    </row>
    <row r="76" ht="121.5" customHeight="1" s="14">
      <c r="A76" s="16" t="inlineStr">
        <is>
          <t>TC-075</t>
        </is>
      </c>
      <c r="B76" s="16" t="inlineStr">
        <is>
          <t>TS-016</t>
        </is>
      </c>
      <c r="C76" s="17" t="inlineStr">
        <is>
          <t>Special characters and script text are searched as plain text</t>
        </is>
      </c>
      <c r="D76" s="17" t="inlineStr">
        <is>
          <t>F4.5 Filters and search</t>
        </is>
      </c>
      <c r="E76" s="17" t="inlineStr">
        <is>
          <t>FAS applications (MOE HQ)</t>
        </is>
      </c>
      <c r="F76" s="16" t="inlineStr">
        <is>
          <t>S2</t>
        </is>
      </c>
      <c r="G76" s="16" t="inlineStr">
        <is>
          <t>High</t>
        </is>
      </c>
      <c r="H76" s="16" t="inlineStr">
        <is>
          <t>Not Run</t>
        </is>
      </c>
      <c r="I76" s="16" t="inlineStr">
        <is>
          <t>Functional</t>
        </is>
      </c>
      <c r="J76" s="17" t="inlineStr">
        <is>
          <t>Prototype: edusave.vercel.app (sample date 18/10/2026)
Chrome (latest)
Build: to be recorded at execution
Needs: ENV-R4-01</t>
        </is>
      </c>
      <c r="K76" s="17" t="inlineStr">
        <is>
          <t>1. The prototype is open at the base state (use Reset data).
2. Signed in as MOE HQ (Mei Lin Tan).</t>
        </is>
      </c>
      <c r="L76" s="17" t="inlineStr">
        <is>
          <t>Terms: ' OR 1=1 --, &lt;script&gt;alert(1)&lt;/script&gt;, %, _</t>
        </is>
      </c>
      <c r="M76" s="17" t="inlineStr">
        <is>
          <t>1. Type each term in turn in Search.
2. Read the table after each term.</t>
        </is>
      </c>
      <c r="N76" s="17" t="inlineStr">
        <is>
          <t>1. Each term shows "No applications found." and no error.
2. No script runs and no alert opens.
3. % and _ do not match every row.</t>
        </is>
      </c>
      <c r="O76" s="17" t="n"/>
      <c r="P76" s="17" t="inlineStr">
        <is>
          <t>ASM-R4-07: Leading and trailing spaces are trimmed. The search accepts up to 100 characters with a helper text above that. Special characters are literal, so % and _ are not wildcards.
ASM-R4-18: Free text is stored and shown as plain text. HTML and script tags are not interpreted.</t>
        </is>
      </c>
      <c r="Q76" s="17" t="n"/>
      <c r="R76" s="17" t="inlineStr">
        <is>
          <t>Tender R4, PB-19, FS F4 v1.3: 3.3 Search</t>
        </is>
      </c>
      <c r="S76" s="17" t="inlineStr">
        <is>
          <t>Compare CMP-15.</t>
        </is>
      </c>
      <c r="T76" s="16" t="inlineStr">
        <is>
          <t>Draft</t>
        </is>
      </c>
    </row>
    <row r="77" ht="106.5" customHeight="1" s="14">
      <c r="A77" s="16" t="inlineStr">
        <is>
          <t>TC-076</t>
        </is>
      </c>
      <c r="B77" s="16" t="inlineStr">
        <is>
          <t>TS-016</t>
        </is>
      </c>
      <c r="C77" s="17" t="inlineStr">
        <is>
          <t>School Admin search never returns an application of another school</t>
        </is>
      </c>
      <c r="D77" s="17" t="inlineStr">
        <is>
          <t>F4.5 Filters and search</t>
        </is>
      </c>
      <c r="E77" s="17" t="inlineStr">
        <is>
          <t>FAS applications (School Admin)</t>
        </is>
      </c>
      <c r="F77" s="16" t="inlineStr">
        <is>
          <t>S1 (highest)</t>
        </is>
      </c>
      <c r="G77" s="16" t="inlineStr">
        <is>
          <t>Critical</t>
        </is>
      </c>
      <c r="H77" s="16" t="inlineStr">
        <is>
          <t>Not Run</t>
        </is>
      </c>
      <c r="I77" s="16" t="inlineStr">
        <is>
          <t>Functional</t>
        </is>
      </c>
      <c r="J77" s="17" t="inlineStr">
        <is>
          <t>Prototype: edusave.vercel.app (sample date 18/10/2026)
Chrome (latest)
Build: to be recorded at execution
Needs: ENV-R4-01</t>
        </is>
      </c>
      <c r="K77" s="17" t="inlineStr">
        <is>
          <t>1. The prototype is open at the base state (use Reset data).
2. Signed in as School user Lan Nguyen (BVP-0012), Bukit View Primary.</t>
        </is>
      </c>
      <c r="L77" s="17" t="inlineStr">
        <is>
          <t>Search terms: 00377 (Meridian), 00328 (Riverside), 00412 (Bukit View MOEFAS), Nur Aisyah</t>
        </is>
      </c>
      <c r="M77" s="17" t="inlineStr">
        <is>
          <t>1. Type each term in turn in Search.</t>
        </is>
      </c>
      <c r="N77" s="17" t="inlineStr">
        <is>
          <t>1. Each term shows "No applications found."</t>
        </is>
      </c>
      <c r="O77" s="17" t="n"/>
      <c r="P77" s="17" t="inlineStr">
        <is>
          <t>N/A</t>
        </is>
      </c>
      <c r="Q77" s="17" t="n"/>
      <c r="R77" s="17" t="inlineStr">
        <is>
          <t>Tender R4, PB-19, FS F4 v1.3: 3.2 item 1, 3.3 Search, BR12</t>
        </is>
      </c>
      <c r="S77" s="17" t="n"/>
      <c r="T77" s="16" t="inlineStr">
        <is>
          <t>Approve</t>
        </is>
      </c>
    </row>
    <row r="78" ht="121.5" customHeight="1" s="14">
      <c r="A78" s="16" t="inlineStr">
        <is>
          <t>TC-077</t>
        </is>
      </c>
      <c r="B78" s="16" t="inlineStr">
        <is>
          <t>TS-017</t>
        </is>
      </c>
      <c r="C78" s="17" t="inlineStr">
        <is>
          <t>School filter lists the four schools and narrows the rows</t>
        </is>
      </c>
      <c r="D78" s="17" t="inlineStr">
        <is>
          <t>F4.5 Filters and search</t>
        </is>
      </c>
      <c r="E78" s="17" t="inlineStr">
        <is>
          <t>FAS applications (MOE HQ)</t>
        </is>
      </c>
      <c r="F78" s="16" t="inlineStr">
        <is>
          <t>S2</t>
        </is>
      </c>
      <c r="G78" s="16" t="inlineStr">
        <is>
          <t>High</t>
        </is>
      </c>
      <c r="H78" s="16" t="inlineStr">
        <is>
          <t>Not Run</t>
        </is>
      </c>
      <c r="I78" s="16" t="inlineStr">
        <is>
          <t>Functional</t>
        </is>
      </c>
      <c r="J78" s="17" t="inlineStr">
        <is>
          <t>Prototype: edusave.vercel.app (sample date 18/10/2026)
Chrome (latest)
Build: to be recorded at execution
Needs: ENV-R4-01</t>
        </is>
      </c>
      <c r="K78" s="17" t="inlineStr">
        <is>
          <t>1. The prototype is open at the base state (use Reset data).
2. Signed in as MOE HQ (Mei Lin Tan).</t>
        </is>
      </c>
      <c r="L78" s="17" t="inlineStr">
        <is>
          <t>Schools: Bukit View Primary, Meridian Secondary, North Vista Primary, Riverside Secondary</t>
        </is>
      </c>
      <c r="M78" s="17" t="inlineStr">
        <is>
          <t>1. Open the School filter and read the options.
2. Select each school in turn and read the rows.</t>
        </is>
      </c>
      <c r="N78" s="17" t="inlineStr">
        <is>
          <t>1. The options are All schools plus the four schools.
2. Bukit View Primary shows 00412, 00410, 00398, 00390, 00386, 00301.
3. Meridian Secondary shows 00377.
4. North Vista Primary shows "No applications found."
5. Riverside Secondary shows 00328 and 00381.</t>
        </is>
      </c>
      <c r="O78" s="17" t="n"/>
      <c r="P78" s="17" t="inlineStr">
        <is>
          <t>N/A</t>
        </is>
      </c>
      <c r="Q78" s="17" t="n"/>
      <c r="R78" s="17" t="inlineStr">
        <is>
          <t>Tender R4, PB-19, FS F4 v1.3: 3.3 School, 3.1 item 5</t>
        </is>
      </c>
      <c r="S78" s="17" t="inlineStr">
        <is>
          <t>Compare CMP-11 and CMP-13.</t>
        </is>
      </c>
      <c r="T78" s="16" t="inlineStr">
        <is>
          <t>Approve</t>
        </is>
      </c>
    </row>
    <row r="79" ht="106.5" customHeight="1" s="14">
      <c r="A79" s="16" t="inlineStr">
        <is>
          <t>TC-078</t>
        </is>
      </c>
      <c r="B79" s="16" t="inlineStr">
        <is>
          <t>TS-017</t>
        </is>
      </c>
      <c r="C79" s="17" t="inlineStr">
        <is>
          <t>Scheme filter separates MOEFAS and SBFAS</t>
        </is>
      </c>
      <c r="D79" s="17" t="inlineStr">
        <is>
          <t>F4.5 Filters and search</t>
        </is>
      </c>
      <c r="E79" s="17" t="inlineStr">
        <is>
          <t>FAS applications (MOE HQ)</t>
        </is>
      </c>
      <c r="F79" s="16" t="inlineStr">
        <is>
          <t>S2</t>
        </is>
      </c>
      <c r="G79" s="16" t="inlineStr">
        <is>
          <t>High</t>
        </is>
      </c>
      <c r="H79" s="16" t="inlineStr">
        <is>
          <t>Not Run</t>
        </is>
      </c>
      <c r="I79" s="16" t="inlineStr">
        <is>
          <t>Functional</t>
        </is>
      </c>
      <c r="J79" s="17" t="inlineStr">
        <is>
          <t>Prototype: edusave.vercel.app (sample date 18/10/2026)
Chrome (latest)
Build: to be recorded at execution
Needs: ENV-R4-01</t>
        </is>
      </c>
      <c r="K79" s="17" t="inlineStr">
        <is>
          <t>1. The prototype is open at the base state (use Reset data).
2. Signed in as MOE HQ (Mei Lin Tan).</t>
        </is>
      </c>
      <c r="L79" s="17" t="inlineStr">
        <is>
          <t>Base state</t>
        </is>
      </c>
      <c r="M79" s="17" t="inlineStr">
        <is>
          <t>1. Select Scheme = MOEFAS and read the rows.
2. Select Scheme = SBFAS and read the rows.</t>
        </is>
      </c>
      <c r="N79" s="17" t="inlineStr">
        <is>
          <t>1. MOEFAS shows 7 rows: 00377, 00412, 00410, 00390, 00328, 00381, 00301.
2. SBFAS shows 2 rows: 00398 and 00386.</t>
        </is>
      </c>
      <c r="O79" s="17" t="n"/>
      <c r="P79" s="17" t="inlineStr">
        <is>
          <t>N/A</t>
        </is>
      </c>
      <c r="Q79" s="17" t="n"/>
      <c r="R79" s="17" t="inlineStr">
        <is>
          <t>Tender R4, PB-19, FS F4 v1.3: 3.3 Scheme</t>
        </is>
      </c>
      <c r="S79" s="17" t="inlineStr">
        <is>
          <t>Compare CMP-13.</t>
        </is>
      </c>
      <c r="T79" s="16" t="inlineStr">
        <is>
          <t>Approve</t>
        </is>
      </c>
    </row>
    <row r="80" ht="106.5" customHeight="1" s="14">
      <c r="A80" s="16" t="inlineStr">
        <is>
          <t>TC-079</t>
        </is>
      </c>
      <c r="B80" s="16" t="inlineStr">
        <is>
          <t>TS-017</t>
        </is>
      </c>
      <c r="C80" s="17" t="inlineStr">
        <is>
          <t>Grade filter lists P1 to P6 and S1 to S4 and matches the class grade</t>
        </is>
      </c>
      <c r="D80" s="17" t="inlineStr">
        <is>
          <t>F4.5 Filters and search</t>
        </is>
      </c>
      <c r="E80" s="17" t="inlineStr">
        <is>
          <t>FAS applications (MOE HQ)</t>
        </is>
      </c>
      <c r="F80" s="16" t="inlineStr">
        <is>
          <t>S2</t>
        </is>
      </c>
      <c r="G80" s="16" t="inlineStr">
        <is>
          <t>Medium</t>
        </is>
      </c>
      <c r="H80" s="16" t="inlineStr">
        <is>
          <t>Not Run</t>
        </is>
      </c>
      <c r="I80" s="16" t="inlineStr">
        <is>
          <t>Functional</t>
        </is>
      </c>
      <c r="J80" s="17" t="inlineStr">
        <is>
          <t>Prototype: edusave.vercel.app (sample date 18/10/2026)
Chrome (latest)
Build: to be recorded at execution
Needs: ENV-R4-01</t>
        </is>
      </c>
      <c r="K80" s="17" t="inlineStr">
        <is>
          <t>1. The prototype is open at the base state (use Reset data).
2. Signed in as MOE HQ (Mei Lin Tan).</t>
        </is>
      </c>
      <c r="L80" s="17" t="inlineStr">
        <is>
          <t>Base state</t>
        </is>
      </c>
      <c r="M80" s="17" t="inlineStr">
        <is>
          <t>1. Open the Grade filter and read the options.
2. Select P3, P4, P5, S3 and P1 in turn and read the rows.</t>
        </is>
      </c>
      <c r="N80" s="17" t="inlineStr">
        <is>
          <t>1. The options are All plus P1 to P6 and S1 to S4.
2. P3 shows 00412 and 00301. P4 shows 00390 and 00386. P5 shows 00410. S3 shows 00377.
3. P1 shows "No applications found."
4. Students without a class (00328, 00381) are listed under no grade.</t>
        </is>
      </c>
      <c r="O80" s="17" t="n"/>
      <c r="P80" s="17" t="inlineStr">
        <is>
          <t>N/A</t>
        </is>
      </c>
      <c r="Q80" s="17" t="n"/>
      <c r="R80" s="17" t="inlineStr">
        <is>
          <t>Tender R4, PB-19, FS F4 v1.3: 3.3 Grade, 3.4 Grade</t>
        </is>
      </c>
      <c r="S80" s="17" t="inlineStr">
        <is>
          <t>Compare CMP-13 and CMP-19.</t>
        </is>
      </c>
      <c r="T80" s="16" t="inlineStr">
        <is>
          <t>Approve</t>
        </is>
      </c>
    </row>
    <row r="81" ht="106.5" customHeight="1" s="14">
      <c r="A81" s="16" t="inlineStr">
        <is>
          <t>TC-080</t>
        </is>
      </c>
      <c r="B81" s="16" t="inlineStr">
        <is>
          <t>TS-017</t>
        </is>
      </c>
      <c r="C81" s="17" t="inlineStr">
        <is>
          <t>Tier filter matches the granted tier on decided rows and MOEFAS rows</t>
        </is>
      </c>
      <c r="D81" s="17" t="inlineStr">
        <is>
          <t>F4.5 Filters and search</t>
        </is>
      </c>
      <c r="E81" s="17" t="inlineStr">
        <is>
          <t>FAS applications (MOE HQ)</t>
        </is>
      </c>
      <c r="F81" s="16" t="inlineStr">
        <is>
          <t>S2</t>
        </is>
      </c>
      <c r="G81" s="16" t="inlineStr">
        <is>
          <t>High</t>
        </is>
      </c>
      <c r="H81" s="16" t="inlineStr">
        <is>
          <t>Not Run</t>
        </is>
      </c>
      <c r="I81" s="16" t="inlineStr">
        <is>
          <t>Functional</t>
        </is>
      </c>
      <c r="J81" s="17" t="inlineStr">
        <is>
          <t>Prototype: edusave.vercel.app (sample date 18/10/2026)
Chrome (latest)
Build: to be recorded at execution
Needs: ENV-R4-01</t>
        </is>
      </c>
      <c r="K81" s="17" t="inlineStr">
        <is>
          <t>1. The prototype is open at the base state (use Reset data).
2. Signed in as MOE HQ (Mei Lin Tan).</t>
        </is>
      </c>
      <c r="L81" s="17" t="inlineStr">
        <is>
          <t>Base state. 00386 is granted Tier 3 and its ML recommendation is Tier 2.</t>
        </is>
      </c>
      <c r="M81" s="17" t="inlineStr">
        <is>
          <t>1. Open the Tier filter and read the options.
2. Select MOEFAS, SBFAS - Tier 1, SBFAS - Tier 2 and SBFAS - Tier 3 in turn and read the rows.</t>
        </is>
      </c>
      <c r="N81" s="17" t="inlineStr">
        <is>
          <t>1. The options are All, MOEFAS, SBFAS - Tier 1, SBFAS - Tier 2 and SBFAS - Tier 3.
2. MOEFAS shows the 7 MOEFAS rows.
3. Tier 1 and Tier 2 show "No applications found." (00386 is decided, so its ML Tier 2 is not used).
4. Tier 3 shows 00386.</t>
        </is>
      </c>
      <c r="O81" s="17" t="n"/>
      <c r="P81" s="17" t="inlineStr">
        <is>
          <t>N/A</t>
        </is>
      </c>
      <c r="Q81" s="17" t="n"/>
      <c r="R81" s="17" t="inlineStr">
        <is>
          <t>Tender R4, PB-19, FS F4 v1.3: 3.3 Tier, BR9</t>
        </is>
      </c>
      <c r="S81" s="17" t="inlineStr">
        <is>
          <t>Compare CMP-12 and CMP-13.</t>
        </is>
      </c>
      <c r="T81" s="16" t="inlineStr">
        <is>
          <t>Approve</t>
        </is>
      </c>
    </row>
    <row r="82" ht="106.5" customHeight="1" s="14">
      <c r="A82" s="16" t="inlineStr">
        <is>
          <t>TC-081</t>
        </is>
      </c>
      <c r="B82" s="16" t="inlineStr">
        <is>
          <t>TS-017</t>
        </is>
      </c>
      <c r="C82" s="17" t="inlineStr">
        <is>
          <t>Tier filter matches the ML recommended tier on pending SBFAS rows</t>
        </is>
      </c>
      <c r="D82" s="17" t="inlineStr">
        <is>
          <t>F4.5 Filters and search</t>
        </is>
      </c>
      <c r="E82" s="17" t="inlineStr">
        <is>
          <t>FAS applications (MOE HQ)</t>
        </is>
      </c>
      <c r="F82" s="16" t="inlineStr">
        <is>
          <t>S2</t>
        </is>
      </c>
      <c r="G82" s="16" t="inlineStr">
        <is>
          <t>High</t>
        </is>
      </c>
      <c r="H82" s="16" t="inlineStr">
        <is>
          <t>Not Run</t>
        </is>
      </c>
      <c r="I82" s="16" t="inlineStr">
        <is>
          <t>Functional</t>
        </is>
      </c>
      <c r="J82" s="17" t="inlineStr">
        <is>
          <t>Prototype: edusave.vercel.app (sample date 18/10/2026)
Chrome (latest)
Build: to be recorded at execution
Needs: ENV-R4-01</t>
        </is>
      </c>
      <c r="K82" s="17" t="inlineStr">
        <is>
          <t>1. The prototype is open at the base state (use Reset data).
2. Signed in as MOE HQ (Mei Lin Tan).
3. The MOEFAS 2027 form was closed with Close form now (demo), so the 3 waiting applications are assessed.</t>
        </is>
      </c>
      <c r="L82" s="17" t="inlineStr">
        <is>
          <t>After the demo close: 00412 and 00410 are SBFAS Pending with ML recommendation Tier 3. 00398 is SBFAS Pending with ML recommendation a dash.</t>
        </is>
      </c>
      <c r="M82" s="17" t="inlineStr">
        <is>
          <t>1. Select Tier = SBFAS - Tier 3 and read the rows.
2. Select Tier = SBFAS - Tier 2 and read the rows.</t>
        </is>
      </c>
      <c r="N82" s="17" t="inlineStr">
        <is>
          <t>1. Tier 3 shows 00412, 00410 and 00386.
2. Tier 2 shows "No applications found."
3. 00398 is not shown in any tier.</t>
        </is>
      </c>
      <c r="O82" s="17" t="n"/>
      <c r="P82" s="17" t="inlineStr">
        <is>
          <t>N/A</t>
        </is>
      </c>
      <c r="Q82" s="17" t="n"/>
      <c r="R82" s="17" t="inlineStr">
        <is>
          <t>Tender R4, PB-19, FS F4 v1.3: 3.3 Tier, 5 Recommended tier</t>
        </is>
      </c>
      <c r="S82" s="17" t="n"/>
      <c r="T82" s="16" t="inlineStr">
        <is>
          <t>Approve</t>
        </is>
      </c>
    </row>
    <row r="83" ht="106.5" customHeight="1" s="14">
      <c r="A83" s="16" t="inlineStr">
        <is>
          <t>TC-082</t>
        </is>
      </c>
      <c r="B83" s="16" t="inlineStr">
        <is>
          <t>TS-017</t>
        </is>
      </c>
      <c r="C83" s="17" t="inlineStr">
        <is>
          <t>Only published school scheme names appear in the HQ Tier filter</t>
        </is>
      </c>
      <c r="D83" s="17" t="inlineStr">
        <is>
          <t>F4.5 Filters and search</t>
        </is>
      </c>
      <c r="E83" s="17" t="inlineStr">
        <is>
          <t>FAS applications (MOE HQ)</t>
        </is>
      </c>
      <c r="F83" s="16" t="inlineStr">
        <is>
          <t>S4 (lowest)</t>
        </is>
      </c>
      <c r="G83" s="16" t="inlineStr">
        <is>
          <t>Low</t>
        </is>
      </c>
      <c r="H83" s="16" t="inlineStr">
        <is>
          <t>Not Run</t>
        </is>
      </c>
      <c r="I83" s="16" t="inlineStr">
        <is>
          <t>Functional</t>
        </is>
      </c>
      <c r="J83" s="17" t="inlineStr">
        <is>
          <t>Prototype: edusave.vercel.app (sample date 18/10/2026)
Chrome (latest)
Build: to be recorded at execution
Needs: ENV-R4-01</t>
        </is>
      </c>
      <c r="K83" s="17" t="inlineStr">
        <is>
          <t>1. The prototype is open at the base state (use Reset data).
2. Signed in as School user BVP-0012.</t>
        </is>
      </c>
      <c r="L83" s="17" t="inlineStr">
        <is>
          <t>Draft SBFAS scheme named "Tier 4" saved by the school and never published</t>
        </is>
      </c>
      <c r="M83" s="17" t="inlineStr">
        <is>
          <t>1. In SBFAS schemes, start a new scheme named "Tier 4" and click Save draft.
2. Log out and sign in as MOE HQ.
3. Open FAS applications and open the Tier filter.</t>
        </is>
      </c>
      <c r="N83" s="17" t="inlineStr">
        <is>
          <t>1. The Tier filter lists only MOEFAS and SBFAS - Tier 1 to Tier 3.
2. "SBFAS - Tier 4" does not appear.</t>
        </is>
      </c>
      <c r="O83" s="17" t="n"/>
      <c r="P83" s="17" t="inlineStr">
        <is>
          <t>ASM-R4-05: Only published SBFAS scheme names appear in the HQ Tier filter. A Draft name never appears.</t>
        </is>
      </c>
      <c r="Q83" s="17" t="n"/>
      <c r="R83" s="17" t="inlineStr">
        <is>
          <t>Tender R4, PB-19, FS F4 v1.3: 3.3 Tier, BR9</t>
        </is>
      </c>
      <c r="S83" s="17" t="inlineStr">
        <is>
          <t>Compare CMP-12: the prototype listed the Draft name.</t>
        </is>
      </c>
      <c r="T83" s="16" t="inlineStr">
        <is>
          <t>Draft</t>
        </is>
      </c>
    </row>
    <row r="84" ht="106.5" customHeight="1" s="14">
      <c r="A84" s="16" t="inlineStr">
        <is>
          <t>TC-083</t>
        </is>
      </c>
      <c r="B84" s="16" t="inlineStr">
        <is>
          <t>TS-017</t>
        </is>
      </c>
      <c r="C84" s="17" t="inlineStr">
        <is>
          <t>Status filter shows Pending, Approved or Rejected rows</t>
        </is>
      </c>
      <c r="D84" s="17" t="inlineStr">
        <is>
          <t>F4.5 Filters and search</t>
        </is>
      </c>
      <c r="E84" s="17" t="inlineStr">
        <is>
          <t>FAS applications (MOE HQ)</t>
        </is>
      </c>
      <c r="F84" s="16" t="inlineStr">
        <is>
          <t>S2</t>
        </is>
      </c>
      <c r="G84" s="16" t="inlineStr">
        <is>
          <t>Medium</t>
        </is>
      </c>
      <c r="H84" s="16" t="inlineStr">
        <is>
          <t>Not Run</t>
        </is>
      </c>
      <c r="I84" s="16" t="inlineStr">
        <is>
          <t>Functional</t>
        </is>
      </c>
      <c r="J84" s="17" t="inlineStr">
        <is>
          <t>Prototype: edusave.vercel.app (sample date 18/10/2026)
Chrome (latest)
Build: to be recorded at execution
Needs: ENV-R4-01</t>
        </is>
      </c>
      <c r="K84" s="17" t="inlineStr">
        <is>
          <t>1. The prototype is open at the base state (use Reset data).
2. Signed in as MOE HQ (Mei Lin Tan).</t>
        </is>
      </c>
      <c r="L84" s="17" t="inlineStr">
        <is>
          <t>Base state</t>
        </is>
      </c>
      <c r="M84" s="17" t="inlineStr">
        <is>
          <t>1. Select Status = Pending, Approved and Rejected in turn and read the rows.</t>
        </is>
      </c>
      <c r="N84" s="17" t="inlineStr">
        <is>
          <t>1. Pending shows 00377, 00412, 00410, 00398.
2. Approved shows 00390, 00386, 00381, 00301.
3. Rejected shows 00328.
4. The Status filter has only these three values.</t>
        </is>
      </c>
      <c r="O84" s="17" t="n"/>
      <c r="P84" s="17" t="inlineStr">
        <is>
          <t>N/A</t>
        </is>
      </c>
      <c r="Q84" s="17" t="n"/>
      <c r="R84" s="17" t="inlineStr">
        <is>
          <t>Tender R4, PB-19, FS F4 v1.3: 3.3 Status, 2.4</t>
        </is>
      </c>
      <c r="S84" s="17" t="inlineStr">
        <is>
          <t>Compare CMP-07.</t>
        </is>
      </c>
      <c r="T84" s="16" t="inlineStr">
        <is>
          <t>Approve</t>
        </is>
      </c>
    </row>
    <row r="85" ht="106.5" customHeight="1" s="14">
      <c r="A85" s="16" t="inlineStr">
        <is>
          <t>TC-084</t>
        </is>
      </c>
      <c r="B85" s="16" t="inlineStr">
        <is>
          <t>TS-017</t>
        </is>
      </c>
      <c r="C85" s="17" t="inlineStr">
        <is>
          <t>ML risk filter shows Low, Medium or High rows</t>
        </is>
      </c>
      <c r="D85" s="17" t="inlineStr">
        <is>
          <t>F4.5 Filters and search</t>
        </is>
      </c>
      <c r="E85" s="17" t="inlineStr">
        <is>
          <t>FAS applications (MOE HQ)</t>
        </is>
      </c>
      <c r="F85" s="16" t="inlineStr">
        <is>
          <t>S3</t>
        </is>
      </c>
      <c r="G85" s="16" t="inlineStr">
        <is>
          <t>Medium</t>
        </is>
      </c>
      <c r="H85" s="16" t="inlineStr">
        <is>
          <t>Not Run</t>
        </is>
      </c>
      <c r="I85" s="16" t="inlineStr">
        <is>
          <t>Functional</t>
        </is>
      </c>
      <c r="J85" s="17" t="inlineStr">
        <is>
          <t>Prototype: edusave.vercel.app (sample date 18/10/2026)
Chrome (latest)
Build: to be recorded at execution
Needs: ENV-R4-01</t>
        </is>
      </c>
      <c r="K85" s="17" t="inlineStr">
        <is>
          <t>1. The prototype is open at the base state (use Reset data).
2. Signed in as MOE HQ (Mei Lin Tan).</t>
        </is>
      </c>
      <c r="L85" s="17" t="inlineStr">
        <is>
          <t>Base state</t>
        </is>
      </c>
      <c r="M85" s="17" t="inlineStr">
        <is>
          <t>1. Select ML risk = High, Low and Medium in turn and read the rows.</t>
        </is>
      </c>
      <c r="N85" s="17" t="inlineStr">
        <is>
          <t>1. High shows 00390.
2. Low shows 00328.
3. Medium shows the other 7 rows.</t>
        </is>
      </c>
      <c r="O85" s="17" t="n"/>
      <c r="P85" s="17" t="inlineStr">
        <is>
          <t>N/A</t>
        </is>
      </c>
      <c r="Q85" s="17" t="n"/>
      <c r="R85" s="17" t="inlineStr">
        <is>
          <t>Tender R4, PB-19, FS F4 v1.3: 3.3 ML risk</t>
        </is>
      </c>
      <c r="S85" s="17" t="inlineStr">
        <is>
          <t>Compare CMP-13.</t>
        </is>
      </c>
      <c r="T85" s="16" t="inlineStr">
        <is>
          <t>Approve</t>
        </is>
      </c>
    </row>
    <row r="86" ht="106.5" customHeight="1" s="14">
      <c r="A86" s="16" t="inlineStr">
        <is>
          <t>TC-085</t>
        </is>
      </c>
      <c r="B86" s="16" t="inlineStr">
        <is>
          <t>TS-017</t>
        </is>
      </c>
      <c r="C86" s="17" t="inlineStr">
        <is>
          <t>Submitted filter defaults to Any time and limits the range</t>
        </is>
      </c>
      <c r="D86" s="17" t="inlineStr">
        <is>
          <t>F4.5 Filters and search</t>
        </is>
      </c>
      <c r="E86" s="17" t="inlineStr">
        <is>
          <t>FAS applications (MOE HQ)</t>
        </is>
      </c>
      <c r="F86" s="16" t="inlineStr">
        <is>
          <t>S2</t>
        </is>
      </c>
      <c r="G86" s="16" t="inlineStr">
        <is>
          <t>Medium</t>
        </is>
      </c>
      <c r="H86" s="16" t="inlineStr">
        <is>
          <t>Not Run</t>
        </is>
      </c>
      <c r="I86" s="16" t="inlineStr">
        <is>
          <t>Functional</t>
        </is>
      </c>
      <c r="J86" s="17" t="inlineStr">
        <is>
          <t>Prototype: edusave.vercel.app (sample date 18/10/2026)
Chrome (latest)
Build: to be recorded at execution
Needs: ENV-R4-01</t>
        </is>
      </c>
      <c r="K86" s="17" t="inlineStr">
        <is>
          <t>1. The prototype is open at the base state (use Reset data).
2. Signed in as MOE HQ (Mei Lin Tan).</t>
        </is>
      </c>
      <c r="L86" s="17" t="inlineStr">
        <is>
          <t>Today 18/10/2026</t>
        </is>
      </c>
      <c r="M86" s="17" t="inlineStr">
        <is>
          <t>1. Read the Submitted filter on opening.
2. Select Last 7 days and read the rows.
3. Select Last 30 days and read the rows.
4. Select Any time and read the rows.</t>
        </is>
      </c>
      <c r="N86" s="17" t="inlineStr">
        <is>
          <t>1. The filter opens on Any time and the table shows 9 rows.
2. Last 7 days shows 00377, 00412, 00410, 00398.
3. Last 30 days shows the same 4 rows.
4. Any time shows all 9 rows.</t>
        </is>
      </c>
      <c r="O86" s="17" t="n"/>
      <c r="P86" s="17" t="inlineStr">
        <is>
          <t>N/A</t>
        </is>
      </c>
      <c r="Q86" s="17" t="n"/>
      <c r="R86" s="17" t="inlineStr">
        <is>
          <t>Tender R4, PB-19, FS F4 v1.3: 3.3 Submitted</t>
        </is>
      </c>
      <c r="S86" s="17" t="inlineStr">
        <is>
          <t>Compare CMP-11.</t>
        </is>
      </c>
      <c r="T86" s="16" t="inlineStr">
        <is>
          <t>Approve</t>
        </is>
      </c>
    </row>
    <row r="87" ht="121.5" customHeight="1" s="14">
      <c r="A87" s="16" t="inlineStr">
        <is>
          <t>TC-086</t>
        </is>
      </c>
      <c r="B87" s="16" t="inlineStr">
        <is>
          <t>TS-017</t>
        </is>
      </c>
      <c r="C87" s="17" t="inlineStr">
        <is>
          <t>Submitted filter includes the day 7 and the day 30 and excludes the day before</t>
        </is>
      </c>
      <c r="D87" s="17" t="inlineStr">
        <is>
          <t>F4.5 Filters and search</t>
        </is>
      </c>
      <c r="E87" s="17" t="inlineStr">
        <is>
          <t>FAS applications (MOE HQ)</t>
        </is>
      </c>
      <c r="F87" s="16" t="inlineStr">
        <is>
          <t>S3</t>
        </is>
      </c>
      <c r="G87" s="16" t="inlineStr">
        <is>
          <t>Medium</t>
        </is>
      </c>
      <c r="H87" s="16" t="inlineStr">
        <is>
          <t>Not Run</t>
        </is>
      </c>
      <c r="I87" s="16" t="inlineStr">
        <is>
          <t>Functional</t>
        </is>
      </c>
      <c r="J87" s="17" t="inlineStr">
        <is>
          <t>Prototype: edusave.vercel.app (sample date 18/10/2026)
Chrome (latest)
Build: to be recorded at execution
Needs: ENV-R4-01, SEED-R4-N10</t>
        </is>
      </c>
      <c r="K87" s="17" t="inlineStr">
        <is>
          <t>1. The prototype is open at the base state (use Reset data).
2. Signed in as MOE HQ (Mei Lin Tan).</t>
        </is>
      </c>
      <c r="L87" s="17" t="inlineStr">
        <is>
          <t>Today 18/10/2026
Seed applications submitted on 11/10/2026, 10/10/2026, 18/09/2026, 17/09/2026 (SEED-R4-N10)</t>
        </is>
      </c>
      <c r="M87" s="17" t="inlineStr">
        <is>
          <t>1. Select Last 7 days and read the rows.
2. Select Last 30 days and read the rows.</t>
        </is>
      </c>
      <c r="N87" s="17" t="inlineStr">
        <is>
          <t>1. Last 7 days includes the application of 11/10/2026 and excludes the one of 10/10/2026.
2. Last 30 days includes the application of 18/09/2026 and excludes the one of 17/09/2026.</t>
        </is>
      </c>
      <c r="O87" s="17" t="n"/>
      <c r="P87" s="17" t="inlineStr">
        <is>
          <t>ASM-R4-23: Last 7 days shows applications submitted on or after today minus 7 days, and Last 30 days on or after today minus 30 days, by Singapore date. The day 7 or 30 days ago is included.</t>
        </is>
      </c>
      <c r="Q87" s="17" t="n"/>
      <c r="R87" s="17" t="inlineStr">
        <is>
          <t>Tender R4, PB-19, FS F4 v1.3: 3.3 Submitted</t>
        </is>
      </c>
      <c r="S87" s="17" t="n"/>
      <c r="T87" s="16" t="inlineStr">
        <is>
          <t>Draft</t>
        </is>
      </c>
    </row>
    <row r="88" ht="106.5" customHeight="1" s="14">
      <c r="A88" s="16" t="inlineStr">
        <is>
          <t>TC-087</t>
        </is>
      </c>
      <c r="B88" s="16" t="inlineStr">
        <is>
          <t>TS-018</t>
        </is>
      </c>
      <c r="C88" s="17" t="inlineStr">
        <is>
          <t>School filters are Search, Grade, Tier, Status, ML risk and Submitted</t>
        </is>
      </c>
      <c r="D88" s="17" t="inlineStr">
        <is>
          <t>F4.5 Filters and search</t>
        </is>
      </c>
      <c r="E88" s="17" t="inlineStr">
        <is>
          <t>FAS applications (School Admin)</t>
        </is>
      </c>
      <c r="F88" s="16" t="inlineStr">
        <is>
          <t>S2</t>
        </is>
      </c>
      <c r="G88" s="16" t="inlineStr">
        <is>
          <t>High</t>
        </is>
      </c>
      <c r="H88" s="16" t="inlineStr">
        <is>
          <t>Not Run</t>
        </is>
      </c>
      <c r="I88" s="16" t="inlineStr">
        <is>
          <t>Functional</t>
        </is>
      </c>
      <c r="J88" s="17" t="inlineStr">
        <is>
          <t>Prototype: edusave.vercel.app (sample date 18/10/2026)
Chrome (latest)
Build: to be recorded at execution
Needs: ENV-R4-01</t>
        </is>
      </c>
      <c r="K88" s="17" t="inlineStr">
        <is>
          <t>1. The prototype is open at the base state (use Reset data).
2. Signed in as School user Lan Nguyen (BVP-0012), Bukit View Primary.</t>
        </is>
      </c>
      <c r="L88" s="17" t="inlineStr">
        <is>
          <t>Base state of Bukit View Primary</t>
        </is>
      </c>
      <c r="M88" s="17" t="inlineStr">
        <is>
          <t>1. Read the filter bar.</t>
        </is>
      </c>
      <c r="N88" s="17" t="inlineStr">
        <is>
          <t>1. The filters are Search, Grade, Tier, Status, ML risk and Submitted.
2. There is no School filter and no Scheme filter.</t>
        </is>
      </c>
      <c r="O88" s="17" t="n"/>
      <c r="P88" s="17" t="inlineStr">
        <is>
          <t>N/A</t>
        </is>
      </c>
      <c r="Q88" s="17" t="n"/>
      <c r="R88" s="17" t="inlineStr">
        <is>
          <t>Tender R4, PB-19, FS F4 v1.3: 3.2 item 4, 3.3 School, 3.3 Scheme</t>
        </is>
      </c>
      <c r="S88" s="17" t="n"/>
      <c r="T88" s="16" t="inlineStr">
        <is>
          <t>Approve</t>
        </is>
      </c>
    </row>
    <row r="89" ht="106.5" customHeight="1" s="14">
      <c r="A89" s="16" t="inlineStr">
        <is>
          <t>TC-088</t>
        </is>
      </c>
      <c r="B89" s="16" t="inlineStr">
        <is>
          <t>TS-018</t>
        </is>
      </c>
      <c r="C89" s="17" t="inlineStr">
        <is>
          <t>Grade options follow the grades the school offers</t>
        </is>
      </c>
      <c r="D89" s="17" t="inlineStr">
        <is>
          <t>F4.5 Filters and search</t>
        </is>
      </c>
      <c r="E89" s="17" t="inlineStr">
        <is>
          <t>FAS applications (School Admin)</t>
        </is>
      </c>
      <c r="F89" s="16" t="inlineStr">
        <is>
          <t>S3</t>
        </is>
      </c>
      <c r="G89" s="16" t="inlineStr">
        <is>
          <t>Medium</t>
        </is>
      </c>
      <c r="H89" s="16" t="inlineStr">
        <is>
          <t>Not Run</t>
        </is>
      </c>
      <c r="I89" s="16" t="inlineStr">
        <is>
          <t>Functional</t>
        </is>
      </c>
      <c r="J89" s="17" t="inlineStr">
        <is>
          <t>Prototype: edusave.vercel.app (sample date 18/10/2026)
Chrome (latest)
Build: to be recorded at execution
Needs: ENV-R4-01</t>
        </is>
      </c>
      <c r="K89" s="17" t="inlineStr">
        <is>
          <t>1. The prototype is open at the base state (use Reset data).
2. Signed in as School user Lan Nguyen (BVP-0012), Bukit View Primary.</t>
        </is>
      </c>
      <c r="L89" s="17" t="inlineStr">
        <is>
          <t>Bukit View Primary offers P1 to P6. Meridian Secondary offers S1 to S4.</t>
        </is>
      </c>
      <c r="M89" s="17" t="inlineStr">
        <is>
          <t>1. Open the Grade filter and read the options.
2. Log out and sign in as MRS-0012.
3. Open FAS applications and open the Grade filter.</t>
        </is>
      </c>
      <c r="N89" s="17" t="inlineStr">
        <is>
          <t>1. Bukit View Primary lists All and P1 to P6.
2. Meridian Secondary lists All and S1 to S4.</t>
        </is>
      </c>
      <c r="O89" s="17" t="n"/>
      <c r="P89" s="17" t="inlineStr">
        <is>
          <t>N/A</t>
        </is>
      </c>
      <c r="Q89" s="17" t="n"/>
      <c r="R89" s="17" t="inlineStr">
        <is>
          <t>Tender R4, PB-19, FS F4 v1.3: 3.3 Grade</t>
        </is>
      </c>
      <c r="S89" s="17" t="inlineStr">
        <is>
          <t>Compare CMP-26 and the Meridian list.</t>
        </is>
      </c>
      <c r="T89" s="16" t="inlineStr">
        <is>
          <t>Approve</t>
        </is>
      </c>
    </row>
    <row r="90" ht="106.5" customHeight="1" s="14">
      <c r="A90" s="16" t="inlineStr">
        <is>
          <t>TC-089</t>
        </is>
      </c>
      <c r="B90" s="16" t="inlineStr">
        <is>
          <t>TS-018</t>
        </is>
      </c>
      <c r="C90" s="17" t="inlineStr">
        <is>
          <t>Tier options are the names of the school SBFAS schemes</t>
        </is>
      </c>
      <c r="D90" s="17" t="inlineStr">
        <is>
          <t>F4.5 Filters and search</t>
        </is>
      </c>
      <c r="E90" s="17" t="inlineStr">
        <is>
          <t>FAS applications (School Admin)</t>
        </is>
      </c>
      <c r="F90" s="16" t="inlineStr">
        <is>
          <t>S2</t>
        </is>
      </c>
      <c r="G90" s="16" t="inlineStr">
        <is>
          <t>Medium</t>
        </is>
      </c>
      <c r="H90" s="16" t="inlineStr">
        <is>
          <t>Not Run</t>
        </is>
      </c>
      <c r="I90" s="16" t="inlineStr">
        <is>
          <t>Functional</t>
        </is>
      </c>
      <c r="J90" s="17" t="inlineStr">
        <is>
          <t>Prototype: edusave.vercel.app (sample date 18/10/2026)
Chrome (latest)
Build: to be recorded at execution
Needs: ENV-R4-01</t>
        </is>
      </c>
      <c r="K90" s="17" t="inlineStr">
        <is>
          <t>1. The prototype is open at the base state (use Reset data).
2. Signed in as School user Lan Nguyen (BVP-0012), Bukit View Primary.</t>
        </is>
      </c>
      <c r="L90" s="17" t="inlineStr">
        <is>
          <t>Bukit View Primary SBFAS schemes: Tier 1, Tier 2, Tier 3</t>
        </is>
      </c>
      <c r="M90" s="17" t="inlineStr">
        <is>
          <t>1. Open the Tier filter and read the options.
2. Select Tier 3, Tier 2 and Tier 1 in turn and read the rows.</t>
        </is>
      </c>
      <c r="N90" s="17" t="inlineStr">
        <is>
          <t>1. The options are All, Tier 1, Tier 2 and Tier 3.
2. Tier 3 shows 00386 (granted Tier 3).
3. Tier 2 and Tier 1 show "No applications found."</t>
        </is>
      </c>
      <c r="O90" s="17" t="n"/>
      <c r="P90" s="17" t="inlineStr">
        <is>
          <t>N/A</t>
        </is>
      </c>
      <c r="Q90" s="17" t="n"/>
      <c r="R90" s="17" t="inlineStr">
        <is>
          <t>Tender R4, PB-19, FS F4 v1.3: 3.3 Tier</t>
        </is>
      </c>
      <c r="S90" s="17" t="inlineStr">
        <is>
          <t>Compare CMP-26.</t>
        </is>
      </c>
      <c r="T90" s="16" t="inlineStr">
        <is>
          <t>Approve</t>
        </is>
      </c>
    </row>
    <row r="91" ht="121.5" customHeight="1" s="14">
      <c r="A91" s="16" t="inlineStr">
        <is>
          <t>TC-090</t>
        </is>
      </c>
      <c r="B91" s="16" t="inlineStr">
        <is>
          <t>TS-018</t>
        </is>
      </c>
      <c r="C91" s="17" t="inlineStr">
        <is>
          <t>School Tier filter matches the ML recommended tier on pending rows</t>
        </is>
      </c>
      <c r="D91" s="17" t="inlineStr">
        <is>
          <t>F4.5 Filters and search</t>
        </is>
      </c>
      <c r="E91" s="17" t="inlineStr">
        <is>
          <t>FAS applications (School Admin)</t>
        </is>
      </c>
      <c r="F91" s="16" t="inlineStr">
        <is>
          <t>S2</t>
        </is>
      </c>
      <c r="G91" s="16" t="inlineStr">
        <is>
          <t>High</t>
        </is>
      </c>
      <c r="H91" s="16" t="inlineStr">
        <is>
          <t>Not Run</t>
        </is>
      </c>
      <c r="I91" s="16" t="inlineStr">
        <is>
          <t>Functional</t>
        </is>
      </c>
      <c r="J91" s="17" t="inlineStr">
        <is>
          <t>Prototype: edusave.vercel.app (sample date 18/10/2026)
Chrome (latest)
Build: to be recorded at execution
Needs: ENV-R4-01</t>
        </is>
      </c>
      <c r="K91" s="17" t="inlineStr">
        <is>
          <t>1. The prototype is open at the base state (use Reset data).
2. MOE HQ closed the MOEFAS 2027 form with Close form now (demo), so 00412 and 00410 are SBFAS Pending at Bukit View Primary.
3. Signed in as School user Lan Nguyen (BVP-0012), Bukit View Primary.</t>
        </is>
      </c>
      <c r="L91" s="17" t="inlineStr">
        <is>
          <t>After the demo close: 00412 and 00410 are Pending with ML recommendation Tier 3.</t>
        </is>
      </c>
      <c r="M91" s="17" t="inlineStr">
        <is>
          <t>1. Select Tier = Tier 3 and read the rows.
2. Select Tier = Tier 2 and read the rows.</t>
        </is>
      </c>
      <c r="N91" s="17" t="inlineStr">
        <is>
          <t>1. Tier 3 shows 00412, 00410 and 00386.
2. Tier 2 shows "No applications found."</t>
        </is>
      </c>
      <c r="O91" s="17" t="n"/>
      <c r="P91" s="17" t="inlineStr">
        <is>
          <t>N/A</t>
        </is>
      </c>
      <c r="Q91" s="17" t="n"/>
      <c r="R91" s="17" t="inlineStr">
        <is>
          <t>Tender R4, PB-19, FS F4 v1.3: 3.3 Tier, 5 Recommended tier</t>
        </is>
      </c>
      <c r="S91" s="17" t="n"/>
      <c r="T91" s="16" t="inlineStr">
        <is>
          <t>Approve</t>
        </is>
      </c>
    </row>
    <row r="92" ht="106.5" customHeight="1" s="14">
      <c r="A92" s="16" t="inlineStr">
        <is>
          <t>TC-091</t>
        </is>
      </c>
      <c r="B92" s="16" t="inlineStr">
        <is>
          <t>TS-018</t>
        </is>
      </c>
      <c r="C92" s="17" t="inlineStr">
        <is>
          <t>School Status, ML risk and Submitted filters narrow the school rows</t>
        </is>
      </c>
      <c r="D92" s="17" t="inlineStr">
        <is>
          <t>F4.5 Filters and search</t>
        </is>
      </c>
      <c r="E92" s="17" t="inlineStr">
        <is>
          <t>FAS applications (School Admin)</t>
        </is>
      </c>
      <c r="F92" s="16" t="inlineStr">
        <is>
          <t>S3</t>
        </is>
      </c>
      <c r="G92" s="16" t="inlineStr">
        <is>
          <t>Medium</t>
        </is>
      </c>
      <c r="H92" s="16" t="inlineStr">
        <is>
          <t>Not Run</t>
        </is>
      </c>
      <c r="I92" s="16" t="inlineStr">
        <is>
          <t>Functional</t>
        </is>
      </c>
      <c r="J92" s="17" t="inlineStr">
        <is>
          <t>Prototype: edusave.vercel.app (sample date 18/10/2026)
Chrome (latest)
Build: to be recorded at execution
Needs: ENV-R4-01</t>
        </is>
      </c>
      <c r="K92" s="17" t="inlineStr">
        <is>
          <t>1. The prototype is open at the base state (use Reset data).
2. Signed in as School user Lan Nguyen (BVP-0012), Bukit View Primary.</t>
        </is>
      </c>
      <c r="L92" s="17" t="inlineStr">
        <is>
          <t>Rows: 00398 (Pending, Medium, 14/10/2026) and 00386 (Approved, Medium, 12/11/2025)</t>
        </is>
      </c>
      <c r="M92" s="17" t="inlineStr">
        <is>
          <t>1. Open the All tab.
2. Select Status = Approved and read the rows.
3. Clear it and select ML risk = High and read the rows.
4. Clear it and select Submitted = Last 7 days and read the rows.</t>
        </is>
      </c>
      <c r="N92" s="17" t="inlineStr">
        <is>
          <t>1. Approved shows 00386.
2. High shows "No applications found."
3. Last 7 days shows 00398.</t>
        </is>
      </c>
      <c r="O92" s="17" t="n"/>
      <c r="P92" s="17" t="inlineStr">
        <is>
          <t>N/A</t>
        </is>
      </c>
      <c r="Q92" s="17" t="n"/>
      <c r="R92" s="17" t="inlineStr">
        <is>
          <t>Tender R4, PB-19, FS F4 v1.3: 3.3 Status, 3.3 ML risk, 3.3 Submitted</t>
        </is>
      </c>
      <c r="S92" s="17" t="n"/>
      <c r="T92" s="16" t="inlineStr">
        <is>
          <t>Approve</t>
        </is>
      </c>
    </row>
    <row r="93" ht="121.5" customHeight="1" s="14">
      <c r="A93" s="16" t="inlineStr">
        <is>
          <t>TC-092</t>
        </is>
      </c>
      <c r="B93" s="16" t="inlineStr">
        <is>
          <t>TS-019</t>
        </is>
      </c>
      <c r="C93" s="17" t="inlineStr">
        <is>
          <t>Filters combine with AND</t>
        </is>
      </c>
      <c r="D93" s="17" t="inlineStr">
        <is>
          <t>F4.5 Filters and search</t>
        </is>
      </c>
      <c r="E93" s="17" t="inlineStr">
        <is>
          <t>FAS applications (MOE HQ)</t>
        </is>
      </c>
      <c r="F93" s="16" t="inlineStr">
        <is>
          <t>S2</t>
        </is>
      </c>
      <c r="G93" s="16" t="inlineStr">
        <is>
          <t>High</t>
        </is>
      </c>
      <c r="H93" s="16" t="inlineStr">
        <is>
          <t>Not Run</t>
        </is>
      </c>
      <c r="I93" s="16" t="inlineStr">
        <is>
          <t>Functional</t>
        </is>
      </c>
      <c r="J93" s="17" t="inlineStr">
        <is>
          <t>Prototype: edusave.vercel.app (sample date 18/10/2026)
Chrome (latest)
Build: to be recorded at execution
Needs: ENV-R4-01</t>
        </is>
      </c>
      <c r="K93" s="17" t="inlineStr">
        <is>
          <t>1. The prototype is open at the base state (use Reset data).
2. Signed in as MOE HQ (Mei Lin Tan).</t>
        </is>
      </c>
      <c r="L93" s="17" t="inlineStr">
        <is>
          <t>Base state</t>
        </is>
      </c>
      <c r="M93" s="17" t="inlineStr">
        <is>
          <t>1. Select School = Bukit View Primary and Status = Pending and read the rows.
2. Select Scheme = SBFAS and Status = Pending and read the rows.
3. Select Grade = P3 and Scheme = MOEFAS and read the rows.
4. Select Status = Approved and ML risk = Low and read the rows.</t>
        </is>
      </c>
      <c r="N93" s="17" t="inlineStr">
        <is>
          <t>1. Bukit View Primary with Pending shows 00412, 00410, 00398.
2. SBFAS with Pending shows 00398.
3. P3 with MOEFAS shows 00412 and 00301.
4. Approved with Low shows "No applications found."</t>
        </is>
      </c>
      <c r="O93" s="17" t="n"/>
      <c r="P93" s="17" t="inlineStr">
        <is>
          <t>N/A</t>
        </is>
      </c>
      <c r="Q93" s="17" t="n"/>
      <c r="R93" s="17" t="inlineStr">
        <is>
          <t>Tender R4, PB-19, FS F4 v1.3: 3.3</t>
        </is>
      </c>
      <c r="S93" s="17" t="inlineStr">
        <is>
          <t>Compare CMP-13.</t>
        </is>
      </c>
      <c r="T93" s="16" t="inlineStr">
        <is>
          <t>Approve</t>
        </is>
      </c>
    </row>
    <row r="94" ht="106.5" customHeight="1" s="14">
      <c r="A94" s="16" t="inlineStr">
        <is>
          <t>TC-093</t>
        </is>
      </c>
      <c r="B94" s="16" t="inlineStr">
        <is>
          <t>TS-019</t>
        </is>
      </c>
      <c r="C94" s="17" t="inlineStr">
        <is>
          <t>A tab and the Status filter combine with AND</t>
        </is>
      </c>
      <c r="D94" s="17" t="inlineStr">
        <is>
          <t>F4.5 Filters and search</t>
        </is>
      </c>
      <c r="E94" s="17" t="inlineStr">
        <is>
          <t>FAS applications (MOE HQ)</t>
        </is>
      </c>
      <c r="F94" s="16" t="inlineStr">
        <is>
          <t>S3</t>
        </is>
      </c>
      <c r="G94" s="16" t="inlineStr">
        <is>
          <t>Medium</t>
        </is>
      </c>
      <c r="H94" s="16" t="inlineStr">
        <is>
          <t>Not Run</t>
        </is>
      </c>
      <c r="I94" s="16" t="inlineStr">
        <is>
          <t>Functional</t>
        </is>
      </c>
      <c r="J94" s="17" t="inlineStr">
        <is>
          <t>Prototype: edusave.vercel.app (sample date 18/10/2026)
Chrome (latest)
Build: to be recorded at execution
Needs: ENV-R4-01</t>
        </is>
      </c>
      <c r="K94" s="17" t="inlineStr">
        <is>
          <t>1. The prototype is open at the base state (use Reset data).
2. Signed in as MOE HQ (Mei Lin Tan).</t>
        </is>
      </c>
      <c r="L94" s="17" t="inlineStr">
        <is>
          <t>Base state</t>
        </is>
      </c>
      <c r="M94" s="17" t="inlineStr">
        <is>
          <t>1. Open the Pending tab and select Status = Approved.
2. Open the Approved tab, clear the Status filter and type "lee" in Search.</t>
        </is>
      </c>
      <c r="N94" s="17" t="inlineStr">
        <is>
          <t>1. Pending with Approved shows "No applications found."
2. Approved with the search "lee" shows 00381 only.
3. The tab counts do not change.</t>
        </is>
      </c>
      <c r="O94" s="17" t="n"/>
      <c r="P94" s="17" t="inlineStr">
        <is>
          <t>ASM-R4-06: Tab counts are not affected by filters or search, like the cards. A tab and the Status filter combine with AND, so Pending with Approved shows No applications found.</t>
        </is>
      </c>
      <c r="Q94" s="17" t="n"/>
      <c r="R94" s="17" t="inlineStr">
        <is>
          <t>Tender R4, PB-19, FS F4 v1.3: 3.1 item 4, 3.3</t>
        </is>
      </c>
      <c r="S94" s="17" t="n"/>
      <c r="T94" s="16" t="inlineStr">
        <is>
          <t>Draft</t>
        </is>
      </c>
    </row>
    <row r="95" ht="106.5" customHeight="1" s="14">
      <c r="A95" s="16" t="inlineStr">
        <is>
          <t>TC-094</t>
        </is>
      </c>
      <c r="B95" s="16" t="inlineStr">
        <is>
          <t>TS-019</t>
        </is>
      </c>
      <c r="C95" s="17" t="inlineStr">
        <is>
          <t>Clearing a filter restores the rows</t>
        </is>
      </c>
      <c r="D95" s="17" t="inlineStr">
        <is>
          <t>F4.5 Filters and search</t>
        </is>
      </c>
      <c r="E95" s="17" t="inlineStr">
        <is>
          <t>FAS applications (MOE HQ)</t>
        </is>
      </c>
      <c r="F95" s="16" t="inlineStr">
        <is>
          <t>S4 (lowest)</t>
        </is>
      </c>
      <c r="G95" s="16" t="inlineStr">
        <is>
          <t>Low</t>
        </is>
      </c>
      <c r="H95" s="16" t="inlineStr">
        <is>
          <t>Not Run</t>
        </is>
      </c>
      <c r="I95" s="16" t="inlineStr">
        <is>
          <t>Functional</t>
        </is>
      </c>
      <c r="J95" s="17" t="inlineStr">
        <is>
          <t>Prototype: edusave.vercel.app (sample date 18/10/2026)
Chrome (latest)
Build: to be recorded at execution
Needs: ENV-R4-01</t>
        </is>
      </c>
      <c r="K95" s="17" t="inlineStr">
        <is>
          <t>1. The prototype is open at the base state (use Reset data).
2. Signed in as MOE HQ (Mei Lin Tan).</t>
        </is>
      </c>
      <c r="L95" s="17" t="inlineStr">
        <is>
          <t>Base state</t>
        </is>
      </c>
      <c r="M95" s="17" t="inlineStr">
        <is>
          <t>1. Select Scheme = SBFAS.
2. Select Scheme = All.</t>
        </is>
      </c>
      <c r="N95" s="17" t="inlineStr">
        <is>
          <t>1. After the first step 2 rows are shown. After the second step all 9 rows are shown again.</t>
        </is>
      </c>
      <c r="O95" s="17" t="n"/>
      <c r="P95" s="17" t="inlineStr">
        <is>
          <t>N/A</t>
        </is>
      </c>
      <c r="Q95" s="17" t="n"/>
      <c r="R95" s="17" t="inlineStr">
        <is>
          <t>Tender R4, PB-19, FS F4 v1.3: 3.3</t>
        </is>
      </c>
      <c r="S95" s="17" t="n"/>
      <c r="T95" s="16" t="inlineStr">
        <is>
          <t>Approve</t>
        </is>
      </c>
    </row>
    <row r="96" ht="121.5" customHeight="1" s="14">
      <c r="A96" s="16" t="inlineStr">
        <is>
          <t>TC-095</t>
        </is>
      </c>
      <c r="B96" s="16" t="inlineStr">
        <is>
          <t>TS-019</t>
        </is>
      </c>
      <c r="C96" s="17" t="inlineStr">
        <is>
          <t>Changing a filter or the search returns to page 1</t>
        </is>
      </c>
      <c r="D96" s="17" t="inlineStr">
        <is>
          <t>F4.5 Filters and search</t>
        </is>
      </c>
      <c r="E96" s="17" t="inlineStr">
        <is>
          <t>FAS applications (MOE HQ)</t>
        </is>
      </c>
      <c r="F96" s="16" t="inlineStr">
        <is>
          <t>S3</t>
        </is>
      </c>
      <c r="G96" s="16" t="inlineStr">
        <is>
          <t>Medium</t>
        </is>
      </c>
      <c r="H96" s="16" t="inlineStr">
        <is>
          <t>Not Run</t>
        </is>
      </c>
      <c r="I96" s="16" t="inlineStr">
        <is>
          <t>Functional</t>
        </is>
      </c>
      <c r="J96" s="17" t="inlineStr">
        <is>
          <t>Prototype: edusave.vercel.app (sample date 18/10/2026)
Chrome (latest)
Build: to be recorded at execution
Needs: ENV-R4-01, SEED-R4-N25</t>
        </is>
      </c>
      <c r="K96" s="17" t="inlineStr">
        <is>
          <t>1. The prototype is open at the base state (use Reset data).
2. Signed in as MOE HQ (Mei Lin Tan).</t>
        </is>
      </c>
      <c r="L96" s="17" t="inlineStr">
        <is>
          <t>Seed with 11 applications (SEED-R4-N25)</t>
        </is>
      </c>
      <c r="M96" s="17" t="inlineStr">
        <is>
          <t>1. Open FAS applications and click Next to go to page 2.
2. Select Scheme = MOEFAS.
3. Go to page 2 again if there is one, then type "a" in Search.</t>
        </is>
      </c>
      <c r="N96" s="17" t="inlineStr">
        <is>
          <t>1. After each change the table shows page 1 and the footer starts at "Showing 1".</t>
        </is>
      </c>
      <c r="O96" s="17" t="n"/>
      <c r="P96" s="17" t="inlineStr">
        <is>
          <t>N/A</t>
        </is>
      </c>
      <c r="Q96" s="17" t="n"/>
      <c r="R96" s="17" t="inlineStr">
        <is>
          <t>Tender R4, PB-19, FS F4 v1.3: 3.3</t>
        </is>
      </c>
      <c r="S96" s="17" t="n"/>
      <c r="T96" s="16" t="inlineStr">
        <is>
          <t>Approve</t>
        </is>
      </c>
    </row>
    <row r="97" ht="135.75" customHeight="1" s="14">
      <c r="A97" s="16" t="inlineStr">
        <is>
          <t>TC-096</t>
        </is>
      </c>
      <c r="B97" s="16" t="inlineStr">
        <is>
          <t>TS-020</t>
        </is>
      </c>
      <c r="C97" s="17" t="inlineStr">
        <is>
          <t>Export file holds the columns of 3.4 and every row of the list</t>
        </is>
      </c>
      <c r="D97" s="17" t="inlineStr">
        <is>
          <t>F4.6 Export</t>
        </is>
      </c>
      <c r="E97" s="17" t="inlineStr">
        <is>
          <t>FAS applications (MOE HQ)</t>
        </is>
      </c>
      <c r="F97" s="16" t="inlineStr">
        <is>
          <t>S2</t>
        </is>
      </c>
      <c r="G97" s="16" t="inlineStr">
        <is>
          <t>High</t>
        </is>
      </c>
      <c r="H97" s="16" t="inlineStr">
        <is>
          <t>Not Run</t>
        </is>
      </c>
      <c r="I97" s="16" t="inlineStr">
        <is>
          <t>Functional</t>
        </is>
      </c>
      <c r="J97" s="17" t="inlineStr">
        <is>
          <t>Prototype: edusave.vercel.app (sample date 18/10/2026)
Chrome (latest)
Build: to be recorded at execution
Needs: ENV-R4-01</t>
        </is>
      </c>
      <c r="K97" s="17" t="inlineStr">
        <is>
          <t>1. The prototype is open at the base state (use Reset data).
2. Signed in as MOE HQ (Mei Lin Tan).</t>
        </is>
      </c>
      <c r="L97" s="17" t="inlineStr">
        <is>
          <t>Base state (9 rows). The browser asks for permission to download.</t>
        </is>
      </c>
      <c r="M97" s="17" t="inlineStr">
        <is>
          <t>1. Click Export.
2. Open the downloaded file in a text editor.</t>
        </is>
      </c>
      <c r="N97" s="17" t="inlineStr">
        <is>
          <t>1. The file name is fas-applications.csv.
2. The header row is Application, Student, NRIC, School, Grade, Scheme, Submitted, System check, Tier, ML recommendation, ML risk, Status.
3. The file has 9 data rows sorted by Submitted, newest first.</t>
        </is>
      </c>
      <c r="O97" s="17" t="n"/>
      <c r="P97" s="17" t="inlineStr">
        <is>
          <t>ASM-R4-08: The file holds every row of the filtered list across all pages, with tab, search and filters applied, sorted newest first. The file name is fas-applications.csv. Values are written as on screen. The School Admin file omits School, Scheme and System check. A cell that starts with = + - or @ is written with a leading apostrophe. An empty list exports the header only.</t>
        </is>
      </c>
      <c r="Q97" s="17" t="n"/>
      <c r="R97" s="17" t="inlineStr">
        <is>
          <t>Tender R4, PB-19, FS F4 v1.3: 3.1 item 2, 3.4 CSV, T15</t>
        </is>
      </c>
      <c r="S97" s="17" t="inlineStr">
        <is>
          <t>Compare CMP-22. The page code builds this file. Run the download on the prototype to confirm the content.</t>
        </is>
      </c>
      <c r="T97" s="16" t="inlineStr">
        <is>
          <t>Draft</t>
        </is>
      </c>
    </row>
    <row r="98" ht="135.75" customHeight="1" s="14">
      <c r="A98" s="16" t="inlineStr">
        <is>
          <t>TC-097</t>
        </is>
      </c>
      <c r="B98" s="16" t="inlineStr">
        <is>
          <t>TS-020</t>
        </is>
      </c>
      <c r="C98" s="17" t="inlineStr">
        <is>
          <t>Export holds only the filtered and searched rows</t>
        </is>
      </c>
      <c r="D98" s="17" t="inlineStr">
        <is>
          <t>F4.6 Export</t>
        </is>
      </c>
      <c r="E98" s="17" t="inlineStr">
        <is>
          <t>FAS applications (MOE HQ)</t>
        </is>
      </c>
      <c r="F98" s="16" t="inlineStr">
        <is>
          <t>S2</t>
        </is>
      </c>
      <c r="G98" s="16" t="inlineStr">
        <is>
          <t>High</t>
        </is>
      </c>
      <c r="H98" s="16" t="inlineStr">
        <is>
          <t>Not Run</t>
        </is>
      </c>
      <c r="I98" s="16" t="inlineStr">
        <is>
          <t>Functional</t>
        </is>
      </c>
      <c r="J98" s="17" t="inlineStr">
        <is>
          <t>Prototype: edusave.vercel.app (sample date 18/10/2026)
Chrome (latest)
Build: to be recorded at execution
Needs: ENV-R4-01</t>
        </is>
      </c>
      <c r="K98" s="17" t="inlineStr">
        <is>
          <t>1. The prototype is open at the base state (use Reset data).
2. Signed in as MOE HQ (Mei Lin Tan).</t>
        </is>
      </c>
      <c r="L98" s="17" t="inlineStr">
        <is>
          <t>Filter Scheme = SBFAS, then the Approved tab with search "lee"</t>
        </is>
      </c>
      <c r="M98" s="17" t="inlineStr">
        <is>
          <t>1. Select Scheme = SBFAS and click Export.
2. Clear the filter, select the Approved tab, type "lee" in Search and click Export.
3. Open both files.</t>
        </is>
      </c>
      <c r="N98" s="17" t="inlineStr">
        <is>
          <t>1. The first file has the 2 SBFAS rows (00398, 00386).
2. The second file has only 00381.</t>
        </is>
      </c>
      <c r="O98" s="17" t="n"/>
      <c r="P98" s="17" t="inlineStr">
        <is>
          <t>ASM-R4-08: The file holds every row of the filtered list across all pages, with tab, search and filters applied, sorted newest first. The file name is fas-applications.csv. Values are written as on screen. The School Admin file omits School, Scheme and System check. A cell that starts with = + - or @ is written with a leading apostrophe. An empty list exports the header only.</t>
        </is>
      </c>
      <c r="Q98" s="17" t="n"/>
      <c r="R98" s="17" t="inlineStr">
        <is>
          <t>Tender R4, PB-19, FS F4 v1.3: 3.1 item 2, 3.4 CSV, T15</t>
        </is>
      </c>
      <c r="S98" s="17" t="n"/>
      <c r="T98" s="16" t="inlineStr">
        <is>
          <t>Draft</t>
        </is>
      </c>
    </row>
    <row r="99" ht="135.75" customHeight="1" s="14">
      <c r="A99" s="16" t="inlineStr">
        <is>
          <t>TC-098</t>
        </is>
      </c>
      <c r="B99" s="16" t="inlineStr">
        <is>
          <t>TS-020</t>
        </is>
      </c>
      <c r="C99" s="17" t="inlineStr">
        <is>
          <t>Export includes the rows of every page</t>
        </is>
      </c>
      <c r="D99" s="17" t="inlineStr">
        <is>
          <t>F4.6 Export</t>
        </is>
      </c>
      <c r="E99" s="17" t="inlineStr">
        <is>
          <t>FAS applications (MOE HQ)</t>
        </is>
      </c>
      <c r="F99" s="16" t="inlineStr">
        <is>
          <t>S2</t>
        </is>
      </c>
      <c r="G99" s="16" t="inlineStr">
        <is>
          <t>High</t>
        </is>
      </c>
      <c r="H99" s="16" t="inlineStr">
        <is>
          <t>Not Run</t>
        </is>
      </c>
      <c r="I99" s="16" t="inlineStr">
        <is>
          <t>Functional</t>
        </is>
      </c>
      <c r="J99" s="17" t="inlineStr">
        <is>
          <t>Prototype: edusave.vercel.app (sample date 18/10/2026)
Chrome (latest)
Build: to be recorded at execution
Needs: ENV-R4-01, SEED-R4-N25</t>
        </is>
      </c>
      <c r="K99" s="17" t="inlineStr">
        <is>
          <t>1. The prototype is open at the base state (use Reset data).
2. Signed in as MOE HQ (Mei Lin Tan).</t>
        </is>
      </c>
      <c r="L99" s="17" t="inlineStr">
        <is>
          <t>Seed with 11 applications (SEED-R4-N25)</t>
        </is>
      </c>
      <c r="M99" s="17" t="inlineStr">
        <is>
          <t>1. Click Export on page 1 and open the file.</t>
        </is>
      </c>
      <c r="N99" s="17" t="inlineStr">
        <is>
          <t>1. The file has 11 data rows, not only the 10 rows of page 1.</t>
        </is>
      </c>
      <c r="O99" s="17" t="n"/>
      <c r="P99" s="17" t="inlineStr">
        <is>
          <t>ASM-R4-08: The file holds every row of the filtered list across all pages, with tab, search and filters applied, sorted newest first. The file name is fas-applications.csv. Values are written as on screen. The School Admin file omits School, Scheme and System check. A cell that starts with = + - or @ is written with a leading apostrophe. An empty list exports the header only.</t>
        </is>
      </c>
      <c r="Q99" s="17" t="n"/>
      <c r="R99" s="17" t="inlineStr">
        <is>
          <t>Tender R4, PB-19, FS F4 v1.3: 3.4 CSV, T15</t>
        </is>
      </c>
      <c r="S99" s="17" t="n"/>
      <c r="T99" s="16" t="inlineStr">
        <is>
          <t>Draft</t>
        </is>
      </c>
    </row>
    <row r="100" ht="135.75" customHeight="1" s="14">
      <c r="A100" s="16" t="inlineStr">
        <is>
          <t>TC-099</t>
        </is>
      </c>
      <c r="B100" s="16" t="inlineStr">
        <is>
          <t>TS-020</t>
        </is>
      </c>
      <c r="C100" s="17" t="inlineStr">
        <is>
          <t>School Admin export omits School, Scheme and System check</t>
        </is>
      </c>
      <c r="D100" s="17" t="inlineStr">
        <is>
          <t>F4.6 Export</t>
        </is>
      </c>
      <c r="E100" s="17" t="inlineStr">
        <is>
          <t>FAS applications (School Admin)</t>
        </is>
      </c>
      <c r="F100" s="16" t="inlineStr">
        <is>
          <t>S2</t>
        </is>
      </c>
      <c r="G100" s="16" t="inlineStr">
        <is>
          <t>Medium</t>
        </is>
      </c>
      <c r="H100" s="16" t="inlineStr">
        <is>
          <t>Not Run</t>
        </is>
      </c>
      <c r="I100" s="16" t="inlineStr">
        <is>
          <t>Functional</t>
        </is>
      </c>
      <c r="J100" s="17" t="inlineStr">
        <is>
          <t>Prototype: edusave.vercel.app (sample date 18/10/2026)
Chrome (latest)
Build: to be recorded at execution
Needs: ENV-R4-01</t>
        </is>
      </c>
      <c r="K100" s="17" t="inlineStr">
        <is>
          <t>1. The prototype is open at the base state (use Reset data).
2. Signed in as School user Lan Nguyen (BVP-0012), Bukit View Primary.</t>
        </is>
      </c>
      <c r="L100" s="17" t="inlineStr">
        <is>
          <t>Base state of Bukit View Primary</t>
        </is>
      </c>
      <c r="M100" s="17" t="inlineStr">
        <is>
          <t>1. Open the All tab and click Export.
2. Open the file.</t>
        </is>
      </c>
      <c r="N100" s="17" t="inlineStr">
        <is>
          <t>1. The header row is Application, Student, NRIC, Grade, Submitted, Tier, ML recommendation, ML risk, Status.
2. The file has the 2 SBFAS rows of the school and no row of another school.</t>
        </is>
      </c>
      <c r="O100" s="17" t="n"/>
      <c r="P100" s="17" t="inlineStr">
        <is>
          <t>ASM-R4-08: The file holds every row of the filtered list across all pages, with tab, search and filters applied, sorted newest first. The file name is fas-applications.csv. Values are written as on screen. The School Admin file omits School, Scheme and System check. A cell that starts with = + - or @ is written with a leading apostrophe. An empty list exports the header only.</t>
        </is>
      </c>
      <c r="Q100" s="17" t="n"/>
      <c r="R100" s="17" t="inlineStr">
        <is>
          <t>Tender R4, PB-19, FS F4 v1.3: 3.4 CSV, T15, BR12</t>
        </is>
      </c>
      <c r="S100" s="17" t="inlineStr">
        <is>
          <t>The column set for the School Admin is a question for the BA (ASM-R4-08).</t>
        </is>
      </c>
      <c r="T100" s="16" t="inlineStr">
        <is>
          <t>Draft</t>
        </is>
      </c>
    </row>
    <row r="101" ht="135.75" customHeight="1" s="14">
      <c r="A101" s="16" t="inlineStr">
        <is>
          <t>TC-100</t>
        </is>
      </c>
      <c r="B101" s="16" t="inlineStr">
        <is>
          <t>TS-020</t>
        </is>
      </c>
      <c r="C101" s="17" t="inlineStr">
        <is>
          <t>Export of an empty list writes the header only</t>
        </is>
      </c>
      <c r="D101" s="17" t="inlineStr">
        <is>
          <t>F4.6 Export</t>
        </is>
      </c>
      <c r="E101" s="17" t="inlineStr">
        <is>
          <t>FAS applications (MOE HQ)</t>
        </is>
      </c>
      <c r="F101" s="16" t="inlineStr">
        <is>
          <t>S4 (lowest)</t>
        </is>
      </c>
      <c r="G101" s="16" t="inlineStr">
        <is>
          <t>Low</t>
        </is>
      </c>
      <c r="H101" s="16" t="inlineStr">
        <is>
          <t>Not Run</t>
        </is>
      </c>
      <c r="I101" s="16" t="inlineStr">
        <is>
          <t>Functional</t>
        </is>
      </c>
      <c r="J101" s="17" t="inlineStr">
        <is>
          <t>Prototype: edusave.vercel.app (sample date 18/10/2026)
Chrome (latest)
Build: to be recorded at execution
Needs: ENV-R4-01</t>
        </is>
      </c>
      <c r="K101" s="17" t="inlineStr">
        <is>
          <t>1. The prototype is open at the base state (use Reset data).
2. Signed in as MOE HQ (Mei Lin Tan).</t>
        </is>
      </c>
      <c r="L101" s="17" t="inlineStr">
        <is>
          <t>Search term: zzzz</t>
        </is>
      </c>
      <c r="M101" s="17" t="inlineStr">
        <is>
          <t>1. Type the term in Search and click Export.
2. Open the file.</t>
        </is>
      </c>
      <c r="N101" s="17" t="inlineStr">
        <is>
          <t>1. The file has the header row and no data row.</t>
        </is>
      </c>
      <c r="O101" s="17" t="n"/>
      <c r="P101" s="17" t="inlineStr">
        <is>
          <t>ASM-R4-08: The file holds every row of the filtered list across all pages, with tab, search and filters applied, sorted newest first. The file name is fas-applications.csv. Values are written as on screen. The School Admin file omits School, Scheme and System check. A cell that starts with = + - or @ is written with a leading apostrophe. An empty list exports the header only.</t>
        </is>
      </c>
      <c r="Q101" s="17" t="n"/>
      <c r="R101" s="17" t="inlineStr">
        <is>
          <t>Tender R4, PB-19, FS F4 v1.3: 3.4 CSV</t>
        </is>
      </c>
      <c r="S101" s="17" t="n"/>
      <c r="T101" s="16" t="inlineStr">
        <is>
          <t>Draft</t>
        </is>
      </c>
    </row>
    <row r="102" ht="180" customHeight="1" s="14">
      <c r="A102" s="16" t="inlineStr">
        <is>
          <t>TC-101</t>
        </is>
      </c>
      <c r="B102" s="16" t="inlineStr">
        <is>
          <t>TS-020</t>
        </is>
      </c>
      <c r="C102" s="17" t="inlineStr">
        <is>
          <t>A student name that starts with = is exported as text</t>
        </is>
      </c>
      <c r="D102" s="17" t="inlineStr">
        <is>
          <t>F4.6 Export</t>
        </is>
      </c>
      <c r="E102" s="17" t="inlineStr">
        <is>
          <t>FAS applications (MOE HQ)</t>
        </is>
      </c>
      <c r="F102" s="16" t="inlineStr">
        <is>
          <t>S2</t>
        </is>
      </c>
      <c r="G102" s="16" t="inlineStr">
        <is>
          <t>High</t>
        </is>
      </c>
      <c r="H102" s="16" t="inlineStr">
        <is>
          <t>Not Run</t>
        </is>
      </c>
      <c r="I102" s="16" t="inlineStr">
        <is>
          <t>Security</t>
        </is>
      </c>
      <c r="J102" s="17" t="inlineStr">
        <is>
          <t>F4 build with API (not available yet)
Chrome (latest)
Build: to be recorded at execution
Needs: ENV-R4-02, SEED-R4-N26</t>
        </is>
      </c>
      <c r="K102" s="17" t="inlineStr">
        <is>
          <t>1. The F4 build is running.
2. Signed in as MOE HQ.</t>
        </is>
      </c>
      <c r="L102" s="17" t="inlineStr">
        <is>
          <t>Student named =HYPERLINK("http://example.test","x") (SEED-R4-N26)</t>
        </is>
      </c>
      <c r="M102" s="17" t="inlineStr">
        <is>
          <t>1. Click Export and open the file in a spreadsheet application.</t>
        </is>
      </c>
      <c r="N102" s="17" t="inlineStr">
        <is>
          <t>1. The cell shows the text of the name with a leading apostrophe or as plain text.
2. No formula runs and no link opens.</t>
        </is>
      </c>
      <c r="O102" s="17" t="n"/>
      <c r="P102" s="17" t="inlineStr">
        <is>
          <t>ASM-R4-08: The file holds every row of the filtered list across all pages, with tab, search and filters applied, sorted newest first. The file name is fas-applications.csv. Values are written as on screen. The School Admin file omits School, Scheme and System check. A cell that starts with = + - or @ is written with a leading apostrophe. An empty list exports the header only.
ASM-R4-18: Free text is stored and shown as plain text. HTML and script tags are not interpreted.</t>
        </is>
      </c>
      <c r="Q102" s="17" t="n"/>
      <c r="R102" s="17" t="inlineStr">
        <is>
          <t>Tender R4, PB-19, FS F4 v1.3: 3.4 CSV</t>
        </is>
      </c>
      <c r="S102" s="17" t="n"/>
      <c r="T102" s="16" t="inlineStr">
        <is>
          <t>Draft</t>
        </is>
      </c>
    </row>
    <row r="103" ht="106.5" customHeight="1" s="14">
      <c r="A103" s="16" t="inlineStr">
        <is>
          <t>TC-102</t>
        </is>
      </c>
      <c r="B103" s="16" t="inlineStr">
        <is>
          <t>TS-021</t>
        </is>
      </c>
      <c r="C103" s="17" t="inlineStr">
        <is>
          <t>Pending MOEFAS drawer shows the header and the waiting note</t>
        </is>
      </c>
      <c r="D103" s="17" t="inlineStr">
        <is>
          <t>F4.7 Review drawer, MOEFAS</t>
        </is>
      </c>
      <c r="E103" s="17" t="inlineStr">
        <is>
          <t>Review drawer (MOE HQ)</t>
        </is>
      </c>
      <c r="F103" s="16" t="inlineStr">
        <is>
          <t>S2</t>
        </is>
      </c>
      <c r="G103" s="16" t="inlineStr">
        <is>
          <t>High</t>
        </is>
      </c>
      <c r="H103" s="16" t="inlineStr">
        <is>
          <t>Not Run</t>
        </is>
      </c>
      <c r="I103" s="16" t="inlineStr">
        <is>
          <t>Functional</t>
        </is>
      </c>
      <c r="J103" s="17" t="inlineStr">
        <is>
          <t>Prototype: edusave.vercel.app (sample date 18/10/2026)
Chrome (latest)
Build: to be recorded at execution
Needs: ENV-R4-01</t>
        </is>
      </c>
      <c r="K103" s="17" t="inlineStr">
        <is>
          <t>1. The prototype is open at the base state (use Reset data).
2. Signed in as MOE HQ (Mei Lin Tan).</t>
        </is>
      </c>
      <c r="L103" s="17" t="inlineStr">
        <is>
          <t>Application: APP-2026-00377 (Nur Aisyah, Meridian Secondary, S3)</t>
        </is>
      </c>
      <c r="M103" s="17" t="inlineStr">
        <is>
          <t>1. Open FAS applications and click View on 00377.
2. Read the header and the blue note at the top of the Eligibility check.</t>
        </is>
      </c>
      <c r="N103" s="17" t="inlineStr">
        <is>
          <t>1. The header reads "MOEFAS REVIEW", APP-2026-00377 and "Nur Aisyah · Meridian Secondary".
2. The blue note reads "Waiting for the MOEFAS 2027 form to close on 31/12/2026. The system then ranks all applications by need (lowest per capita income first) and assesses them in that order. The check below is indicative."</t>
        </is>
      </c>
      <c r="O103" s="17" t="n"/>
      <c r="P103" s="17" t="inlineStr">
        <is>
          <t>N/A</t>
        </is>
      </c>
      <c r="Q103" s="17" t="n"/>
      <c r="R103" s="17" t="inlineStr">
        <is>
          <t>Tender R4, PB-19, FS F4 v1.3: 4 Header, 4 Eligibility check, T1</t>
        </is>
      </c>
      <c r="S103" s="17" t="inlineStr">
        <is>
          <t>Compare CMP-29 and CMP-31.</t>
        </is>
      </c>
      <c r="T103" s="16" t="inlineStr">
        <is>
          <t>Approve</t>
        </is>
      </c>
    </row>
    <row r="104" ht="209.25" customHeight="1" s="14">
      <c r="A104" s="16" t="inlineStr">
        <is>
          <t>TC-103</t>
        </is>
      </c>
      <c r="B104" s="16" t="inlineStr">
        <is>
          <t>TS-021</t>
        </is>
      </c>
      <c r="C104" s="17" t="inlineStr">
        <is>
          <t>Eligibility check rows show scheme, level, nationality, GHI and PCI with Pass or Fail</t>
        </is>
      </c>
      <c r="D104" s="17" t="inlineStr">
        <is>
          <t>F4.7 Review drawer, MOEFAS</t>
        </is>
      </c>
      <c r="E104" s="17" t="inlineStr">
        <is>
          <t>Review drawer (MOE HQ)</t>
        </is>
      </c>
      <c r="F104" s="16" t="inlineStr">
        <is>
          <t>S1 (highest)</t>
        </is>
      </c>
      <c r="G104" s="16" t="inlineStr">
        <is>
          <t>High</t>
        </is>
      </c>
      <c r="H104" s="16" t="inlineStr">
        <is>
          <t>Not Run</t>
        </is>
      </c>
      <c r="I104" s="16" t="inlineStr">
        <is>
          <t>Functional</t>
        </is>
      </c>
      <c r="J104" s="17" t="inlineStr">
        <is>
          <t>Prototype: edusave.vercel.app (sample date 18/10/2026)
Chrome (latest)
Build: to be recorded at execution
Needs: ENV-R4-01</t>
        </is>
      </c>
      <c r="K104" s="17" t="inlineStr">
        <is>
          <t>1. The prototype is open at the base state (use Reset data).
2. Signed in as MOE HQ (Mei Lin Tan).</t>
        </is>
      </c>
      <c r="L104" s="17" t="inlineStr">
        <is>
          <t>Applications: 00377 (all Pass) and 00412 (GHI and PCI Fail)</t>
        </is>
      </c>
      <c r="M104" s="17" t="inlineStr">
        <is>
          <t>1. Open View on 00377 and read the Eligibility check rows.
2. Close the drawer, open View on 00412 and read the rows.</t>
        </is>
      </c>
      <c r="N104" s="17" t="inlineStr">
        <is>
          <t>1. 00377 shows Scheme "MOEFAS 2027 · effective from 01/01/2027", Level "Secondary · S3", Nationality Singapore Citizen Pass, Gross household income S$ 4,120.00 (limit ≤ S$ 4,200.00) Pass, Per capita income S$ 1,030.00 (limit ≤ S$ 1,050.00) Pass.
2. 00412 shows Level "Primary · P3", GHI S$ 4,350.00 (limit ≤ S$ 4,200.00) Fail and PCI (limit ≤ S$ 1,050.00) Fail.
3. Below the rows the drawer reads "MOEFAS is decided automatically after the form closes: Pass → approved from Effective from, Fail → the school's SBFAS (if the parent agreed) or rejected."</t>
        </is>
      </c>
      <c r="O104" s="17" t="n"/>
      <c r="P104" s="17" t="inlineStr">
        <is>
          <t>ASM-R4-17: PCI is shown in S$ with two decimals (4,350 divided by 4 shows S$ 1,087.50).</t>
        </is>
      </c>
      <c r="Q104" s="17" t="n"/>
      <c r="R104" s="17" t="inlineStr">
        <is>
          <t>Tender R4, PB-19, FS F4 v1.3: 4 Eligibility check, BR7</t>
        </is>
      </c>
      <c r="S104" s="17" t="inlineStr">
        <is>
          <t>Compare CMP-29 and CMP-33. The prototype adds "· 4% over" to a failing row and shows the PCI of 00412 as S$ 1,088.00. Both are not in the FS.</t>
        </is>
      </c>
      <c r="T104" s="16" t="inlineStr">
        <is>
          <t>Draft</t>
        </is>
      </c>
    </row>
    <row r="105" ht="106.5" customHeight="1" s="14">
      <c r="A105" s="16" t="inlineStr">
        <is>
          <t>TC-104</t>
        </is>
      </c>
      <c r="B105" s="16" t="inlineStr">
        <is>
          <t>TS-021</t>
        </is>
      </c>
      <c r="C105" s="17" t="inlineStr">
        <is>
          <t>Household and income, context and documents are shown for MOEFAS</t>
        </is>
      </c>
      <c r="D105" s="17" t="inlineStr">
        <is>
          <t>F4.7 Review drawer, MOEFAS</t>
        </is>
      </c>
      <c r="E105" s="17" t="inlineStr">
        <is>
          <t>Review drawer (MOE HQ)</t>
        </is>
      </c>
      <c r="F105" s="16" t="inlineStr">
        <is>
          <t>S2</t>
        </is>
      </c>
      <c r="G105" s="16" t="inlineStr">
        <is>
          <t>Medium</t>
        </is>
      </c>
      <c r="H105" s="16" t="inlineStr">
        <is>
          <t>Not Run</t>
        </is>
      </c>
      <c r="I105" s="16" t="inlineStr">
        <is>
          <t>Functional</t>
        </is>
      </c>
      <c r="J105" s="17" t="inlineStr">
        <is>
          <t>Prototype: edusave.vercel.app (sample date 18/10/2026)
Chrome (latest)
Build: to be recorded at execution
Needs: ENV-R4-01</t>
        </is>
      </c>
      <c r="K105" s="17" t="inlineStr">
        <is>
          <t>1. The prototype is open at the base state (use Reset data).
2. Signed in as MOE HQ (Mei Lin Tan).</t>
        </is>
      </c>
      <c r="L105" s="17" t="inlineStr">
        <is>
          <t>Applications: 00377 (context and one document), 00390 (no context, no document)</t>
        </is>
      </c>
      <c r="M105" s="17" t="inlineStr">
        <is>
          <t>1. Open View on 00377 and read Household and income, Context and Documents.
2. Close the drawer, open View on 00390 and read the same blocks.</t>
        </is>
      </c>
      <c r="N105" s="17" t="inlineStr">
        <is>
          <t>1. 00377 shows Gross household income S$ 4,120.00 / month, Household size 4, Per capita income S$ 1,030.00, Income source API, the context text and payslips_2026.pdf with a View link.
2. 00390 shows "No context given." and "No documents."</t>
        </is>
      </c>
      <c r="O105" s="17" t="n"/>
      <c r="P105" s="17" t="inlineStr">
        <is>
          <t>N/A</t>
        </is>
      </c>
      <c r="Q105" s="17" t="n"/>
      <c r="R105" s="17" t="inlineStr">
        <is>
          <t>Tender R4, PB-19, FS F4 v1.3: 4 Household and income, 4 Context, 4 Documents/History</t>
        </is>
      </c>
      <c r="S105" s="17" t="inlineStr">
        <is>
          <t>Compare CMP-32.</t>
        </is>
      </c>
      <c r="T105" s="16" t="inlineStr">
        <is>
          <t>Approve</t>
        </is>
      </c>
    </row>
    <row r="106" ht="106.5" customHeight="1" s="14">
      <c r="A106" s="16" t="inlineStr">
        <is>
          <t>TC-105</t>
        </is>
      </c>
      <c r="B106" s="16" t="inlineStr">
        <is>
          <t>TS-021</t>
        </is>
      </c>
      <c r="C106" s="17" t="inlineStr">
        <is>
          <t>MOEFAS drawer has no student, parent or ML block</t>
        </is>
      </c>
      <c r="D106" s="17" t="inlineStr">
        <is>
          <t>F4.7 Review drawer, MOEFAS</t>
        </is>
      </c>
      <c r="E106" s="17" t="inlineStr">
        <is>
          <t>Review drawer (MOE HQ)</t>
        </is>
      </c>
      <c r="F106" s="16" t="inlineStr">
        <is>
          <t>S3</t>
        </is>
      </c>
      <c r="G106" s="16" t="inlineStr">
        <is>
          <t>Medium</t>
        </is>
      </c>
      <c r="H106" s="16" t="inlineStr">
        <is>
          <t>Not Run</t>
        </is>
      </c>
      <c r="I106" s="16" t="inlineStr">
        <is>
          <t>Functional</t>
        </is>
      </c>
      <c r="J106" s="17" t="inlineStr">
        <is>
          <t>Prototype: edusave.vercel.app (sample date 18/10/2026)
Chrome (latest)
Build: to be recorded at execution
Needs: ENV-R4-01</t>
        </is>
      </c>
      <c r="K106" s="17" t="inlineStr">
        <is>
          <t>1. The prototype is open at the base state (use Reset data).
2. Signed in as MOE HQ (Mei Lin Tan).</t>
        </is>
      </c>
      <c r="L106" s="17" t="inlineStr">
        <is>
          <t>Application: APP-2026-00412</t>
        </is>
      </c>
      <c r="M106" s="17" t="inlineStr">
        <is>
          <t>1. Open View on 00412 and list the blocks of the drawer.</t>
        </is>
      </c>
      <c r="N106" s="17" t="inlineStr">
        <is>
          <t>1. The blocks are Eligibility check, Household and income, Context, Documents and History.
2. There is no Student block, no Parent block and no ML recommendation block.</t>
        </is>
      </c>
      <c r="O106" s="17" t="n"/>
      <c r="P106" s="17" t="inlineStr">
        <is>
          <t>N/A</t>
        </is>
      </c>
      <c r="Q106" s="17" t="n"/>
      <c r="R106" s="17" t="inlineStr">
        <is>
          <t>Tender R4, PB-19, FS F4 v1.3: 4 Student/Parent, 4 ML recommendation, 4 Header</t>
        </is>
      </c>
      <c r="S106" s="17" t="n"/>
      <c r="T106" s="16" t="inlineStr">
        <is>
          <t>Approve</t>
        </is>
      </c>
    </row>
    <row r="107" ht="106.5" customHeight="1" s="14">
      <c r="A107" s="16" t="inlineStr">
        <is>
          <t>TC-106</t>
        </is>
      </c>
      <c r="B107" s="16" t="inlineStr">
        <is>
          <t>TS-022</t>
        </is>
      </c>
      <c r="C107" s="17" t="inlineStr">
        <is>
          <t>Approved MOEFAS drawer shows Granted, Priority and Decided by</t>
        </is>
      </c>
      <c r="D107" s="17" t="inlineStr">
        <is>
          <t>F4.7 Review drawer, MOEFAS</t>
        </is>
      </c>
      <c r="E107" s="17" t="inlineStr">
        <is>
          <t>Review drawer (MOE HQ)</t>
        </is>
      </c>
      <c r="F107" s="16" t="inlineStr">
        <is>
          <t>S1 (highest)</t>
        </is>
      </c>
      <c r="G107" s="16" t="inlineStr">
        <is>
          <t>High</t>
        </is>
      </c>
      <c r="H107" s="16" t="inlineStr">
        <is>
          <t>Not Run</t>
        </is>
      </c>
      <c r="I107" s="16" t="inlineStr">
        <is>
          <t>Functional</t>
        </is>
      </c>
      <c r="J107" s="17" t="inlineStr">
        <is>
          <t>Prototype: edusave.vercel.app (sample date 18/10/2026)
Chrome (latest)
Build: to be recorded at execution
Needs: ENV-R4-01</t>
        </is>
      </c>
      <c r="K107" s="17" t="inlineStr">
        <is>
          <t>1. The prototype is open at the base state (use Reset data).
2. Signed in as MOE HQ (Mei Lin Tan).</t>
        </is>
      </c>
      <c r="L107" s="17" t="inlineStr">
        <is>
          <t>Application: APP-2026-00390 (MOEFAS 2026, Approved, priority 1 of 4)</t>
        </is>
      </c>
      <c r="M107" s="17" t="inlineStr">
        <is>
          <t>1. Open View on 00390.
2. Read the Decision block.</t>
        </is>
      </c>
      <c r="N107" s="17" t="inlineStr">
        <is>
          <t>1. The Decision block shows Result Approved, "Granted · MOEFAS (MOEFAS 2026) · from 01/01/2026" and Priority "1 of 4 (lowest per capita income first)".
2. Decided by shows "System (auto-approved)" with 01/01/2026 00:05.</t>
        </is>
      </c>
      <c r="O107" s="17" t="n"/>
      <c r="P107" s="17" t="inlineStr">
        <is>
          <t>N/A</t>
        </is>
      </c>
      <c r="Q107" s="17" t="n"/>
      <c r="R107" s="17" t="inlineStr">
        <is>
          <t>Tender R4, PB-19, FS F4 v1.3: 4 Decision, 2.2 step 3</t>
        </is>
      </c>
      <c r="S107" s="17" t="inlineStr">
        <is>
          <t>Compare CMP-30.</t>
        </is>
      </c>
      <c r="T107" s="16" t="inlineStr">
        <is>
          <t>Approve</t>
        </is>
      </c>
    </row>
    <row r="108" ht="106.5" customHeight="1" s="14">
      <c r="A108" s="16" t="inlineStr">
        <is>
          <t>TC-107</t>
        </is>
      </c>
      <c r="B108" s="16" t="inlineStr">
        <is>
          <t>TS-022</t>
        </is>
      </c>
      <c r="C108" s="17" t="inlineStr">
        <is>
          <t>Rejected MOEFAS drawer shows the reason and the system as decider</t>
        </is>
      </c>
      <c r="D108" s="17" t="inlineStr">
        <is>
          <t>F4.7 Review drawer, MOEFAS</t>
        </is>
      </c>
      <c r="E108" s="17" t="inlineStr">
        <is>
          <t>Review drawer (MOE HQ)</t>
        </is>
      </c>
      <c r="F108" s="16" t="inlineStr">
        <is>
          <t>S1 (highest)</t>
        </is>
      </c>
      <c r="G108" s="16" t="inlineStr">
        <is>
          <t>High</t>
        </is>
      </c>
      <c r="H108" s="16" t="inlineStr">
        <is>
          <t>Not Run</t>
        </is>
      </c>
      <c r="I108" s="16" t="inlineStr">
        <is>
          <t>Functional</t>
        </is>
      </c>
      <c r="J108" s="17" t="inlineStr">
        <is>
          <t>Prototype: edusave.vercel.app (sample date 18/10/2026)
Chrome (latest)
Build: to be recorded at execution
Needs: ENV-R4-01</t>
        </is>
      </c>
      <c r="K108" s="17" t="inlineStr">
        <is>
          <t>1. The prototype is open at the base state (use Reset data).
2. Signed in as MOE HQ (Mei Lin Tan).</t>
        </is>
      </c>
      <c r="L108" s="17" t="inlineStr">
        <is>
          <t>Application: APP-2026-00328 (MOEFAS 2026, Rejected, priority 4 of 4)</t>
        </is>
      </c>
      <c r="M108" s="17" t="inlineStr">
        <is>
          <t>1. Open View on 00328.
2. Read the Decision block.</t>
        </is>
      </c>
      <c r="N108" s="17" t="inlineStr">
        <is>
          <t>1. The Decision block shows Result Rejected, Priority "4 of 4 (lowest per capita income first)", Reason "Not eligible for MOEFAS", Comment "GHI and PCI both above MOEFAS limits." and Decided by "System (system rejection)".
2. It shows no Granted line.</t>
        </is>
      </c>
      <c r="O108" s="17" t="n"/>
      <c r="P108" s="17" t="inlineStr">
        <is>
          <t>ASM-R4-11: A rejection by the system shows Decided by "System".</t>
        </is>
      </c>
      <c r="Q108" s="17" t="n"/>
      <c r="R108" s="17" t="inlineStr">
        <is>
          <t>Tender R4, PB-19, FS F4 v1.3: 4 Decision, 2.2 step 3, 8 MOEFAS not eligible</t>
        </is>
      </c>
      <c r="S108" s="17" t="inlineStr">
        <is>
          <t>Compare CMP-30.</t>
        </is>
      </c>
      <c r="T108" s="16" t="inlineStr">
        <is>
          <t>Draft</t>
        </is>
      </c>
    </row>
    <row r="109" ht="106.5" customHeight="1" s="14">
      <c r="A109" s="16" t="inlineStr">
        <is>
          <t>TC-108</t>
        </is>
      </c>
      <c r="B109" s="16" t="inlineStr">
        <is>
          <t>TS-022</t>
        </is>
      </c>
      <c r="C109" s="17" t="inlineStr">
        <is>
          <t>Two applications of one student under the same MOEFAS scheme</t>
        </is>
      </c>
      <c r="D109" s="17" t="inlineStr">
        <is>
          <t>F4.7 Review drawer, MOEFAS</t>
        </is>
      </c>
      <c r="E109" s="17" t="inlineStr">
        <is>
          <t>Review drawer (MOE HQ)</t>
        </is>
      </c>
      <c r="F109" s="16" t="inlineStr">
        <is>
          <t>S2</t>
        </is>
      </c>
      <c r="G109" s="16" t="inlineStr">
        <is>
          <t>High</t>
        </is>
      </c>
      <c r="H109" s="16" t="inlineStr">
        <is>
          <t>Not Run</t>
        </is>
      </c>
      <c r="I109" s="16" t="inlineStr">
        <is>
          <t>Functional</t>
        </is>
      </c>
      <c r="J109" s="17" t="inlineStr">
        <is>
          <t>Prototype: edusave.vercel.app (sample date 18/10/2026)
Chrome (latest)
Build: to be recorded at execution
Needs: ENV-R4-01</t>
        </is>
      </c>
      <c r="K109" s="17" t="inlineStr">
        <is>
          <t>1. The prototype is open at the base state (use Reset data).
2. Signed in as MOE HQ (Mei Lin Tan).</t>
        </is>
      </c>
      <c r="L109" s="17" t="inlineStr">
        <is>
          <t>Student: Lee Zhi Hao, T1702215M, two applications under MOEFAS 2026
00381: Approved, priority 3 of 4
00328: Rejected, priority 4 of 4</t>
        </is>
      </c>
      <c r="M109" s="17" t="inlineStr">
        <is>
          <t>1. Open View on 00381 and 00328.
2. Compare the Decision blocks.</t>
        </is>
      </c>
      <c r="N109" s="17" t="inlineStr">
        <is>
          <t>1. The FS has no rule for a second application of the same student and scheme.
2. The expected result cannot be written until the BA answers the question of ASM-R4-19.</t>
        </is>
      </c>
      <c r="O109" s="17" t="n"/>
      <c r="P109" s="17" t="inlineStr">
        <is>
          <t>ASM-R4-19: None. No assumption is possible without a BA rule for a second application of the same student and scheme.</t>
        </is>
      </c>
      <c r="Q109" s="17" t="n"/>
      <c r="R109" s="17" t="inlineStr">
        <is>
          <t>Tender R4, PB-19, FS F4 v1.3: 2.1 step 3, 2.2 step 2, BR2</t>
        </is>
      </c>
      <c r="S109" s="17" t="inlineStr">
        <is>
          <t>See the question of ASM-R4-19 and the sample rows in the compare workbook.</t>
        </is>
      </c>
      <c r="T109" s="16" t="inlineStr">
        <is>
          <t>Block</t>
        </is>
      </c>
    </row>
    <row r="110" ht="106.5" customHeight="1" s="14">
      <c r="A110" s="16" t="inlineStr">
        <is>
          <t>TC-109</t>
        </is>
      </c>
      <c r="B110" s="16" t="inlineStr">
        <is>
          <t>TS-022</t>
        </is>
      </c>
      <c r="C110" s="17" t="inlineStr">
        <is>
          <t>Decision block is not shown while the application is pending</t>
        </is>
      </c>
      <c r="D110" s="17" t="inlineStr">
        <is>
          <t>F4.7 Review drawer, MOEFAS</t>
        </is>
      </c>
      <c r="E110" s="17" t="inlineStr">
        <is>
          <t>Review drawer (MOE HQ)</t>
        </is>
      </c>
      <c r="F110" s="16" t="inlineStr">
        <is>
          <t>S3</t>
        </is>
      </c>
      <c r="G110" s="16" t="inlineStr">
        <is>
          <t>Medium</t>
        </is>
      </c>
      <c r="H110" s="16" t="inlineStr">
        <is>
          <t>Not Run</t>
        </is>
      </c>
      <c r="I110" s="16" t="inlineStr">
        <is>
          <t>Functional</t>
        </is>
      </c>
      <c r="J110" s="17" t="inlineStr">
        <is>
          <t>Prototype: edusave.vercel.app (sample date 18/10/2026)
Chrome (latest)
Build: to be recorded at execution
Needs: ENV-R4-01</t>
        </is>
      </c>
      <c r="K110" s="17" t="inlineStr">
        <is>
          <t>1. The prototype is open at the base state (use Reset data).
2. Signed in as MOE HQ (Mei Lin Tan).</t>
        </is>
      </c>
      <c r="L110" s="17" t="inlineStr">
        <is>
          <t>Application: APP-2026-00412 (Pending)</t>
        </is>
      </c>
      <c r="M110" s="17" t="inlineStr">
        <is>
          <t>1. Open View on 00412.
2. Look for a Decision block.</t>
        </is>
      </c>
      <c r="N110" s="17" t="inlineStr">
        <is>
          <t>1. The drawer has no Decision block.</t>
        </is>
      </c>
      <c r="O110" s="17" t="n"/>
      <c r="P110" s="17" t="inlineStr">
        <is>
          <t>N/A</t>
        </is>
      </c>
      <c r="Q110" s="17" t="n"/>
      <c r="R110" s="17" t="inlineStr">
        <is>
          <t>Tender R4, PB-19, FS F4 v1.3: 4 Decision, 2.4</t>
        </is>
      </c>
      <c r="S110" s="17" t="n"/>
      <c r="T110" s="16" t="inlineStr">
        <is>
          <t>Approve</t>
        </is>
      </c>
    </row>
    <row r="111" ht="106.5" customHeight="1" s="14">
      <c r="A111" s="16" t="inlineStr">
        <is>
          <t>TC-110</t>
        </is>
      </c>
      <c r="B111" s="16" t="inlineStr">
        <is>
          <t>TS-023</t>
        </is>
      </c>
      <c r="C111" s="17" t="inlineStr">
        <is>
          <t>Drawer closes with the X button</t>
        </is>
      </c>
      <c r="D111" s="17" t="inlineStr">
        <is>
          <t>F4.7 Review drawer, MOEFAS</t>
        </is>
      </c>
      <c r="E111" s="17" t="inlineStr">
        <is>
          <t>Review drawer (MOE HQ)</t>
        </is>
      </c>
      <c r="F111" s="16" t="inlineStr">
        <is>
          <t>S3</t>
        </is>
      </c>
      <c r="G111" s="16" t="inlineStr">
        <is>
          <t>Medium</t>
        </is>
      </c>
      <c r="H111" s="16" t="inlineStr">
        <is>
          <t>Not Run</t>
        </is>
      </c>
      <c r="I111" s="16" t="inlineStr">
        <is>
          <t>Functional</t>
        </is>
      </c>
      <c r="J111" s="17" t="inlineStr">
        <is>
          <t>Prototype: edusave.vercel.app (sample date 18/10/2026)
Chrome (latest)
Build: to be recorded at execution
Needs: ENV-R4-01</t>
        </is>
      </c>
      <c r="K111" s="17" t="inlineStr">
        <is>
          <t>1. The prototype is open at the base state (use Reset data).
2. Signed in as MOE HQ (Mei Lin Tan).</t>
        </is>
      </c>
      <c r="L111" s="17" t="inlineStr">
        <is>
          <t>Application: APP-2026-00412</t>
        </is>
      </c>
      <c r="M111" s="17" t="inlineStr">
        <is>
          <t>1. Open View on 00412.
2. Click X in the drawer header.</t>
        </is>
      </c>
      <c r="N111" s="17" t="inlineStr">
        <is>
          <t>1. The drawer closes and the list stays on the same tab, filters and search.</t>
        </is>
      </c>
      <c r="O111" s="17" t="n"/>
      <c r="P111" s="17" t="inlineStr">
        <is>
          <t>N/A</t>
        </is>
      </c>
      <c r="Q111" s="17" t="n"/>
      <c r="R111" s="17" t="inlineStr">
        <is>
          <t>Tender R4, PB-19, FS F4 v1.3: 4 Header</t>
        </is>
      </c>
      <c r="S111" s="17" t="n"/>
      <c r="T111" s="16" t="inlineStr">
        <is>
          <t>Approve</t>
        </is>
      </c>
    </row>
    <row r="112" ht="106.5" customHeight="1" s="14">
      <c r="A112" s="16" t="inlineStr">
        <is>
          <t>TC-111</t>
        </is>
      </c>
      <c r="B112" s="16" t="inlineStr">
        <is>
          <t>TS-023</t>
        </is>
      </c>
      <c r="C112" s="17" t="inlineStr">
        <is>
          <t>Drawer closes when the user clicks outside it</t>
        </is>
      </c>
      <c r="D112" s="17" t="inlineStr">
        <is>
          <t>F4.7 Review drawer, MOEFAS</t>
        </is>
      </c>
      <c r="E112" s="17" t="inlineStr">
        <is>
          <t>Review drawer (MOE HQ)</t>
        </is>
      </c>
      <c r="F112" s="16" t="inlineStr">
        <is>
          <t>S3</t>
        </is>
      </c>
      <c r="G112" s="16" t="inlineStr">
        <is>
          <t>Medium</t>
        </is>
      </c>
      <c r="H112" s="16" t="inlineStr">
        <is>
          <t>Not Run</t>
        </is>
      </c>
      <c r="I112" s="16" t="inlineStr">
        <is>
          <t>Functional</t>
        </is>
      </c>
      <c r="J112" s="17" t="inlineStr">
        <is>
          <t>Prototype: edusave.vercel.app (sample date 18/10/2026)
Chrome (latest)
Build: to be recorded at execution
Needs: ENV-R4-01</t>
        </is>
      </c>
      <c r="K112" s="17" t="inlineStr">
        <is>
          <t>1. The prototype is open at the base state (use Reset data).
2. Signed in as MOE HQ (Mei Lin Tan).</t>
        </is>
      </c>
      <c r="L112" s="17" t="inlineStr">
        <is>
          <t>Application: APP-2026-00412</t>
        </is>
      </c>
      <c r="M112" s="17" t="inlineStr">
        <is>
          <t>1. Open View on 00412.
2. Click on the dimmed area outside the drawer.</t>
        </is>
      </c>
      <c r="N112" s="17" t="inlineStr">
        <is>
          <t>1. The drawer closes. No data is changed.</t>
        </is>
      </c>
      <c r="O112" s="17" t="n"/>
      <c r="P112" s="17" t="inlineStr">
        <is>
          <t>N/A</t>
        </is>
      </c>
      <c r="Q112" s="17" t="n"/>
      <c r="R112" s="17" t="inlineStr">
        <is>
          <t>Tender R4, PB-19, FS F4 v1.3: 4 Header</t>
        </is>
      </c>
      <c r="S112" s="17" t="n"/>
      <c r="T112" s="16" t="inlineStr">
        <is>
          <t>Approve</t>
        </is>
      </c>
    </row>
    <row r="113" ht="106.5" customHeight="1" s="14">
      <c r="A113" s="16" t="inlineStr">
        <is>
          <t>TC-112</t>
        </is>
      </c>
      <c r="B113" s="16" t="inlineStr">
        <is>
          <t>TS-023</t>
        </is>
      </c>
      <c r="C113" s="17" t="inlineStr">
        <is>
          <t>Reopening the drawer shows the data of the clicked row</t>
        </is>
      </c>
      <c r="D113" s="17" t="inlineStr">
        <is>
          <t>F4.7 Review drawer, MOEFAS</t>
        </is>
      </c>
      <c r="E113" s="17" t="inlineStr">
        <is>
          <t>Review drawer (MOE HQ)</t>
        </is>
      </c>
      <c r="F113" s="16" t="inlineStr">
        <is>
          <t>S3</t>
        </is>
      </c>
      <c r="G113" s="16" t="inlineStr">
        <is>
          <t>Medium</t>
        </is>
      </c>
      <c r="H113" s="16" t="inlineStr">
        <is>
          <t>Not Run</t>
        </is>
      </c>
      <c r="I113" s="16" t="inlineStr">
        <is>
          <t>Functional</t>
        </is>
      </c>
      <c r="J113" s="17" t="inlineStr">
        <is>
          <t>Prototype: edusave.vercel.app (sample date 18/10/2026)
Chrome (latest)
Build: to be recorded at execution
Needs: ENV-R4-01</t>
        </is>
      </c>
      <c r="K113" s="17" t="inlineStr">
        <is>
          <t>1. The prototype is open at the base state (use Reset data).
2. Signed in as MOE HQ (Mei Lin Tan).</t>
        </is>
      </c>
      <c r="L113" s="17" t="inlineStr">
        <is>
          <t>Applications: 00412 and 00410</t>
        </is>
      </c>
      <c r="M113" s="17" t="inlineStr">
        <is>
          <t>1. Open View on 00412 and read the header.
2. Close the drawer, open View on 00410 and read the header.</t>
        </is>
      </c>
      <c r="N113" s="17" t="inlineStr">
        <is>
          <t>1. The second drawer shows APP-2026-00410, Ryan Lim and Bukit View Primary.
2. No data of 00412 remains in it.</t>
        </is>
      </c>
      <c r="O113" s="17" t="n"/>
      <c r="P113" s="17" t="inlineStr">
        <is>
          <t>N/A</t>
        </is>
      </c>
      <c r="Q113" s="17" t="n"/>
      <c r="R113" s="17" t="inlineStr">
        <is>
          <t>Tender R4, PB-19, FS F4 v1.3: 4 Header</t>
        </is>
      </c>
      <c r="S113" s="17" t="n"/>
      <c r="T113" s="16" t="inlineStr">
        <is>
          <t>Approve</t>
        </is>
      </c>
    </row>
    <row r="114" ht="106.5" customHeight="1" s="14">
      <c r="A114" s="16" t="inlineStr">
        <is>
          <t>TC-113</t>
        </is>
      </c>
      <c r="B114" s="16" t="inlineStr">
        <is>
          <t>TS-023</t>
        </is>
      </c>
      <c r="C114" s="17" t="inlineStr">
        <is>
          <t>Filters and search stay after the drawer closes</t>
        </is>
      </c>
      <c r="D114" s="17" t="inlineStr">
        <is>
          <t>F4.7 Review drawer, MOEFAS</t>
        </is>
      </c>
      <c r="E114" s="17" t="inlineStr">
        <is>
          <t>FAS applications (MOE HQ)</t>
        </is>
      </c>
      <c r="F114" s="16" t="inlineStr">
        <is>
          <t>S3</t>
        </is>
      </c>
      <c r="G114" s="16" t="inlineStr">
        <is>
          <t>Low</t>
        </is>
      </c>
      <c r="H114" s="16" t="inlineStr">
        <is>
          <t>Not Run</t>
        </is>
      </c>
      <c r="I114" s="16" t="inlineStr">
        <is>
          <t>Functional</t>
        </is>
      </c>
      <c r="J114" s="17" t="inlineStr">
        <is>
          <t>Prototype: edusave.vercel.app (sample date 18/10/2026)
Chrome (latest)
Build: to be recorded at execution
Needs: ENV-R4-01</t>
        </is>
      </c>
      <c r="K114" s="17" t="inlineStr">
        <is>
          <t>1. The prototype is open at the base state (use Reset data).
2. Signed in as MOE HQ (Mei Lin Tan).</t>
        </is>
      </c>
      <c r="L114" s="17" t="inlineStr">
        <is>
          <t>Filter: Status = Pending, Search = "ryan"</t>
        </is>
      </c>
      <c r="M114" s="17" t="inlineStr">
        <is>
          <t>1. Set the filter and the search.
2. Open View on 00410 and close the drawer.</t>
        </is>
      </c>
      <c r="N114" s="17" t="inlineStr">
        <is>
          <t>1. The filter, the search and the page are unchanged.
2. The list shows 00410 only.</t>
        </is>
      </c>
      <c r="O114" s="17" t="n"/>
      <c r="P114" s="17" t="inlineStr">
        <is>
          <t>N/A</t>
        </is>
      </c>
      <c r="Q114" s="17" t="n"/>
      <c r="R114" s="17" t="inlineStr">
        <is>
          <t>Tender R4, PB-19, FS F4 v1.3: 4 Header, 3.3</t>
        </is>
      </c>
      <c r="S114" s="17" t="n"/>
      <c r="T114" s="16" t="inlineStr">
        <is>
          <t>Approve</t>
        </is>
      </c>
    </row>
    <row r="115" ht="194.25" customHeight="1" s="14">
      <c r="A115" s="16" t="inlineStr">
        <is>
          <t>TC-114</t>
        </is>
      </c>
      <c r="B115" s="16" t="inlineStr">
        <is>
          <t>TS-024</t>
        </is>
      </c>
      <c r="C115" s="17" t="inlineStr">
        <is>
          <t>School Admin drawer shows student, parent, household, context, ML, documents and history</t>
        </is>
      </c>
      <c r="D115" s="17" t="inlineStr">
        <is>
          <t>F4.8 Review drawer, SBFAS</t>
        </is>
      </c>
      <c r="E115" s="17" t="inlineStr">
        <is>
          <t>Review drawer (School Admin)</t>
        </is>
      </c>
      <c r="F115" s="16" t="inlineStr">
        <is>
          <t>S1 (highest)</t>
        </is>
      </c>
      <c r="G115" s="16" t="inlineStr">
        <is>
          <t>High</t>
        </is>
      </c>
      <c r="H115" s="16" t="inlineStr">
        <is>
          <t>Not Run</t>
        </is>
      </c>
      <c r="I115" s="16" t="inlineStr">
        <is>
          <t>Functional</t>
        </is>
      </c>
      <c r="J115" s="17" t="inlineStr">
        <is>
          <t>Prototype: edusave.vercel.app (sample date 18/10/2026)
Chrome (latest)
Build: to be recorded at execution
Needs: ENV-R4-01</t>
        </is>
      </c>
      <c r="K115" s="17" t="inlineStr">
        <is>
          <t>1. The prototype is open at the base state (use Reset data).
2. Signed in as School user Lan Nguyen (BVP-0012), Bukit View Primary.</t>
        </is>
      </c>
      <c r="L115" s="17" t="inlineStr">
        <is>
          <t>Application: APP-2026-00398 (Daniel Ong, International Student, P2)</t>
        </is>
      </c>
      <c r="M115" s="17" t="inlineStr">
        <is>
          <t>1. Open FAS applications and click Review on 00398.
2. Read all blocks of the drawer.</t>
        </is>
      </c>
      <c r="N115" s="17" t="inlineStr">
        <is>
          <t>1. The header reads "SBFAS REVIEW", APP-2026-00398 and "Daniel Ong · P2".
2. Student shows Full name, NRIC/FIN T1755501Q, Grade P2, Class and Citizenship.
3. Parent shows name, NRIC/FIN, mobile and email.
4. Household and income shows S$ 2,600.00 / month, size 3, per capita S$ 867.00 and Income source API.
5. Context shows "No context given." and Documents shows "No documents."
6. History shows Submitted and "SBFAS application (not eligible for MOEFAS by nationality)".</t>
        </is>
      </c>
      <c r="O115" s="17" t="n"/>
      <c r="P115" s="17" t="inlineStr">
        <is>
          <t>ASM-R4-10: The relationship (for example Mother) and the mobile number are shown as stored, not masked. Citizenship uses the labels of the nationality options in 7.2.</t>
        </is>
      </c>
      <c r="Q115" s="17" t="n"/>
      <c r="R115" s="17" t="inlineStr">
        <is>
          <t>Tender R4, PB-19, FS F4 v1.3: 4 Header, 4 Student/Parent, 4 Household and income, 4 Context, 4 Documents/History</t>
        </is>
      </c>
      <c r="S115" s="17" t="inlineStr">
        <is>
          <t>Compare CMP-31, CMP-32 and CMP-34. The prototype shows the parent as "Parent of Daniel Ong" with no relationship and a masked mobile "+65 9xxx xxxx".</t>
        </is>
      </c>
      <c r="T115" s="16" t="inlineStr">
        <is>
          <t>Draft</t>
        </is>
      </c>
    </row>
    <row r="116" ht="106.5" customHeight="1" s="14">
      <c r="A116" s="16" t="inlineStr">
        <is>
          <t>TC-115</t>
        </is>
      </c>
      <c r="B116" s="16" t="inlineStr">
        <is>
          <t>TS-024</t>
        </is>
      </c>
      <c r="C116" s="17" t="inlineStr">
        <is>
          <t>MOE HQ drawer for SBFAS shows the school in the header and the student block</t>
        </is>
      </c>
      <c r="D116" s="17" t="inlineStr">
        <is>
          <t>F4.8 Review drawer, SBFAS</t>
        </is>
      </c>
      <c r="E116" s="17" t="inlineStr">
        <is>
          <t>Review drawer (MOE HQ)</t>
        </is>
      </c>
      <c r="F116" s="16" t="inlineStr">
        <is>
          <t>S2</t>
        </is>
      </c>
      <c r="G116" s="16" t="inlineStr">
        <is>
          <t>Medium</t>
        </is>
      </c>
      <c r="H116" s="16" t="inlineStr">
        <is>
          <t>Not Run</t>
        </is>
      </c>
      <c r="I116" s="16" t="inlineStr">
        <is>
          <t>Functional</t>
        </is>
      </c>
      <c r="J116" s="17" t="inlineStr">
        <is>
          <t>Prototype: edusave.vercel.app (sample date 18/10/2026)
Chrome (latest)
Build: to be recorded at execution
Needs: ENV-R4-01</t>
        </is>
      </c>
      <c r="K116" s="17" t="inlineStr">
        <is>
          <t>1. The prototype is open at the base state (use Reset data).
2. Signed in as MOE HQ (Mei Lin Tan).</t>
        </is>
      </c>
      <c r="L116" s="17" t="inlineStr">
        <is>
          <t>Application: APP-2026-00398</t>
        </is>
      </c>
      <c r="M116" s="17" t="inlineStr">
        <is>
          <t>1. Open View on 00398 as MOE HQ.
2. Read the header and the Student block.</t>
        </is>
      </c>
      <c r="N116" s="17" t="inlineStr">
        <is>
          <t>1. The header reads "SBFAS REVIEW", APP-2026-00398 and "Daniel Ong · Bukit View Primary".
2. The Student block shows the school Bukit View Primary.</t>
        </is>
      </c>
      <c r="O116" s="17" t="n"/>
      <c r="P116" s="17" t="inlineStr">
        <is>
          <t>N/A</t>
        </is>
      </c>
      <c r="Q116" s="17" t="n"/>
      <c r="R116" s="17" t="inlineStr">
        <is>
          <t>Tender R4, PB-19, FS F4 v1.3: 4 Header, 4 Student/Parent</t>
        </is>
      </c>
      <c r="S116" s="17" t="n"/>
      <c r="T116" s="16" t="inlineStr">
        <is>
          <t>Approve</t>
        </is>
      </c>
    </row>
    <row r="117" ht="106.5" customHeight="1" s="14">
      <c r="A117" s="16" t="inlineStr">
        <is>
          <t>TC-116</t>
        </is>
      </c>
      <c r="B117" s="16" t="inlineStr">
        <is>
          <t>TS-024</t>
        </is>
      </c>
      <c r="C117" s="17" t="inlineStr">
        <is>
          <t>Decided SBFAS drawer shows Tier, from date, reason, comment and decider</t>
        </is>
      </c>
      <c r="D117" s="17" t="inlineStr">
        <is>
          <t>F4.8 Review drawer, SBFAS</t>
        </is>
      </c>
      <c r="E117" s="17" t="inlineStr">
        <is>
          <t>Review drawer (School Admin)</t>
        </is>
      </c>
      <c r="F117" s="16" t="inlineStr">
        <is>
          <t>S1 (highest)</t>
        </is>
      </c>
      <c r="G117" s="16" t="inlineStr">
        <is>
          <t>High</t>
        </is>
      </c>
      <c r="H117" s="16" t="inlineStr">
        <is>
          <t>Not Run</t>
        </is>
      </c>
      <c r="I117" s="16" t="inlineStr">
        <is>
          <t>Functional</t>
        </is>
      </c>
      <c r="J117" s="17" t="inlineStr">
        <is>
          <t>Prototype: edusave.vercel.app (sample date 18/10/2026)
Chrome (latest)
Build: to be recorded at execution
Needs: ENV-R4-01</t>
        </is>
      </c>
      <c r="K117" s="17" t="inlineStr">
        <is>
          <t>1. The prototype is open at the base state (use Reset data).
2. Signed in as School user Lan Nguyen (BVP-0012), Bukit View Primary.</t>
        </is>
      </c>
      <c r="L117" s="17" t="inlineStr">
        <is>
          <t>Application: APP-2026-00386 (Approved Tier 3 from 13/01/2026 by Lan Nguyen)</t>
        </is>
      </c>
      <c r="M117" s="17" t="inlineStr">
        <is>
          <t>1. Open the All tab and click View on 00386.
2. Read the Decision block and the History.</t>
        </is>
      </c>
      <c r="N117" s="17" t="inlineStr">
        <is>
          <t>1. The Decision block shows "Tier 3 · from 13/01/2026" and Decided by "Lan Nguyen (BVP-0012)" with 13/01/2026 09:10.
2. Reason and Comment lines are shown when they exist.
3. The History has a row "Approved · Tier 3".</t>
        </is>
      </c>
      <c r="O117" s="17" t="n"/>
      <c r="P117" s="17" t="inlineStr">
        <is>
          <t>N/A</t>
        </is>
      </c>
      <c r="Q117" s="17" t="n"/>
      <c r="R117" s="17" t="inlineStr">
        <is>
          <t>Tender R4, PB-19, FS F4 v1.3: 4 Decision, 6.1 Confirm</t>
        </is>
      </c>
      <c r="S117" s="17" t="inlineStr">
        <is>
          <t>Compare CMP-36. The sample History row has no "from" part.</t>
        </is>
      </c>
      <c r="T117" s="16" t="inlineStr">
        <is>
          <t>Approve</t>
        </is>
      </c>
    </row>
    <row r="118" ht="106.5" customHeight="1" s="14">
      <c r="A118" s="16" t="inlineStr">
        <is>
          <t>TC-117</t>
        </is>
      </c>
      <c r="B118" s="16" t="inlineStr">
        <is>
          <t>TS-024</t>
        </is>
      </c>
      <c r="C118" s="17" t="inlineStr">
        <is>
          <t>Parent relationship and citizenship use readable labels</t>
        </is>
      </c>
      <c r="D118" s="17" t="inlineStr">
        <is>
          <t>F4.8 Review drawer, SBFAS</t>
        </is>
      </c>
      <c r="E118" s="17" t="inlineStr">
        <is>
          <t>Review drawer (School Admin)</t>
        </is>
      </c>
      <c r="F118" s="16" t="inlineStr">
        <is>
          <t>S3</t>
        </is>
      </c>
      <c r="G118" s="16" t="inlineStr">
        <is>
          <t>Medium</t>
        </is>
      </c>
      <c r="H118" s="16" t="inlineStr">
        <is>
          <t>Not Run</t>
        </is>
      </c>
      <c r="I118" s="16" t="inlineStr">
        <is>
          <t>Functional</t>
        </is>
      </c>
      <c r="J118" s="17" t="inlineStr">
        <is>
          <t>Prototype: edusave.vercel.app (sample date 18/10/2026)
Chrome (latest)
Build: to be recorded at execution
Needs: ENV-R4-01</t>
        </is>
      </c>
      <c r="K118" s="17" t="inlineStr">
        <is>
          <t>1. The prototype is open at the base state (use Reset data).
2. Signed in as School user Lan Nguyen (BVP-0012), Bukit View Primary.</t>
        </is>
      </c>
      <c r="L118" s="17" t="inlineStr">
        <is>
          <t>Applications: 00398 (International Student) and 00386 (Citizen)</t>
        </is>
      </c>
      <c r="M118" s="17" t="inlineStr">
        <is>
          <t>1. Open View on 00398 and 00386 and read the Citizenship and Parent name.</t>
        </is>
      </c>
      <c r="N118" s="17" t="inlineStr">
        <is>
          <t>1. Citizenship reads "International Student" and "Singapore Citizen".
2. Parent name is followed by the relationship (for example Mother).
3. The mobile number is shown as stored.</t>
        </is>
      </c>
      <c r="O118" s="17" t="n"/>
      <c r="P118" s="17" t="inlineStr">
        <is>
          <t>ASM-R4-10: The relationship (for example Mother) and the mobile number are shown as stored, not masked. Citizenship uses the labels of the nationality options in 7.2.</t>
        </is>
      </c>
      <c r="Q118" s="17" t="n"/>
      <c r="R118" s="17" t="inlineStr">
        <is>
          <t>Tender R4, PB-19, FS F4 v1.3: 4 Student/Parent</t>
        </is>
      </c>
      <c r="S118" s="17" t="inlineStr">
        <is>
          <t>Compare CMP-34: the prototype shows no relationship and masks the mobile.</t>
        </is>
      </c>
      <c r="T118" s="16" t="inlineStr">
        <is>
          <t>Draft</t>
        </is>
      </c>
    </row>
    <row r="119" ht="106.5" customHeight="1" s="14">
      <c r="A119" s="16" t="inlineStr">
        <is>
          <t>TC-118</t>
        </is>
      </c>
      <c r="B119" s="16" t="inlineStr">
        <is>
          <t>TS-025</t>
        </is>
      </c>
      <c r="C119" s="17" t="inlineStr">
        <is>
          <t>ML recommendation block shows the tier only with the tag Recommendation only</t>
        </is>
      </c>
      <c r="D119" s="17" t="inlineStr">
        <is>
          <t>F4.8 Review drawer, SBFAS</t>
        </is>
      </c>
      <c r="E119" s="17" t="inlineStr">
        <is>
          <t>Review drawer (School Admin)</t>
        </is>
      </c>
      <c r="F119" s="16" t="inlineStr">
        <is>
          <t>S2</t>
        </is>
      </c>
      <c r="G119" s="16" t="inlineStr">
        <is>
          <t>High</t>
        </is>
      </c>
      <c r="H119" s="16" t="inlineStr">
        <is>
          <t>Not Run</t>
        </is>
      </c>
      <c r="I119" s="16" t="inlineStr">
        <is>
          <t>Functional</t>
        </is>
      </c>
      <c r="J119" s="17" t="inlineStr">
        <is>
          <t>Prototype: edusave.vercel.app (sample date 18/10/2026)
Chrome (latest)
Build: to be recorded at execution
Needs: ENV-R4-01</t>
        </is>
      </c>
      <c r="K119" s="17" t="inlineStr">
        <is>
          <t>1. The prototype is open at the base state (use Reset data).
2. Signed in as School user Lan Nguyen (BVP-0012), Bukit View Primary.</t>
        </is>
      </c>
      <c r="L119" s="17" t="inlineStr">
        <is>
          <t>Applications: 00386 (ML Tier 2) and 00398 (no tier fits)</t>
        </is>
      </c>
      <c r="M119" s="17" t="inlineStr">
        <is>
          <t>1. Open the All tab and click View on 00386.
2. Read the ML recommendation block.
3. Close it, open View on 00398 and read the block.</t>
        </is>
      </c>
      <c r="N119" s="17" t="inlineStr">
        <is>
          <t>1. 00386 shows "Tier 2" and the tag "Recommendation only".
2. 00398 shows a dash and the tag.
3. No Need Score, confidence, deny rule or factor is shown in either drawer.</t>
        </is>
      </c>
      <c r="O119" s="17" t="n"/>
      <c r="P119" s="17" t="inlineStr">
        <is>
          <t>N/A</t>
        </is>
      </c>
      <c r="Q119" s="17" t="n"/>
      <c r="R119" s="17" t="inlineStr">
        <is>
          <t>Tender R4, PB-19, FS F4 v1.3: 4 ML recommendation, 5, BR10</t>
        </is>
      </c>
      <c r="S119" s="17" t="inlineStr">
        <is>
          <t>Compare CMP-35 and CMP-38.</t>
        </is>
      </c>
      <c r="T119" s="16" t="inlineStr">
        <is>
          <t>Approve</t>
        </is>
      </c>
    </row>
    <row r="120" ht="106.5" customHeight="1" s="14">
      <c r="A120" s="16" t="inlineStr">
        <is>
          <t>TC-119</t>
        </is>
      </c>
      <c r="B120" s="16" t="inlineStr">
        <is>
          <t>TS-025</t>
        </is>
      </c>
      <c r="C120" s="17" t="inlineStr">
        <is>
          <t>A red note appears when the school has no SBFAS scheme for the period</t>
        </is>
      </c>
      <c r="D120" s="17" t="inlineStr">
        <is>
          <t>F4.8 Review drawer, SBFAS</t>
        </is>
      </c>
      <c r="E120" s="17" t="inlineStr">
        <is>
          <t>Review drawer (School Admin)</t>
        </is>
      </c>
      <c r="F120" s="16" t="inlineStr">
        <is>
          <t>S2</t>
        </is>
      </c>
      <c r="G120" s="16" t="inlineStr">
        <is>
          <t>High</t>
        </is>
      </c>
      <c r="H120" s="16" t="inlineStr">
        <is>
          <t>Not Run</t>
        </is>
      </c>
      <c r="I120" s="16" t="inlineStr">
        <is>
          <t>Functional</t>
        </is>
      </c>
      <c r="J120" s="17" t="inlineStr">
        <is>
          <t>F4 build with API (not available yet)
Chrome (latest)
Build: to be recorded at execution
Needs: ENV-R4-02, SEED-R4-N15</t>
        </is>
      </c>
      <c r="K120" s="17" t="inlineStr">
        <is>
          <t>1. The F4 build is running.
2. Signed in as a School Admin whose school has no published SBFAS scheme for the submit date.</t>
        </is>
      </c>
      <c r="L120" s="17" t="inlineStr">
        <is>
          <t>Application: Pending SBFAS application of that school (SEED-R4-N15)</t>
        </is>
      </c>
      <c r="M120" s="17" t="inlineStr">
        <is>
          <t>1. Open Review on the application.
2. Read the ML recommendation block.</t>
        </is>
      </c>
      <c r="N120" s="17" t="inlineStr">
        <is>
          <t>1. The block shows a dash and a red note that the school has no SBFAS scheme for the application period.
2. The Approve button cannot be confirmed because no tier is listed.</t>
        </is>
      </c>
      <c r="O120" s="17" t="n"/>
      <c r="P120" s="17" t="inlineStr">
        <is>
          <t>ASM-R4-04: The application stays Pending, Reject stays available and Approve cannot be confirmed.</t>
        </is>
      </c>
      <c r="Q120" s="17" t="n"/>
      <c r="R120" s="17" t="inlineStr">
        <is>
          <t>Tender R4, PB-19, FS F4 v1.3: 4 ML recommendation, 6.1 Confirm</t>
        </is>
      </c>
      <c r="S120" s="17" t="inlineStr">
        <is>
          <t>The red note was not seen on the prototype (compare Not verified list).</t>
        </is>
      </c>
      <c r="T120" s="16" t="inlineStr">
        <is>
          <t>Draft</t>
        </is>
      </c>
    </row>
    <row r="121" ht="121.5" customHeight="1" s="14">
      <c r="A121" s="16" t="inlineStr">
        <is>
          <t>TC-120</t>
        </is>
      </c>
      <c r="B121" s="16" t="inlineStr">
        <is>
          <t>TS-025</t>
        </is>
      </c>
      <c r="C121" s="17" t="inlineStr">
        <is>
          <t>ML recommendation is information only and does not block a choice</t>
        </is>
      </c>
      <c r="D121" s="17" t="inlineStr">
        <is>
          <t>F4.8 Review drawer, SBFAS</t>
        </is>
      </c>
      <c r="E121" s="17" t="inlineStr">
        <is>
          <t>Review drawer (School Admin)</t>
        </is>
      </c>
      <c r="F121" s="16" t="inlineStr">
        <is>
          <t>S2</t>
        </is>
      </c>
      <c r="G121" s="16" t="inlineStr">
        <is>
          <t>Medium</t>
        </is>
      </c>
      <c r="H121" s="16" t="inlineStr">
        <is>
          <t>Not Run</t>
        </is>
      </c>
      <c r="I121" s="16" t="inlineStr">
        <is>
          <t>Functional</t>
        </is>
      </c>
      <c r="J121" s="17" t="inlineStr">
        <is>
          <t>Prototype: edusave.vercel.app (sample date 18/10/2026)
Chrome (latest)
Build: to be recorded at execution
Needs: ENV-R4-01</t>
        </is>
      </c>
      <c r="K121" s="17" t="inlineStr">
        <is>
          <t>1. The prototype is open at the base state (use Reset data).
2. MOE HQ closed the MOEFAS 2027 form with Close form now (demo), so 00412 and 00410 are SBFAS Pending at Bukit View Primary.
3. Signed in as School user Lan Nguyen (BVP-0012), Bukit View Primary.</t>
        </is>
      </c>
      <c r="L121" s="17" t="inlineStr">
        <is>
          <t>Application: 00412 (ML Tier 3)</t>
        </is>
      </c>
      <c r="M121" s="17" t="inlineStr">
        <is>
          <t>1. Click Review on 00412 and click Approve.
2. Choose Tier 1 and confirm.</t>
        </is>
      </c>
      <c r="N121" s="17" t="inlineStr">
        <is>
          <t>1. The approval is accepted with Tier 1 although ML suggested Tier 3.
2. The Decision block shows Tier 1.</t>
        </is>
      </c>
      <c r="O121" s="17" t="n"/>
      <c r="P121" s="17" t="inlineStr">
        <is>
          <t>ASM-R4-03: The School Admin may choose any candidate scheme, also one the household does not meet, and the chosen scheme is saved.</t>
        </is>
      </c>
      <c r="Q121" s="17" t="n"/>
      <c r="R121" s="17" t="inlineStr">
        <is>
          <t>Tender R4, PB-19, FS F4 v1.3: BR10, 6.1 Tier</t>
        </is>
      </c>
      <c r="S121" s="17" t="n"/>
      <c r="T121" s="16" t="inlineStr">
        <is>
          <t>Draft</t>
        </is>
      </c>
    </row>
    <row r="122" ht="106.5" customHeight="1" s="14">
      <c r="A122" s="16" t="inlineStr">
        <is>
          <t>TC-121</t>
        </is>
      </c>
      <c r="B122" s="16" t="inlineStr">
        <is>
          <t>TS-026</t>
        </is>
      </c>
      <c r="C122" s="17" t="inlineStr">
        <is>
          <t>Reject and Approve show only for the School Admin of the school on a Pending SBFAS</t>
        </is>
      </c>
      <c r="D122" s="17" t="inlineStr">
        <is>
          <t>F4.8 Review drawer, SBFAS</t>
        </is>
      </c>
      <c r="E122" s="17" t="inlineStr">
        <is>
          <t>Review drawer (School Admin)</t>
        </is>
      </c>
      <c r="F122" s="16" t="inlineStr">
        <is>
          <t>S1 (highest)</t>
        </is>
      </c>
      <c r="G122" s="16" t="inlineStr">
        <is>
          <t>Critical</t>
        </is>
      </c>
      <c r="H122" s="16" t="inlineStr">
        <is>
          <t>Not Run</t>
        </is>
      </c>
      <c r="I122" s="16" t="inlineStr">
        <is>
          <t>Functional</t>
        </is>
      </c>
      <c r="J122" s="17" t="inlineStr">
        <is>
          <t>Prototype: edusave.vercel.app (sample date 18/10/2026)
Chrome (latest)
Build: to be recorded at execution
Needs: ENV-R4-01</t>
        </is>
      </c>
      <c r="K122" s="17" t="inlineStr">
        <is>
          <t>1. The prototype is open at the base state (use Reset data).
2. Signed in as School user Lan Nguyen (BVP-0012), Bukit View Primary.</t>
        </is>
      </c>
      <c r="L122" s="17" t="inlineStr">
        <is>
          <t>Applications: 00398 (Pending) and 00386 (Approved)</t>
        </is>
      </c>
      <c r="M122" s="17" t="inlineStr">
        <is>
          <t>1. Click Review on 00398 and read the buttons.
2. Close it, open the All tab, click View on 00386 and read the buttons.</t>
        </is>
      </c>
      <c r="N122" s="17" t="inlineStr">
        <is>
          <t>1. 00398 shows Reject and Approve.
2. 00386 shows no decision button.</t>
        </is>
      </c>
      <c r="O122" s="17" t="n"/>
      <c r="P122" s="17" t="inlineStr">
        <is>
          <t>N/A</t>
        </is>
      </c>
      <c r="Q122" s="17" t="n"/>
      <c r="R122" s="17" t="inlineStr">
        <is>
          <t>Tender R4, PB-19, FS F4 v1.3: 4 Buttons, BR5</t>
        </is>
      </c>
      <c r="S122" s="17" t="inlineStr">
        <is>
          <t>Compare CMP-31.</t>
        </is>
      </c>
      <c r="T122" s="16" t="inlineStr">
        <is>
          <t>Approve</t>
        </is>
      </c>
    </row>
    <row r="123" ht="106.5" customHeight="1" s="14">
      <c r="A123" s="16" t="inlineStr">
        <is>
          <t>TC-122</t>
        </is>
      </c>
      <c r="B123" s="16" t="inlineStr">
        <is>
          <t>TS-026</t>
        </is>
      </c>
      <c r="C123" s="17" t="inlineStr">
        <is>
          <t>MOE HQ drawers have no decision button for SBFAS</t>
        </is>
      </c>
      <c r="D123" s="17" t="inlineStr">
        <is>
          <t>F4.8 Review drawer, SBFAS</t>
        </is>
      </c>
      <c r="E123" s="17" t="inlineStr">
        <is>
          <t>Review drawer (MOE HQ)</t>
        </is>
      </c>
      <c r="F123" s="16" t="inlineStr">
        <is>
          <t>S1 (highest)</t>
        </is>
      </c>
      <c r="G123" s="16" t="inlineStr">
        <is>
          <t>Critical</t>
        </is>
      </c>
      <c r="H123" s="16" t="inlineStr">
        <is>
          <t>Not Run</t>
        </is>
      </c>
      <c r="I123" s="16" t="inlineStr">
        <is>
          <t>Functional</t>
        </is>
      </c>
      <c r="J123" s="17" t="inlineStr">
        <is>
          <t>Prototype: edusave.vercel.app (sample date 18/10/2026)
Chrome (latest)
Build: to be recorded at execution
Needs: ENV-R4-01</t>
        </is>
      </c>
      <c r="K123" s="17" t="inlineStr">
        <is>
          <t>1. The prototype is open at the base state (use Reset data).
2. Signed in as MOE HQ (Mei Lin Tan).</t>
        </is>
      </c>
      <c r="L123" s="17" t="inlineStr">
        <is>
          <t>Applications: 00398 (SBFAS Pending), 00386 (SBFAS Approved)</t>
        </is>
      </c>
      <c r="M123" s="17" t="inlineStr">
        <is>
          <t>1. Click View on 00398 and on 00386 and read the buttons.</t>
        </is>
      </c>
      <c r="N123" s="17" t="inlineStr">
        <is>
          <t>1. Neither drawer has Reject or Approve.</t>
        </is>
      </c>
      <c r="O123" s="17" t="n"/>
      <c r="P123" s="17" t="inlineStr">
        <is>
          <t>N/A</t>
        </is>
      </c>
      <c r="Q123" s="17" t="n"/>
      <c r="R123" s="17" t="inlineStr">
        <is>
          <t>Tender R4, PB-19, FS F4 v1.3: 4 Buttons, BR5, 3.1 item 7</t>
        </is>
      </c>
      <c r="S123" s="17" t="inlineStr">
        <is>
          <t>Compare CMP-21 and CMP-31.</t>
        </is>
      </c>
      <c r="T123" s="16" t="inlineStr">
        <is>
          <t>Approve</t>
        </is>
      </c>
    </row>
    <row r="124" ht="92.25" customHeight="1" s="14">
      <c r="A124" s="16" t="inlineStr">
        <is>
          <t>TC-123</t>
        </is>
      </c>
      <c r="B124" s="16" t="inlineStr">
        <is>
          <t>TS-026</t>
        </is>
      </c>
      <c r="C124" s="17" t="inlineStr">
        <is>
          <t>A School Admin of another school cannot decide the application</t>
        </is>
      </c>
      <c r="D124" s="17" t="inlineStr">
        <is>
          <t>F4.8 Review drawer, SBFAS</t>
        </is>
      </c>
      <c r="E124" s="17" t="inlineStr">
        <is>
          <t>Review drawer (School Admin)</t>
        </is>
      </c>
      <c r="F124" s="16" t="inlineStr">
        <is>
          <t>S1 (highest)</t>
        </is>
      </c>
      <c r="G124" s="16" t="inlineStr">
        <is>
          <t>Critical</t>
        </is>
      </c>
      <c r="H124" s="16" t="inlineStr">
        <is>
          <t>Not Run</t>
        </is>
      </c>
      <c r="I124" s="16" t="inlineStr">
        <is>
          <t>Security</t>
        </is>
      </c>
      <c r="J124" s="17" t="inlineStr">
        <is>
          <t>F4 build with API (not available yet)
Chrome (latest)
Build: to be recorded at execution
Needs: ENV-R4-02</t>
        </is>
      </c>
      <c r="K124" s="17" t="inlineStr">
        <is>
          <t>1. The F4 build is running with two School Admin accounts.
2. Signed in as a School Admin of Meridian Secondary.</t>
        </is>
      </c>
      <c r="L124" s="17" t="inlineStr">
        <is>
          <t>Application: APP-2026-00398 of Bukit View Primary</t>
        </is>
      </c>
      <c r="M124" s="17" t="inlineStr">
        <is>
          <t>1. Open the link of 00398 directly.
2. Send an approve request for 00398 to the API.</t>
        </is>
      </c>
      <c r="N124" s="17" t="inlineStr">
        <is>
          <t>1. The link shows "You do not have access."
2. The approve request is refused with HTTP 403 and 00398 stays Pending.</t>
        </is>
      </c>
      <c r="O124" s="17" t="n"/>
      <c r="P124" s="17" t="inlineStr">
        <is>
          <t>ASM-R4-15: A request that the role may not make returns HTTP 403, changes nothing and returns no data. A link to an application of another school shows "You do not have access." (wording of FS v1.1).</t>
        </is>
      </c>
      <c r="Q124" s="17" t="n"/>
      <c r="R124" s="17" t="inlineStr">
        <is>
          <t>Tender R4, PB-19, FS F4 v1.3: BR5, BR12, 1.2</t>
        </is>
      </c>
      <c r="S124" s="17" t="n"/>
      <c r="T124" s="16" t="inlineStr">
        <is>
          <t>Draft</t>
        </is>
      </c>
    </row>
    <row r="125" ht="106.5" customHeight="1" s="14">
      <c r="A125" s="16" t="inlineStr">
        <is>
          <t>TC-124</t>
        </is>
      </c>
      <c r="B125" s="16" t="inlineStr">
        <is>
          <t>TS-027</t>
        </is>
      </c>
      <c r="C125" s="17" t="inlineStr">
        <is>
          <t>Approve dialog shows the subtitle, the candidate tiers and the buttons</t>
        </is>
      </c>
      <c r="D125" s="17" t="inlineStr">
        <is>
          <t>F4.9 Approve SBFAS</t>
        </is>
      </c>
      <c r="E125" s="17" t="inlineStr">
        <is>
          <t>Approve SBFAS dialog</t>
        </is>
      </c>
      <c r="F125" s="16" t="inlineStr">
        <is>
          <t>S1 (highest)</t>
        </is>
      </c>
      <c r="G125" s="16" t="inlineStr">
        <is>
          <t>High</t>
        </is>
      </c>
      <c r="H125" s="16" t="inlineStr">
        <is>
          <t>Not Run</t>
        </is>
      </c>
      <c r="I125" s="16" t="inlineStr">
        <is>
          <t>Functional</t>
        </is>
      </c>
      <c r="J125" s="17" t="inlineStr">
        <is>
          <t>Prototype: edusave.vercel.app (sample date 18/10/2026)
Chrome (latest)
Build: to be recorded at execution
Needs: ENV-R4-01</t>
        </is>
      </c>
      <c r="K125" s="17" t="inlineStr">
        <is>
          <t>1. The prototype is open at the base state (use Reset data).
2. Signed in as School user Lan Nguyen (BVP-0012), Bukit View Primary.</t>
        </is>
      </c>
      <c r="L125" s="17" t="inlineStr">
        <is>
          <t>Application: APP-2026-00398 (Daniel Ong, P2)
School SBFAS schemes: Tier 1, Tier 2, Tier 3 (form period contains the submit date)</t>
        </is>
      </c>
      <c r="M125" s="17" t="inlineStr">
        <is>
          <t>1. Click Review on 00398 and click Approve.
2. Read the dialog.</t>
        </is>
      </c>
      <c r="N125" s="17" t="inlineStr">
        <is>
          <t>1. The title is "Approve SBFAS" and the subtitle reads "FUNCTION 4 · SBFAS · APP-2026-00398 · Daniel Ong · P2".
2. Tier * lists Tier 1, Tier 2 and Tier 3.
3. Comment (optional) shows the counter 0/500.
4. The buttons are Cancel and Confirm approval.</t>
        </is>
      </c>
      <c r="O125" s="17" t="n"/>
      <c r="P125" s="17" t="inlineStr">
        <is>
          <t>N/A</t>
        </is>
      </c>
      <c r="Q125" s="17" t="n"/>
      <c r="R125" s="17" t="inlineStr">
        <is>
          <t>Tender R4, PB-19, FS F4 v1.3: 6.1 Subtitle, 6.1 Tier, 5 Candidate tiers, T8</t>
        </is>
      </c>
      <c r="S125" s="17" t="inlineStr">
        <is>
          <t>Compare CMP-39.</t>
        </is>
      </c>
      <c r="T125" s="16" t="inlineStr">
        <is>
          <t>Approve</t>
        </is>
      </c>
    </row>
    <row r="126" ht="121.5" customHeight="1" s="14">
      <c r="A126" s="16" t="inlineStr">
        <is>
          <t>TC-125</t>
        </is>
      </c>
      <c r="B126" s="16" t="inlineStr">
        <is>
          <t>TS-027</t>
        </is>
      </c>
      <c r="C126" s="17" t="inlineStr">
        <is>
          <t>Candidate tiers are the published school schemes whose form period holds the submit date</t>
        </is>
      </c>
      <c r="D126" s="17" t="inlineStr">
        <is>
          <t>F4.9 Approve SBFAS</t>
        </is>
      </c>
      <c r="E126" s="17" t="inlineStr">
        <is>
          <t>Approve SBFAS dialog</t>
        </is>
      </c>
      <c r="F126" s="16" t="inlineStr">
        <is>
          <t>S1 (highest)</t>
        </is>
      </c>
      <c r="G126" s="16" t="inlineStr">
        <is>
          <t>High</t>
        </is>
      </c>
      <c r="H126" s="16" t="inlineStr">
        <is>
          <t>Not Run</t>
        </is>
      </c>
      <c r="I126" s="16" t="inlineStr">
        <is>
          <t>Functional</t>
        </is>
      </c>
      <c r="J126" s="17" t="inlineStr">
        <is>
          <t>F4 build with API (not available yet)
Chrome (latest)
Build: to be recorded at execution
Needs: ENV-R4-02, SEED-R4-N16</t>
        </is>
      </c>
      <c r="K126" s="17" t="inlineStr">
        <is>
          <t>1. The F4 build is running.
2. Signed in as a School Admin of the seed school.</t>
        </is>
      </c>
      <c r="L126" s="17" t="inlineStr">
        <is>
          <t>Schemes of the school (SEED-R4-N16):
Tier A form 01/08/2026 to 31/12/2026, Tier B form 01/01/2027 to 30/06/2027, Draft Tier C
Application submitted 17/10/2026</t>
        </is>
      </c>
      <c r="M126" s="17" t="inlineStr">
        <is>
          <t>1. Open Review on the application and click Approve.
2. Read the Tier list.</t>
        </is>
      </c>
      <c r="N126" s="17" t="inlineStr">
        <is>
          <t>1. Only Tier A is listed.
2. Tier B (form not yet open on the submit date) and the Draft are not listed.</t>
        </is>
      </c>
      <c r="O126" s="17" t="n"/>
      <c r="P126" s="17" t="inlineStr">
        <is>
          <t>N/A</t>
        </is>
      </c>
      <c r="Q126" s="17" t="n"/>
      <c r="R126" s="17" t="inlineStr">
        <is>
          <t>Tender R4, PB-19, FS F4 v1.3: 5 Candidate tiers, 6.1 Tier</t>
        </is>
      </c>
      <c r="S126" s="17" t="n"/>
      <c r="T126" s="16" t="inlineStr">
        <is>
          <t>Approve</t>
        </is>
      </c>
    </row>
    <row r="127" ht="106.5" customHeight="1" s="14">
      <c r="A127" s="16" t="inlineStr">
        <is>
          <t>TC-126</t>
        </is>
      </c>
      <c r="B127" s="16" t="inlineStr">
        <is>
          <t>TS-027</t>
        </is>
      </c>
      <c r="C127" s="17" t="inlineStr">
        <is>
          <t>When no scheme has the submit date in its form period the schemes in effect today are listed</t>
        </is>
      </c>
      <c r="D127" s="17" t="inlineStr">
        <is>
          <t>F4.9 Approve SBFAS</t>
        </is>
      </c>
      <c r="E127" s="17" t="inlineStr">
        <is>
          <t>Approve SBFAS dialog</t>
        </is>
      </c>
      <c r="F127" s="16" t="inlineStr">
        <is>
          <t>S2</t>
        </is>
      </c>
      <c r="G127" s="16" t="inlineStr">
        <is>
          <t>Medium</t>
        </is>
      </c>
      <c r="H127" s="16" t="inlineStr">
        <is>
          <t>Not Run</t>
        </is>
      </c>
      <c r="I127" s="16" t="inlineStr">
        <is>
          <t>Functional</t>
        </is>
      </c>
      <c r="J127" s="17" t="inlineStr">
        <is>
          <t>F4 build with API (not available yet)
Chrome (latest)
Build: to be recorded at execution
Needs: ENV-R4-02, SEED-R4-N16</t>
        </is>
      </c>
      <c r="K127" s="17" t="inlineStr">
        <is>
          <t>1. The F4 build is running.
2. Signed in as a School Admin of the seed school.</t>
        </is>
      </c>
      <c r="L127" s="17" t="inlineStr">
        <is>
          <t>Application submitted on a date outside every form period (SEED-R4-N16)
Scheme in effect today: Tier A</t>
        </is>
      </c>
      <c r="M127" s="17" t="inlineStr">
        <is>
          <t>1. Open Review on the application and click Approve.
2. Read the Tier list.</t>
        </is>
      </c>
      <c r="N127" s="17" t="inlineStr">
        <is>
          <t>1. The list shows the schemes in effect today, sorted by name.</t>
        </is>
      </c>
      <c r="O127" s="17" t="n"/>
      <c r="P127" s="17" t="inlineStr">
        <is>
          <t>N/A</t>
        </is>
      </c>
      <c r="Q127" s="17" t="n"/>
      <c r="R127" s="17" t="inlineStr">
        <is>
          <t>Tender R4, PB-19, FS F4 v1.3: 5 Candidate tiers</t>
        </is>
      </c>
      <c r="S127" s="17" t="n"/>
      <c r="T127" s="16" t="inlineStr">
        <is>
          <t>Approve</t>
        </is>
      </c>
    </row>
    <row r="128" ht="106.5" customHeight="1" s="14">
      <c r="A128" s="16" t="inlineStr">
        <is>
          <t>TC-127</t>
        </is>
      </c>
      <c r="B128" s="16" t="inlineStr">
        <is>
          <t>TS-027</t>
        </is>
      </c>
      <c r="C128" s="17" t="inlineStr">
        <is>
          <t>Candidate tiers are sorted by name</t>
        </is>
      </c>
      <c r="D128" s="17" t="inlineStr">
        <is>
          <t>F4.9 Approve SBFAS</t>
        </is>
      </c>
      <c r="E128" s="17" t="inlineStr">
        <is>
          <t>Approve SBFAS dialog</t>
        </is>
      </c>
      <c r="F128" s="16" t="inlineStr">
        <is>
          <t>S3</t>
        </is>
      </c>
      <c r="G128" s="16" t="inlineStr">
        <is>
          <t>Low</t>
        </is>
      </c>
      <c r="H128" s="16" t="inlineStr">
        <is>
          <t>Not Run</t>
        </is>
      </c>
      <c r="I128" s="16" t="inlineStr">
        <is>
          <t>Functional</t>
        </is>
      </c>
      <c r="J128" s="17" t="inlineStr">
        <is>
          <t>Prototype: edusave.vercel.app (sample date 18/10/2026)
Chrome (latest)
Build: to be recorded at execution
Needs: ENV-R4-01</t>
        </is>
      </c>
      <c r="K128" s="17" t="inlineStr">
        <is>
          <t>1. The prototype is open at the base state (use Reset data).
2. Signed in as School user Lan Nguyen (BVP-0012), Bukit View Primary.</t>
        </is>
      </c>
      <c r="L128" s="17" t="inlineStr">
        <is>
          <t>Application: APP-2026-00398</t>
        </is>
      </c>
      <c r="M128" s="17" t="inlineStr">
        <is>
          <t>1. Click Review on 00398 and click Approve.
2. Read the order of the Tier options.</t>
        </is>
      </c>
      <c r="N128" s="17" t="inlineStr">
        <is>
          <t>1. The order is Tier 1, Tier 2, Tier 3.</t>
        </is>
      </c>
      <c r="O128" s="17" t="n"/>
      <c r="P128" s="17" t="inlineStr">
        <is>
          <t>N/A</t>
        </is>
      </c>
      <c r="Q128" s="17" t="n"/>
      <c r="R128" s="17" t="inlineStr">
        <is>
          <t>Tender R4, PB-19, FS F4 v1.3: 5 Candidate tiers</t>
        </is>
      </c>
      <c r="S128" s="17" t="n"/>
      <c r="T128" s="16" t="inlineStr">
        <is>
          <t>Approve</t>
        </is>
      </c>
    </row>
    <row r="129" ht="106.5" customHeight="1" s="14">
      <c r="A129" s="16" t="inlineStr">
        <is>
          <t>TC-128</t>
        </is>
      </c>
      <c r="B129" s="16" t="inlineStr">
        <is>
          <t>TS-027</t>
        </is>
      </c>
      <c r="C129" s="17" t="inlineStr">
        <is>
          <t>Cancel closes the dialog and changes nothing</t>
        </is>
      </c>
      <c r="D129" s="17" t="inlineStr">
        <is>
          <t>F4.9 Approve SBFAS</t>
        </is>
      </c>
      <c r="E129" s="17" t="inlineStr">
        <is>
          <t>Approve SBFAS dialog</t>
        </is>
      </c>
      <c r="F129" s="16" t="inlineStr">
        <is>
          <t>S3</t>
        </is>
      </c>
      <c r="G129" s="16" t="inlineStr">
        <is>
          <t>Medium</t>
        </is>
      </c>
      <c r="H129" s="16" t="inlineStr">
        <is>
          <t>Not Run</t>
        </is>
      </c>
      <c r="I129" s="16" t="inlineStr">
        <is>
          <t>Functional</t>
        </is>
      </c>
      <c r="J129" s="17" t="inlineStr">
        <is>
          <t>Prototype: edusave.vercel.app (sample date 18/10/2026)
Chrome (latest)
Build: to be recorded at execution
Needs: ENV-R4-01</t>
        </is>
      </c>
      <c r="K129" s="17" t="inlineStr">
        <is>
          <t>1. The prototype is open at the base state (use Reset data).
2. Signed in as School user Lan Nguyen (BVP-0012), Bukit View Primary.</t>
        </is>
      </c>
      <c r="L129" s="17" t="inlineStr">
        <is>
          <t>Application: APP-2026-00398</t>
        </is>
      </c>
      <c r="M129" s="17" t="inlineStr">
        <is>
          <t>1. Click Review on 00398, click Approve, choose Tier 2, type a comment and click Cancel.
2. Open the All tab and read 00398.</t>
        </is>
      </c>
      <c r="N129" s="17" t="inlineStr">
        <is>
          <t>1. The dialog closes.
2. 00398 is still Pending with no tier and no History row added.</t>
        </is>
      </c>
      <c r="O129" s="17" t="n"/>
      <c r="P129" s="17" t="inlineStr">
        <is>
          <t>N/A</t>
        </is>
      </c>
      <c r="Q129" s="17" t="n"/>
      <c r="R129" s="17" t="inlineStr">
        <is>
          <t>Tender R4, PB-19, FS F4 v1.3: 6.1 Confirm</t>
        </is>
      </c>
      <c r="S129" s="17" t="n"/>
      <c r="T129" s="16" t="inlineStr">
        <is>
          <t>Approve</t>
        </is>
      </c>
    </row>
    <row r="130" ht="121.5" customHeight="1" s="14">
      <c r="A130" s="16" t="inlineStr">
        <is>
          <t>TC-129</t>
        </is>
      </c>
      <c r="B130" s="16" t="inlineStr">
        <is>
          <t>TS-028</t>
        </is>
      </c>
      <c r="C130" s="17" t="inlineStr">
        <is>
          <t>ML tier is pre-selected with a hint</t>
        </is>
      </c>
      <c r="D130" s="17" t="inlineStr">
        <is>
          <t>F4.9 Approve SBFAS</t>
        </is>
      </c>
      <c r="E130" s="17" t="inlineStr">
        <is>
          <t>Approve SBFAS dialog</t>
        </is>
      </c>
      <c r="F130" s="16" t="inlineStr">
        <is>
          <t>S1 (highest)</t>
        </is>
      </c>
      <c r="G130" s="16" t="inlineStr">
        <is>
          <t>High</t>
        </is>
      </c>
      <c r="H130" s="16" t="inlineStr">
        <is>
          <t>Not Run</t>
        </is>
      </c>
      <c r="I130" s="16" t="inlineStr">
        <is>
          <t>Functional</t>
        </is>
      </c>
      <c r="J130" s="17" t="inlineStr">
        <is>
          <t>Prototype: edusave.vercel.app (sample date 18/10/2026)
Chrome (latest)
Build: to be recorded at execution
Needs: ENV-R4-01</t>
        </is>
      </c>
      <c r="K130" s="17" t="inlineStr">
        <is>
          <t>1. The prototype is open at the base state (use Reset data).
2. MOE HQ closed the MOEFAS 2027 form with Close form now (demo), so 00412 and 00410 are SBFAS Pending at Bukit View Primary.
3. Signed in as School user Lan Nguyen (BVP-0012), Bukit View Primary.</t>
        </is>
      </c>
      <c r="L130" s="17" t="inlineStr">
        <is>
          <t>Application: APP-2026-00412 (ML recommendation Tier 3)</t>
        </is>
      </c>
      <c r="M130" s="17" t="inlineStr">
        <is>
          <t>1. Click Review on 00412 and click Approve.
2. Read the Tier field and its hint.</t>
        </is>
      </c>
      <c r="N130" s="17" t="inlineStr">
        <is>
          <t>1. Tier 3 is pre-selected.
2. The hint reads "ML suggests Tier 3".</t>
        </is>
      </c>
      <c r="O130" s="17" t="n"/>
      <c r="P130" s="17" t="inlineStr">
        <is>
          <t>N/A</t>
        </is>
      </c>
      <c r="Q130" s="17" t="n"/>
      <c r="R130" s="17" t="inlineStr">
        <is>
          <t>Tender R4, PB-19, FS F4 v1.3: 6.1 Tier, 5 Recommended tier, T8</t>
        </is>
      </c>
      <c r="S130" s="17" t="inlineStr">
        <is>
          <t>Compare CMP-39.</t>
        </is>
      </c>
      <c r="T130" s="16" t="inlineStr">
        <is>
          <t>Approve</t>
        </is>
      </c>
    </row>
    <row r="131" ht="106.5" customHeight="1" s="14">
      <c r="A131" s="16" t="inlineStr">
        <is>
          <t>TC-130</t>
        </is>
      </c>
      <c r="B131" s="16" t="inlineStr">
        <is>
          <t>TS-028</t>
        </is>
      </c>
      <c r="C131" s="17" t="inlineStr">
        <is>
          <t>Without an ML tier the last scheme is pre-selected and no hint is shown</t>
        </is>
      </c>
      <c r="D131" s="17" t="inlineStr">
        <is>
          <t>F4.9 Approve SBFAS</t>
        </is>
      </c>
      <c r="E131" s="17" t="inlineStr">
        <is>
          <t>Approve SBFAS dialog</t>
        </is>
      </c>
      <c r="F131" s="16" t="inlineStr">
        <is>
          <t>S2</t>
        </is>
      </c>
      <c r="G131" s="16" t="inlineStr">
        <is>
          <t>High</t>
        </is>
      </c>
      <c r="H131" s="16" t="inlineStr">
        <is>
          <t>Not Run</t>
        </is>
      </c>
      <c r="I131" s="16" t="inlineStr">
        <is>
          <t>Functional</t>
        </is>
      </c>
      <c r="J131" s="17" t="inlineStr">
        <is>
          <t>Prototype: edusave.vercel.app (sample date 18/10/2026)
Chrome (latest)
Build: to be recorded at execution
Needs: ENV-R4-01</t>
        </is>
      </c>
      <c r="K131" s="17" t="inlineStr">
        <is>
          <t>1. The prototype is open at the base state (use Reset data).
2. Signed in as School user Lan Nguyen (BVP-0012), Bukit View Primary.</t>
        </is>
      </c>
      <c r="L131" s="17" t="inlineStr">
        <is>
          <t>Application: APP-2026-00398 (ML recommendation a dash)</t>
        </is>
      </c>
      <c r="M131" s="17" t="inlineStr">
        <is>
          <t>1. Click Review on 00398 and click Approve.
2. Read the Tier field.</t>
        </is>
      </c>
      <c r="N131" s="17" t="inlineStr">
        <is>
          <t>1. Tier 3 (the last scheme) is pre-selected.
2. No "ML suggests" hint is shown.</t>
        </is>
      </c>
      <c r="O131" s="17" t="n"/>
      <c r="P131" s="17" t="inlineStr">
        <is>
          <t>N/A</t>
        </is>
      </c>
      <c r="Q131" s="17" t="n"/>
      <c r="R131" s="17" t="inlineStr">
        <is>
          <t>Tender R4, PB-19, FS F4 v1.3: 6.1 Tier, T8</t>
        </is>
      </c>
      <c r="S131" s="17" t="inlineStr">
        <is>
          <t>Compare CMP-39.</t>
        </is>
      </c>
      <c r="T131" s="16" t="inlineStr">
        <is>
          <t>Approve</t>
        </is>
      </c>
    </row>
    <row r="132" ht="121.5" customHeight="1" s="14">
      <c r="A132" s="16" t="inlineStr">
        <is>
          <t>TC-131</t>
        </is>
      </c>
      <c r="B132" s="16" t="inlineStr">
        <is>
          <t>TS-028</t>
        </is>
      </c>
      <c r="C132" s="17" t="inlineStr">
        <is>
          <t>The School Admin may choose a tier other than the recommendation</t>
        </is>
      </c>
      <c r="D132" s="17" t="inlineStr">
        <is>
          <t>F4.9 Approve SBFAS</t>
        </is>
      </c>
      <c r="E132" s="17" t="inlineStr">
        <is>
          <t>Approve SBFAS dialog</t>
        </is>
      </c>
      <c r="F132" s="16" t="inlineStr">
        <is>
          <t>S2</t>
        </is>
      </c>
      <c r="G132" s="16" t="inlineStr">
        <is>
          <t>High</t>
        </is>
      </c>
      <c r="H132" s="16" t="inlineStr">
        <is>
          <t>Not Run</t>
        </is>
      </c>
      <c r="I132" s="16" t="inlineStr">
        <is>
          <t>Functional</t>
        </is>
      </c>
      <c r="J132" s="17" t="inlineStr">
        <is>
          <t>Prototype: edusave.vercel.app (sample date 18/10/2026)
Chrome (latest)
Build: to be recorded at execution
Needs: ENV-R4-01</t>
        </is>
      </c>
      <c r="K132" s="17" t="inlineStr">
        <is>
          <t>1. The prototype is open at the base state (use Reset data).
2. MOE HQ closed the MOEFAS 2027 form with Close form now (demo), so 00412 and 00410 are SBFAS Pending at Bukit View Primary.
3. Signed in as School user Lan Nguyen (BVP-0012), Bukit View Primary.</t>
        </is>
      </c>
      <c r="L132" s="17" t="inlineStr">
        <is>
          <t>Application: APP-2026-00412 (ML recommendation Tier 3)</t>
        </is>
      </c>
      <c r="M132" s="17" t="inlineStr">
        <is>
          <t>1. Click Review on 00412 and click Approve.
2. Choose Tier 2 and click Confirm approval.
3. Open View on 00412.</t>
        </is>
      </c>
      <c r="N132" s="17" t="inlineStr">
        <is>
          <t>1. The approval is accepted.
2. The Decision block shows Tier 2 and the list shows Tier 2 in the Tier column while ML recommendation stays Tier 3.</t>
        </is>
      </c>
      <c r="O132" s="17" t="n"/>
      <c r="P132" s="17" t="inlineStr">
        <is>
          <t>ASM-R4-03: The School Admin may choose any candidate scheme, also one the household does not meet, and the chosen scheme is saved.</t>
        </is>
      </c>
      <c r="Q132" s="17" t="n"/>
      <c r="R132" s="17" t="inlineStr">
        <is>
          <t>Tender R4, PB-19, FS F4 v1.3: BR10, 6.1 Tier</t>
        </is>
      </c>
      <c r="S132" s="17" t="inlineStr">
        <is>
          <t>00386 in the sample shows the same pattern (Tier 3 granted and ML Tier 2).</t>
        </is>
      </c>
      <c r="T132" s="16" t="inlineStr">
        <is>
          <t>Draft</t>
        </is>
      </c>
    </row>
    <row r="133" ht="106.5" customHeight="1" s="14">
      <c r="A133" s="16" t="inlineStr">
        <is>
          <t>TC-132</t>
        </is>
      </c>
      <c r="B133" s="16" t="inlineStr">
        <is>
          <t>TS-028</t>
        </is>
      </c>
      <c r="C133" s="17" t="inlineStr">
        <is>
          <t>A household that meets no scheme can still be approved by the school</t>
        </is>
      </c>
      <c r="D133" s="17" t="inlineStr">
        <is>
          <t>F4.9 Approve SBFAS</t>
        </is>
      </c>
      <c r="E133" s="17" t="inlineStr">
        <is>
          <t>Approve SBFAS dialog</t>
        </is>
      </c>
      <c r="F133" s="16" t="inlineStr">
        <is>
          <t>S2</t>
        </is>
      </c>
      <c r="G133" s="16" t="inlineStr">
        <is>
          <t>Medium</t>
        </is>
      </c>
      <c r="H133" s="16" t="inlineStr">
        <is>
          <t>Not Run</t>
        </is>
      </c>
      <c r="I133" s="16" t="inlineStr">
        <is>
          <t>Functional</t>
        </is>
      </c>
      <c r="J133" s="17" t="inlineStr">
        <is>
          <t>Prototype: edusave.vercel.app (sample date 18/10/2026)
Chrome (latest)
Build: to be recorded at execution
Needs: ENV-R4-01</t>
        </is>
      </c>
      <c r="K133" s="17" t="inlineStr">
        <is>
          <t>1. The prototype is open at the base state (use Reset data).
2. Signed in as School user Lan Nguyen (BVP-0012), Bukit View Primary.</t>
        </is>
      </c>
      <c r="L133" s="17" t="inlineStr">
        <is>
          <t>Application: APP-2026-00398 (International Student, schemes accept Citizen and PR)</t>
        </is>
      </c>
      <c r="M133" s="17" t="inlineStr">
        <is>
          <t>1. Click Review on 00398 and click Approve.
2. Keep the default tier and click Confirm approval.</t>
        </is>
      </c>
      <c r="N133" s="17" t="inlineStr">
        <is>
          <t>1. The approval is accepted for the chosen tier and no warning is shown.
2. The Decision block shows the chosen tier.</t>
        </is>
      </c>
      <c r="O133" s="17" t="n"/>
      <c r="P133" s="17" t="inlineStr">
        <is>
          <t>ASM-R4-03: The School Admin may choose any candidate scheme, also one the household does not meet, and the chosen scheme is saved.</t>
        </is>
      </c>
      <c r="Q133" s="17" t="n"/>
      <c r="R133" s="17" t="inlineStr">
        <is>
          <t>Tender R4, PB-19, FS F4 v1.3: BR10, 6.1 Tier</t>
        </is>
      </c>
      <c r="S133" s="17" t="inlineStr">
        <is>
          <t>Compare CMP-39 and the question of ASM-R4-03.</t>
        </is>
      </c>
      <c r="T133" s="16" t="inlineStr">
        <is>
          <t>Draft</t>
        </is>
      </c>
    </row>
    <row r="134" ht="106.5" customHeight="1" s="14">
      <c r="A134" s="16" t="inlineStr">
        <is>
          <t>TC-133</t>
        </is>
      </c>
      <c r="B134" s="16" t="inlineStr">
        <is>
          <t>TS-028</t>
        </is>
      </c>
      <c r="C134" s="17" t="inlineStr">
        <is>
          <t>Approve cannot be confirmed when the school has no candidate scheme</t>
        </is>
      </c>
      <c r="D134" s="17" t="inlineStr">
        <is>
          <t>F4.9 Approve SBFAS</t>
        </is>
      </c>
      <c r="E134" s="17" t="inlineStr">
        <is>
          <t>Approve SBFAS dialog</t>
        </is>
      </c>
      <c r="F134" s="16" t="inlineStr">
        <is>
          <t>S2</t>
        </is>
      </c>
      <c r="G134" s="16" t="inlineStr">
        <is>
          <t>High</t>
        </is>
      </c>
      <c r="H134" s="16" t="inlineStr">
        <is>
          <t>Not Run</t>
        </is>
      </c>
      <c r="I134" s="16" t="inlineStr">
        <is>
          <t>Functional</t>
        </is>
      </c>
      <c r="J134" s="17" t="inlineStr">
        <is>
          <t>F4 build with API (not available yet)
Chrome (latest)
Build: to be recorded at execution
Needs: ENV-R4-02, SEED-R4-N15</t>
        </is>
      </c>
      <c r="K134" s="17" t="inlineStr">
        <is>
          <t>1. The F4 build is running.
2. Signed in as a School Admin whose school has no candidate scheme (SEED-R4-N15).</t>
        </is>
      </c>
      <c r="L134" s="17" t="inlineStr">
        <is>
          <t>Pending SBFAS application of that school</t>
        </is>
      </c>
      <c r="M134" s="17" t="inlineStr">
        <is>
          <t>1. Click Review and click Approve.
2. Read the Tier field and the Confirm approval button.</t>
        </is>
      </c>
      <c r="N134" s="17" t="inlineStr">
        <is>
          <t>1. The Tier list is empty and Confirm approval is disabled.
2. Reject remains available and the application stays Pending.</t>
        </is>
      </c>
      <c r="O134" s="17" t="n"/>
      <c r="P134" s="17" t="inlineStr">
        <is>
          <t>ASM-R4-04: The application stays Pending, Reject stays available and Approve cannot be confirmed.</t>
        </is>
      </c>
      <c r="Q134" s="17" t="n"/>
      <c r="R134" s="17" t="inlineStr">
        <is>
          <t>Tender R4, PB-19, FS F4 v1.3: 6.1 Confirm, 4 ML recommendation</t>
        </is>
      </c>
      <c r="S134" s="17" t="n"/>
      <c r="T134" s="16" t="inlineStr">
        <is>
          <t>Draft</t>
        </is>
      </c>
    </row>
    <row r="135" ht="106.5" customHeight="1" s="14">
      <c r="A135" s="16" t="inlineStr">
        <is>
          <t>TC-134</t>
        </is>
      </c>
      <c r="B135" s="16" t="inlineStr">
        <is>
          <t>TS-029</t>
        </is>
      </c>
      <c r="C135" s="17" t="inlineStr">
        <is>
          <t>Comment is optional</t>
        </is>
      </c>
      <c r="D135" s="17" t="inlineStr">
        <is>
          <t>F4.9 Approve SBFAS</t>
        </is>
      </c>
      <c r="E135" s="17" t="inlineStr">
        <is>
          <t>Approve SBFAS dialog</t>
        </is>
      </c>
      <c r="F135" s="16" t="inlineStr">
        <is>
          <t>S3</t>
        </is>
      </c>
      <c r="G135" s="16" t="inlineStr">
        <is>
          <t>Medium</t>
        </is>
      </c>
      <c r="H135" s="16" t="inlineStr">
        <is>
          <t>Not Run</t>
        </is>
      </c>
      <c r="I135" s="16" t="inlineStr">
        <is>
          <t>Functional</t>
        </is>
      </c>
      <c r="J135" s="17" t="inlineStr">
        <is>
          <t>Prototype: edusave.vercel.app (sample date 18/10/2026)
Chrome (latest)
Build: to be recorded at execution
Needs: ENV-R4-01</t>
        </is>
      </c>
      <c r="K135" s="17" t="inlineStr">
        <is>
          <t>1. The prototype is open at the base state (use Reset data).
2. Signed in as School user Lan Nguyen (BVP-0012), Bukit View Primary.</t>
        </is>
      </c>
      <c r="L135" s="17" t="inlineStr">
        <is>
          <t>Application: APP-2026-00398</t>
        </is>
      </c>
      <c r="M135" s="17" t="inlineStr">
        <is>
          <t>1. Click Review on 00398 and click Approve.
2. Leave Comment empty and click Confirm approval.</t>
        </is>
      </c>
      <c r="N135" s="17" t="inlineStr">
        <is>
          <t>1. The approval is accepted with no comment.
2. The Decision block shows no Comment line.</t>
        </is>
      </c>
      <c r="O135" s="17" t="n"/>
      <c r="P135" s="17" t="inlineStr">
        <is>
          <t>N/A</t>
        </is>
      </c>
      <c r="Q135" s="17" t="n"/>
      <c r="R135" s="17" t="inlineStr">
        <is>
          <t>Tender R4, PB-19, FS F4 v1.3: 6.1 Comment</t>
        </is>
      </c>
      <c r="S135" s="17" t="n"/>
      <c r="T135" s="16" t="inlineStr">
        <is>
          <t>Approve</t>
        </is>
      </c>
    </row>
    <row r="136" ht="106.5" customHeight="1" s="14">
      <c r="A136" s="16" t="inlineStr">
        <is>
          <t>TC-135</t>
        </is>
      </c>
      <c r="B136" s="16" t="inlineStr">
        <is>
          <t>TS-029</t>
        </is>
      </c>
      <c r="C136" s="17" t="inlineStr">
        <is>
          <t>Comment accepts 500 characters and blocks 501</t>
        </is>
      </c>
      <c r="D136" s="17" t="inlineStr">
        <is>
          <t>F4.9 Approve SBFAS</t>
        </is>
      </c>
      <c r="E136" s="17" t="inlineStr">
        <is>
          <t>Approve SBFAS dialog</t>
        </is>
      </c>
      <c r="F136" s="16" t="inlineStr">
        <is>
          <t>S3</t>
        </is>
      </c>
      <c r="G136" s="16" t="inlineStr">
        <is>
          <t>Medium</t>
        </is>
      </c>
      <c r="H136" s="16" t="inlineStr">
        <is>
          <t>Not Run</t>
        </is>
      </c>
      <c r="I136" s="16" t="inlineStr">
        <is>
          <t>Functional</t>
        </is>
      </c>
      <c r="J136" s="17" t="inlineStr">
        <is>
          <t>Prototype: edusave.vercel.app (sample date 18/10/2026)
Chrome (latest)
Build: to be recorded at execution
Needs: ENV-R4-01</t>
        </is>
      </c>
      <c r="K136" s="17" t="inlineStr">
        <is>
          <t>1. The prototype is open at the base state (use Reset data).
2. Signed in as School user Lan Nguyen (BVP-0012), Bukit View Primary.</t>
        </is>
      </c>
      <c r="L136" s="17" t="inlineStr">
        <is>
          <t>Comments of 499, 500 and 501 characters</t>
        </is>
      </c>
      <c r="M136" s="17" t="inlineStr">
        <is>
          <t>1. Click Review on 00398 and click Approve.
2. Enter the 499-character comment and read the counter and the button.
3. Enter 500 characters and read them.
4. Enter 501 characters and read them.</t>
        </is>
      </c>
      <c r="N136" s="17" t="inlineStr">
        <is>
          <t>1. The counter reads 499/500 and 500/500 and Confirm approval is enabled.
2. At 501 characters Confirm approval is disabled and the counter shows 501/500.</t>
        </is>
      </c>
      <c r="O136" s="17" t="n"/>
      <c r="P136" s="17" t="inlineStr">
        <is>
          <t>N/A</t>
        </is>
      </c>
      <c r="Q136" s="17" t="n"/>
      <c r="R136" s="17" t="inlineStr">
        <is>
          <t>Tender R4, PB-19, FS F4 v1.3: 6.1 Comment, 6.1 Confirm</t>
        </is>
      </c>
      <c r="S136" s="17" t="inlineStr">
        <is>
          <t>Compare CMP-39.</t>
        </is>
      </c>
      <c r="T136" s="16" t="inlineStr">
        <is>
          <t>Approve</t>
        </is>
      </c>
    </row>
    <row r="137" ht="106.5" customHeight="1" s="14">
      <c r="A137" s="16" t="inlineStr">
        <is>
          <t>TC-136</t>
        </is>
      </c>
      <c r="B137" s="16" t="inlineStr">
        <is>
          <t>TS-029</t>
        </is>
      </c>
      <c r="C137" s="17" t="inlineStr">
        <is>
          <t>Comment with markup is saved as plain text</t>
        </is>
      </c>
      <c r="D137" s="17" t="inlineStr">
        <is>
          <t>F4.9 Approve SBFAS</t>
        </is>
      </c>
      <c r="E137" s="17" t="inlineStr">
        <is>
          <t>Approve SBFAS dialog</t>
        </is>
      </c>
      <c r="F137" s="16" t="inlineStr">
        <is>
          <t>S2</t>
        </is>
      </c>
      <c r="G137" s="16" t="inlineStr">
        <is>
          <t>Medium</t>
        </is>
      </c>
      <c r="H137" s="16" t="inlineStr">
        <is>
          <t>Not Run</t>
        </is>
      </c>
      <c r="I137" s="16" t="inlineStr">
        <is>
          <t>Functional</t>
        </is>
      </c>
      <c r="J137" s="17" t="inlineStr">
        <is>
          <t>Prototype: edusave.vercel.app (sample date 18/10/2026)
Chrome (latest)
Build: to be recorded at execution
Needs: ENV-R4-01</t>
        </is>
      </c>
      <c r="K137" s="17" t="inlineStr">
        <is>
          <t>1. The prototype is open at the base state (use Reset data).
2. Signed in as School user Lan Nguyen (BVP-0012), Bukit View Primary.</t>
        </is>
      </c>
      <c r="L137" s="17" t="inlineStr">
        <is>
          <t>Comment: &lt;b&gt;ok&lt;/b&gt;&lt;script&gt;alert(1)&lt;/script&gt;</t>
        </is>
      </c>
      <c r="M137" s="17" t="inlineStr">
        <is>
          <t>1. Click Review on 00398, click Approve and enter the comment.
2. Confirm and open View on 00398.</t>
        </is>
      </c>
      <c r="N137" s="17" t="inlineStr">
        <is>
          <t>1. The Decision block shows the comment as text, tags included.
2. No script runs.</t>
        </is>
      </c>
      <c r="O137" s="17" t="n"/>
      <c r="P137" s="17" t="inlineStr">
        <is>
          <t>ASM-R4-18: Free text is stored and shown as plain text. HTML and script tags are not interpreted.</t>
        </is>
      </c>
      <c r="Q137" s="17" t="n"/>
      <c r="R137" s="17" t="inlineStr">
        <is>
          <t>Tender R4, PB-19, FS F4 v1.3: 6.1 Comment</t>
        </is>
      </c>
      <c r="S137" s="17" t="n"/>
      <c r="T137" s="16" t="inlineStr">
        <is>
          <t>Draft</t>
        </is>
      </c>
    </row>
    <row r="138" ht="135.75" customHeight="1" s="14">
      <c r="A138" s="16" t="inlineStr">
        <is>
          <t>TC-137</t>
        </is>
      </c>
      <c r="B138" s="16" t="inlineStr">
        <is>
          <t>TS-030</t>
        </is>
      </c>
      <c r="C138" s="17" t="inlineStr">
        <is>
          <t>Confirm approval saves the tier, the date and the decider</t>
        </is>
      </c>
      <c r="D138" s="17" t="inlineStr">
        <is>
          <t>F4.9 Approve SBFAS</t>
        </is>
      </c>
      <c r="E138" s="17" t="inlineStr">
        <is>
          <t>Approve SBFAS dialog</t>
        </is>
      </c>
      <c r="F138" s="16" t="inlineStr">
        <is>
          <t>S1 (highest)</t>
        </is>
      </c>
      <c r="G138" s="16" t="inlineStr">
        <is>
          <t>Critical</t>
        </is>
      </c>
      <c r="H138" s="16" t="inlineStr">
        <is>
          <t>Not Run</t>
        </is>
      </c>
      <c r="I138" s="16" t="inlineStr">
        <is>
          <t>Functional</t>
        </is>
      </c>
      <c r="J138" s="17" t="inlineStr">
        <is>
          <t>Prototype: edusave.vercel.app (sample date 18/10/2026)
Chrome (latest)
Build: to be recorded at execution
Needs: ENV-R4-01</t>
        </is>
      </c>
      <c r="K138" s="17" t="inlineStr">
        <is>
          <t>1. The prototype is open at the base state (use Reset data).
2. Signed in as School user Lan Nguyen (BVP-0012), Bukit View Primary.</t>
        </is>
      </c>
      <c r="L138" s="17" t="inlineStr">
        <is>
          <t>Application: APP-2026-00398, Tier 2, comment "Approved after review"</t>
        </is>
      </c>
      <c r="M138" s="17" t="inlineStr">
        <is>
          <t>1. Click Review on 00398 and click Approve.
2. Choose Tier 2, enter the comment and click Confirm approval.
3. Open the All tab and click View on 00398.</t>
        </is>
      </c>
      <c r="N138" s="17" t="inlineStr">
        <is>
          <t>1. A toast reads "Subsidy applied to the student's EA fees."
2. The dialog and the drawer close.
3. The row shows Tier 2 in Tier, Status Approved and View.
4. The Decision block shows Result Approved, "Tier 2 · from 01/01/2027", Comment "Approved after review" and Decided by "Lan Nguyen (BVP-0012)" with the date and time.</t>
        </is>
      </c>
      <c r="O138" s="17" t="n"/>
      <c r="P138" s="17" t="inlineStr">
        <is>
          <t>N/A</t>
        </is>
      </c>
      <c r="Q138" s="17" t="n"/>
      <c r="R138" s="17" t="inlineStr">
        <is>
          <t>Tender R4, PB-19, FS F4 v1.3: 2.3, 6.1 Confirm, 8 SBFAS approved, T8</t>
        </is>
      </c>
      <c r="S138" s="17" t="inlineStr">
        <is>
          <t>Observed on the prototype. Compare CMP-40.</t>
        </is>
      </c>
      <c r="T138" s="16" t="inlineStr">
        <is>
          <t>Approve</t>
        </is>
      </c>
    </row>
    <row r="139" ht="106.5" customHeight="1" s="14">
      <c r="A139" s="16" t="inlineStr">
        <is>
          <t>TC-138</t>
        </is>
      </c>
      <c r="B139" s="16" t="inlineStr">
        <is>
          <t>TS-030</t>
        </is>
      </c>
      <c r="C139" s="17" t="inlineStr">
        <is>
          <t>Effective from is the scheme start or today when the scheme is already in effect</t>
        </is>
      </c>
      <c r="D139" s="17" t="inlineStr">
        <is>
          <t>F4.9 Approve SBFAS</t>
        </is>
      </c>
      <c r="E139" s="17" t="inlineStr">
        <is>
          <t>Approve SBFAS dialog</t>
        </is>
      </c>
      <c r="F139" s="16" t="inlineStr">
        <is>
          <t>S1 (highest)</t>
        </is>
      </c>
      <c r="G139" s="16" t="inlineStr">
        <is>
          <t>High</t>
        </is>
      </c>
      <c r="H139" s="16" t="inlineStr">
        <is>
          <t>Not Run</t>
        </is>
      </c>
      <c r="I139" s="16" t="inlineStr">
        <is>
          <t>Functional</t>
        </is>
      </c>
      <c r="J139" s="17" t="inlineStr">
        <is>
          <t>F4 build with API (not available yet)
Chrome (latest)
Build: to be recorded at execution
Needs: ENV-R4-02, ENV-R4-04, SEED-R4-N16</t>
        </is>
      </c>
      <c r="K139" s="17" t="inlineStr">
        <is>
          <t>1. The F4 build is running with a clock control.
2. Signed in as a School Admin.</t>
        </is>
      </c>
      <c r="L139" s="17" t="inlineStr">
        <is>
          <t>Scheme A starts 01/01/2027, Scheme B started 01/01/2026 and is in effect today 18/10/2026 (SEED-R4-N16)</t>
        </is>
      </c>
      <c r="M139" s="17" t="inlineStr">
        <is>
          <t>1. Approve an application with Scheme A.
2. Approve another application with Scheme B.
3. Read both Decision blocks.</t>
        </is>
      </c>
      <c r="N139" s="17" t="inlineStr">
        <is>
          <t>1. Scheme A gives "from 01/01/2027".
2. Scheme B gives "from 18/10/2026" (today).</t>
        </is>
      </c>
      <c r="O139" s="17" t="n"/>
      <c r="P139" s="17" t="inlineStr">
        <is>
          <t>N/A</t>
        </is>
      </c>
      <c r="Q139" s="17" t="n"/>
      <c r="R139" s="17" t="inlineStr">
        <is>
          <t>Tender R4, PB-19, FS F4 v1.3: 6.1 Confirm, 2.3, T8</t>
        </is>
      </c>
      <c r="S139" s="17" t="inlineStr">
        <is>
          <t>The today branch cannot be reached with the prototype schemes (compare CMP-40).</t>
        </is>
      </c>
      <c r="T139" s="16" t="inlineStr">
        <is>
          <t>Approve</t>
        </is>
      </c>
    </row>
    <row r="140" ht="106.5" customHeight="1" s="14">
      <c r="A140" s="16" t="inlineStr">
        <is>
          <t>TC-139</t>
        </is>
      </c>
      <c r="B140" s="16" t="inlineStr">
        <is>
          <t>TS-030</t>
        </is>
      </c>
      <c r="C140" s="17" t="inlineStr">
        <is>
          <t>History lists the approval and the email</t>
        </is>
      </c>
      <c r="D140" s="17" t="inlineStr">
        <is>
          <t>F4.9 Approve SBFAS</t>
        </is>
      </c>
      <c r="E140" s="17" t="inlineStr">
        <is>
          <t>Approve SBFAS dialog</t>
        </is>
      </c>
      <c r="F140" s="16" t="inlineStr">
        <is>
          <t>S2</t>
        </is>
      </c>
      <c r="G140" s="16" t="inlineStr">
        <is>
          <t>High</t>
        </is>
      </c>
      <c r="H140" s="16" t="inlineStr">
        <is>
          <t>Not Run</t>
        </is>
      </c>
      <c r="I140" s="16" t="inlineStr">
        <is>
          <t>Functional</t>
        </is>
      </c>
      <c r="J140" s="17" t="inlineStr">
        <is>
          <t>Prototype: edusave.vercel.app (sample date 18/10/2026)
Chrome (latest)
Build: to be recorded at execution
Needs: ENV-R4-01</t>
        </is>
      </c>
      <c r="K140" s="17" t="inlineStr">
        <is>
          <t>1. The prototype is open at the base state (use Reset data).
2. Signed in as School user Lan Nguyen (BVP-0012), Bukit View Primary.</t>
        </is>
      </c>
      <c r="L140" s="17" t="inlineStr">
        <is>
          <t>Application: APP-2026-00398, Tier 2</t>
        </is>
      </c>
      <c r="M140" s="17" t="inlineStr">
        <is>
          <t>1. Approve 00398 with Tier 2.
2. Open View on 00398 and read the History.</t>
        </is>
      </c>
      <c r="N140" s="17" t="inlineStr">
        <is>
          <t>1. The last two rows are "Approved · Tier 2 · from 01/01/2027" and "Email with result sent to parent".</t>
        </is>
      </c>
      <c r="O140" s="17" t="n"/>
      <c r="P140" s="17" t="inlineStr">
        <is>
          <t>ASM-R4-13: After an approval the email states the result and the effective date. After a rejection it states the reason. One email is sent per decision.</t>
        </is>
      </c>
      <c r="Q140" s="17" t="n"/>
      <c r="R140" s="17" t="inlineStr">
        <is>
          <t>Tender R4, PB-19, FS F4 v1.3: 6.1 Confirm, 8 SBFAS approved, BR11</t>
        </is>
      </c>
      <c r="S140" s="17" t="n"/>
      <c r="T140" s="16" t="inlineStr">
        <is>
          <t>Draft</t>
        </is>
      </c>
    </row>
    <row r="141" ht="106.5" customHeight="1" s="14">
      <c r="A141" s="16" t="inlineStr">
        <is>
          <t>TC-140</t>
        </is>
      </c>
      <c r="B141" s="16" t="inlineStr">
        <is>
          <t>TS-030</t>
        </is>
      </c>
      <c r="C141" s="17" t="inlineStr">
        <is>
          <t>Cards and tab counts update after the approval</t>
        </is>
      </c>
      <c r="D141" s="17" t="inlineStr">
        <is>
          <t>F4.9 Approve SBFAS</t>
        </is>
      </c>
      <c r="E141" s="17" t="inlineStr">
        <is>
          <t>Approve SBFAS dialog</t>
        </is>
      </c>
      <c r="F141" s="16" t="inlineStr">
        <is>
          <t>S2</t>
        </is>
      </c>
      <c r="G141" s="16" t="inlineStr">
        <is>
          <t>High</t>
        </is>
      </c>
      <c r="H141" s="16" t="inlineStr">
        <is>
          <t>Not Run</t>
        </is>
      </c>
      <c r="I141" s="16" t="inlineStr">
        <is>
          <t>Functional</t>
        </is>
      </c>
      <c r="J141" s="17" t="inlineStr">
        <is>
          <t>Prototype: edusave.vercel.app (sample date 18/10/2026)
Chrome (latest)
Build: to be recorded at execution
Needs: ENV-R4-01</t>
        </is>
      </c>
      <c r="K141" s="17" t="inlineStr">
        <is>
          <t>1. The prototype is open at the base state (use Reset data).
2. Signed in as School user Lan Nguyen (BVP-0012), Bukit View Primary.</t>
        </is>
      </c>
      <c r="L141" s="17" t="inlineStr">
        <is>
          <t>Base state: Pending 1, SBFAS approved 1, SBFAS rejected 0. Tabs Pending 1, All 2, Approved 1.</t>
        </is>
      </c>
      <c r="M141" s="17" t="inlineStr">
        <is>
          <t>1. Approve 00398.
2. Read the cards and the tabs.</t>
        </is>
      </c>
      <c r="N141" s="17" t="inlineStr">
        <is>
          <t>1. Cards read Pending 0, SBFAS approved 2 and SBFAS rejected 0.
2. Tabs read Pending without a count, All 2, Approved 2.
3. The Pending tab shows "No applications found."</t>
        </is>
      </c>
      <c r="O141" s="17" t="n"/>
      <c r="P141" s="17" t="inlineStr">
        <is>
          <t>N/A</t>
        </is>
      </c>
      <c r="Q141" s="17" t="n"/>
      <c r="R141" s="17" t="inlineStr">
        <is>
          <t>Tender R4, PB-19, FS F4 v1.3: 8 Any decision, 3.2 item 2, 3.2 item 3</t>
        </is>
      </c>
      <c r="S141" s="17" t="inlineStr">
        <is>
          <t>Observed on the prototype.</t>
        </is>
      </c>
      <c r="T141" s="16" t="inlineStr">
        <is>
          <t>Approve</t>
        </is>
      </c>
    </row>
    <row r="142" ht="106.5" customHeight="1" s="14">
      <c r="A142" s="16" t="inlineStr">
        <is>
          <t>TC-141</t>
        </is>
      </c>
      <c r="B142" s="16" t="inlineStr">
        <is>
          <t>TS-030</t>
        </is>
      </c>
      <c r="C142" s="17" t="inlineStr">
        <is>
          <t>MOE HQ counts update after a school approval</t>
        </is>
      </c>
      <c r="D142" s="17" t="inlineStr">
        <is>
          <t>F4.9 Approve SBFAS</t>
        </is>
      </c>
      <c r="E142" s="17" t="inlineStr">
        <is>
          <t>FAS applications (MOE HQ)</t>
        </is>
      </c>
      <c r="F142" s="16" t="inlineStr">
        <is>
          <t>S2</t>
        </is>
      </c>
      <c r="G142" s="16" t="inlineStr">
        <is>
          <t>Medium</t>
        </is>
      </c>
      <c r="H142" s="16" t="inlineStr">
        <is>
          <t>Not Run</t>
        </is>
      </c>
      <c r="I142" s="16" t="inlineStr">
        <is>
          <t>Functional</t>
        </is>
      </c>
      <c r="J142" s="17" t="inlineStr">
        <is>
          <t>Prototype: edusave.vercel.app (sample date 18/10/2026)
Chrome (latest)
Build: to be recorded at execution
Needs: ENV-R4-01</t>
        </is>
      </c>
      <c r="K142" s="17" t="inlineStr">
        <is>
          <t>1. The prototype is open at the base state (use Reset data).
2. Signed in as MOE HQ (Mei Lin Tan).</t>
        </is>
      </c>
      <c r="L142" s="17" t="inlineStr">
        <is>
          <t>Base state: Total 9, MOEFAS approved 3, Approved 4, Rejected 1</t>
        </is>
      </c>
      <c r="M142" s="17" t="inlineStr">
        <is>
          <t>1. As the school, approve 00398. Log out and sign in as MOE HQ.
2. Read the cards.
3. Open View on 00398.</t>
        </is>
      </c>
      <c r="N142" s="17" t="inlineStr">
        <is>
          <t>1. Cards read Total 9, MOEFAS approved 3, Approved 5 and Rejected 1.
2. 00398 shows Approved with Tier 2 and the drawer has no decision button.</t>
        </is>
      </c>
      <c r="O142" s="17" t="n"/>
      <c r="P142" s="17" t="inlineStr">
        <is>
          <t>N/A</t>
        </is>
      </c>
      <c r="Q142" s="17" t="n"/>
      <c r="R142" s="17" t="inlineStr">
        <is>
          <t>Tender R4, PB-19, FS F4 v1.3: 8 Any decision, 3.1 item 3</t>
        </is>
      </c>
      <c r="S142" s="17" t="inlineStr">
        <is>
          <t>In the prototype the state is kept while the page stays open. In the real build the school and HQ sessions share one database.</t>
        </is>
      </c>
      <c r="T142" s="16" t="inlineStr">
        <is>
          <t>Approve</t>
        </is>
      </c>
    </row>
    <row r="143" ht="106.5" customHeight="1" s="14">
      <c r="A143" s="16" t="inlineStr">
        <is>
          <t>TC-142</t>
        </is>
      </c>
      <c r="B143" s="16" t="inlineStr">
        <is>
          <t>TS-030</t>
        </is>
      </c>
      <c r="C143" s="17" t="inlineStr">
        <is>
          <t>An approved application is read only</t>
        </is>
      </c>
      <c r="D143" s="17" t="inlineStr">
        <is>
          <t>F4.9 Approve SBFAS</t>
        </is>
      </c>
      <c r="E143" s="17" t="inlineStr">
        <is>
          <t>Approve SBFAS dialog</t>
        </is>
      </c>
      <c r="F143" s="16" t="inlineStr">
        <is>
          <t>S2</t>
        </is>
      </c>
      <c r="G143" s="16" t="inlineStr">
        <is>
          <t>High</t>
        </is>
      </c>
      <c r="H143" s="16" t="inlineStr">
        <is>
          <t>Not Run</t>
        </is>
      </c>
      <c r="I143" s="16" t="inlineStr">
        <is>
          <t>Functional</t>
        </is>
      </c>
      <c r="J143" s="17" t="inlineStr">
        <is>
          <t>Prototype: edusave.vercel.app (sample date 18/10/2026)
Chrome (latest)
Build: to be recorded at execution
Needs: ENV-R4-01</t>
        </is>
      </c>
      <c r="K143" s="17" t="inlineStr">
        <is>
          <t>1. The prototype is open at the base state (use Reset data).
2. Signed in as School user Lan Nguyen (BVP-0012), Bukit View Primary.</t>
        </is>
      </c>
      <c r="L143" s="17" t="inlineStr">
        <is>
          <t>Application: APP-2026-00398 approved</t>
        </is>
      </c>
      <c r="M143" s="17" t="inlineStr">
        <is>
          <t>1. Approve 00398.
2. Open View on 00398 and look for fields and buttons.</t>
        </is>
      </c>
      <c r="N143" s="17" t="inlineStr">
        <is>
          <t>1. The drawer has no Reject, no Approve and no editable field.</t>
        </is>
      </c>
      <c r="O143" s="17" t="n"/>
      <c r="P143" s="17" t="inlineStr">
        <is>
          <t>N/A</t>
        </is>
      </c>
      <c r="Q143" s="17" t="n"/>
      <c r="R143" s="17" t="inlineStr">
        <is>
          <t>Tender R4, PB-19, FS F4 v1.3: 8 Any decision, BR6</t>
        </is>
      </c>
      <c r="S143" s="17" t="n"/>
      <c r="T143" s="16" t="inlineStr">
        <is>
          <t>Approve</t>
        </is>
      </c>
    </row>
    <row r="144" ht="194.25" customHeight="1" s="14">
      <c r="A144" s="16" t="inlineStr">
        <is>
          <t>TC-143</t>
        </is>
      </c>
      <c r="B144" s="16" t="inlineStr">
        <is>
          <t>TS-031</t>
        </is>
      </c>
      <c r="C144" s="17" t="inlineStr">
        <is>
          <t>Reject dialog shows the reasons, the hint and the disabled button</t>
        </is>
      </c>
      <c r="D144" s="17" t="inlineStr">
        <is>
          <t>F4.10 Reject SBFAS</t>
        </is>
      </c>
      <c r="E144" s="17" t="inlineStr">
        <is>
          <t>Reject dialog</t>
        </is>
      </c>
      <c r="F144" s="16" t="inlineStr">
        <is>
          <t>S1 (highest)</t>
        </is>
      </c>
      <c r="G144" s="16" t="inlineStr">
        <is>
          <t>High</t>
        </is>
      </c>
      <c r="H144" s="16" t="inlineStr">
        <is>
          <t>Not Run</t>
        </is>
      </c>
      <c r="I144" s="16" t="inlineStr">
        <is>
          <t>Functional</t>
        </is>
      </c>
      <c r="J144" s="17" t="inlineStr">
        <is>
          <t>Prototype: edusave.vercel.app (sample date 18/10/2026)
Chrome (latest)
Build: to be recorded at execution
Needs: ENV-R4-01</t>
        </is>
      </c>
      <c r="K144" s="17" t="inlineStr">
        <is>
          <t>1. The prototype is open at the base state (use Reset data).
2. Signed in as School user Lan Nguyen (BVP-0012), Bukit View Primary.</t>
        </is>
      </c>
      <c r="L144" s="17" t="inlineStr">
        <is>
          <t>Application: APP-2026-00398</t>
        </is>
      </c>
      <c r="M144" s="17" t="inlineStr">
        <is>
          <t>1. Click Review on 00398 and click Reject.
2. Read the dialog and open the Reason list.</t>
        </is>
      </c>
      <c r="N144" s="17" t="inlineStr">
        <is>
          <t>1. The title is "Reject application" and the subtitle reads "FUNCTION 4 · SBFAS · APP-2026-00398 · Daniel Ong · P2".
2. Reason * starts on "Select reason" and lists Income above limit, Not eligible nationality, Incomplete documents and Other.
3. The hint reads "Reasons: Income above limit · Not eligible nationality · Incomplete documents · Other".
4. Comment * shows the placeholder "Explain the decision. Parent receives the reason by email." and the counter 0/500.
5. Reject application is disabled.</t>
        </is>
      </c>
      <c r="O144" s="17" t="n"/>
      <c r="P144" s="17" t="inlineStr">
        <is>
          <t>N/A</t>
        </is>
      </c>
      <c r="Q144" s="17" t="n"/>
      <c r="R144" s="17" t="inlineStr">
        <is>
          <t>Tender R4, PB-19, FS F4 v1.3: 6.2, BR11</t>
        </is>
      </c>
      <c r="S144" s="17" t="inlineStr">
        <is>
          <t>Compare CMP-41.</t>
        </is>
      </c>
      <c r="T144" s="16" t="inlineStr">
        <is>
          <t>Approve</t>
        </is>
      </c>
    </row>
    <row r="145" ht="106.5" customHeight="1" s="14">
      <c r="A145" s="16" t="inlineStr">
        <is>
          <t>TC-144</t>
        </is>
      </c>
      <c r="B145" s="16" t="inlineStr">
        <is>
          <t>TS-031</t>
        </is>
      </c>
      <c r="C145" s="17" t="inlineStr">
        <is>
          <t>Reject stays disabled until both reason and comment are filled</t>
        </is>
      </c>
      <c r="D145" s="17" t="inlineStr">
        <is>
          <t>F4.10 Reject SBFAS</t>
        </is>
      </c>
      <c r="E145" s="17" t="inlineStr">
        <is>
          <t>Reject dialog</t>
        </is>
      </c>
      <c r="F145" s="16" t="inlineStr">
        <is>
          <t>S1 (highest)</t>
        </is>
      </c>
      <c r="G145" s="16" t="inlineStr">
        <is>
          <t>Critical</t>
        </is>
      </c>
      <c r="H145" s="16" t="inlineStr">
        <is>
          <t>Not Run</t>
        </is>
      </c>
      <c r="I145" s="16" t="inlineStr">
        <is>
          <t>Functional</t>
        </is>
      </c>
      <c r="J145" s="17" t="inlineStr">
        <is>
          <t>Prototype: edusave.vercel.app (sample date 18/10/2026)
Chrome (latest)
Build: to be recorded at execution
Needs: ENV-R4-01</t>
        </is>
      </c>
      <c r="K145" s="17" t="inlineStr">
        <is>
          <t>1. The prototype is open at the base state (use Reset data).
2. Signed in as School user Lan Nguyen (BVP-0012), Bukit View Primary.</t>
        </is>
      </c>
      <c r="L145" s="17" t="inlineStr">
        <is>
          <t>Combinations: empty, reason only, comment only, spaces only in the comment, reason with comment</t>
        </is>
      </c>
      <c r="M145" s="17" t="inlineStr">
        <is>
          <t>1. Click Review on 00398 and click Reject.
2. Try each combination and read the Reject application button.</t>
        </is>
      </c>
      <c r="N145" s="17" t="inlineStr">
        <is>
          <t>1. The button is disabled for empty, reason only, comment only and a comment of spaces only.
2. The button is enabled when a reason is chosen and the comment has text.</t>
        </is>
      </c>
      <c r="O145" s="17" t="n"/>
      <c r="P145" s="17" t="inlineStr">
        <is>
          <t>N/A</t>
        </is>
      </c>
      <c r="Q145" s="17" t="n"/>
      <c r="R145" s="17" t="inlineStr">
        <is>
          <t>Tender R4, PB-19, FS F4 v1.3: 6.2, BR11</t>
        </is>
      </c>
      <c r="S145" s="17" t="inlineStr">
        <is>
          <t>Compare CMP-41.</t>
        </is>
      </c>
      <c r="T145" s="16" t="inlineStr">
        <is>
          <t>Approve</t>
        </is>
      </c>
    </row>
    <row r="146" ht="106.5" customHeight="1" s="14">
      <c r="A146" s="16" t="inlineStr">
        <is>
          <t>TC-145</t>
        </is>
      </c>
      <c r="B146" s="16" t="inlineStr">
        <is>
          <t>TS-031</t>
        </is>
      </c>
      <c r="C146" s="17" t="inlineStr">
        <is>
          <t>Reject comment accepts 500 characters and blocks 501</t>
        </is>
      </c>
      <c r="D146" s="17" t="inlineStr">
        <is>
          <t>F4.10 Reject SBFAS</t>
        </is>
      </c>
      <c r="E146" s="17" t="inlineStr">
        <is>
          <t>Reject dialog</t>
        </is>
      </c>
      <c r="F146" s="16" t="inlineStr">
        <is>
          <t>S2</t>
        </is>
      </c>
      <c r="G146" s="16" t="inlineStr">
        <is>
          <t>High</t>
        </is>
      </c>
      <c r="H146" s="16" t="inlineStr">
        <is>
          <t>Not Run</t>
        </is>
      </c>
      <c r="I146" s="16" t="inlineStr">
        <is>
          <t>Functional</t>
        </is>
      </c>
      <c r="J146" s="17" t="inlineStr">
        <is>
          <t>Prototype: edusave.vercel.app (sample date 18/10/2026)
Chrome (latest)
Build: to be recorded at execution
Needs: ENV-R4-01</t>
        </is>
      </c>
      <c r="K146" s="17" t="inlineStr">
        <is>
          <t>1. The prototype is open at the base state (use Reset data).
2. Signed in as School user Lan Nguyen (BVP-0012), Bukit View Primary.</t>
        </is>
      </c>
      <c r="L146" s="17" t="inlineStr">
        <is>
          <t>Comments of 499, 500 and 501 characters</t>
        </is>
      </c>
      <c r="M146" s="17" t="inlineStr">
        <is>
          <t>1. Click Review on 00398, click Reject and choose a reason.
2. Enter 499, 500 and 501 characters in turn.
3. Read the counter and the button each time.</t>
        </is>
      </c>
      <c r="N146" s="17" t="inlineStr">
        <is>
          <t>1. At 499 and 500 characters the button is enabled and the counter reads 499/500 and 500/500.
2. At 501 characters the button is disabled and the counter reads 501/500.</t>
        </is>
      </c>
      <c r="O146" s="17" t="n"/>
      <c r="P146" s="17" t="inlineStr">
        <is>
          <t>N/A</t>
        </is>
      </c>
      <c r="Q146" s="17" t="n"/>
      <c r="R146" s="17" t="inlineStr">
        <is>
          <t>Tender R4, PB-19, FS F4 v1.3: 6.2, BR11</t>
        </is>
      </c>
      <c r="S146" s="17" t="inlineStr">
        <is>
          <t>Compare CMP-41.</t>
        </is>
      </c>
      <c r="T146" s="16" t="inlineStr">
        <is>
          <t>Approve</t>
        </is>
      </c>
    </row>
    <row r="147" ht="106.5" customHeight="1" s="14">
      <c r="A147" s="16" t="inlineStr">
        <is>
          <t>TC-146</t>
        </is>
      </c>
      <c r="B147" s="16" t="inlineStr">
        <is>
          <t>TS-031</t>
        </is>
      </c>
      <c r="C147" s="17" t="inlineStr">
        <is>
          <t>Each reason value is accepted</t>
        </is>
      </c>
      <c r="D147" s="17" t="inlineStr">
        <is>
          <t>F4.10 Reject SBFAS</t>
        </is>
      </c>
      <c r="E147" s="17" t="inlineStr">
        <is>
          <t>Reject dialog</t>
        </is>
      </c>
      <c r="F147" s="16" t="inlineStr">
        <is>
          <t>S3</t>
        </is>
      </c>
      <c r="G147" s="16" t="inlineStr">
        <is>
          <t>Medium</t>
        </is>
      </c>
      <c r="H147" s="16" t="inlineStr">
        <is>
          <t>Not Run</t>
        </is>
      </c>
      <c r="I147" s="16" t="inlineStr">
        <is>
          <t>Functional</t>
        </is>
      </c>
      <c r="J147" s="17" t="inlineStr">
        <is>
          <t>Prototype: edusave.vercel.app (sample date 18/10/2026)
Chrome (latest)
Build: to be recorded at execution
Needs: ENV-R4-01</t>
        </is>
      </c>
      <c r="K147" s="17" t="inlineStr">
        <is>
          <t>1. The prototype is open at the base state (use Reset data).
2. Signed in as School user Lan Nguyen (BVP-0012), Bukit View Primary.</t>
        </is>
      </c>
      <c r="L147" s="17" t="inlineStr">
        <is>
          <t>Reasons: Income above limit, Not eligible nationality, Incomplete documents, Other</t>
        </is>
      </c>
      <c r="M147" s="17" t="inlineStr">
        <is>
          <t>1. For each reason, reset the data, open Review on 00398, reject with that reason and a comment, then read the Decision block.</t>
        </is>
      </c>
      <c r="N147" s="17" t="inlineStr">
        <is>
          <t>1. The Decision block shows the chosen reason each time.</t>
        </is>
      </c>
      <c r="O147" s="17" t="n"/>
      <c r="P147" s="17" t="inlineStr">
        <is>
          <t>N/A</t>
        </is>
      </c>
      <c r="Q147" s="17" t="n"/>
      <c r="R147" s="17" t="inlineStr">
        <is>
          <t>Tender R4, PB-19, FS F4 v1.3: 6.2</t>
        </is>
      </c>
      <c r="S147" s="17" t="n"/>
      <c r="T147" s="16" t="inlineStr">
        <is>
          <t>Approve</t>
        </is>
      </c>
    </row>
    <row r="148" ht="106.5" customHeight="1" s="14">
      <c r="A148" s="16" t="inlineStr">
        <is>
          <t>TC-147</t>
        </is>
      </c>
      <c r="B148" s="16" t="inlineStr">
        <is>
          <t>TS-031</t>
        </is>
      </c>
      <c r="C148" s="17" t="inlineStr">
        <is>
          <t>Cancel closes the reject dialog and changes nothing</t>
        </is>
      </c>
      <c r="D148" s="17" t="inlineStr">
        <is>
          <t>F4.10 Reject SBFAS</t>
        </is>
      </c>
      <c r="E148" s="17" t="inlineStr">
        <is>
          <t>Reject dialog</t>
        </is>
      </c>
      <c r="F148" s="16" t="inlineStr">
        <is>
          <t>S3</t>
        </is>
      </c>
      <c r="G148" s="16" t="inlineStr">
        <is>
          <t>Medium</t>
        </is>
      </c>
      <c r="H148" s="16" t="inlineStr">
        <is>
          <t>Not Run</t>
        </is>
      </c>
      <c r="I148" s="16" t="inlineStr">
        <is>
          <t>Functional</t>
        </is>
      </c>
      <c r="J148" s="17" t="inlineStr">
        <is>
          <t>Prototype: edusave.vercel.app (sample date 18/10/2026)
Chrome (latest)
Build: to be recorded at execution
Needs: ENV-R4-01</t>
        </is>
      </c>
      <c r="K148" s="17" t="inlineStr">
        <is>
          <t>1. The prototype is open at the base state (use Reset data).
2. Signed in as School user Lan Nguyen (BVP-0012), Bukit View Primary.</t>
        </is>
      </c>
      <c r="L148" s="17" t="inlineStr">
        <is>
          <t>Application: APP-2026-00398</t>
        </is>
      </c>
      <c r="M148" s="17" t="inlineStr">
        <is>
          <t>1. Click Review on 00398, click Reject, choose a reason, type a comment and click Cancel.
2. Read 00398 in the Pending tab.</t>
        </is>
      </c>
      <c r="N148" s="17" t="inlineStr">
        <is>
          <t>1. The dialog closes and 00398 is still Pending with no History row added.</t>
        </is>
      </c>
      <c r="O148" s="17" t="n"/>
      <c r="P148" s="17" t="inlineStr">
        <is>
          <t>N/A</t>
        </is>
      </c>
      <c r="Q148" s="17" t="n"/>
      <c r="R148" s="17" t="inlineStr">
        <is>
          <t>Tender R4, PB-19, FS F4 v1.3: 6.2</t>
        </is>
      </c>
      <c r="S148" s="17" t="n"/>
      <c r="T148" s="16" t="inlineStr">
        <is>
          <t>Approve</t>
        </is>
      </c>
    </row>
    <row r="149" ht="121.5" customHeight="1" s="14">
      <c r="A149" s="16" t="inlineStr">
        <is>
          <t>TC-148</t>
        </is>
      </c>
      <c r="B149" s="16" t="inlineStr">
        <is>
          <t>TS-032</t>
        </is>
      </c>
      <c r="C149" s="17" t="inlineStr">
        <is>
          <t>Reject saves the reason, the comment and the decider</t>
        </is>
      </c>
      <c r="D149" s="17" t="inlineStr">
        <is>
          <t>F4.10 Reject SBFAS</t>
        </is>
      </c>
      <c r="E149" s="17" t="inlineStr">
        <is>
          <t>Reject dialog</t>
        </is>
      </c>
      <c r="F149" s="16" t="inlineStr">
        <is>
          <t>S1 (highest)</t>
        </is>
      </c>
      <c r="G149" s="16" t="inlineStr">
        <is>
          <t>Critical</t>
        </is>
      </c>
      <c r="H149" s="16" t="inlineStr">
        <is>
          <t>Not Run</t>
        </is>
      </c>
      <c r="I149" s="16" t="inlineStr">
        <is>
          <t>Functional</t>
        </is>
      </c>
      <c r="J149" s="17" t="inlineStr">
        <is>
          <t>Prototype: edusave.vercel.app (sample date 18/10/2026)
Chrome (latest)
Build: to be recorded at execution
Needs: ENV-R4-01</t>
        </is>
      </c>
      <c r="K149" s="17" t="inlineStr">
        <is>
          <t>1. The prototype is open at the base state (use Reset data).
2. Signed in as School user Lan Nguyen (BVP-0012), Bukit View Primary.</t>
        </is>
      </c>
      <c r="L149" s="17" t="inlineStr">
        <is>
          <t>Application: APP-2026-00398, reason Income above limit, comment "Household income is above the limit of every tier."</t>
        </is>
      </c>
      <c r="M149" s="17" t="inlineStr">
        <is>
          <t>1. Click Review on 00398 and click Reject.
2. Choose the reason, enter the comment and click Reject application.
3. Open the Rejected tab and click View on 00398.</t>
        </is>
      </c>
      <c r="N149" s="17" t="inlineStr">
        <is>
          <t>1. A toast reads "Application rejected. Parent notified by email."
2. The row shows Status Rejected and an empty Tier.
3. The Decision block shows Result Rejected, Reason "Income above limit", the Comment and Decided by "Lan Nguyen (BVP-0012)" with the date and time.</t>
        </is>
      </c>
      <c r="O149" s="17" t="n"/>
      <c r="P149" s="17" t="inlineStr">
        <is>
          <t>N/A</t>
        </is>
      </c>
      <c r="Q149" s="17" t="n"/>
      <c r="R149" s="17" t="inlineStr">
        <is>
          <t>Tender R4, PB-19, FS F4 v1.3: 6.2, 8 SBFAS rejected, BR11</t>
        </is>
      </c>
      <c r="S149" s="17" t="inlineStr">
        <is>
          <t>Observed on the prototype.</t>
        </is>
      </c>
      <c r="T149" s="16" t="inlineStr">
        <is>
          <t>Approve</t>
        </is>
      </c>
    </row>
    <row r="150" ht="106.5" customHeight="1" s="14">
      <c r="A150" s="16" t="inlineStr">
        <is>
          <t>TC-149</t>
        </is>
      </c>
      <c r="B150" s="16" t="inlineStr">
        <is>
          <t>TS-032</t>
        </is>
      </c>
      <c r="C150" s="17" t="inlineStr">
        <is>
          <t>History lists the rejection and the email with the reason</t>
        </is>
      </c>
      <c r="D150" s="17" t="inlineStr">
        <is>
          <t>F4.10 Reject SBFAS</t>
        </is>
      </c>
      <c r="E150" s="17" t="inlineStr">
        <is>
          <t>Reject dialog</t>
        </is>
      </c>
      <c r="F150" s="16" t="inlineStr">
        <is>
          <t>S2</t>
        </is>
      </c>
      <c r="G150" s="16" t="inlineStr">
        <is>
          <t>High</t>
        </is>
      </c>
      <c r="H150" s="16" t="inlineStr">
        <is>
          <t>Not Run</t>
        </is>
      </c>
      <c r="I150" s="16" t="inlineStr">
        <is>
          <t>Functional</t>
        </is>
      </c>
      <c r="J150" s="17" t="inlineStr">
        <is>
          <t>Prototype: edusave.vercel.app (sample date 18/10/2026)
Chrome (latest)
Build: to be recorded at execution
Needs: ENV-R4-01</t>
        </is>
      </c>
      <c r="K150" s="17" t="inlineStr">
        <is>
          <t>1. The prototype is open at the base state (use Reset data).
2. Signed in as School user Lan Nguyen (BVP-0012), Bukit View Primary.</t>
        </is>
      </c>
      <c r="L150" s="17" t="inlineStr">
        <is>
          <t>Application: APP-2026-00398 rejected</t>
        </is>
      </c>
      <c r="M150" s="17" t="inlineStr">
        <is>
          <t>1. Reject 00398 as above.
2. Open View and read the History.</t>
        </is>
      </c>
      <c r="N150" s="17" t="inlineStr">
        <is>
          <t>1. The last two rows are "Rejected · Income above limit" and "Email with reason sent to parent".</t>
        </is>
      </c>
      <c r="O150" s="17" t="n"/>
      <c r="P150" s="17" t="inlineStr">
        <is>
          <t>ASM-R4-13: After an approval the email states the result and the effective date. After a rejection it states the reason. One email is sent per decision.</t>
        </is>
      </c>
      <c r="Q150" s="17" t="n"/>
      <c r="R150" s="17" t="inlineStr">
        <is>
          <t>Tender R4, PB-19, FS F4 v1.3: 8 SBFAS rejected, BR11</t>
        </is>
      </c>
      <c r="S150" s="17" t="inlineStr">
        <is>
          <t>Observed on the prototype.</t>
        </is>
      </c>
      <c r="T150" s="16" t="inlineStr">
        <is>
          <t>Draft</t>
        </is>
      </c>
    </row>
    <row r="151" ht="106.5" customHeight="1" s="14">
      <c r="A151" s="16" t="inlineStr">
        <is>
          <t>TC-150</t>
        </is>
      </c>
      <c r="B151" s="16" t="inlineStr">
        <is>
          <t>TS-032</t>
        </is>
      </c>
      <c r="C151" s="17" t="inlineStr">
        <is>
          <t>Cards and tabs update after the rejection</t>
        </is>
      </c>
      <c r="D151" s="17" t="inlineStr">
        <is>
          <t>F4.10 Reject SBFAS</t>
        </is>
      </c>
      <c r="E151" s="17" t="inlineStr">
        <is>
          <t>Reject dialog</t>
        </is>
      </c>
      <c r="F151" s="16" t="inlineStr">
        <is>
          <t>S2</t>
        </is>
      </c>
      <c r="G151" s="16" t="inlineStr">
        <is>
          <t>High</t>
        </is>
      </c>
      <c r="H151" s="16" t="inlineStr">
        <is>
          <t>Not Run</t>
        </is>
      </c>
      <c r="I151" s="16" t="inlineStr">
        <is>
          <t>Functional</t>
        </is>
      </c>
      <c r="J151" s="17" t="inlineStr">
        <is>
          <t>Prototype: edusave.vercel.app (sample date 18/10/2026)
Chrome (latest)
Build: to be recorded at execution
Needs: ENV-R4-01</t>
        </is>
      </c>
      <c r="K151" s="17" t="inlineStr">
        <is>
          <t>1. The prototype is open at the base state (use Reset data).
2. Signed in as School user Lan Nguyen (BVP-0012), Bukit View Primary.</t>
        </is>
      </c>
      <c r="L151" s="17" t="inlineStr">
        <is>
          <t>Base state: Pending 1, SBFAS approved 1, SBFAS rejected 0</t>
        </is>
      </c>
      <c r="M151" s="17" t="inlineStr">
        <is>
          <t>1. Reject 00398.
2. Read the cards and the tabs.</t>
        </is>
      </c>
      <c r="N151" s="17" t="inlineStr">
        <is>
          <t>1. Cards read Pending 0, SBFAS approved 1 and SBFAS rejected 1.
2. Tabs read Pending without a count, All 2, Approved 1 and Rejected 1.</t>
        </is>
      </c>
      <c r="O151" s="17" t="n"/>
      <c r="P151" s="17" t="inlineStr">
        <is>
          <t>N/A</t>
        </is>
      </c>
      <c r="Q151" s="17" t="n"/>
      <c r="R151" s="17" t="inlineStr">
        <is>
          <t>Tender R4, PB-19, FS F4 v1.3: 8 Any decision, 3.2 item 2</t>
        </is>
      </c>
      <c r="S151" s="17" t="inlineStr">
        <is>
          <t>Observed on the prototype.</t>
        </is>
      </c>
      <c r="T151" s="16" t="inlineStr">
        <is>
          <t>Approve</t>
        </is>
      </c>
    </row>
    <row r="152" ht="106.5" customHeight="1" s="14">
      <c r="A152" s="16" t="inlineStr">
        <is>
          <t>TC-151</t>
        </is>
      </c>
      <c r="B152" s="16" t="inlineStr">
        <is>
          <t>TS-032</t>
        </is>
      </c>
      <c r="C152" s="17" t="inlineStr">
        <is>
          <t>Parent receives an email with the reason</t>
        </is>
      </c>
      <c r="D152" s="17" t="inlineStr">
        <is>
          <t>F4.10 Reject SBFAS</t>
        </is>
      </c>
      <c r="E152" s="17" t="inlineStr">
        <is>
          <t>Reject dialog</t>
        </is>
      </c>
      <c r="F152" s="16" t="inlineStr">
        <is>
          <t>S1 (highest)</t>
        </is>
      </c>
      <c r="G152" s="16" t="inlineStr">
        <is>
          <t>High</t>
        </is>
      </c>
      <c r="H152" s="16" t="inlineStr">
        <is>
          <t>Not Run</t>
        </is>
      </c>
      <c r="I152" s="16" t="inlineStr">
        <is>
          <t>Integration</t>
        </is>
      </c>
      <c r="J152" s="17" t="inlineStr">
        <is>
          <t>F4 build with API (not available yet)
Chrome (latest)
Build: to be recorded at execution
Needs: ENV-R4-02, ENV-R4-05</t>
        </is>
      </c>
      <c r="K152" s="17" t="inlineStr">
        <is>
          <t>1. The F4 build is connected to the email service.
2. Signed in as a School Admin.</t>
        </is>
      </c>
      <c r="L152" s="17" t="inlineStr">
        <is>
          <t>Application: Pending SBFAS application of a parent with a test mailbox</t>
        </is>
      </c>
      <c r="M152" s="17" t="inlineStr">
        <is>
          <t>1. Reject the application with reason "Incomplete documents".
2. Open the parent mailbox (Email inbox simulation).</t>
        </is>
      </c>
      <c r="N152" s="17" t="inlineStr">
        <is>
          <t>1. One email is received.
2. It states the application was rejected and gives the reason and the comment.</t>
        </is>
      </c>
      <c r="O152" s="17" t="n"/>
      <c r="P152" s="17" t="inlineStr">
        <is>
          <t>ASM-R4-13: After an approval the email states the result and the effective date. After a rejection it states the reason. One email is sent per decision.</t>
        </is>
      </c>
      <c r="Q152" s="17" t="n"/>
      <c r="R152" s="17" t="inlineStr">
        <is>
          <t>Tender R4, PB-19, FS F4 v1.3: 8 SBFAS rejected, BR11</t>
        </is>
      </c>
      <c r="S152" s="17" t="n"/>
      <c r="T152" s="16" t="inlineStr">
        <is>
          <t>Draft</t>
        </is>
      </c>
    </row>
    <row r="153" ht="106.5" customHeight="1" s="14">
      <c r="A153" s="16" t="inlineStr">
        <is>
          <t>TC-152</t>
        </is>
      </c>
      <c r="B153" s="16" t="inlineStr">
        <is>
          <t>TS-032</t>
        </is>
      </c>
      <c r="C153" s="17" t="inlineStr">
        <is>
          <t>A rejected application is read only</t>
        </is>
      </c>
      <c r="D153" s="17" t="inlineStr">
        <is>
          <t>F4.10 Reject SBFAS</t>
        </is>
      </c>
      <c r="E153" s="17" t="inlineStr">
        <is>
          <t>Reject dialog</t>
        </is>
      </c>
      <c r="F153" s="16" t="inlineStr">
        <is>
          <t>S2</t>
        </is>
      </c>
      <c r="G153" s="16" t="inlineStr">
        <is>
          <t>Medium</t>
        </is>
      </c>
      <c r="H153" s="16" t="inlineStr">
        <is>
          <t>Not Run</t>
        </is>
      </c>
      <c r="I153" s="16" t="inlineStr">
        <is>
          <t>Functional</t>
        </is>
      </c>
      <c r="J153" s="17" t="inlineStr">
        <is>
          <t>Prototype: edusave.vercel.app (sample date 18/10/2026)
Chrome (latest)
Build: to be recorded at execution
Needs: ENV-R4-01</t>
        </is>
      </c>
      <c r="K153" s="17" t="inlineStr">
        <is>
          <t>1. The prototype is open at the base state (use Reset data).
2. Signed in as School user Lan Nguyen (BVP-0012), Bukit View Primary.</t>
        </is>
      </c>
      <c r="L153" s="17" t="inlineStr">
        <is>
          <t>Application: APP-2026-00398 rejected</t>
        </is>
      </c>
      <c r="M153" s="17" t="inlineStr">
        <is>
          <t>1. Reject 00398 and open View on it.</t>
        </is>
      </c>
      <c r="N153" s="17" t="inlineStr">
        <is>
          <t>1. The drawer has no Reject, no Approve and no editable field.</t>
        </is>
      </c>
      <c r="O153" s="17" t="n"/>
      <c r="P153" s="17" t="inlineStr">
        <is>
          <t>N/A</t>
        </is>
      </c>
      <c r="Q153" s="17" t="n"/>
      <c r="R153" s="17" t="inlineStr">
        <is>
          <t>Tender R4, PB-19, FS F4 v1.3: 8 Any decision, BR6</t>
        </is>
      </c>
      <c r="S153" s="17" t="n"/>
      <c r="T153" s="16" t="inlineStr">
        <is>
          <t>Approve</t>
        </is>
      </c>
    </row>
    <row r="154" ht="106.5" customHeight="1" s="14">
      <c r="A154" s="16" t="inlineStr">
        <is>
          <t>TC-153</t>
        </is>
      </c>
      <c r="B154" s="16" t="inlineStr">
        <is>
          <t>TS-033</t>
        </is>
      </c>
      <c r="C154" s="17" t="inlineStr">
        <is>
          <t>A second user deciding the same application gets the already decided message</t>
        </is>
      </c>
      <c r="D154" s="17" t="inlineStr">
        <is>
          <t>F4.11 One decision per application</t>
        </is>
      </c>
      <c r="E154" s="17" t="inlineStr">
        <is>
          <t>Approve SBFAS dialog</t>
        </is>
      </c>
      <c r="F154" s="16" t="inlineStr">
        <is>
          <t>S1 (highest)</t>
        </is>
      </c>
      <c r="G154" s="16" t="inlineStr">
        <is>
          <t>Critical</t>
        </is>
      </c>
      <c r="H154" s="16" t="inlineStr">
        <is>
          <t>Not Run</t>
        </is>
      </c>
      <c r="I154" s="16" t="inlineStr">
        <is>
          <t>Functional</t>
        </is>
      </c>
      <c r="J154" s="17" t="inlineStr">
        <is>
          <t>F4 build with API (not available yet)
Chrome (latest)
Build: to be recorded at execution
Needs: ENV-R4-02, ENV-R4-03</t>
        </is>
      </c>
      <c r="K154" s="17" t="inlineStr">
        <is>
          <t>1. The F4 build is running.
2. Two School Admin sessions of the same school are open.</t>
        </is>
      </c>
      <c r="L154" s="17" t="inlineStr">
        <is>
          <t>Application: Pending SBFAS application of that school
Session A and session B both have the Review drawer open</t>
        </is>
      </c>
      <c r="M154" s="17" t="inlineStr">
        <is>
          <t>1. In session A approve the application with Tier 2.
2. In session B reject the application.
3. Read the message in session B.
4. Refresh session B and open View.</t>
        </is>
      </c>
      <c r="N154" s="17" t="inlineStr">
        <is>
          <t>1. Session B shows "This application was already decided by {user} on {date}." with the name of session A and the date.
2. The application stays Approved with Tier 2.
3. No second email is sent.</t>
        </is>
      </c>
      <c r="O154" s="17" t="n"/>
      <c r="P154" s="17" t="inlineStr">
        <is>
          <t>N/A</t>
        </is>
      </c>
      <c r="Q154" s="17" t="n"/>
      <c r="R154" s="17" t="inlineStr">
        <is>
          <t>Tender R4, PB-19, FS F4 v1.3: BR6, 8 Any decision</t>
        </is>
      </c>
      <c r="S154" s="17" t="n"/>
      <c r="T154" s="16" t="inlineStr">
        <is>
          <t>Approve</t>
        </is>
      </c>
    </row>
    <row r="155" ht="106.5" customHeight="1" s="14">
      <c r="A155" s="16" t="inlineStr">
        <is>
          <t>TC-154</t>
        </is>
      </c>
      <c r="B155" s="16" t="inlineStr">
        <is>
          <t>TS-033</t>
        </is>
      </c>
      <c r="C155" s="17" t="inlineStr">
        <is>
          <t>Two approvals at the same moment save one decision</t>
        </is>
      </c>
      <c r="D155" s="17" t="inlineStr">
        <is>
          <t>F4.11 One decision per application</t>
        </is>
      </c>
      <c r="E155" s="17" t="inlineStr">
        <is>
          <t>Approve SBFAS dialog</t>
        </is>
      </c>
      <c r="F155" s="16" t="inlineStr">
        <is>
          <t>S1 (highest)</t>
        </is>
      </c>
      <c r="G155" s="16" t="inlineStr">
        <is>
          <t>Critical</t>
        </is>
      </c>
      <c r="H155" s="16" t="inlineStr">
        <is>
          <t>Not Run</t>
        </is>
      </c>
      <c r="I155" s="16" t="inlineStr">
        <is>
          <t>Functional</t>
        </is>
      </c>
      <c r="J155" s="17" t="inlineStr">
        <is>
          <t>F4 build with API (not available yet)
Chrome (latest)
Build: to be recorded at execution
Needs: ENV-R4-02, ENV-R4-03</t>
        </is>
      </c>
      <c r="K155" s="17" t="inlineStr">
        <is>
          <t>1. The F4 build is running with two sessions and a way to delay one request.</t>
        </is>
      </c>
      <c r="L155" s="17" t="inlineStr">
        <is>
          <t>Application: Pending SBFAS application</t>
        </is>
      </c>
      <c r="M155" s="17" t="inlineStr">
        <is>
          <t>1. Send the approve request from both sessions at the same time with different tiers.
2. Read both responses and the application.</t>
        </is>
      </c>
      <c r="N155" s="17" t="inlineStr">
        <is>
          <t>1. One request succeeds. The other gets the already decided message.
2. The application has one decision and one email.</t>
        </is>
      </c>
      <c r="O155" s="17" t="n"/>
      <c r="P155" s="17" t="inlineStr">
        <is>
          <t>N/A</t>
        </is>
      </c>
      <c r="Q155" s="17" t="n"/>
      <c r="R155" s="17" t="inlineStr">
        <is>
          <t>Tender R4, PB-19, FS F4 v1.3: BR6</t>
        </is>
      </c>
      <c r="S155" s="17" t="n"/>
      <c r="T155" s="16" t="inlineStr">
        <is>
          <t>Approve</t>
        </is>
      </c>
    </row>
    <row r="156" ht="106.5" customHeight="1" s="14">
      <c r="A156" s="16" t="inlineStr">
        <is>
          <t>TC-155</t>
        </is>
      </c>
      <c r="B156" s="16" t="inlineStr">
        <is>
          <t>TS-033</t>
        </is>
      </c>
      <c r="C156" s="17" t="inlineStr">
        <is>
          <t>Double click on Confirm approval saves one decision</t>
        </is>
      </c>
      <c r="D156" s="17" t="inlineStr">
        <is>
          <t>F4.11 One decision per application</t>
        </is>
      </c>
      <c r="E156" s="17" t="inlineStr">
        <is>
          <t>Approve SBFAS dialog</t>
        </is>
      </c>
      <c r="F156" s="16" t="inlineStr">
        <is>
          <t>S2</t>
        </is>
      </c>
      <c r="G156" s="16" t="inlineStr">
        <is>
          <t>High</t>
        </is>
      </c>
      <c r="H156" s="16" t="inlineStr">
        <is>
          <t>Not Run</t>
        </is>
      </c>
      <c r="I156" s="16" t="inlineStr">
        <is>
          <t>Functional</t>
        </is>
      </c>
      <c r="J156" s="17" t="inlineStr">
        <is>
          <t>Prototype: edusave.vercel.app (sample date 18/10/2026)
Chrome (latest)
Build: to be recorded at execution
Needs: ENV-R4-01</t>
        </is>
      </c>
      <c r="K156" s="17" t="inlineStr">
        <is>
          <t>1. The prototype is open at the base state (use Reset data).
2. Signed in as School user Lan Nguyen (BVP-0012), Bukit View Primary.</t>
        </is>
      </c>
      <c r="L156" s="17" t="inlineStr">
        <is>
          <t>Application: APP-2026-00398</t>
        </is>
      </c>
      <c r="M156" s="17" t="inlineStr">
        <is>
          <t>1. Click Review on 00398, click Approve and double click Confirm approval quickly.
2. Open View on 00398.</t>
        </is>
      </c>
      <c r="N156" s="17" t="inlineStr">
        <is>
          <t>1. The History has one "Approved" row and one email row.
2. The cards count the approval once.</t>
        </is>
      </c>
      <c r="O156" s="17" t="n"/>
      <c r="P156" s="17" t="inlineStr">
        <is>
          <t>N/A</t>
        </is>
      </c>
      <c r="Q156" s="17" t="n"/>
      <c r="R156" s="17" t="inlineStr">
        <is>
          <t>Tender R4, PB-19, FS F4 v1.3: BR6</t>
        </is>
      </c>
      <c r="S156" s="17" t="n"/>
      <c r="T156" s="16" t="inlineStr">
        <is>
          <t>Approve</t>
        </is>
      </c>
    </row>
    <row r="157" ht="92.25" customHeight="1" s="14">
      <c r="A157" s="16" t="inlineStr">
        <is>
          <t>TC-156</t>
        </is>
      </c>
      <c r="B157" s="16" t="inlineStr">
        <is>
          <t>TS-033</t>
        </is>
      </c>
      <c r="C157" s="17" t="inlineStr">
        <is>
          <t>A failed save leaves the application Pending</t>
        </is>
      </c>
      <c r="D157" s="17" t="inlineStr">
        <is>
          <t>F4.11 One decision per application</t>
        </is>
      </c>
      <c r="E157" s="17" t="inlineStr">
        <is>
          <t>Approve SBFAS dialog</t>
        </is>
      </c>
      <c r="F157" s="16" t="inlineStr">
        <is>
          <t>S2</t>
        </is>
      </c>
      <c r="G157" s="16" t="inlineStr">
        <is>
          <t>High</t>
        </is>
      </c>
      <c r="H157" s="16" t="inlineStr">
        <is>
          <t>Not Run</t>
        </is>
      </c>
      <c r="I157" s="16" t="inlineStr">
        <is>
          <t>Functional</t>
        </is>
      </c>
      <c r="J157" s="17" t="inlineStr">
        <is>
          <t>F4 build with API (not available yet)
Chrome (latest)
Build: to be recorded at execution
Needs: ENV-R4-02</t>
        </is>
      </c>
      <c r="K157" s="17" t="inlineStr">
        <is>
          <t>1. The F4 build is running.
2. The save request can be made to fail (network off or server error).</t>
        </is>
      </c>
      <c r="L157" s="17" t="inlineStr">
        <is>
          <t>Application: Pending SBFAS application</t>
        </is>
      </c>
      <c r="M157" s="17" t="inlineStr">
        <is>
          <t>1. Click Approve, choose a tier and click Confirm approval while the save fails.
2. Read the screen and the application.</t>
        </is>
      </c>
      <c r="N157" s="17" t="inlineStr">
        <is>
          <t>1. An error message is shown and the dialog stays open.
2. The application stays Pending and no History row is written.</t>
        </is>
      </c>
      <c r="O157" s="17" t="n"/>
      <c r="P157" s="17" t="inlineStr">
        <is>
          <t>ASM-R4-22: A failed decision shows an error message, leaves the application Pending and writes no History row.</t>
        </is>
      </c>
      <c r="Q157" s="17" t="n"/>
      <c r="R157" s="17" t="inlineStr">
        <is>
          <t>Tender R4, PB-19, FS F4 v1.3: 6.1 Confirm, BR6</t>
        </is>
      </c>
      <c r="S157" s="17" t="n"/>
      <c r="T157" s="16" t="inlineStr">
        <is>
          <t>Draft</t>
        </is>
      </c>
    </row>
    <row r="158" ht="106.5" customHeight="1" s="14">
      <c r="A158" s="16" t="inlineStr">
        <is>
          <t>TC-157</t>
        </is>
      </c>
      <c r="B158" s="16" t="inlineStr">
        <is>
          <t>TS-034</t>
        </is>
      </c>
      <c r="C158" s="17" t="inlineStr">
        <is>
          <t>MOE HQ menu has FAS applications and MOEFAS schemes and no SBFAS schemes</t>
        </is>
      </c>
      <c r="D158" s="17" t="inlineStr">
        <is>
          <t>F4.12 Access and security</t>
        </is>
      </c>
      <c r="E158" s="17" t="inlineStr">
        <is>
          <t>FAS menu (MOE HQ)</t>
        </is>
      </c>
      <c r="F158" s="16" t="inlineStr">
        <is>
          <t>S2</t>
        </is>
      </c>
      <c r="G158" s="16" t="inlineStr">
        <is>
          <t>High</t>
        </is>
      </c>
      <c r="H158" s="16" t="inlineStr">
        <is>
          <t>Not Run</t>
        </is>
      </c>
      <c r="I158" s="16" t="inlineStr">
        <is>
          <t>Security</t>
        </is>
      </c>
      <c r="J158" s="17" t="inlineStr">
        <is>
          <t>Prototype: edusave.vercel.app (sample date 18/10/2026)
Chrome (latest)
Build: to be recorded at execution
Needs: ENV-R4-01</t>
        </is>
      </c>
      <c r="K158" s="17" t="inlineStr">
        <is>
          <t>1. The prototype is open at the base state (use Reset data).
2. Signed in as MOE HQ (Mei Lin Tan).</t>
        </is>
      </c>
      <c r="L158" s="17" t="inlineStr">
        <is>
          <t>Menu group: Financial assistance</t>
        </is>
      </c>
      <c r="M158" s="17" t="inlineStr">
        <is>
          <t>1. Read the Financial assistance group of the left menu.</t>
        </is>
      </c>
      <c r="N158" s="17" t="inlineStr">
        <is>
          <t>1. The group lists FAS applications, MOEFAS schemes and Budget &amp; statistics (F6).
2. There is no SBFAS schemes entry.</t>
        </is>
      </c>
      <c r="O158" s="17" t="n"/>
      <c r="P158" s="17" t="inlineStr">
        <is>
          <t>N/A</t>
        </is>
      </c>
      <c r="Q158" s="17" t="n"/>
      <c r="R158" s="17" t="inlineStr">
        <is>
          <t>Tender R4, PB-19, FS F4 v1.3: 1.2, BR9, 7.1 item 1</t>
        </is>
      </c>
      <c r="S158" s="17" t="inlineStr">
        <is>
          <t>Compare CMP-43.</t>
        </is>
      </c>
      <c r="T158" s="16" t="inlineStr">
        <is>
          <t>Approve</t>
        </is>
      </c>
    </row>
    <row r="159" ht="106.5" customHeight="1" s="14">
      <c r="A159" s="16" t="inlineStr">
        <is>
          <t>TC-158</t>
        </is>
      </c>
      <c r="B159" s="16" t="inlineStr">
        <is>
          <t>TS-034</t>
        </is>
      </c>
      <c r="C159" s="17" t="inlineStr">
        <is>
          <t>School menu has FAS applications and SBFAS schemes and no MOEFAS schemes</t>
        </is>
      </c>
      <c r="D159" s="17" t="inlineStr">
        <is>
          <t>F4.12 Access and security</t>
        </is>
      </c>
      <c r="E159" s="17" t="inlineStr">
        <is>
          <t>FAS menu (School Admin)</t>
        </is>
      </c>
      <c r="F159" s="16" t="inlineStr">
        <is>
          <t>S2</t>
        </is>
      </c>
      <c r="G159" s="16" t="inlineStr">
        <is>
          <t>High</t>
        </is>
      </c>
      <c r="H159" s="16" t="inlineStr">
        <is>
          <t>Not Run</t>
        </is>
      </c>
      <c r="I159" s="16" t="inlineStr">
        <is>
          <t>Security</t>
        </is>
      </c>
      <c r="J159" s="17" t="inlineStr">
        <is>
          <t>Prototype: edusave.vercel.app (sample date 18/10/2026)
Chrome (latest)
Build: to be recorded at execution
Needs: ENV-R4-01</t>
        </is>
      </c>
      <c r="K159" s="17" t="inlineStr">
        <is>
          <t>1. The prototype is open at the base state (use Reset data).
2. Signed in as School user Lan Nguyen (BVP-0012), Bukit View Primary.</t>
        </is>
      </c>
      <c r="L159" s="17" t="inlineStr">
        <is>
          <t>Base state of Bukit View Primary</t>
        </is>
      </c>
      <c r="M159" s="17" t="inlineStr">
        <is>
          <t>1. Read the left menu.</t>
        </is>
      </c>
      <c r="N159" s="17" t="inlineStr">
        <is>
          <t>1. The menu has FAS applications and SBFAS schemes.
2. There is no MOEFAS schemes entry.</t>
        </is>
      </c>
      <c r="O159" s="17" t="n"/>
      <c r="P159" s="17" t="inlineStr">
        <is>
          <t>N/A</t>
        </is>
      </c>
      <c r="Q159" s="17" t="n"/>
      <c r="R159" s="17" t="inlineStr">
        <is>
          <t>Tender R4, PB-19, FS F4 v1.3: 1.2, BR9, 7.1 item 1</t>
        </is>
      </c>
      <c r="S159" s="17" t="inlineStr">
        <is>
          <t>Compare CMP-43.</t>
        </is>
      </c>
      <c r="T159" s="16" t="inlineStr">
        <is>
          <t>Approve</t>
        </is>
      </c>
    </row>
    <row r="160" ht="106.5" customHeight="1" s="14">
      <c r="A160" s="16" t="inlineStr">
        <is>
          <t>TC-159</t>
        </is>
      </c>
      <c r="B160" s="16" t="inlineStr">
        <is>
          <t>TS-034</t>
        </is>
      </c>
      <c r="C160" s="17" t="inlineStr">
        <is>
          <t>Each role sees the data and actions of FS 1.2 and nothing else</t>
        </is>
      </c>
      <c r="D160" s="17" t="inlineStr">
        <is>
          <t>F4.12 Access and security</t>
        </is>
      </c>
      <c r="E160" s="17" t="inlineStr">
        <is>
          <t>FAS applications (MOE HQ)</t>
        </is>
      </c>
      <c r="F160" s="16" t="inlineStr">
        <is>
          <t>S1 (highest)</t>
        </is>
      </c>
      <c r="G160" s="16" t="inlineStr">
        <is>
          <t>Critical</t>
        </is>
      </c>
      <c r="H160" s="16" t="inlineStr">
        <is>
          <t>Not Run</t>
        </is>
      </c>
      <c r="I160" s="16" t="inlineStr">
        <is>
          <t>Security</t>
        </is>
      </c>
      <c r="J160" s="17" t="inlineStr">
        <is>
          <t>Prototype: edusave.vercel.app (sample date 18/10/2026)
Chrome (latest)
Build: to be recorded at execution
Needs: ENV-R4-01</t>
        </is>
      </c>
      <c r="K160" s="17" t="inlineStr">
        <is>
          <t>1. The prototype is open at the base state (use Reset data).
2. Signed in as MOE HQ (Mei Lin Tan).</t>
        </is>
      </c>
      <c r="L160" s="17" t="inlineStr">
        <is>
          <t>Roles: MOE HQ and School Admin</t>
        </is>
      </c>
      <c r="M160" s="17" t="inlineStr">
        <is>
          <t>1. As MOE HQ, read the list and open View on a MOEFAS and an SBFAS application.
2. Log out, sign in as School user BVP-0012 and read the list and the drawer of 00398.</t>
        </is>
      </c>
      <c r="N160" s="17" t="inlineStr">
        <is>
          <t>1. MOE HQ sees all 9 applications of all schools, both schemes, and no decision button.
2. The School Admin sees 2 SBFAS applications of the own school and the decision buttons on the Pending one only.</t>
        </is>
      </c>
      <c r="O160" s="17" t="n"/>
      <c r="P160" s="17" t="inlineStr">
        <is>
          <t>N/A</t>
        </is>
      </c>
      <c r="Q160" s="17" t="n"/>
      <c r="R160" s="17" t="inlineStr">
        <is>
          <t>Tender R4, PB-19, FS F4 v1.3: 1.2, BR2, BR5, BR12</t>
        </is>
      </c>
      <c r="S160" s="17" t="inlineStr">
        <is>
          <t>Compare CMP-28: the prototype names the role "School user".</t>
        </is>
      </c>
      <c r="T160" s="16" t="inlineStr">
        <is>
          <t>Approve</t>
        </is>
      </c>
    </row>
    <row r="161" ht="92.25" customHeight="1" s="14">
      <c r="A161" s="16" t="inlineStr">
        <is>
          <t>TC-160</t>
        </is>
      </c>
      <c r="B161" s="16" t="inlineStr">
        <is>
          <t>TS-034</t>
        </is>
      </c>
      <c r="C161" s="17" t="inlineStr">
        <is>
          <t>A Parent cannot open the F4 screens</t>
        </is>
      </c>
      <c r="D161" s="17" t="inlineStr">
        <is>
          <t>F4.12 Access and security</t>
        </is>
      </c>
      <c r="E161" s="17" t="inlineStr">
        <is>
          <t>FAS applications (Parent)</t>
        </is>
      </c>
      <c r="F161" s="16" t="inlineStr">
        <is>
          <t>S1 (highest)</t>
        </is>
      </c>
      <c r="G161" s="16" t="inlineStr">
        <is>
          <t>Critical</t>
        </is>
      </c>
      <c r="H161" s="16" t="inlineStr">
        <is>
          <t>Not Run</t>
        </is>
      </c>
      <c r="I161" s="16" t="inlineStr">
        <is>
          <t>Security</t>
        </is>
      </c>
      <c r="J161" s="17" t="inlineStr">
        <is>
          <t>F4 build with API (not available yet)
Chrome (latest)
Build: to be recorded at execution
Needs: ENV-R4-02</t>
        </is>
      </c>
      <c r="K161" s="17" t="inlineStr">
        <is>
          <t>1. The F4 build is running with a Parent account.</t>
        </is>
      </c>
      <c r="L161" s="17" t="inlineStr">
        <is>
          <t>Parent signed in to the e-Service portal</t>
        </is>
      </c>
      <c r="M161" s="17" t="inlineStr">
        <is>
          <t>1. Look for the Financial assistance menu.
2. Open the FAS applications link directly.</t>
        </is>
      </c>
      <c r="N161" s="17" t="inlineStr">
        <is>
          <t>1. The menu has no FAS applications entry for the Parent.
2. The direct link is refused with "You do not have access." and no application data is returned.</t>
        </is>
      </c>
      <c r="O161" s="17" t="n"/>
      <c r="P161" s="17" t="inlineStr">
        <is>
          <t>ASM-R4-15: A request that the role may not make returns HTTP 403, changes nothing and returns no data. A link to an application of another school shows "You do not have access." (wording of FS v1.1).</t>
        </is>
      </c>
      <c r="Q161" s="17" t="n"/>
      <c r="R161" s="17" t="inlineStr">
        <is>
          <t>Tender R4, PB-19, FS F4 v1.3: 1.2</t>
        </is>
      </c>
      <c r="S161" s="17" t="n"/>
      <c r="T161" s="16" t="inlineStr">
        <is>
          <t>Draft</t>
        </is>
      </c>
    </row>
    <row r="162" ht="92.25" customHeight="1" s="14">
      <c r="A162" s="16" t="inlineStr">
        <is>
          <t>TC-161</t>
        </is>
      </c>
      <c r="B162" s="16" t="inlineStr">
        <is>
          <t>TS-034</t>
        </is>
      </c>
      <c r="C162" s="17" t="inlineStr">
        <is>
          <t>An unauthenticated user is sent to sign in</t>
        </is>
      </c>
      <c r="D162" s="17" t="inlineStr">
        <is>
          <t>F4.12 Access and security</t>
        </is>
      </c>
      <c r="E162" s="17" t="inlineStr">
        <is>
          <t>FAS applications (MOE HQ)</t>
        </is>
      </c>
      <c r="F162" s="16" t="inlineStr">
        <is>
          <t>S1 (highest)</t>
        </is>
      </c>
      <c r="G162" s="16" t="inlineStr">
        <is>
          <t>Critical</t>
        </is>
      </c>
      <c r="H162" s="16" t="inlineStr">
        <is>
          <t>Passed</t>
        </is>
      </c>
      <c r="I162" s="16" t="inlineStr">
        <is>
          <t>Security</t>
        </is>
      </c>
      <c r="J162" s="17" t="inlineStr">
        <is>
          <t>F4 build with API (not available yet)
Chrome (latest)
Build: to be recorded at execution
Needs: ENV-R4-02</t>
        </is>
      </c>
      <c r="K162" s="17" t="inlineStr">
        <is>
          <t>1. The F4 build is running.
2. No user is signed in.</t>
        </is>
      </c>
      <c r="L162" s="17" t="inlineStr">
        <is>
          <t>Open the FAS applications link directly</t>
        </is>
      </c>
      <c r="M162" s="17" t="inlineStr">
        <is>
          <t>1. Open the link.
2. Send a list request to the API without a token.</t>
        </is>
      </c>
      <c r="N162" s="17" t="inlineStr">
        <is>
          <t>1. The page shows the sign in screen and no data.
2. The API answers HTTP 401 with no data.</t>
        </is>
      </c>
      <c r="O162" s="17" t="inlineStr">
        <is>
          <t>Run 26/10/2026 (manual run in the built-in browser and through the API, localhost build). Without a session GET moe-schemes and GET sbfas-schemes both return 401. The redirect of the browser to the sign in page is covered by TC-901.</t>
        </is>
      </c>
      <c r="P162" s="17" t="inlineStr">
        <is>
          <t>N/A</t>
        </is>
      </c>
      <c r="Q162" s="17" t="n"/>
      <c r="R162" s="17" t="inlineStr">
        <is>
          <t>Tender R4, PB-19, FS F4 v1.3: 1.2</t>
        </is>
      </c>
      <c r="S162" s="17" t="n"/>
      <c r="T162" s="16" t="inlineStr">
        <is>
          <t>Approve</t>
        </is>
      </c>
    </row>
    <row r="163" ht="92.25" customHeight="1" s="14">
      <c r="A163" s="16" t="inlineStr">
        <is>
          <t>TC-162</t>
        </is>
      </c>
      <c r="B163" s="16" t="inlineStr">
        <is>
          <t>TS-035</t>
        </is>
      </c>
      <c r="C163" s="17" t="inlineStr">
        <is>
          <t>A School Admin opening an application of another school is refused</t>
        </is>
      </c>
      <c r="D163" s="17" t="inlineStr">
        <is>
          <t>F4.12 Access and security</t>
        </is>
      </c>
      <c r="E163" s="17" t="inlineStr">
        <is>
          <t>Review drawer (School Admin)</t>
        </is>
      </c>
      <c r="F163" s="16" t="inlineStr">
        <is>
          <t>S1 (highest)</t>
        </is>
      </c>
      <c r="G163" s="16" t="inlineStr">
        <is>
          <t>Critical</t>
        </is>
      </c>
      <c r="H163" s="16" t="inlineStr">
        <is>
          <t>Not Run</t>
        </is>
      </c>
      <c r="I163" s="16" t="inlineStr">
        <is>
          <t>Security</t>
        </is>
      </c>
      <c r="J163" s="17" t="inlineStr">
        <is>
          <t>F4 build with API (not available yet)
Chrome (latest)
Build: to be recorded at execution
Needs: ENV-R4-02</t>
        </is>
      </c>
      <c r="K163" s="17" t="inlineStr">
        <is>
          <t>1. The F4 build is running with two School Admin accounts.
2. Signed in as a School Admin of Meridian Secondary.</t>
        </is>
      </c>
      <c r="L163" s="17" t="inlineStr">
        <is>
          <t>Application link of 00398 (Bukit View Primary)</t>
        </is>
      </c>
      <c r="M163" s="17" t="inlineStr">
        <is>
          <t>1. Open the link directly.</t>
        </is>
      </c>
      <c r="N163" s="17" t="inlineStr">
        <is>
          <t>1. The screen shows "You do not have access." and no student, parent or income data.</t>
        </is>
      </c>
      <c r="O163" s="17" t="n"/>
      <c r="P163" s="17" t="inlineStr">
        <is>
          <t>ASM-R4-15: A request that the role may not make returns HTTP 403, changes nothing and returns no data. A link to an application of another school shows "You do not have access." (wording of FS v1.1).</t>
        </is>
      </c>
      <c r="Q163" s="17" t="n"/>
      <c r="R163" s="17" t="inlineStr">
        <is>
          <t>Tender R4, PB-19, FS F4 v1.3: BR12, 1.2</t>
        </is>
      </c>
      <c r="S163" s="17" t="n"/>
      <c r="T163" s="16" t="inlineStr">
        <is>
          <t>Draft</t>
        </is>
      </c>
    </row>
    <row r="164" ht="92.25" customHeight="1" s="14">
      <c r="A164" s="16" t="inlineStr">
        <is>
          <t>TC-163</t>
        </is>
      </c>
      <c r="B164" s="16" t="inlineStr">
        <is>
          <t>TS-035</t>
        </is>
      </c>
      <c r="C164" s="17" t="inlineStr">
        <is>
          <t>The list API ignores a changed school filter for a School Admin</t>
        </is>
      </c>
      <c r="D164" s="17" t="inlineStr">
        <is>
          <t>F4.12 Access and security</t>
        </is>
      </c>
      <c r="E164" s="17" t="inlineStr">
        <is>
          <t>FAS applications API</t>
        </is>
      </c>
      <c r="F164" s="16" t="inlineStr">
        <is>
          <t>S1 (highest)</t>
        </is>
      </c>
      <c r="G164" s="16" t="inlineStr">
        <is>
          <t>Critical</t>
        </is>
      </c>
      <c r="H164" s="16" t="inlineStr">
        <is>
          <t>Not Run</t>
        </is>
      </c>
      <c r="I164" s="16" t="inlineStr">
        <is>
          <t>Security</t>
        </is>
      </c>
      <c r="J164" s="17" t="inlineStr">
        <is>
          <t>F4 build with API (not available yet)
Chrome (latest)
Build: to be recorded at execution
Needs: ENV-R4-02</t>
        </is>
      </c>
      <c r="K164" s="17" t="inlineStr">
        <is>
          <t>1. The F4 build is running.
2. Signed in as a School Admin of Meridian Secondary.</t>
        </is>
      </c>
      <c r="L164" s="17" t="inlineStr">
        <is>
          <t>Request parameter schoolId changed to SCH-01 (Bukit View Primary)</t>
        </is>
      </c>
      <c r="M164" s="17" t="inlineStr">
        <is>
          <t>1. Send the list request with schoolId = SCH-01.
2. Read the response.</t>
        </is>
      </c>
      <c r="N164" s="17" t="inlineStr">
        <is>
          <t>1. The response holds only rows of Meridian Secondary (or is refused with HTTP 403).
2. No row of Bukit View Primary is returned.</t>
        </is>
      </c>
      <c r="O164" s="17" t="n"/>
      <c r="P164" s="17" t="inlineStr">
        <is>
          <t>ASM-R4-15: A request that the role may not make returns HTTP 403, changes nothing and returns no data. A link to an application of another school shows "You do not have access." (wording of FS v1.1).</t>
        </is>
      </c>
      <c r="Q164" s="17" t="n"/>
      <c r="R164" s="17" t="inlineStr">
        <is>
          <t>Tender R4, PB-19, FS F4 v1.3: BR12, 1.2</t>
        </is>
      </c>
      <c r="S164" s="17" t="n"/>
      <c r="T164" s="16" t="inlineStr">
        <is>
          <t>Draft</t>
        </is>
      </c>
    </row>
    <row r="165" ht="92.25" customHeight="1" s="14">
      <c r="A165" s="16" t="inlineStr">
        <is>
          <t>TC-164</t>
        </is>
      </c>
      <c r="B165" s="16" t="inlineStr">
        <is>
          <t>TS-035</t>
        </is>
      </c>
      <c r="C165" s="17" t="inlineStr">
        <is>
          <t>A School Admin cannot open a MOEFAS application</t>
        </is>
      </c>
      <c r="D165" s="17" t="inlineStr">
        <is>
          <t>F4.12 Access and security</t>
        </is>
      </c>
      <c r="E165" s="17" t="inlineStr">
        <is>
          <t>Review drawer (School Admin)</t>
        </is>
      </c>
      <c r="F165" s="16" t="inlineStr">
        <is>
          <t>S1 (highest)</t>
        </is>
      </c>
      <c r="G165" s="16" t="inlineStr">
        <is>
          <t>Critical</t>
        </is>
      </c>
      <c r="H165" s="16" t="inlineStr">
        <is>
          <t>Not Run</t>
        </is>
      </c>
      <c r="I165" s="16" t="inlineStr">
        <is>
          <t>Security</t>
        </is>
      </c>
      <c r="J165" s="17" t="inlineStr">
        <is>
          <t>F4 build with API (not available yet)
Chrome (latest)
Build: to be recorded at execution
Needs: ENV-R4-02</t>
        </is>
      </c>
      <c r="K165" s="17" t="inlineStr">
        <is>
          <t>1. The F4 build is running.
2. Signed in as a School Admin of Bukit View Primary.</t>
        </is>
      </c>
      <c r="L165" s="17" t="inlineStr">
        <is>
          <t>Application link of 00412 (MOEFAS, same school)</t>
        </is>
      </c>
      <c r="M165" s="17" t="inlineStr">
        <is>
          <t>1. Open the link directly.
2. Send a get request for 00412 to the API.</t>
        </is>
      </c>
      <c r="N165" s="17" t="inlineStr">
        <is>
          <t>1. The screen shows "You do not have access."
2. The API refuses the request with HTTP 403 and returns no income data.</t>
        </is>
      </c>
      <c r="O165" s="17" t="n"/>
      <c r="P165" s="17" t="inlineStr">
        <is>
          <t>ASM-R4-15: A request that the role may not make returns HTTP 403, changes nothing and returns no data. A link to an application of another school shows "You do not have access." (wording of FS v1.1).</t>
        </is>
      </c>
      <c r="Q165" s="17" t="n"/>
      <c r="R165" s="17" t="inlineStr">
        <is>
          <t>Tender R4, PB-19, FS F4 v1.3: BR12, 1.2</t>
        </is>
      </c>
      <c r="S165" s="17" t="n"/>
      <c r="T165" s="16" t="inlineStr">
        <is>
          <t>Draft</t>
        </is>
      </c>
    </row>
    <row r="166" ht="92.25" customHeight="1" s="14">
      <c r="A166" s="16" t="inlineStr">
        <is>
          <t>TC-165</t>
        </is>
      </c>
      <c r="B166" s="16" t="inlineStr">
        <is>
          <t>TS-035</t>
        </is>
      </c>
      <c r="C166" s="17" t="inlineStr">
        <is>
          <t>MOE HQ cannot open SBFAS schemes and a School Admin cannot open MOEFAS schemes</t>
        </is>
      </c>
      <c r="D166" s="17" t="inlineStr">
        <is>
          <t>F4.12 Access and security</t>
        </is>
      </c>
      <c r="E166" s="17" t="inlineStr">
        <is>
          <t>FAS schemes</t>
        </is>
      </c>
      <c r="F166" s="16" t="inlineStr">
        <is>
          <t>S1 (highest)</t>
        </is>
      </c>
      <c r="G166" s="16" t="inlineStr">
        <is>
          <t>High</t>
        </is>
      </c>
      <c r="H166" s="16" t="inlineStr">
        <is>
          <t>Failed</t>
        </is>
      </c>
      <c r="I166" s="16" t="inlineStr">
        <is>
          <t>Security</t>
        </is>
      </c>
      <c r="J166" s="17" t="inlineStr">
        <is>
          <t>F4 build with API (not available yet)
Chrome (latest)
Build: to be recorded at execution
Needs: ENV-R4-02</t>
        </is>
      </c>
      <c r="K166" s="17" t="inlineStr">
        <is>
          <t>1. The F4 build is running with both accounts.</t>
        </is>
      </c>
      <c r="L166" s="17" t="inlineStr">
        <is>
          <t>Links to the SBFAS scheme list of Bukit View Primary and to the MOEFAS scheme list</t>
        </is>
      </c>
      <c r="M166" s="17" t="inlineStr">
        <is>
          <t>1. As MOE HQ, open the SBFAS scheme link and send a scheme list request for SBFAS.
2. As a School Admin, open the MOEFAS scheme link.</t>
        </is>
      </c>
      <c r="N166" s="17" t="inlineStr">
        <is>
          <t>1. Both links show "You do not have access." and the API answers HTTP 403 with no data.</t>
        </is>
      </c>
      <c r="O166" s="17" t="inlineStr">
        <is>
          <t>Run 26/10/2026 (manual run in the built-in browser and through the API, localhost build). MOE HQ calling GET sbfas-schemes gets 403 as expected. The School user calling GET moe-schemes gets 200 with 80 rows and GET of one scheme 200. Only POST is refused (403). The menu hides MOEFAS for the school, the API does not.</t>
        </is>
      </c>
      <c r="P166" s="17" t="inlineStr">
        <is>
          <t>ASM-R4-15: A request that the role may not make returns HTTP 403, changes nothing and returns no data. A link to an application of another school shows "You do not have access." (wording of FS v1.1).</t>
        </is>
      </c>
      <c r="Q166" s="17" t="inlineStr">
        <is>
          <t>BUG-R4-013</t>
        </is>
      </c>
      <c r="R166" s="17" t="inlineStr">
        <is>
          <t>Tender R4, PB-19, FS F4 v1.3: BR9, 7.1 item 1</t>
        </is>
      </c>
      <c r="S166" s="17" t="n"/>
      <c r="T166" s="16" t="inlineStr">
        <is>
          <t>Draft</t>
        </is>
      </c>
    </row>
    <row r="167" ht="106.5" customHeight="1" s="14">
      <c r="A167" s="16" t="inlineStr">
        <is>
          <t>TC-166</t>
        </is>
      </c>
      <c r="B167" s="16" t="inlineStr">
        <is>
          <t>TS-036</t>
        </is>
      </c>
      <c r="C167" s="17" t="inlineStr">
        <is>
          <t>Reject comment with markup is stored and shown as text</t>
        </is>
      </c>
      <c r="D167" s="17" t="inlineStr">
        <is>
          <t>F4.12 Access and security</t>
        </is>
      </c>
      <c r="E167" s="17" t="inlineStr">
        <is>
          <t>Reject dialog</t>
        </is>
      </c>
      <c r="F167" s="16" t="inlineStr">
        <is>
          <t>S2</t>
        </is>
      </c>
      <c r="G167" s="16" t="inlineStr">
        <is>
          <t>Medium</t>
        </is>
      </c>
      <c r="H167" s="16" t="inlineStr">
        <is>
          <t>Not Run</t>
        </is>
      </c>
      <c r="I167" s="16" t="inlineStr">
        <is>
          <t>Security</t>
        </is>
      </c>
      <c r="J167" s="17" t="inlineStr">
        <is>
          <t>Prototype: edusave.vercel.app (sample date 18/10/2026)
Chrome (latest)
Build: to be recorded at execution
Needs: ENV-R4-01</t>
        </is>
      </c>
      <c r="K167" s="17" t="inlineStr">
        <is>
          <t>1. The prototype is open at the base state (use Reset data).
2. Signed in as School user Lan Nguyen (BVP-0012), Bukit View Primary.</t>
        </is>
      </c>
      <c r="L167" s="17" t="inlineStr">
        <is>
          <t>Comment: &lt;img src=x onerror=alert(1)&gt; &amp; "quotes"</t>
        </is>
      </c>
      <c r="M167" s="17" t="inlineStr">
        <is>
          <t>1. Click Review on 00398, click Reject, choose a reason and enter the comment.
2. Confirm and open View on 00398, then open the same application as MOE HQ.</t>
        </is>
      </c>
      <c r="N167" s="17" t="inlineStr">
        <is>
          <t>1. Both Decision blocks show the comment as text, tags and quotes included.
2. No alert opens and the page layout is not changed.</t>
        </is>
      </c>
      <c r="O167" s="17" t="n"/>
      <c r="P167" s="17" t="inlineStr">
        <is>
          <t>ASM-R4-18: Free text is stored and shown as plain text. HTML and script tags are not interpreted.</t>
        </is>
      </c>
      <c r="Q167" s="17" t="n"/>
      <c r="R167" s="17" t="inlineStr">
        <is>
          <t>Tender R4, PB-19, FS F4 v1.3: 6.2, BR11</t>
        </is>
      </c>
      <c r="S167" s="17" t="n"/>
      <c r="T167" s="16" t="inlineStr">
        <is>
          <t>Draft</t>
        </is>
      </c>
    </row>
    <row r="168" ht="106.5" customHeight="1" s="14">
      <c r="A168" s="16" t="inlineStr">
        <is>
          <t>TC-167</t>
        </is>
      </c>
      <c r="B168" s="16" t="inlineStr">
        <is>
          <t>TS-036</t>
        </is>
      </c>
      <c r="C168" s="17" t="inlineStr">
        <is>
          <t>Scheme name with markup is shown as text</t>
        </is>
      </c>
      <c r="D168" s="17" t="inlineStr">
        <is>
          <t>F4.12 Access and security</t>
        </is>
      </c>
      <c r="E168" s="17" t="inlineStr">
        <is>
          <t>FAS schemes</t>
        </is>
      </c>
      <c r="F168" s="16" t="inlineStr">
        <is>
          <t>S2</t>
        </is>
      </c>
      <c r="G168" s="16" t="inlineStr">
        <is>
          <t>Medium</t>
        </is>
      </c>
      <c r="H168" s="16" t="inlineStr">
        <is>
          <t>Not Run</t>
        </is>
      </c>
      <c r="I168" s="16" t="inlineStr">
        <is>
          <t>Security</t>
        </is>
      </c>
      <c r="J168" s="17" t="inlineStr">
        <is>
          <t>Prototype: edusave.vercel.app (sample date 18/10/2026)
Chrome (latest)
Build: to be recorded at execution
Needs: ENV-R4-01</t>
        </is>
      </c>
      <c r="K168" s="17" t="inlineStr">
        <is>
          <t>1. The prototype is open at the base state (use Reset data).
2. Signed in as School user Lan Nguyen (BVP-0012), Bukit View Primary.</t>
        </is>
      </c>
      <c r="L168" s="17" t="inlineStr">
        <is>
          <t>Scheme name: &lt;b&gt;Tier X&lt;/b&gt;&lt;script&gt;alert(1)&lt;/script&gt;</t>
        </is>
      </c>
      <c r="M168" s="17" t="inlineStr">
        <is>
          <t>1. Open SBFAS schemes, click New scheme, enter the name and click Save draft.
2. Read the scheme list and the Tier filter of FAS applications.</t>
        </is>
      </c>
      <c r="N168" s="17" t="inlineStr">
        <is>
          <t>1. The name is shown as text in the list.
2. No script runs.</t>
        </is>
      </c>
      <c r="O168" s="17" t="n"/>
      <c r="P168" s="17" t="inlineStr">
        <is>
          <t>ASM-R4-18: Free text is stored and shown as plain text. HTML and script tags are not interpreted.</t>
        </is>
      </c>
      <c r="Q168" s="17" t="n"/>
      <c r="R168" s="17" t="inlineStr">
        <is>
          <t>Tender R4, PB-19, FS F4 v1.3: 7.2 step 1, 7.3</t>
        </is>
      </c>
      <c r="S168" s="17" t="n"/>
      <c r="T168" s="16" t="inlineStr">
        <is>
          <t>Draft</t>
        </is>
      </c>
    </row>
    <row r="169" ht="106.5" customHeight="1" s="14">
      <c r="A169" s="16" t="inlineStr">
        <is>
          <t>TC-168</t>
        </is>
      </c>
      <c r="B169" s="16" t="inlineStr">
        <is>
          <t>TS-037</t>
        </is>
      </c>
      <c r="C169" s="17" t="inlineStr">
        <is>
          <t>MOE HQ sees the three MOEFAS schemes only</t>
        </is>
      </c>
      <c r="D169" s="17" t="inlineStr">
        <is>
          <t>F4.13 FAS schemes list</t>
        </is>
      </c>
      <c r="E169" s="17" t="inlineStr">
        <is>
          <t>MOEFAS schemes (MOE HQ)</t>
        </is>
      </c>
      <c r="F169" s="16" t="inlineStr">
        <is>
          <t>S1 (highest)</t>
        </is>
      </c>
      <c r="G169" s="16" t="inlineStr">
        <is>
          <t>High</t>
        </is>
      </c>
      <c r="H169" s="16" t="inlineStr">
        <is>
          <t>Passed</t>
        </is>
      </c>
      <c r="I169" s="16" t="inlineStr">
        <is>
          <t>Functional</t>
        </is>
      </c>
      <c r="J169" s="17" t="inlineStr">
        <is>
          <t>Prototype: edusave.vercel.app (sample date 18/10/2026)
Chrome (latest)
Build: to be recorded at execution
Needs: ENV-R4-01</t>
        </is>
      </c>
      <c r="K169" s="17" t="inlineStr">
        <is>
          <t>1. The prototype is open at the base state (use Reset data).
2. Signed in as MOE HQ (Mei Lin Tan).</t>
        </is>
      </c>
      <c r="L169" s="17" t="inlineStr">
        <is>
          <t>Schemes: MOEFAS 2027, MOEFAS 2026, MOEFAS 2025</t>
        </is>
      </c>
      <c r="M169" s="17" t="inlineStr">
        <is>
          <t>1. Open Financial assistance &gt; MOEFAS schemes.
2. Read the table.</t>
        </is>
      </c>
      <c r="N169" s="17" t="inlineStr">
        <is>
          <t>1. The table lists MOEFAS 2027, MOEFAS 2026 and MOEFAS 2025 only.
2. No SBFAS scheme of any school is listed.</t>
        </is>
      </c>
      <c r="O169" s="17" t="inlineStr">
        <is>
          <t>Run 26/10/2026 (automation, localhost build). The list shows the same schemes as GET moe-schemes and no SBFAS scheme. The stack holds more rows than the three case book schemes (seed and R4-AUTO data).</t>
        </is>
      </c>
      <c r="P169" s="17" t="inlineStr">
        <is>
          <t>N/A</t>
        </is>
      </c>
      <c r="Q169" s="17" t="n"/>
      <c r="R169" s="17" t="inlineStr">
        <is>
          <t>Tender R4, PB-19, FS F4 v1.3: 7.1 item 1, BR9</t>
        </is>
      </c>
      <c r="S169" s="17" t="inlineStr">
        <is>
          <t>Compare CMP-43.</t>
        </is>
      </c>
      <c r="T169" s="16" t="inlineStr">
        <is>
          <t>Approve</t>
        </is>
      </c>
    </row>
    <row r="170" ht="106.5" customHeight="1" s="14">
      <c r="A170" s="16" t="inlineStr">
        <is>
          <t>TC-169</t>
        </is>
      </c>
      <c r="B170" s="16" t="inlineStr">
        <is>
          <t>TS-037</t>
        </is>
      </c>
      <c r="C170" s="17" t="inlineStr">
        <is>
          <t>A School Admin sees the own SBFAS schemes only</t>
        </is>
      </c>
      <c r="D170" s="17" t="inlineStr">
        <is>
          <t>F4.13 FAS schemes list</t>
        </is>
      </c>
      <c r="E170" s="17" t="inlineStr">
        <is>
          <t>SBFAS schemes (School Admin)</t>
        </is>
      </c>
      <c r="F170" s="16" t="inlineStr">
        <is>
          <t>S1 (highest)</t>
        </is>
      </c>
      <c r="G170" s="16" t="inlineStr">
        <is>
          <t>High</t>
        </is>
      </c>
      <c r="H170" s="16" t="inlineStr">
        <is>
          <t>Passed</t>
        </is>
      </c>
      <c r="I170" s="16" t="inlineStr">
        <is>
          <t>Functional</t>
        </is>
      </c>
      <c r="J170" s="17" t="inlineStr">
        <is>
          <t>Prototype: edusave.vercel.app (sample date 18/10/2026)
Chrome (latest)
Build: to be recorded at execution
Needs: ENV-R4-01</t>
        </is>
      </c>
      <c r="K170" s="17" t="inlineStr">
        <is>
          <t>1. The prototype is open at the base state (use Reset data).
2. Signed in as School user Lan Nguyen (BVP-0012), Bukit View Primary.</t>
        </is>
      </c>
      <c r="L170" s="17" t="inlineStr">
        <is>
          <t>Bukit View Primary schemes: Tier 1, Tier 2, Tier 3 for 2026 and for 2027</t>
        </is>
      </c>
      <c r="M170" s="17" t="inlineStr">
        <is>
          <t>1. Open SBFAS schemes.
2. Read the table.
3. Log out, sign in as MRS-0012 and open SBFAS schemes.</t>
        </is>
      </c>
      <c r="N170" s="17" t="inlineStr">
        <is>
          <t>1. Bukit View Primary lists 6 schemes (Tier 1 to Tier 3, twice).
2. Meridian Secondary lists none of the Bukit View Primary schemes and no MOEFAS scheme.</t>
        </is>
      </c>
      <c r="O170" s="17" t="inlineStr">
        <is>
          <t>Run 26/10/2026 (manual run in the built-in browser and through the API, localhost build). The School user list shows the 2 schemes of Raffles Institution (SBF-00001 and SBF-00002), equal to GET sbfas-schemes (2 records), footer 2 schemes and no MOEFAS scheme. The second school (MRS-0012) was not checked, the seed has no second school account.</t>
        </is>
      </c>
      <c r="P170" s="17" t="inlineStr">
        <is>
          <t>N/A</t>
        </is>
      </c>
      <c r="Q170" s="17" t="n"/>
      <c r="R170" s="17" t="inlineStr">
        <is>
          <t>Tender R4, PB-19, FS F4 v1.3: 7.1 item 1, BR9</t>
        </is>
      </c>
      <c r="S170" s="17" t="inlineStr">
        <is>
          <t>Compare CMP-43.</t>
        </is>
      </c>
      <c r="T170" s="16" t="inlineStr">
        <is>
          <t>Approve</t>
        </is>
      </c>
    </row>
    <row r="171" ht="135.75" customHeight="1" s="14">
      <c r="A171" s="16" t="inlineStr">
        <is>
          <t>TC-170</t>
        </is>
      </c>
      <c r="B171" s="16" t="inlineStr">
        <is>
          <t>TS-037</t>
        </is>
      </c>
      <c r="C171" s="17" t="inlineStr">
        <is>
          <t>The page subtitle states the role scope</t>
        </is>
      </c>
      <c r="D171" s="17" t="inlineStr">
        <is>
          <t>F4.13 FAS schemes list</t>
        </is>
      </c>
      <c r="E171" s="17" t="inlineStr">
        <is>
          <t>FAS schemes</t>
        </is>
      </c>
      <c r="F171" s="16" t="inlineStr">
        <is>
          <t>S4 (lowest)</t>
        </is>
      </c>
      <c r="G171" s="16" t="inlineStr">
        <is>
          <t>Low</t>
        </is>
      </c>
      <c r="H171" s="16" t="inlineStr">
        <is>
          <t>Failed</t>
        </is>
      </c>
      <c r="I171" s="16" t="inlineStr">
        <is>
          <t>Functional</t>
        </is>
      </c>
      <c r="J171" s="17" t="inlineStr">
        <is>
          <t>Prototype: edusave.vercel.app (sample date 18/10/2026)
Chrome (latest)
Build: to be recorded at execution
Needs: ENV-R4-01</t>
        </is>
      </c>
      <c r="K171" s="17" t="inlineStr">
        <is>
          <t>1. The prototype is open at the base state (use Reset data).
2. Signed in as MOE HQ (Mei Lin Tan).</t>
        </is>
      </c>
      <c r="L171" s="17" t="inlineStr">
        <is>
          <t>Roles: MOE HQ and School Admin</t>
        </is>
      </c>
      <c r="M171" s="17" t="inlineStr">
        <is>
          <t>1. Read the subtitle of MOEFAS schemes as MOE HQ.
2. Read the subtitle of SBFAS schemes as a School Admin.</t>
        </is>
      </c>
      <c r="N171" s="17" t="inlineStr">
        <is>
          <t>1. MOE HQ reads "View existing MOEFAS schemes and create a new one when changes are needed. One MOEFAS scheme covers all levels, it has no tiers. SBFAS schemes are configured by each school for itself."
2. The School Admin reads "Your school's own SBFAS schemes. Each scheme is one tier (e.g. Tier 1, Tier 2). View existing schemes and create a new scheme when changes are needed."</t>
        </is>
      </c>
      <c r="O171" s="17" t="inlineStr">
        <is>
          <t>Run 26/10/2026 (automation, localhost build). Subtitle shows only the first sentence of the case book text (no sentence about SBFAS). BA to confirm the long text.</t>
        </is>
      </c>
      <c r="P171" s="17" t="inlineStr">
        <is>
          <t>N/A</t>
        </is>
      </c>
      <c r="Q171" s="17" t="inlineStr">
        <is>
          <t>BUG-R4-005</t>
        </is>
      </c>
      <c r="R171" s="17" t="inlineStr">
        <is>
          <t>Tender R4, PB-19, FS F4 v1.3: 7.1 item 1, BR4</t>
        </is>
      </c>
      <c r="S171" s="17" t="inlineStr">
        <is>
          <t>The subtitle text is not in the FS. Observed on the prototype.</t>
        </is>
      </c>
      <c r="T171" s="16" t="inlineStr">
        <is>
          <t>Approve</t>
        </is>
      </c>
    </row>
    <row r="172" ht="106.5" customHeight="1" s="14">
      <c r="A172" s="16" t="inlineStr">
        <is>
          <t>TC-171</t>
        </is>
      </c>
      <c r="B172" s="16" t="inlineStr">
        <is>
          <t>TS-038</t>
        </is>
      </c>
      <c r="C172" s="17" t="inlineStr">
        <is>
          <t>Scheme cards count Active, Upcoming, Closed and Draft</t>
        </is>
      </c>
      <c r="D172" s="17" t="inlineStr">
        <is>
          <t>F4.13 FAS schemes list</t>
        </is>
      </c>
      <c r="E172" s="17" t="inlineStr">
        <is>
          <t>MOEFAS schemes (MOE HQ)</t>
        </is>
      </c>
      <c r="F172" s="16" t="inlineStr">
        <is>
          <t>S2</t>
        </is>
      </c>
      <c r="G172" s="16" t="inlineStr">
        <is>
          <t>High</t>
        </is>
      </c>
      <c r="H172" s="16" t="inlineStr">
        <is>
          <t>Failed</t>
        </is>
      </c>
      <c r="I172" s="16" t="inlineStr">
        <is>
          <t>Functional</t>
        </is>
      </c>
      <c r="J172" s="17" t="inlineStr">
        <is>
          <t>Prototype: edusave.vercel.app (sample date 18/10/2026)
Chrome (latest)
Build: to be recorded at execution
Needs: ENV-R4-01</t>
        </is>
      </c>
      <c r="K172" s="17" t="inlineStr">
        <is>
          <t>1. The prototype is open at the base state (use Reset data).
2. Signed in as MOE HQ (Mei Lin Tan).</t>
        </is>
      </c>
      <c r="L172" s="17" t="inlineStr">
        <is>
          <t>Today 18/10/2026
MOEFAS 2026 Active, MOEFAS 2027 Upcoming, MOEFAS 2025 Closed</t>
        </is>
      </c>
      <c r="M172" s="17" t="inlineStr">
        <is>
          <t>1. Read the four cards.</t>
        </is>
      </c>
      <c r="N172" s="17" t="inlineStr">
        <is>
          <t>1. The cards read Active 1, Upcoming 1 (Published, not yet in effect), Closed 1 and Draft 0.</t>
        </is>
      </c>
      <c r="O172" s="17" t="inlineStr">
        <is>
          <t>Run 26/10/2026 (automation, localhost build). The screen has seven status cards (Draft, Published, Application open, Application closed, Effective, Suspended, Closed), the case book has four (Active, Upcoming, Closed, Draft). Counts match the rows.</t>
        </is>
      </c>
      <c r="P172" s="17" t="inlineStr">
        <is>
          <t>N/A</t>
        </is>
      </c>
      <c r="Q172" s="17" t="inlineStr">
        <is>
          <t>BUG-R4-005</t>
        </is>
      </c>
      <c r="R172" s="17" t="inlineStr">
        <is>
          <t>Tender R4, PB-19, FS F4 v1.3: 7.1 item 2</t>
        </is>
      </c>
      <c r="S172" s="17" t="inlineStr">
        <is>
          <t>Compare CMP-43.</t>
        </is>
      </c>
      <c r="T172" s="16" t="inlineStr">
        <is>
          <t>Approve</t>
        </is>
      </c>
    </row>
    <row r="173" ht="135.75" customHeight="1" s="14">
      <c r="A173" s="16" t="inlineStr">
        <is>
          <t>TC-172</t>
        </is>
      </c>
      <c r="B173" s="16" t="inlineStr">
        <is>
          <t>TS-038</t>
        </is>
      </c>
      <c r="C173" s="17" t="inlineStr">
        <is>
          <t>Table columns and cell contents of the MOEFAS scheme list</t>
        </is>
      </c>
      <c r="D173" s="17" t="inlineStr">
        <is>
          <t>F4.13 FAS schemes list</t>
        </is>
      </c>
      <c r="E173" s="17" t="inlineStr">
        <is>
          <t>MOEFAS schemes (MOE HQ)</t>
        </is>
      </c>
      <c r="F173" s="16" t="inlineStr">
        <is>
          <t>S2</t>
        </is>
      </c>
      <c r="G173" s="16" t="inlineStr">
        <is>
          <t>High</t>
        </is>
      </c>
      <c r="H173" s="16" t="inlineStr">
        <is>
          <t>Failed</t>
        </is>
      </c>
      <c r="I173" s="16" t="inlineStr">
        <is>
          <t>Functional</t>
        </is>
      </c>
      <c r="J173" s="17" t="inlineStr">
        <is>
          <t>Prototype: edusave.vercel.app (sample date 18/10/2026)
Chrome (latest)
Build: to be recorded at execution
Needs: ENV-R4-01</t>
        </is>
      </c>
      <c r="K173" s="17" t="inlineStr">
        <is>
          <t>1. The prototype is open at the base state (use Reset data).
2. Signed in as MOE HQ (Mei Lin Tan).</t>
        </is>
      </c>
      <c r="L173" s="17" t="inlineStr">
        <is>
          <t>Row: MOEFAS 2027</t>
        </is>
      </c>
      <c r="M173" s="17" t="inlineStr">
        <is>
          <t>1. Read the header and the MOEFAS 2027 row.</t>
        </is>
      </c>
      <c r="N173" s="17" t="inlineStr">
        <is>
          <t>1. The columns are Scheme, Eligibility, Application form, Effective from, Effective to, Status and actions.
2. The row shows "MOEFAS 2027" with "Approved automatically", "Singapore Citizen · GHI ≤ S$ 4,200.00 or PCI ≤ S$ 1,050.00", "01/08/2026 – 31/12/2026" with badge Open and "3 waiting", Effective from 01/01/2027, Effective to "No end date" and Status Upcoming.</t>
        </is>
      </c>
      <c r="O173" s="17" t="inlineStr">
        <is>
          <t>Run 26/10/2026 (automation, localhost build). Columns are Scheme, Eligibility, Form from, Form to, Effective from, Effective to, Status, Actions (case book: one Application form column with the Open badge). Cell contents match the backend data.</t>
        </is>
      </c>
      <c r="P173" s="17" t="inlineStr">
        <is>
          <t>N/A</t>
        </is>
      </c>
      <c r="Q173" s="17" t="inlineStr">
        <is>
          <t>BUG-R4-005</t>
        </is>
      </c>
      <c r="R173" s="17" t="inlineStr">
        <is>
          <t>Tender R4, PB-19, FS F4 v1.3: 7.1 item 3, BR13</t>
        </is>
      </c>
      <c r="S173" s="17" t="inlineStr">
        <is>
          <t>Compare CMP-44 and CMP-45: the prototype shows "1 Jan 2027" instead of DD/MM/YYYY.</t>
        </is>
      </c>
      <c r="T173" s="16" t="inlineStr">
        <is>
          <t>Approve</t>
        </is>
      </c>
    </row>
    <row r="174" ht="106.5" customHeight="1" s="14">
      <c r="A174" s="16" t="inlineStr">
        <is>
          <t>TC-173</t>
        </is>
      </c>
      <c r="B174" s="16" t="inlineStr">
        <is>
          <t>TS-038</t>
        </is>
      </c>
      <c r="C174" s="17" t="inlineStr">
        <is>
          <t>SBFAS list shows Approved by school and the PCI band</t>
        </is>
      </c>
      <c r="D174" s="17" t="inlineStr">
        <is>
          <t>F4.13 FAS schemes list</t>
        </is>
      </c>
      <c r="E174" s="17" t="inlineStr">
        <is>
          <t>SBFAS schemes (School Admin)</t>
        </is>
      </c>
      <c r="F174" s="16" t="inlineStr">
        <is>
          <t>S2</t>
        </is>
      </c>
      <c r="G174" s="16" t="inlineStr">
        <is>
          <t>Medium</t>
        </is>
      </c>
      <c r="H174" s="16" t="inlineStr">
        <is>
          <t>Failed</t>
        </is>
      </c>
      <c r="I174" s="16" t="inlineStr">
        <is>
          <t>Functional</t>
        </is>
      </c>
      <c r="J174" s="17" t="inlineStr">
        <is>
          <t>Prototype: edusave.vercel.app (sample date 18/10/2026)
Chrome (latest)
Build: to be recorded at execution
Needs: ENV-R4-01</t>
        </is>
      </c>
      <c r="K174" s="17" t="inlineStr">
        <is>
          <t>1. The prototype is open at the base state (use Reset data).
2. Signed in as School user Lan Nguyen (BVP-0012), Bukit View Primary.</t>
        </is>
      </c>
      <c r="L174" s="17" t="inlineStr">
        <is>
          <t>Row: Tier 2, form 2027</t>
        </is>
      </c>
      <c r="M174" s="17" t="inlineStr">
        <is>
          <t>1. Open SBFAS schemes and read the Tier 2 row of the 2027 schemes.</t>
        </is>
      </c>
      <c r="N174" s="17" t="inlineStr">
        <is>
          <t>1. The row shows "Tier 2" with "Approved by school", "Citizen and PR · PCI S$ 601 – 1,000", form "01/08/2026 – 31/12/2026" with badge Open, Effective from 01/01/2027, "No end date" and Upcoming.
2. It shows no "waiting" or "Assessed" text.</t>
        </is>
      </c>
      <c r="O174" s="17" t="inlineStr">
        <is>
          <t>Run 26/10/2026 (manual run in the built-in browser and through the API, localhost build). The row shows name, code SBF-00002, eligibility Singapore citizen · GHI ≤ S$1,000.00 OR PCI ≤ S$1,000.00, application period 2026-10-23 – 2026-10-24, effective period 2026-10-30 – 2027-01-28, status Application closed and 3 fees. No text Approved by school, dates as YYYY-MM-DD (case book DD/MM/YYYY), no Open badge and no No end date text.</t>
        </is>
      </c>
      <c r="P174" s="17" t="inlineStr">
        <is>
          <t>N/A</t>
        </is>
      </c>
      <c r="Q174" s="17" t="inlineStr">
        <is>
          <t>BUG-R4-012</t>
        </is>
      </c>
      <c r="R174" s="17" t="inlineStr">
        <is>
          <t>Tender R4, PB-19, FS F4 v1.3: 7.1 item 3, BR13</t>
        </is>
      </c>
      <c r="S174" s="17" t="inlineStr">
        <is>
          <t>Compare CMP-44 and CMP-45.</t>
        </is>
      </c>
      <c r="T174" s="16" t="inlineStr">
        <is>
          <t>Approve</t>
        </is>
      </c>
    </row>
    <row r="175" ht="106.5" customHeight="1" s="14">
      <c r="A175" s="16" t="inlineStr">
        <is>
          <t>TC-174</t>
        </is>
      </c>
      <c r="B175" s="16" t="inlineStr">
        <is>
          <t>TS-038</t>
        </is>
      </c>
      <c r="C175" s="17" t="inlineStr">
        <is>
          <t>Sort is Effective from newest first, then name</t>
        </is>
      </c>
      <c r="D175" s="17" t="inlineStr">
        <is>
          <t>F4.13 FAS schemes list</t>
        </is>
      </c>
      <c r="E175" s="17" t="inlineStr">
        <is>
          <t>MOEFAS schemes (MOE HQ)</t>
        </is>
      </c>
      <c r="F175" s="16" t="inlineStr">
        <is>
          <t>S3</t>
        </is>
      </c>
      <c r="G175" s="16" t="inlineStr">
        <is>
          <t>Medium</t>
        </is>
      </c>
      <c r="H175" s="16" t="inlineStr">
        <is>
          <t>Failed</t>
        </is>
      </c>
      <c r="I175" s="16" t="inlineStr">
        <is>
          <t>Functional</t>
        </is>
      </c>
      <c r="J175" s="17" t="inlineStr">
        <is>
          <t>Prototype: edusave.vercel.app (sample date 18/10/2026)
Chrome (latest)
Build: to be recorded at execution
Needs: ENV-R4-01</t>
        </is>
      </c>
      <c r="K175" s="17" t="inlineStr">
        <is>
          <t>1. The prototype is open at the base state (use Reset data).
2. Signed in as MOE HQ (Mei Lin Tan).</t>
        </is>
      </c>
      <c r="L175" s="17" t="inlineStr">
        <is>
          <t>Base state</t>
        </is>
      </c>
      <c r="M175" s="17" t="inlineStr">
        <is>
          <t>1. Read the order of the rows as MOE HQ.
2. Log out and read the order of the rows of SBFAS schemes as BVP-0012.</t>
        </is>
      </c>
      <c r="N175" s="17" t="inlineStr">
        <is>
          <t>1. MOE HQ: MOEFAS 2027, MOEFAS 2026, MOEFAS 2025.
2. School Admin: Tier 1, Tier 2, Tier 3 of 2027, then Tier 1, Tier 2, Tier 3 of 2026.</t>
        </is>
      </c>
      <c r="O175" s="17" t="inlineStr">
        <is>
          <t>Run 26/10/2026 (manual run in the built-in browser and through the API, localhost build). Automated run: the rows are not sorted by Effective from. The list comes back in creation order (95 rows: 2527, 2509 ... 2377, then 3401, 3293 ... 2217, then 2207 ...). It looked sorted while the stack held only a few schemes.</t>
        </is>
      </c>
      <c r="P175" s="17" t="inlineStr">
        <is>
          <t>N/A</t>
        </is>
      </c>
      <c r="Q175" s="17" t="inlineStr">
        <is>
          <t>BUG-R4-016</t>
        </is>
      </c>
      <c r="R175" s="17" t="inlineStr">
        <is>
          <t>Tender R4, PB-19, FS F4 v1.3: 7.1 item 5</t>
        </is>
      </c>
      <c r="S175" s="17" t="inlineStr">
        <is>
          <t>Compare CMP-44.</t>
        </is>
      </c>
      <c r="T175" s="16" t="inlineStr">
        <is>
          <t>Approve</t>
        </is>
      </c>
    </row>
    <row r="176" ht="106.5" customHeight="1" s="14">
      <c r="A176" s="16" t="inlineStr">
        <is>
          <t>TC-175</t>
        </is>
      </c>
      <c r="B176" s="16" t="inlineStr">
        <is>
          <t>TS-038</t>
        </is>
      </c>
      <c r="C176" s="17" t="inlineStr">
        <is>
          <t>Scheme status follows the effective dates</t>
        </is>
      </c>
      <c r="D176" s="17" t="inlineStr">
        <is>
          <t>F4.13 FAS schemes list</t>
        </is>
      </c>
      <c r="E176" s="17" t="inlineStr">
        <is>
          <t>MOEFAS schemes (MOE HQ)</t>
        </is>
      </c>
      <c r="F176" s="16" t="inlineStr">
        <is>
          <t>S2</t>
        </is>
      </c>
      <c r="G176" s="16" t="inlineStr">
        <is>
          <t>High</t>
        </is>
      </c>
      <c r="H176" s="16" t="inlineStr">
        <is>
          <t>Not Run</t>
        </is>
      </c>
      <c r="I176" s="16" t="inlineStr">
        <is>
          <t>Functional</t>
        </is>
      </c>
      <c r="J176" s="17" t="inlineStr">
        <is>
          <t>F4 build with API (not available yet)
Chrome (latest)
Build: to be recorded at execution
Needs: ENV-R4-02, ENV-R4-04, SEED-R4-N17</t>
        </is>
      </c>
      <c r="K176" s="17" t="inlineStr">
        <is>
          <t>1. The F4 build is running with a clock control.
2. Signed in as MOE HQ.</t>
        </is>
      </c>
      <c r="L176" s="17" t="inlineStr">
        <is>
          <t>Scheme X Effective from 19/10/2026, Scheme Y Effective to 17/10/2026, Scheme Z Effective to 18/10/2026
Today 18/10/2026 (SEED-R4-N17)</t>
        </is>
      </c>
      <c r="M176" s="17" t="inlineStr">
        <is>
          <t>1. Read the Status of X, Y and Z.
2. Set today to 19/10/2026 and read them again.</t>
        </is>
      </c>
      <c r="N176" s="17" t="inlineStr">
        <is>
          <t>1. On 18/10/2026: X is Upcoming, Y is Closed, Z is Active (Effective to is the last day).
2. On 19/10/2026: X is Active and Z is Closed.</t>
        </is>
      </c>
      <c r="O176" s="17" t="n"/>
      <c r="P176" s="17" t="inlineStr">
        <is>
          <t>N/A</t>
        </is>
      </c>
      <c r="Q176" s="17" t="n"/>
      <c r="R176" s="17" t="inlineStr">
        <is>
          <t>Tender R4, PB-19, FS F4 v1.3: 7.1 item 2</t>
        </is>
      </c>
      <c r="S176" s="17" t="n"/>
      <c r="T176" s="16" t="inlineStr">
        <is>
          <t>Approve</t>
        </is>
      </c>
    </row>
    <row r="177" ht="106.5" customHeight="1" s="14">
      <c r="A177" s="16" t="inlineStr">
        <is>
          <t>TC-176</t>
        </is>
      </c>
      <c r="B177" s="16" t="inlineStr">
        <is>
          <t>TS-038</t>
        </is>
      </c>
      <c r="C177" s="17" t="inlineStr">
        <is>
          <t>Application form badge follows the form period</t>
        </is>
      </c>
      <c r="D177" s="17" t="inlineStr">
        <is>
          <t>F4.13 FAS schemes list</t>
        </is>
      </c>
      <c r="E177" s="17" t="inlineStr">
        <is>
          <t>MOEFAS schemes (MOE HQ)</t>
        </is>
      </c>
      <c r="F177" s="16" t="inlineStr">
        <is>
          <t>S2</t>
        </is>
      </c>
      <c r="G177" s="16" t="inlineStr">
        <is>
          <t>Medium</t>
        </is>
      </c>
      <c r="H177" s="16" t="inlineStr">
        <is>
          <t>Not Run</t>
        </is>
      </c>
      <c r="I177" s="16" t="inlineStr">
        <is>
          <t>Functional</t>
        </is>
      </c>
      <c r="J177" s="17" t="inlineStr">
        <is>
          <t>F4 build with API (not available yet)
Chrome (latest)
Build: to be recorded at execution
Needs: ENV-R4-02, ENV-R4-04, SEED-R4-N17</t>
        </is>
      </c>
      <c r="K177" s="17" t="inlineStr">
        <is>
          <t>1. The F4 build is running with a clock control.
2. Signed in as MOE HQ.</t>
        </is>
      </c>
      <c r="L177" s="17" t="inlineStr">
        <is>
          <t>Scheme with form 19/10/2026 to 30/11/2026 (SEED-R4-N17)</t>
        </is>
      </c>
      <c r="M177" s="17" t="inlineStr">
        <is>
          <t>1. Read the badge on 18/10/2026, on 19/10/2026, on 30/11/2026 and on 01/12/2026.</t>
        </is>
      </c>
      <c r="N177" s="17" t="inlineStr">
        <is>
          <t>1. The badge reads Not open yet, Open, Open and Closed.</t>
        </is>
      </c>
      <c r="O177" s="17" t="n"/>
      <c r="P177" s="17" t="inlineStr">
        <is>
          <t>ASM-R4-01: The form is open through the whole Form closes date and the assessment runs at the end of that date. When the scheme shows Assessed, no more MOEFAS applications are accepted and Close form now (demo) is no longer offered.</t>
        </is>
      </c>
      <c r="Q177" s="17" t="n"/>
      <c r="R177" s="17" t="inlineStr">
        <is>
          <t>Tender R4, PB-19, FS F4 v1.3: 7.1 item 3</t>
        </is>
      </c>
      <c r="S177" s="17" t="n"/>
      <c r="T177" s="16" t="inlineStr">
        <is>
          <t>Draft</t>
        </is>
      </c>
    </row>
    <row r="178" ht="106.5" customHeight="1" s="14">
      <c r="A178" s="16" t="inlineStr">
        <is>
          <t>TC-177</t>
        </is>
      </c>
      <c r="B178" s="16" t="inlineStr">
        <is>
          <t>TS-038</t>
        </is>
      </c>
      <c r="C178" s="17" t="inlineStr">
        <is>
          <t>MOEFAS rows show waiting count or Assessed date</t>
        </is>
      </c>
      <c r="D178" s="17" t="inlineStr">
        <is>
          <t>F4.13 FAS schemes list</t>
        </is>
      </c>
      <c r="E178" s="17" t="inlineStr">
        <is>
          <t>MOEFAS schemes (MOE HQ)</t>
        </is>
      </c>
      <c r="F178" s="16" t="inlineStr">
        <is>
          <t>S2</t>
        </is>
      </c>
      <c r="G178" s="16" t="inlineStr">
        <is>
          <t>Medium</t>
        </is>
      </c>
      <c r="H178" s="16" t="inlineStr">
        <is>
          <t>Not Run</t>
        </is>
      </c>
      <c r="I178" s="16" t="inlineStr">
        <is>
          <t>Functional</t>
        </is>
      </c>
      <c r="J178" s="17" t="inlineStr">
        <is>
          <t>Prototype: edusave.vercel.app (sample date 18/10/2026)
Chrome (latest)
Build: to be recorded at execution
Needs: ENV-R4-01</t>
        </is>
      </c>
      <c r="K178" s="17" t="inlineStr">
        <is>
          <t>1. The prototype is open at the base state (use Reset data).
2. Signed in as MOE HQ (Mei Lin Tan).</t>
        </is>
      </c>
      <c r="L178" s="17" t="inlineStr">
        <is>
          <t>Base state</t>
        </is>
      </c>
      <c r="M178" s="17" t="inlineStr">
        <is>
          <t>1. Read the Application form cell of the three MOEFAS schemes.</t>
        </is>
      </c>
      <c r="N178" s="17" t="inlineStr">
        <is>
          <t>1. MOEFAS 2027 shows Open and "3 waiting".
2. MOEFAS 2026 shows Closed and "Assessed 01/01/2026".
3. MOEFAS 2025 shows Closed and "Assessed 01/01/2025".</t>
        </is>
      </c>
      <c r="O178" s="17" t="n"/>
      <c r="P178" s="17" t="inlineStr">
        <is>
          <t>N/A</t>
        </is>
      </c>
      <c r="Q178" s="17" t="n"/>
      <c r="R178" s="17" t="inlineStr">
        <is>
          <t>Tender R4, PB-19, FS F4 v1.3: 7.1 item 3</t>
        </is>
      </c>
      <c r="S178" s="17" t="inlineStr">
        <is>
          <t>Compare CMP-44.</t>
        </is>
      </c>
      <c r="T178" s="16" t="inlineStr">
        <is>
          <t>Approve</t>
        </is>
      </c>
    </row>
    <row r="179" ht="121.5" customHeight="1" s="14">
      <c r="A179" s="16" t="inlineStr">
        <is>
          <t>TC-178</t>
        </is>
      </c>
      <c r="B179" s="16" t="inlineStr">
        <is>
          <t>TS-039</t>
        </is>
      </c>
      <c r="C179" s="17" t="inlineStr">
        <is>
          <t>Actions follow the scheme status</t>
        </is>
      </c>
      <c r="D179" s="17" t="inlineStr">
        <is>
          <t>F4.13 FAS schemes list</t>
        </is>
      </c>
      <c r="E179" s="17" t="inlineStr">
        <is>
          <t>MOEFAS schemes (MOE HQ)</t>
        </is>
      </c>
      <c r="F179" s="16" t="inlineStr">
        <is>
          <t>S1 (highest)</t>
        </is>
      </c>
      <c r="G179" s="16" t="inlineStr">
        <is>
          <t>High</t>
        </is>
      </c>
      <c r="H179" s="16" t="inlineStr">
        <is>
          <t>Failed</t>
        </is>
      </c>
      <c r="I179" s="16" t="inlineStr">
        <is>
          <t>Functional</t>
        </is>
      </c>
      <c r="J179" s="17" t="inlineStr">
        <is>
          <t>Prototype: edusave.vercel.app (sample date 18/10/2026)
Chrome (latest)
Build: to be recorded at execution
Needs: ENV-R4-01, SEED-R4-N18</t>
        </is>
      </c>
      <c r="K179" s="17" t="inlineStr">
        <is>
          <t>1. The prototype is open at the base state (use Reset data).
2. Signed in as MOE HQ (Mei Lin Tan).</t>
        </is>
      </c>
      <c r="L179" s="17" t="inlineStr">
        <is>
          <t>Schemes: MOEFAS 2027 (Upcoming), MOEFAS 2026 (Active), MOEFAS 2025 (Closed)
A Draft scheme saved from the wizard (SEED-R4-N18)</t>
        </is>
      </c>
      <c r="M179" s="17" t="inlineStr">
        <is>
          <t>1. Read the action cell of each row.</t>
        </is>
      </c>
      <c r="N179" s="17" t="inlineStr">
        <is>
          <t>1. MOEFAS 2027 shows View, Add fee and Close form now (demo).
2. MOEFAS 2026 shows View and Add fee.
3. MOEFAS 2025 shows View only.
4. The Draft row shows Edit only.</t>
        </is>
      </c>
      <c r="O179" s="17" t="inlineStr">
        <is>
          <t>Run 26/10/2026 (automation, localhost build). Actions follow the status of the build: View always, Publish for Draft, Add fees for Draft, Published, Application open, Application closed and Suspended, Reactivate for Suspended, never Edit. The case book uses Active and Upcoming, Close form now and Edit.</t>
        </is>
      </c>
      <c r="P179" s="17" t="inlineStr">
        <is>
          <t>N/A</t>
        </is>
      </c>
      <c r="Q179" s="17" t="inlineStr">
        <is>
          <t>BUG-R4-005</t>
        </is>
      </c>
      <c r="R179" s="17" t="inlineStr">
        <is>
          <t>Tender R4, PB-19, FS F4 v1.3: 7.1 item 4, T14, BR8</t>
        </is>
      </c>
      <c r="S179" s="17" t="inlineStr">
        <is>
          <t>Compare CMP-44 and CMP-53.</t>
        </is>
      </c>
      <c r="T179" s="16" t="inlineStr">
        <is>
          <t>Approve</t>
        </is>
      </c>
    </row>
    <row r="180" ht="106.5" customHeight="1" s="14">
      <c r="A180" s="16" t="inlineStr">
        <is>
          <t>TC-179</t>
        </is>
      </c>
      <c r="B180" s="16" t="inlineStr">
        <is>
          <t>TS-039</t>
        </is>
      </c>
      <c r="C180" s="17" t="inlineStr">
        <is>
          <t>Close form now (demo) shows only for HQ on a MOEFAS scheme with the form Open</t>
        </is>
      </c>
      <c r="D180" s="17" t="inlineStr">
        <is>
          <t>F4.13 FAS schemes list</t>
        </is>
      </c>
      <c r="E180" s="17" t="inlineStr">
        <is>
          <t>MOEFAS schemes (MOE HQ)</t>
        </is>
      </c>
      <c r="F180" s="16" t="inlineStr">
        <is>
          <t>S2</t>
        </is>
      </c>
      <c r="G180" s="16" t="inlineStr">
        <is>
          <t>High</t>
        </is>
      </c>
      <c r="H180" s="16" t="inlineStr">
        <is>
          <t>Not Run</t>
        </is>
      </c>
      <c r="I180" s="16" t="inlineStr">
        <is>
          <t>Functional</t>
        </is>
      </c>
      <c r="J180" s="17" t="inlineStr">
        <is>
          <t>Prototype: edusave.vercel.app (sample date 18/10/2026)
Chrome (latest)
Build: to be recorded at execution
Needs: ENV-R4-01</t>
        </is>
      </c>
      <c r="K180" s="17" t="inlineStr">
        <is>
          <t>1. The prototype is open at the base state (use Reset data).
2. Signed in as MOE HQ (Mei Lin Tan).</t>
        </is>
      </c>
      <c r="L180" s="17" t="inlineStr">
        <is>
          <t>Schemes: MOEFAS 2027 (form Open), MOEFAS 2026 (Closed)
School SBFAS schemes with the form Open</t>
        </is>
      </c>
      <c r="M180" s="17" t="inlineStr">
        <is>
          <t>1. Read the action cells as MOE HQ.
2. Log out and read the action cells of SBFAS schemes as a School Admin.</t>
        </is>
      </c>
      <c r="N180" s="17" t="inlineStr">
        <is>
          <t>1. The button is shown on MOEFAS 2027 only.
2. No SBFAS row has the button.</t>
        </is>
      </c>
      <c r="O180" s="17" t="n"/>
      <c r="P180" s="17" t="inlineStr">
        <is>
          <t>N/A</t>
        </is>
      </c>
      <c r="Q180" s="17" t="n"/>
      <c r="R180" s="17" t="inlineStr">
        <is>
          <t>Tender R4, PB-19, FS F4 v1.3: 7.1 item 4, 7.5</t>
        </is>
      </c>
      <c r="S180" s="17" t="n"/>
      <c r="T180" s="16" t="inlineStr">
        <is>
          <t>Approve</t>
        </is>
      </c>
    </row>
    <row r="181" ht="106.5" customHeight="1" s="14">
      <c r="A181" s="16" t="inlineStr">
        <is>
          <t>TC-180</t>
        </is>
      </c>
      <c r="B181" s="16" t="inlineStr">
        <is>
          <t>TS-039</t>
        </is>
      </c>
      <c r="C181" s="17" t="inlineStr">
        <is>
          <t>New scheme creates MOEFAS for HQ and SBFAS for a school with no type choice</t>
        </is>
      </c>
      <c r="D181" s="17" t="inlineStr">
        <is>
          <t>F4.13 FAS schemes list</t>
        </is>
      </c>
      <c r="E181" s="17" t="inlineStr">
        <is>
          <t>FAS schemes</t>
        </is>
      </c>
      <c r="F181" s="16" t="inlineStr">
        <is>
          <t>S2</t>
        </is>
      </c>
      <c r="G181" s="16" t="inlineStr">
        <is>
          <t>High</t>
        </is>
      </c>
      <c r="H181" s="16" t="inlineStr">
        <is>
          <t>Not Run</t>
        </is>
      </c>
      <c r="I181" s="16" t="inlineStr">
        <is>
          <t>Functional</t>
        </is>
      </c>
      <c r="J181" s="17" t="inlineStr">
        <is>
          <t>Prototype: edusave.vercel.app (sample date 18/10/2026)
Chrome (latest)
Build: to be recorded at execution
Needs: ENV-R4-01</t>
        </is>
      </c>
      <c r="K181" s="17" t="inlineStr">
        <is>
          <t>1. The prototype is open at the base state (use Reset data).
2. Signed in as MOE HQ (Mei Lin Tan).</t>
        </is>
      </c>
      <c r="L181" s="17" t="inlineStr">
        <is>
          <t>Roles: MOE HQ and School Admin</t>
        </is>
      </c>
      <c r="M181" s="17" t="inlineStr">
        <is>
          <t>1. Click New scheme as MOE HQ and read step 1.
2. Cancel. Log out, sign in as BVP-0012, open SBFAS schemes and click New scheme.</t>
        </is>
      </c>
      <c r="N181" s="17" t="inlineStr">
        <is>
          <t>1. Neither wizard shows a Scheme type or a Level field.
2. The HQ hint reads "One MOEFAS scheme covers Primary, Secondary and Pre-University." and the school wizard names the scheme as a tier (for example "Tier 1").</t>
        </is>
      </c>
      <c r="O181" s="17" t="n"/>
      <c r="P181" s="17" t="inlineStr">
        <is>
          <t>N/A</t>
        </is>
      </c>
      <c r="Q181" s="17" t="n"/>
      <c r="R181" s="17" t="inlineStr">
        <is>
          <t>Tender R4, PB-19, FS F4 v1.3: 7.2 step 1, BR4</t>
        </is>
      </c>
      <c r="S181" s="17" t="n"/>
      <c r="T181" s="16" t="inlineStr">
        <is>
          <t>Approve</t>
        </is>
      </c>
    </row>
    <row r="182" ht="209.25" customHeight="1" s="14">
      <c r="A182" s="16" t="inlineStr">
        <is>
          <t>TC-181</t>
        </is>
      </c>
      <c r="B182" s="16" t="inlineStr">
        <is>
          <t>TS-040</t>
        </is>
      </c>
      <c r="C182" s="17" t="inlineStr">
        <is>
          <t>Step 1 shows the fields, the defaults and the blue note</t>
        </is>
      </c>
      <c r="D182" s="17" t="inlineStr">
        <is>
          <t>F4.14 New scheme wizard</t>
        </is>
      </c>
      <c r="E182" s="17" t="inlineStr">
        <is>
          <t>New scheme wizard (MOE HQ)</t>
        </is>
      </c>
      <c r="F182" s="16" t="inlineStr">
        <is>
          <t>S2</t>
        </is>
      </c>
      <c r="G182" s="16" t="inlineStr">
        <is>
          <t>High</t>
        </is>
      </c>
      <c r="H182" s="16" t="inlineStr">
        <is>
          <t>Failed</t>
        </is>
      </c>
      <c r="I182" s="16" t="inlineStr">
        <is>
          <t>Functional</t>
        </is>
      </c>
      <c r="J182" s="17" t="inlineStr">
        <is>
          <t>Prototype: edusave.vercel.app (sample date 18/10/2026)
Chrome (latest)
Build: to be recorded at execution
Needs: ENV-R4-01</t>
        </is>
      </c>
      <c r="K182" s="17" t="inlineStr">
        <is>
          <t>1. The prototype is open at the base state (use Reset data).
2. Signed in as MOE HQ (Mei Lin Tan).</t>
        </is>
      </c>
      <c r="L182" s="17" t="inlineStr">
        <is>
          <t>Menu path: MOEFAS schemes &gt; New scheme</t>
        </is>
      </c>
      <c r="M182" s="17" t="inlineStr">
        <is>
          <t>1. Open MOEFAS schemes and click New scheme.
2. Read step 1.</t>
        </is>
      </c>
      <c r="N182" s="17" t="inlineStr">
        <is>
          <t>1. The tabs are 1 General, 2 Eligibility and 3 Subsidy.
2. Fields: Scheme name * (placeholder "e.g. MOEFAS 2028"), Form opens *, Form closes *, Effective from * (hint "Must be after Form closes.") and Effective to (hint "No end date").
3. There is no Scheme type and no Level field.
4. The dates are prefilled: Form opens 01/08/2027, Form closes 31/12/2027, Effective from 01/01/2028, Effective to empty.
5. The blue note reads "Form open 01/08/2027 – 31/12/2027 → the system ranks and assesses all applications after 31/12/2027 → subsidy applies from 01/01/2028."</t>
        </is>
      </c>
      <c r="O182" s="17" t="inlineStr">
        <is>
          <t>Run 26/10/2026 (automation, localhost build). Four steps (General, Eligibility, Subsidy, Review). Dates start empty (case book prefills them) and there is a total budget field. Hints and note wording differ.</t>
        </is>
      </c>
      <c r="P182" s="17" t="inlineStr">
        <is>
          <t>N/A</t>
        </is>
      </c>
      <c r="Q182" s="17" t="inlineStr">
        <is>
          <t>BUG-R4-006</t>
        </is>
      </c>
      <c r="R182" s="17" t="inlineStr">
        <is>
          <t>Tender R4, PB-19, FS F4 v1.3: 7.2 step 1, BR3</t>
        </is>
      </c>
      <c r="S182" s="17" t="inlineStr">
        <is>
          <t>Compare CMP-46.</t>
        </is>
      </c>
      <c r="T182" s="16" t="inlineStr">
        <is>
          <t>Approve</t>
        </is>
      </c>
    </row>
    <row r="183" ht="106.5" customHeight="1" s="14">
      <c r="A183" s="16" t="inlineStr">
        <is>
          <t>TC-182</t>
        </is>
      </c>
      <c r="B183" s="16" t="inlineStr">
        <is>
          <t>TS-040</t>
        </is>
      </c>
      <c r="C183" s="17" t="inlineStr">
        <is>
          <t>The blue note follows the dates</t>
        </is>
      </c>
      <c r="D183" s="17" t="inlineStr">
        <is>
          <t>F4.14 New scheme wizard</t>
        </is>
      </c>
      <c r="E183" s="17" t="inlineStr">
        <is>
          <t>New scheme wizard (MOE HQ)</t>
        </is>
      </c>
      <c r="F183" s="16" t="inlineStr">
        <is>
          <t>S3</t>
        </is>
      </c>
      <c r="G183" s="16" t="inlineStr">
        <is>
          <t>Medium</t>
        </is>
      </c>
      <c r="H183" s="16" t="inlineStr">
        <is>
          <t>Passed</t>
        </is>
      </c>
      <c r="I183" s="16" t="inlineStr">
        <is>
          <t>Functional</t>
        </is>
      </c>
      <c r="J183" s="17" t="inlineStr">
        <is>
          <t>Prototype: edusave.vercel.app (sample date 18/10/2026)
Chrome (latest)
Build: to be recorded at execution
Needs: ENV-R4-01</t>
        </is>
      </c>
      <c r="K183" s="17" t="inlineStr">
        <is>
          <t>1. The prototype is open at the base state (use Reset data).
2. Signed in as MOE HQ (Mei Lin Tan).</t>
        </is>
      </c>
      <c r="L183" s="17" t="inlineStr">
        <is>
          <t>Form closes 30/11/2027, Effective from 01/12/2027</t>
        </is>
      </c>
      <c r="M183" s="17" t="inlineStr">
        <is>
          <t>1. Click New scheme.
2. Change Form closes to 30/11/2027 and Effective from to 01/12/2027.
3. Read the blue note.</t>
        </is>
      </c>
      <c r="N183" s="17" t="inlineStr">
        <is>
          <t>1. The note reads "Form open 01/08/2027 – 30/11/2027 → the system ranks and assesses all applications after 30/11/2027 → subsidy applies from 01/12/2027."</t>
        </is>
      </c>
      <c r="O183" s="17" t="inlineStr">
        <is>
          <t>Run 26/10/2026 (automation, localhost build). The blue note shows the three dates and changes when Effective from changes. The exact wording was not compared with the case book.</t>
        </is>
      </c>
      <c r="P183" s="17" t="inlineStr">
        <is>
          <t>N/A</t>
        </is>
      </c>
      <c r="Q183" s="17" t="n"/>
      <c r="R183" s="17" t="inlineStr">
        <is>
          <t>Tender R4, PB-19, FS F4 v1.3: 7.2 step 1</t>
        </is>
      </c>
      <c r="S183" s="17" t="n"/>
      <c r="T183" s="16" t="inlineStr">
        <is>
          <t>Approve</t>
        </is>
      </c>
    </row>
    <row r="184" ht="106.5" customHeight="1" s="14">
      <c r="A184" s="16" t="inlineStr">
        <is>
          <t>TC-183</t>
        </is>
      </c>
      <c r="B184" s="16" t="inlineStr">
        <is>
          <t>TS-040</t>
        </is>
      </c>
      <c r="C184" s="17" t="inlineStr">
        <is>
          <t>Scheme name is required</t>
        </is>
      </c>
      <c r="D184" s="17" t="inlineStr">
        <is>
          <t>F4.14 New scheme wizard</t>
        </is>
      </c>
      <c r="E184" s="17" t="inlineStr">
        <is>
          <t>New scheme wizard (MOE HQ)</t>
        </is>
      </c>
      <c r="F184" s="16" t="inlineStr">
        <is>
          <t>S2</t>
        </is>
      </c>
      <c r="G184" s="16" t="inlineStr">
        <is>
          <t>High</t>
        </is>
      </c>
      <c r="H184" s="16" t="inlineStr">
        <is>
          <t>Passed</t>
        </is>
      </c>
      <c r="I184" s="16" t="inlineStr">
        <is>
          <t>Functional</t>
        </is>
      </c>
      <c r="J184" s="17" t="inlineStr">
        <is>
          <t>Prototype: edusave.vercel.app (sample date 18/10/2026)
Chrome (latest)
Build: to be recorded at execution
Needs: ENV-R4-01</t>
        </is>
      </c>
      <c r="K184" s="17" t="inlineStr">
        <is>
          <t>1. The prototype is open at the base state (use Reset data).
2. Signed in as MOE HQ (Mei Lin Tan).</t>
        </is>
      </c>
      <c r="L184" s="17" t="inlineStr">
        <is>
          <t>Scheme name left empty</t>
        </is>
      </c>
      <c r="M184" s="17" t="inlineStr">
        <is>
          <t>1. Click New scheme and leave the name empty.
2. Read the message under the name and click Draft.</t>
        </is>
      </c>
      <c r="N184" s="17" t="inlineStr">
        <is>
          <t>1. "Enter a scheme name." is shown.
2. The draft is not saved.</t>
        </is>
      </c>
      <c r="O184" s="17" t="inlineStr">
        <is>
          <t>Run 26/10/2026 (automation, localhost build). Next shows Enter a scheme name., the step stays on General and gets the warning mark.</t>
        </is>
      </c>
      <c r="P184" s="17" t="inlineStr">
        <is>
          <t>N/A</t>
        </is>
      </c>
      <c r="Q184" s="17" t="n"/>
      <c r="R184" s="17" t="inlineStr">
        <is>
          <t>Tender R4, PB-19, FS F4 v1.3: 7.3 Name, 7.2 step 1</t>
        </is>
      </c>
      <c r="S184" s="17" t="inlineStr">
        <is>
          <t>Compare CMP-53.</t>
        </is>
      </c>
      <c r="T184" s="16" t="inlineStr">
        <is>
          <t>Approve</t>
        </is>
      </c>
    </row>
    <row r="185" ht="106.5" customHeight="1" s="14">
      <c r="A185" s="16" t="inlineStr">
        <is>
          <t>TC-184</t>
        </is>
      </c>
      <c r="B185" s="16" t="inlineStr">
        <is>
          <t>TS-040</t>
        </is>
      </c>
      <c r="C185" s="17" t="inlineStr">
        <is>
          <t>Form opens and Form closes are required</t>
        </is>
      </c>
      <c r="D185" s="17" t="inlineStr">
        <is>
          <t>F4.14 New scheme wizard</t>
        </is>
      </c>
      <c r="E185" s="17" t="inlineStr">
        <is>
          <t>New scheme wizard (MOE HQ)</t>
        </is>
      </c>
      <c r="F185" s="16" t="inlineStr">
        <is>
          <t>S2</t>
        </is>
      </c>
      <c r="G185" s="16" t="inlineStr">
        <is>
          <t>High</t>
        </is>
      </c>
      <c r="H185" s="16" t="inlineStr">
        <is>
          <t>Passed</t>
        </is>
      </c>
      <c r="I185" s="16" t="inlineStr">
        <is>
          <t>Functional</t>
        </is>
      </c>
      <c r="J185" s="17" t="inlineStr">
        <is>
          <t>Prototype: edusave.vercel.app (sample date 18/10/2026)
Chrome (latest)
Build: to be recorded at execution
Needs: ENV-R4-01</t>
        </is>
      </c>
      <c r="K185" s="17" t="inlineStr">
        <is>
          <t>1. The prototype is open at the base state (use Reset data).
2. Signed in as MOE HQ (Mei Lin Tan).</t>
        </is>
      </c>
      <c r="L185" s="17" t="inlineStr">
        <is>
          <t>Form opens empty, then Form closes empty</t>
        </is>
      </c>
      <c r="M185" s="17" t="inlineStr">
        <is>
          <t>1. Click New scheme and enter a name.
2. Clear Form opens and read the messages.
3. Restore it, clear Form closes and read the messages.</t>
        </is>
      </c>
      <c r="N185" s="17" t="inlineStr">
        <is>
          <t>1. "Enter Form opens and Form closes." is shown in both cases.</t>
        </is>
      </c>
      <c r="O185" s="17" t="inlineStr">
        <is>
          <t>Run 26/10/2026 (automation, localhost build). Both fields are required and the step stays on General. Build shows two messages (Enter the date the form opens. and Enter the date the form closes.), the case book has one shared message.</t>
        </is>
      </c>
      <c r="P185" s="17" t="inlineStr">
        <is>
          <t>N/A</t>
        </is>
      </c>
      <c r="Q185" s="17" t="n"/>
      <c r="R185" s="17" t="inlineStr">
        <is>
          <t>Tender R4, PB-19, FS F4 v1.3: 7.3 Form dates, 7.2 step 1</t>
        </is>
      </c>
      <c r="S185" s="17" t="inlineStr">
        <is>
          <t>Compare CMP-47.</t>
        </is>
      </c>
      <c r="T185" s="16" t="inlineStr">
        <is>
          <t>Approve</t>
        </is>
      </c>
    </row>
    <row r="186" ht="106.5" customHeight="1" s="14">
      <c r="A186" s="16" t="inlineStr">
        <is>
          <t>TC-185</t>
        </is>
      </c>
      <c r="B186" s="16" t="inlineStr">
        <is>
          <t>TS-040</t>
        </is>
      </c>
      <c r="C186" s="17" t="inlineStr">
        <is>
          <t>Form closes may equal Form opens but not be earlier</t>
        </is>
      </c>
      <c r="D186" s="17" t="inlineStr">
        <is>
          <t>F4.14 New scheme wizard</t>
        </is>
      </c>
      <c r="E186" s="17" t="inlineStr">
        <is>
          <t>New scheme wizard (MOE HQ)</t>
        </is>
      </c>
      <c r="F186" s="16" t="inlineStr">
        <is>
          <t>S2</t>
        </is>
      </c>
      <c r="G186" s="16" t="inlineStr">
        <is>
          <t>High</t>
        </is>
      </c>
      <c r="H186" s="16" t="inlineStr">
        <is>
          <t>Passed</t>
        </is>
      </c>
      <c r="I186" s="16" t="inlineStr">
        <is>
          <t>Functional</t>
        </is>
      </c>
      <c r="J186" s="17" t="inlineStr">
        <is>
          <t>Prototype: edusave.vercel.app (sample date 18/10/2026)
Chrome (latest)
Build: to be recorded at execution
Needs: ENV-R4-01</t>
        </is>
      </c>
      <c r="K186" s="17" t="inlineStr">
        <is>
          <t>1. The prototype is open at the base state (use Reset data).
2. Signed in as MOE HQ (Mei Lin Tan).</t>
        </is>
      </c>
      <c r="L186" s="17" t="inlineStr">
        <is>
          <t>Form opens 01/08/2027
Form closes 31/07/2027, 01/08/2027, 02/08/2027</t>
        </is>
      </c>
      <c r="M186" s="17" t="inlineStr">
        <is>
          <t>1. Click New scheme and enter a name.
2. Enter each Form closes value in turn (keep Effective from 01/01/2028).
3. Read the messages.</t>
        </is>
      </c>
      <c r="N186" s="17" t="inlineStr">
        <is>
          <t>1. 31/07/2027 shows "Form closes must be on or after Form opens."
2. 01/08/2027 and 02/08/2027 show no message.</t>
        </is>
      </c>
      <c r="O186" s="17" t="inlineStr">
        <is>
          <t>Run 26/10/2026 (automation, localhost build). Same day is accepted, an earlier day is refused. Build wording: Form closes must not be before Form opens. (case book: must be on or after).</t>
        </is>
      </c>
      <c r="P186" s="17" t="inlineStr">
        <is>
          <t>N/A</t>
        </is>
      </c>
      <c r="Q186" s="17" t="n"/>
      <c r="R186" s="17" t="inlineStr">
        <is>
          <t>Tender R4, PB-19, FS F4 v1.3: 7.3 Form dates, BR3</t>
        </is>
      </c>
      <c r="S186" s="17" t="inlineStr">
        <is>
          <t>Compare CMP-47.</t>
        </is>
      </c>
      <c r="T186" s="16" t="inlineStr">
        <is>
          <t>Approve</t>
        </is>
      </c>
    </row>
    <row r="187" ht="106.5" customHeight="1" s="14">
      <c r="A187" s="16" t="inlineStr">
        <is>
          <t>TC-186</t>
        </is>
      </c>
      <c r="B187" s="16" t="inlineStr">
        <is>
          <t>TS-040</t>
        </is>
      </c>
      <c r="C187" s="17" t="inlineStr">
        <is>
          <t>Effective from must be after Form closes</t>
        </is>
      </c>
      <c r="D187" s="17" t="inlineStr">
        <is>
          <t>F4.14 New scheme wizard</t>
        </is>
      </c>
      <c r="E187" s="17" t="inlineStr">
        <is>
          <t>New scheme wizard (MOE HQ)</t>
        </is>
      </c>
      <c r="F187" s="16" t="inlineStr">
        <is>
          <t>S1 (highest)</t>
        </is>
      </c>
      <c r="G187" s="16" t="inlineStr">
        <is>
          <t>Critical</t>
        </is>
      </c>
      <c r="H187" s="16" t="inlineStr">
        <is>
          <t>Passed</t>
        </is>
      </c>
      <c r="I187" s="16" t="inlineStr">
        <is>
          <t>Functional</t>
        </is>
      </c>
      <c r="J187" s="17" t="inlineStr">
        <is>
          <t>Prototype: edusave.vercel.app (sample date 18/10/2026)
Chrome (latest)
Build: to be recorded at execution
Needs: ENV-R4-01</t>
        </is>
      </c>
      <c r="K187" s="17" t="inlineStr">
        <is>
          <t>1. The prototype is open at the base state (use Reset data).
2. Signed in as MOE HQ (Mei Lin Tan).</t>
        </is>
      </c>
      <c r="L187" s="17" t="inlineStr">
        <is>
          <t>Form closes 31/12/2027
Effective from 30/12/2027, 31/12/2027, 01/01/2028</t>
        </is>
      </c>
      <c r="M187" s="17" t="inlineStr">
        <is>
          <t>1. Click New scheme and enter a name.
2. Enter each Effective from value in turn.
3. Read the messages.</t>
        </is>
      </c>
      <c r="N187" s="17" t="inlineStr">
        <is>
          <t>1. 30/12/2027 and 31/12/2027 show "Effective from must be after Form closes (applications are assessed after the form closes)."
2. 01/01/2028 shows no message.</t>
        </is>
      </c>
      <c r="O187" s="17" t="inlineStr">
        <is>
          <t>Run 26/10/2026 (automation, localhost build). The day of Form closes and the day before are refused, the day after is accepted. Build wording: The effective start date must be after the form closing date. (case book: Effective from must be after Form closes ...).</t>
        </is>
      </c>
      <c r="P187" s="17" t="inlineStr">
        <is>
          <t>N/A</t>
        </is>
      </c>
      <c r="Q187" s="17" t="n"/>
      <c r="R187" s="17" t="inlineStr">
        <is>
          <t>Tender R4, PB-19, FS F4 v1.3: 7.3 Effective from, BR3, T9</t>
        </is>
      </c>
      <c r="S187" s="17" t="inlineStr">
        <is>
          <t>Compare CMP-47.</t>
        </is>
      </c>
      <c r="T187" s="16" t="inlineStr">
        <is>
          <t>Approve</t>
        </is>
      </c>
    </row>
    <row r="188" ht="106.5" customHeight="1" s="14">
      <c r="A188" s="16" t="inlineStr">
        <is>
          <t>TC-187</t>
        </is>
      </c>
      <c r="B188" s="16" t="inlineStr">
        <is>
          <t>TS-040</t>
        </is>
      </c>
      <c r="C188" s="17" t="inlineStr">
        <is>
          <t>Effective to must be after Effective from and may be empty</t>
        </is>
      </c>
      <c r="D188" s="17" t="inlineStr">
        <is>
          <t>F4.14 New scheme wizard</t>
        </is>
      </c>
      <c r="E188" s="17" t="inlineStr">
        <is>
          <t>New scheme wizard (MOE HQ)</t>
        </is>
      </c>
      <c r="F188" s="16" t="inlineStr">
        <is>
          <t>S2</t>
        </is>
      </c>
      <c r="G188" s="16" t="inlineStr">
        <is>
          <t>High</t>
        </is>
      </c>
      <c r="H188" s="16" t="inlineStr">
        <is>
          <t>Passed</t>
        </is>
      </c>
      <c r="I188" s="16" t="inlineStr">
        <is>
          <t>Functional</t>
        </is>
      </c>
      <c r="J188" s="17" t="inlineStr">
        <is>
          <t>Prototype: edusave.vercel.app (sample date 18/10/2026)
Chrome (latest)
Build: to be recorded at execution
Needs: ENV-R4-01</t>
        </is>
      </c>
      <c r="K188" s="17" t="inlineStr">
        <is>
          <t>1. The prototype is open at the base state (use Reset data).
2. Signed in as MOE HQ (Mei Lin Tan).</t>
        </is>
      </c>
      <c r="L188" s="17" t="inlineStr">
        <is>
          <t>Effective from 01/01/2028
Effective to empty, 31/12/2027, 01/01/2028, 02/01/2028</t>
        </is>
      </c>
      <c r="M188" s="17" t="inlineStr">
        <is>
          <t>1. Click New scheme and enter a name.
2. Enter each Effective to value in turn (empty first).
3. Read the messages.</t>
        </is>
      </c>
      <c r="N188" s="17" t="inlineStr">
        <is>
          <t>1. Empty shows no message and the hint "No end date".
2. 31/12/2027 and 01/01/2028 show "Effective to must be after Effective from."
3. 02/01/2028 shows no message.</t>
        </is>
      </c>
      <c r="O188" s="17" t="inlineStr">
        <is>
          <t>Run 26/10/2026 (automation, localhost build). Effective to before Effective from is refused, empty is accepted. Build wording: Effective to must not be before Effective from. The case book also refuses an equal date, the equal date was not checked.</t>
        </is>
      </c>
      <c r="P188" s="17" t="inlineStr">
        <is>
          <t>N/A</t>
        </is>
      </c>
      <c r="Q188" s="17" t="n"/>
      <c r="R188" s="17" t="inlineStr">
        <is>
          <t>Tender R4, PB-19, FS F4 v1.3: 7.3 Effective to, 7.2 step 1</t>
        </is>
      </c>
      <c r="S188" s="17" t="inlineStr">
        <is>
          <t>Compare CMP-47.</t>
        </is>
      </c>
      <c r="T188" s="16" t="inlineStr">
        <is>
          <t>Approve</t>
        </is>
      </c>
    </row>
    <row r="189" ht="106.5" customHeight="1" s="14">
      <c r="A189" s="16" t="inlineStr">
        <is>
          <t>TC-188</t>
        </is>
      </c>
      <c r="B189" s="16" t="inlineStr">
        <is>
          <t>TS-040</t>
        </is>
      </c>
      <c r="C189" s="17" t="inlineStr">
        <is>
          <t>Text that is not a real date is rejected</t>
        </is>
      </c>
      <c r="D189" s="17" t="inlineStr">
        <is>
          <t>F4.14 New scheme wizard</t>
        </is>
      </c>
      <c r="E189" s="17" t="inlineStr">
        <is>
          <t>New scheme wizard (MOE HQ)</t>
        </is>
      </c>
      <c r="F189" s="16" t="inlineStr">
        <is>
          <t>S3</t>
        </is>
      </c>
      <c r="G189" s="16" t="inlineStr">
        <is>
          <t>Medium</t>
        </is>
      </c>
      <c r="H189" s="16" t="inlineStr">
        <is>
          <t>Not Run</t>
        </is>
      </c>
      <c r="I189" s="16" t="inlineStr">
        <is>
          <t>Functional</t>
        </is>
      </c>
      <c r="J189" s="17" t="inlineStr">
        <is>
          <t>Prototype: edusave.vercel.app (sample date 18/10/2026)
Chrome (latest)
Build: to be recorded at execution
Needs: ENV-R4-01</t>
        </is>
      </c>
      <c r="K189" s="17" t="inlineStr">
        <is>
          <t>1. The prototype is open at the base state (use Reset data).
2. Signed in as MOE HQ (Mei Lin Tan).</t>
        </is>
      </c>
      <c r="L189" s="17" t="inlineStr">
        <is>
          <t>Typed values in Form opens: 32/13/2027, abc, 1/8/2027, 2027-08-02</t>
        </is>
      </c>
      <c r="M189" s="17" t="inlineStr">
        <is>
          <t>1. Click New scheme and enter a name.
2. Type each value in Form opens and leave the field.
3. Read the field and the messages.</t>
        </is>
      </c>
      <c r="N189" s="17" t="inlineStr">
        <is>
          <t>1. Each value shows "Enter a valid date (DD/MM/YYYY)." and is not stored.
2. The field never shows a value that differs from the stored date.</t>
        </is>
      </c>
      <c r="O189" s="17" t="n"/>
      <c r="P189" s="17" t="inlineStr">
        <is>
          <t>ASM-R4-09: Text that is not a real DD/MM/YYYY date shows "Enter a valid date (DD/MM/YYYY)." and is not stored. The message wording is a QA proposal.</t>
        </is>
      </c>
      <c r="Q189" s="17" t="n"/>
      <c r="R189" s="17" t="inlineStr">
        <is>
          <t>Tender R4, PB-19, FS F4 v1.3: 7.2 step 1, BR13</t>
        </is>
      </c>
      <c r="S189" s="17" t="inlineStr">
        <is>
          <t>Compare CMP-48: the prototype accepts the text without a message and keeps the previous stored date (S3).</t>
        </is>
      </c>
      <c r="T189" s="16" t="inlineStr">
        <is>
          <t>Draft</t>
        </is>
      </c>
    </row>
    <row r="190" ht="106.5" customHeight="1" s="14">
      <c r="A190" s="16" t="inlineStr">
        <is>
          <t>TC-189</t>
        </is>
      </c>
      <c r="B190" s="16" t="inlineStr">
        <is>
          <t>TS-040</t>
        </is>
      </c>
      <c r="C190" s="17" t="inlineStr">
        <is>
          <t>Messages show again at View and Publish and the step gets a warning mark</t>
        </is>
      </c>
      <c r="D190" s="17" t="inlineStr">
        <is>
          <t>F4.14 New scheme wizard</t>
        </is>
      </c>
      <c r="E190" s="17" t="inlineStr">
        <is>
          <t>New scheme wizard (MOE HQ)</t>
        </is>
      </c>
      <c r="F190" s="16" t="inlineStr">
        <is>
          <t>S3</t>
        </is>
      </c>
      <c r="G190" s="16" t="inlineStr">
        <is>
          <t>Medium</t>
        </is>
      </c>
      <c r="H190" s="16" t="inlineStr">
        <is>
          <t>Passed</t>
        </is>
      </c>
      <c r="I190" s="16" t="inlineStr">
        <is>
          <t>Functional</t>
        </is>
      </c>
      <c r="J190" s="17" t="inlineStr">
        <is>
          <t>Prototype: edusave.vercel.app (sample date 18/10/2026)
Chrome (latest)
Build: to be recorded at execution
Needs: ENV-R4-01</t>
        </is>
      </c>
      <c r="K190" s="17" t="inlineStr">
        <is>
          <t>1. The prototype is open at the base state (use Reset data).
2. Signed in as MOE HQ (Mei Lin Tan).</t>
        </is>
      </c>
      <c r="L190" s="17" t="inlineStr">
        <is>
          <t>Wizard with an empty name and an invalid date order</t>
        </is>
      </c>
      <c r="M190" s="17" t="inlineStr">
        <is>
          <t>1. Click New scheme and leave the name empty.
2. Click Next on each step until View.
3. Click View.</t>
        </is>
      </c>
      <c r="N190" s="17" t="inlineStr">
        <is>
          <t>1. Steps with a problem show a warning mark (for example "1 General ⚠").
2. The footer reads "To publish, fix n item(s) (steps marked ⚠)." and the messages are shown again.</t>
        </is>
      </c>
      <c r="O190" s="17" t="inlineStr">
        <is>
          <t>Run 26/10/2026 (automation, localhost build). The warning mark appears after a failed Next and goes away when the step is valid. The footer text To publish, fix n item(s) was not checked.</t>
        </is>
      </c>
      <c r="P190" s="17" t="inlineStr">
        <is>
          <t>N/A</t>
        </is>
      </c>
      <c r="Q190" s="17" t="n"/>
      <c r="R190" s="17" t="inlineStr">
        <is>
          <t>Tender R4, PB-19, FS F4 v1.3: 7.3 Name, 7.3 last line</t>
        </is>
      </c>
      <c r="S190" s="17" t="inlineStr">
        <is>
          <t>Compare CMP-47. The FS does not say Next must be blocked. The prototype lets the user move on.</t>
        </is>
      </c>
      <c r="T190" s="16" t="inlineStr">
        <is>
          <t>Approve</t>
        </is>
      </c>
    </row>
    <row r="191" ht="165" customHeight="1" s="14">
      <c r="A191" s="16" t="inlineStr">
        <is>
          <t>TC-190</t>
        </is>
      </c>
      <c r="B191" s="16" t="inlineStr">
        <is>
          <t>TS-041</t>
        </is>
      </c>
      <c r="C191" s="17" t="inlineStr">
        <is>
          <t>Step 2 shows nationalities, bands and match rule with defaults</t>
        </is>
      </c>
      <c r="D191" s="17" t="inlineStr">
        <is>
          <t>F4.14 New scheme wizard</t>
        </is>
      </c>
      <c r="E191" s="17" t="inlineStr">
        <is>
          <t>New scheme wizard (MOE HQ)</t>
        </is>
      </c>
      <c r="F191" s="16" t="inlineStr">
        <is>
          <t>S2</t>
        </is>
      </c>
      <c r="G191" s="16" t="inlineStr">
        <is>
          <t>High</t>
        </is>
      </c>
      <c r="H191" s="16" t="inlineStr">
        <is>
          <t>Failed</t>
        </is>
      </c>
      <c r="I191" s="16" t="inlineStr">
        <is>
          <t>Functional</t>
        </is>
      </c>
      <c r="J191" s="17" t="inlineStr">
        <is>
          <t>Prototype: edusave.vercel.app (sample date 18/10/2026)
Chrome (latest)
Build: to be recorded at execution
Needs: ENV-R4-01</t>
        </is>
      </c>
      <c r="K191" s="17" t="inlineStr">
        <is>
          <t>1. The prototype is open at the base state (use Reset data).
2. Signed in as MOE HQ (Mei Lin Tan).</t>
        </is>
      </c>
      <c r="L191" s="17" t="inlineStr">
        <is>
          <t>Wizard of a MOEFAS scheme, step 2</t>
        </is>
      </c>
      <c r="M191" s="17" t="inlineStr">
        <is>
          <t>1. Click New scheme, enter a name and open 2 Eligibility.
2. Read the step.</t>
        </is>
      </c>
      <c r="N191" s="17" t="inlineStr">
        <is>
          <t>1. Nationality lists Singapore Citizen (ticked), Singapore PR, International – ASEAN and International – non-ASEAN.
2. The GHI band (S$ / month) has Use this criterion (not ticked), From, To and "Empty = no upper limit".
3. The PCI band (S$ / month) is ticked with From 0 and To 1,100.
4. Match rule offers "Any selected income band is met" and "All selected income bands are met".</t>
        </is>
      </c>
      <c r="O191" s="17" t="inlineStr">
        <is>
          <t>Run 26/10/2026 (automation, localhost build). Nationalities, GHI and PCI bands and the match rule are shown. The match rule is a fixed text line (case book: a choice of two rules).</t>
        </is>
      </c>
      <c r="P191" s="17" t="inlineStr">
        <is>
          <t>N/A</t>
        </is>
      </c>
      <c r="Q191" s="17" t="inlineStr">
        <is>
          <t>BUG-R4-006</t>
        </is>
      </c>
      <c r="R191" s="17" t="inlineStr">
        <is>
          <t>Tender R4, PB-19, FS F4 v1.3: 7.2 step 2</t>
        </is>
      </c>
      <c r="S191" s="17" t="inlineStr">
        <is>
          <t>Compare CMP-49.</t>
        </is>
      </c>
      <c r="T191" s="16" t="inlineStr">
        <is>
          <t>Approve</t>
        </is>
      </c>
    </row>
    <row r="192" ht="106.5" customHeight="1" s="14">
      <c r="A192" s="16" t="inlineStr">
        <is>
          <t>TC-191</t>
        </is>
      </c>
      <c r="B192" s="16" t="inlineStr">
        <is>
          <t>TS-041</t>
        </is>
      </c>
      <c r="C192" s="17" t="inlineStr">
        <is>
          <t>At least one nationality is required</t>
        </is>
      </c>
      <c r="D192" s="17" t="inlineStr">
        <is>
          <t>F4.14 New scheme wizard</t>
        </is>
      </c>
      <c r="E192" s="17" t="inlineStr">
        <is>
          <t>New scheme wizard (MOE HQ)</t>
        </is>
      </c>
      <c r="F192" s="16" t="inlineStr">
        <is>
          <t>S2</t>
        </is>
      </c>
      <c r="G192" s="16" t="inlineStr">
        <is>
          <t>High</t>
        </is>
      </c>
      <c r="H192" s="16" t="inlineStr">
        <is>
          <t>Passed</t>
        </is>
      </c>
      <c r="I192" s="16" t="inlineStr">
        <is>
          <t>Functional</t>
        </is>
      </c>
      <c r="J192" s="17" t="inlineStr">
        <is>
          <t>Prototype: edusave.vercel.app (sample date 18/10/2026)
Chrome (latest)
Build: to be recorded at execution
Needs: ENV-R4-01</t>
        </is>
      </c>
      <c r="K192" s="17" t="inlineStr">
        <is>
          <t>1. The prototype is open at the base state (use Reset data).
2. Signed in as MOE HQ (Mei Lin Tan).</t>
        </is>
      </c>
      <c r="L192" s="17" t="inlineStr">
        <is>
          <t>All four nationalities unticked</t>
        </is>
      </c>
      <c r="M192" s="17" t="inlineStr">
        <is>
          <t>1. Open step 2 and untick Singapore Citizen.
2. Read the messages.</t>
        </is>
      </c>
      <c r="N192" s="17" t="inlineStr">
        <is>
          <t>1. "Select at least one nationality." is shown.</t>
        </is>
      </c>
      <c r="O192" s="17" t="inlineStr">
        <is>
          <t>Run 26/10/2026 (automation, localhost build). Next shows Select at least one nationality. and stays on Eligibility.</t>
        </is>
      </c>
      <c r="P192" s="17" t="inlineStr">
        <is>
          <t>N/A</t>
        </is>
      </c>
      <c r="Q192" s="17" t="n"/>
      <c r="R192" s="17" t="inlineStr">
        <is>
          <t>Tender R4, PB-19, FS F4 v1.3: 7.3 Nationality and band</t>
        </is>
      </c>
      <c r="S192" s="17" t="inlineStr">
        <is>
          <t>Compare CMP-49.</t>
        </is>
      </c>
      <c r="T192" s="16" t="inlineStr">
        <is>
          <t>Approve</t>
        </is>
      </c>
    </row>
    <row r="193" ht="106.5" customHeight="1" s="14">
      <c r="A193" s="16" t="inlineStr">
        <is>
          <t>TC-192</t>
        </is>
      </c>
      <c r="B193" s="16" t="inlineStr">
        <is>
          <t>TS-041</t>
        </is>
      </c>
      <c r="C193" s="17" t="inlineStr">
        <is>
          <t>At least one income band is required</t>
        </is>
      </c>
      <c r="D193" s="17" t="inlineStr">
        <is>
          <t>F4.14 New scheme wizard</t>
        </is>
      </c>
      <c r="E193" s="17" t="inlineStr">
        <is>
          <t>New scheme wizard (MOE HQ)</t>
        </is>
      </c>
      <c r="F193" s="16" t="inlineStr">
        <is>
          <t>S2</t>
        </is>
      </c>
      <c r="G193" s="16" t="inlineStr">
        <is>
          <t>High</t>
        </is>
      </c>
      <c r="H193" s="16" t="inlineStr">
        <is>
          <t>Passed</t>
        </is>
      </c>
      <c r="I193" s="16" t="inlineStr">
        <is>
          <t>Functional</t>
        </is>
      </c>
      <c r="J193" s="17" t="inlineStr">
        <is>
          <t>Prototype: edusave.vercel.app (sample date 18/10/2026)
Chrome (latest)
Build: to be recorded at execution
Needs: ENV-R4-01</t>
        </is>
      </c>
      <c r="K193" s="17" t="inlineStr">
        <is>
          <t>1. The prototype is open at the base state (use Reset data).
2. Signed in as MOE HQ (Mei Lin Tan).</t>
        </is>
      </c>
      <c r="L193" s="17" t="inlineStr">
        <is>
          <t>Neither GHI nor PCI ticked</t>
        </is>
      </c>
      <c r="M193" s="17" t="inlineStr">
        <is>
          <t>1. Open step 2 and untick the PCI band.
2. Read the messages.</t>
        </is>
      </c>
      <c r="N193" s="17" t="inlineStr">
        <is>
          <t>1. "Use at least one income band (GHI or PCI)." is shown.</t>
        </is>
      </c>
      <c r="O193" s="17" t="inlineStr">
        <is>
          <t>Run 26/10/2026 (automation, localhost build). Next stays on Eligibility. Build wording: Use at least one income criterion. (case book: Use at least one income band (GHI or PCI).).</t>
        </is>
      </c>
      <c r="P193" s="17" t="inlineStr">
        <is>
          <t>N/A</t>
        </is>
      </c>
      <c r="Q193" s="17" t="n"/>
      <c r="R193" s="17" t="inlineStr">
        <is>
          <t>Tender R4, PB-19, FS F4 v1.3: 7.3 Nationality and band</t>
        </is>
      </c>
      <c r="S193" s="17" t="inlineStr">
        <is>
          <t>Compare CMP-49.</t>
        </is>
      </c>
      <c r="T193" s="16" t="inlineStr">
        <is>
          <t>Approve</t>
        </is>
      </c>
    </row>
    <row r="194" ht="106.5" customHeight="1" s="14">
      <c r="A194" s="16" t="inlineStr">
        <is>
          <t>TC-193</t>
        </is>
      </c>
      <c r="B194" s="16" t="inlineStr">
        <is>
          <t>TS-041</t>
        </is>
      </c>
      <c r="C194" s="17" t="inlineStr">
        <is>
          <t>A band needs From and To may be empty for no upper limit</t>
        </is>
      </c>
      <c r="D194" s="17" t="inlineStr">
        <is>
          <t>F4.14 New scheme wizard</t>
        </is>
      </c>
      <c r="E194" s="17" t="inlineStr">
        <is>
          <t>New scheme wizard (MOE HQ)</t>
        </is>
      </c>
      <c r="F194" s="16" t="inlineStr">
        <is>
          <t>S2</t>
        </is>
      </c>
      <c r="G194" s="16" t="inlineStr">
        <is>
          <t>Medium</t>
        </is>
      </c>
      <c r="H194" s="16" t="inlineStr">
        <is>
          <t>Failed</t>
        </is>
      </c>
      <c r="I194" s="16" t="inlineStr">
        <is>
          <t>Functional</t>
        </is>
      </c>
      <c r="J194" s="17" t="inlineStr">
        <is>
          <t>Prototype: edusave.vercel.app (sample date 18/10/2026)
Chrome (latest)
Build: to be recorded at execution
Needs: ENV-R4-01</t>
        </is>
      </c>
      <c r="K194" s="17" t="inlineStr">
        <is>
          <t>1. The prototype is open at the base state (use Reset data).
2. Signed in as MOE HQ (Mei Lin Tan).</t>
        </is>
      </c>
      <c r="L194" s="17" t="inlineStr">
        <is>
          <t>PCI band From 0, To empty
PCI band From empty, To 1,100</t>
        </is>
      </c>
      <c r="M194" s="17" t="inlineStr">
        <is>
          <t>1. Open step 2.
2. Clear To and read the messages.
3. Restore To, clear From and read the messages.</t>
        </is>
      </c>
      <c r="N194" s="17" t="inlineStr">
        <is>
          <t>1. With To empty no message is shown and the band has no upper limit.
2. With From empty a message asks for From.</t>
        </is>
      </c>
      <c r="O194" s="17" t="inlineStr">
        <is>
          <t>Run 26/10/2026 (automation, localhost build). The build requires To (This field is required.) and accepts an empty From as 0. The case book says the opposite (see ASM-R4-24).</t>
        </is>
      </c>
      <c r="P194" s="17" t="inlineStr">
        <is>
          <t>ASM-R4-24: When a band is used, From is required and To may be empty, which means no upper limit (the screen hint says "Empty = no upper limit"). Zero is a valid From.</t>
        </is>
      </c>
      <c r="Q194" s="17" t="inlineStr">
        <is>
          <t>BUG-R4-006</t>
        </is>
      </c>
      <c r="R194" s="17" t="inlineStr">
        <is>
          <t>Tender R4, PB-19, FS F4 v1.3: 7.2 step 2</t>
        </is>
      </c>
      <c r="S194" s="17" t="inlineStr">
        <is>
          <t>Prototype: clearing To shows no message. Clearing From was not checked. The "To *" star on screen disagrees with the hint (question of ASM-R4-24).</t>
        </is>
      </c>
      <c r="T194" s="16" t="inlineStr">
        <is>
          <t>Draft</t>
        </is>
      </c>
    </row>
    <row r="195" ht="106.5" customHeight="1" s="14">
      <c r="A195" s="16" t="inlineStr">
        <is>
          <t>TC-194</t>
        </is>
      </c>
      <c r="B195" s="16" t="inlineStr">
        <is>
          <t>TS-041</t>
        </is>
      </c>
      <c r="C195" s="17" t="inlineStr">
        <is>
          <t>From greater than To is not allowed</t>
        </is>
      </c>
      <c r="D195" s="17" t="inlineStr">
        <is>
          <t>F4.14 New scheme wizard</t>
        </is>
      </c>
      <c r="E195" s="17" t="inlineStr">
        <is>
          <t>New scheme wizard (MOE HQ)</t>
        </is>
      </c>
      <c r="F195" s="16" t="inlineStr">
        <is>
          <t>S2</t>
        </is>
      </c>
      <c r="G195" s="16" t="inlineStr">
        <is>
          <t>High</t>
        </is>
      </c>
      <c r="H195" s="16" t="inlineStr">
        <is>
          <t>Passed</t>
        </is>
      </c>
      <c r="I195" s="16" t="inlineStr">
        <is>
          <t>Functional</t>
        </is>
      </c>
      <c r="J195" s="17" t="inlineStr">
        <is>
          <t>Prototype: edusave.vercel.app (sample date 18/10/2026)
Chrome (latest)
Build: to be recorded at execution
Needs: ENV-R4-01</t>
        </is>
      </c>
      <c r="K195" s="17" t="inlineStr">
        <is>
          <t>1. The prototype is open at the base state (use Reset data).
2. Signed in as MOE HQ (Mei Lin Tan).</t>
        </is>
      </c>
      <c r="L195" s="17" t="inlineStr">
        <is>
          <t>PCI band From 2,000, To 1,000
PCI band From 1,000, To 1,000</t>
        </is>
      </c>
      <c r="M195" s="17" t="inlineStr">
        <is>
          <t>1. Open step 2 and enter each pair.
2. Read the messages and try to publish.</t>
        </is>
      </c>
      <c r="N195" s="17" t="inlineStr">
        <is>
          <t>1. From 2,000 with To 1,000 shows an error and Publish is blocked.
2. From 1,000 with To 1,000 is checked against the same rule.</t>
        </is>
      </c>
      <c r="O195" s="17" t="inlineStr">
        <is>
          <t>Run 26/10/2026 (automation, localhost build). From 500 with To 100 is refused (To must not be less than From.) and Next stays. The equal case was not checked.</t>
        </is>
      </c>
      <c r="P195" s="17" t="inlineStr">
        <is>
          <t>ASM-R4-20: Publish is blocked when From is greater than To. The message is not specified.</t>
        </is>
      </c>
      <c r="Q195" s="17" t="n"/>
      <c r="R195" s="17" t="inlineStr">
        <is>
          <t>Tender R4, PB-19, FS F4 v1.3: 7.2 step 2, 7.3</t>
        </is>
      </c>
      <c r="S195" s="17" t="inlineStr">
        <is>
          <t>Prototype message for From above To: PCI band: "To" must be more than "From".</t>
        </is>
      </c>
      <c r="T195" s="16" t="inlineStr">
        <is>
          <t>Draft</t>
        </is>
      </c>
    </row>
    <row r="196" ht="106.5" customHeight="1" s="14">
      <c r="A196" s="16" t="inlineStr">
        <is>
          <t>TC-195</t>
        </is>
      </c>
      <c r="B196" s="16" t="inlineStr">
        <is>
          <t>TS-041</t>
        </is>
      </c>
      <c r="C196" s="17" t="inlineStr">
        <is>
          <t>Allowed nationalities decide where a new application goes</t>
        </is>
      </c>
      <c r="D196" s="17" t="inlineStr">
        <is>
          <t>F4.14 New scheme wizard</t>
        </is>
      </c>
      <c r="E196" s="17" t="inlineStr">
        <is>
          <t>F10 Parent FAS application</t>
        </is>
      </c>
      <c r="F196" s="16" t="inlineStr">
        <is>
          <t>S1 (highest)</t>
        </is>
      </c>
      <c r="G196" s="16" t="inlineStr">
        <is>
          <t>High</t>
        </is>
      </c>
      <c r="H196" s="16" t="inlineStr">
        <is>
          <t>Not Run</t>
        </is>
      </c>
      <c r="I196" s="16" t="inlineStr">
        <is>
          <t>Integration</t>
        </is>
      </c>
      <c r="J196" s="17" t="inlineStr">
        <is>
          <t>F4 build with API (not available yet)
Chrome (latest)
Build: to be recorded at execution
Needs: ENV-R4-02, ENV-R4-04, SEED-R4-N9</t>
        </is>
      </c>
      <c r="K196" s="17" t="inlineStr">
        <is>
          <t>1. The F4 build is connected to F5 and F10 with a clock control.
2. A published MOEFAS scheme that allows Singapore Citizen and Singapore PR has its form Open.</t>
        </is>
      </c>
      <c r="L196" s="17" t="inlineStr">
        <is>
          <t>A Singapore PR child of Bukit View Primary (SEED-R4-N9)</t>
        </is>
      </c>
      <c r="M196" s="17" t="inlineStr">
        <is>
          <t>1. Submit a FAS application for the PR child.
2. Read the application in F4 as MOE HQ.</t>
        </is>
      </c>
      <c r="N196" s="17" t="inlineStr">
        <is>
          <t>1. The application is MOEFAS Pending with System check Waiting, because the open MOEFAS scheme allows PR.
2. No SBFAS application is created.</t>
        </is>
      </c>
      <c r="O196" s="17" t="n"/>
      <c r="P196" s="17" t="inlineStr">
        <is>
          <t>N/A</t>
        </is>
      </c>
      <c r="Q196" s="17" t="n"/>
      <c r="R196" s="17" t="inlineStr">
        <is>
          <t>Tender R4, PB-19, FS F4 v1.3: 2.1 step 2, 7.2 step 2, T6</t>
        </is>
      </c>
      <c r="S196" s="17" t="n"/>
      <c r="T196" s="16" t="inlineStr">
        <is>
          <t>Approve</t>
        </is>
      </c>
    </row>
    <row r="197" ht="106.5" customHeight="1" s="14">
      <c r="A197" s="16" t="inlineStr">
        <is>
          <t>TC-196</t>
        </is>
      </c>
      <c r="B197" s="16" t="inlineStr">
        <is>
          <t>TS-042</t>
        </is>
      </c>
      <c r="C197" s="17" t="inlineStr">
        <is>
          <t>MOEFAS step 3 shows the three levels and the value type</t>
        </is>
      </c>
      <c r="D197" s="17" t="inlineStr">
        <is>
          <t>F4.14 New scheme wizard</t>
        </is>
      </c>
      <c r="E197" s="17" t="inlineStr">
        <is>
          <t>New scheme wizard (MOE HQ)</t>
        </is>
      </c>
      <c r="F197" s="16" t="inlineStr">
        <is>
          <t>S2</t>
        </is>
      </c>
      <c r="G197" s="16" t="inlineStr">
        <is>
          <t>High</t>
        </is>
      </c>
      <c r="H197" s="16" t="inlineStr">
        <is>
          <t>Failed</t>
        </is>
      </c>
      <c r="I197" s="16" t="inlineStr">
        <is>
          <t>Functional</t>
        </is>
      </c>
      <c r="J197" s="17" t="inlineStr">
        <is>
          <t>Prototype: edusave.vercel.app (sample date 18/10/2026)
Chrome (latest)
Build: to be recorded at execution
Needs: ENV-R4-01</t>
        </is>
      </c>
      <c r="K197" s="17" t="inlineStr">
        <is>
          <t>1. The prototype is open at the base state (use Reset data).
2. Signed in as MOE HQ (Mei Lin Tan).</t>
        </is>
      </c>
      <c r="L197" s="17" t="inlineStr">
        <is>
          <t>Wizard of a MOEFAS scheme, step 3</t>
        </is>
      </c>
      <c r="M197" s="17" t="inlineStr">
        <is>
          <t>1. Click New scheme, enter a name and open 3 Subsidy.
2. Read the step.</t>
        </is>
      </c>
      <c r="N197" s="17" t="inlineStr">
        <is>
          <t>1. Value type offers "Percentage of fee" (default) and "Fixed amount (S$)".
2. The grid has the column LEVEL with the rows Primary, Secondary and Pre-University.
3. The text "Select a fee component above to add it." and the message "Add at least one fee component." are shown.</t>
        </is>
      </c>
      <c r="O197" s="17" t="inlineStr">
        <is>
          <t>Run 26/10/2026 (automation, localhost build). Three levels, the Fee Components button and the empty state are shown. The value type is percentage only (case book: Percentage of fee and Fixed amount).</t>
        </is>
      </c>
      <c r="P197" s="17" t="inlineStr">
        <is>
          <t>N/A</t>
        </is>
      </c>
      <c r="Q197" s="17" t="inlineStr">
        <is>
          <t>BUG-R4-006</t>
        </is>
      </c>
      <c r="R197" s="17" t="inlineStr">
        <is>
          <t>Tender R4, PB-19, FS F4 v1.3: 7.2 step 3, T10, BR4</t>
        </is>
      </c>
      <c r="S197" s="17" t="inlineStr">
        <is>
          <t>Compare CMP-50.</t>
        </is>
      </c>
      <c r="T197" s="16" t="inlineStr">
        <is>
          <t>Approve</t>
        </is>
      </c>
    </row>
    <row r="198" ht="106.5" customHeight="1" s="14">
      <c r="A198" s="16" t="inlineStr">
        <is>
          <t>TC-197</t>
        </is>
      </c>
      <c r="B198" s="16" t="inlineStr">
        <is>
          <t>TS-042</t>
        </is>
      </c>
      <c r="C198" s="17" t="inlineStr">
        <is>
          <t>Choosing a fee component adds a column at once with 0 in every row</t>
        </is>
      </c>
      <c r="D198" s="17" t="inlineStr">
        <is>
          <t>F4.14 New scheme wizard</t>
        </is>
      </c>
      <c r="E198" s="17" t="inlineStr">
        <is>
          <t>New scheme wizard (MOE HQ)</t>
        </is>
      </c>
      <c r="F198" s="16" t="inlineStr">
        <is>
          <t>S1 (highest)</t>
        </is>
      </c>
      <c r="G198" s="16" t="inlineStr">
        <is>
          <t>High</t>
        </is>
      </c>
      <c r="H198" s="16" t="inlineStr">
        <is>
          <t>Passed</t>
        </is>
      </c>
      <c r="I198" s="16" t="inlineStr">
        <is>
          <t>Functional</t>
        </is>
      </c>
      <c r="J198" s="17" t="inlineStr">
        <is>
          <t>Prototype: edusave.vercel.app (sample date 18/10/2026)
Chrome (latest)
Build: to be recorded at execution
Needs: ENV-R4-01</t>
        </is>
      </c>
      <c r="K198" s="17" t="inlineStr">
        <is>
          <t>1. The prototype is open at the base state (use Reset data).
2. Signed in as MOE HQ (Mei Lin Tan).</t>
        </is>
      </c>
      <c r="L198" s="17" t="inlineStr">
        <is>
          <t>Active fee components: School fee, Miscellaneous fee, Enrichment Programme Fee, Educational Excursion Fee, School Transport Fee, School Meal Fee</t>
        </is>
      </c>
      <c r="M198" s="17" t="inlineStr">
        <is>
          <t>1. Open step 3 and read the Fee component list.
2. Choose School fee.
3. Read the grid and the list.</t>
        </is>
      </c>
      <c r="N198" s="17" t="inlineStr">
        <is>
          <t>1. The list shows the six active components.
2. A column SCHOOL FEE with a ✕ is added at once, with 0 in Primary, Secondary and Pre-University.
3. School fee is no longer in the list and the message "Add at least one fee component." disappears.</t>
        </is>
      </c>
      <c r="O198" s="17" t="inlineStr">
        <is>
          <t>Run 26/10/2026 (automation, localhost build). Applying one component adds its column with a remove control and one editable cell per level. The picker list equals the active components returned by the billing API.</t>
        </is>
      </c>
      <c r="P198" s="17" t="inlineStr">
        <is>
          <t>N/A</t>
        </is>
      </c>
      <c r="Q198" s="17" t="n"/>
      <c r="R198" s="17" t="inlineStr">
        <is>
          <t>Tender R4, PB-19, FS F4 v1.3: 7.2 step 3, T10</t>
        </is>
      </c>
      <c r="S198" s="17" t="inlineStr">
        <is>
          <t>Compare CMP-50.</t>
        </is>
      </c>
      <c r="T198" s="16" t="inlineStr">
        <is>
          <t>Approve</t>
        </is>
      </c>
    </row>
    <row r="199" ht="106.5" customHeight="1" s="14">
      <c r="A199" s="16" t="inlineStr">
        <is>
          <t>TC-198</t>
        </is>
      </c>
      <c r="B199" s="16" t="inlineStr">
        <is>
          <t>TS-042</t>
        </is>
      </c>
      <c r="C199" s="17" t="inlineStr">
        <is>
          <t>Several components can be added and a column can be removed with the cross</t>
        </is>
      </c>
      <c r="D199" s="17" t="inlineStr">
        <is>
          <t>F4.14 New scheme wizard</t>
        </is>
      </c>
      <c r="E199" s="17" t="inlineStr">
        <is>
          <t>New scheme wizard (MOE HQ)</t>
        </is>
      </c>
      <c r="F199" s="16" t="inlineStr">
        <is>
          <t>S2</t>
        </is>
      </c>
      <c r="G199" s="16" t="inlineStr">
        <is>
          <t>Medium</t>
        </is>
      </c>
      <c r="H199" s="16" t="inlineStr">
        <is>
          <t>Passed</t>
        </is>
      </c>
      <c r="I199" s="16" t="inlineStr">
        <is>
          <t>Functional</t>
        </is>
      </c>
      <c r="J199" s="17" t="inlineStr">
        <is>
          <t>Prototype: edusave.vercel.app (sample date 18/10/2026)
Chrome (latest)
Build: to be recorded at execution
Needs: ENV-R4-01</t>
        </is>
      </c>
      <c r="K199" s="17" t="inlineStr">
        <is>
          <t>1. The prototype is open at the base state (use Reset data).
2. Signed in as MOE HQ (Mei Lin Tan).</t>
        </is>
      </c>
      <c r="L199" s="17" t="inlineStr">
        <is>
          <t>Components: School fee and School Meal Fee</t>
        </is>
      </c>
      <c r="M199" s="17" t="inlineStr">
        <is>
          <t>1. Open step 3 and choose School fee, then School Meal Fee.
2. Click ✕ on the School fee column.
3. Read the grid and the list.</t>
        </is>
      </c>
      <c r="N199" s="17" t="inlineStr">
        <is>
          <t>1. Two columns are shown after the second choice.
2. After ✕ only SCHOOL MEAL FEE remains and School fee is back in the list.
3. If the last column is removed, "Add at least one fee component." shows again.</t>
        </is>
      </c>
      <c r="O199" s="17" t="inlineStr">
        <is>
          <t>Run 26/10/2026 (automation, localhost build). Several components can be added and a column is removed with its cross. Last column removed shows the empty state again.</t>
        </is>
      </c>
      <c r="P199" s="17" t="inlineStr">
        <is>
          <t>N/A</t>
        </is>
      </c>
      <c r="Q199" s="17" t="n"/>
      <c r="R199" s="17" t="inlineStr">
        <is>
          <t>Tender R4, PB-19, FS F4 v1.3: 7.2 step 3, T10</t>
        </is>
      </c>
      <c r="S199" s="17" t="n"/>
      <c r="T199" s="16" t="inlineStr">
        <is>
          <t>Approve</t>
        </is>
      </c>
    </row>
    <row r="200" ht="106.5" customHeight="1" s="14">
      <c r="A200" s="16" t="inlineStr">
        <is>
          <t>TC-199</t>
        </is>
      </c>
      <c r="B200" s="16" t="inlineStr">
        <is>
          <t>TS-042</t>
        </is>
      </c>
      <c r="C200" s="17" t="inlineStr">
        <is>
          <t>Only active fee components of Function 3 are offered</t>
        </is>
      </c>
      <c r="D200" s="17" t="inlineStr">
        <is>
          <t>F4.14 New scheme wizard</t>
        </is>
      </c>
      <c r="E200" s="17" t="inlineStr">
        <is>
          <t>New scheme wizard (MOE HQ)</t>
        </is>
      </c>
      <c r="F200" s="16" t="inlineStr">
        <is>
          <t>S3</t>
        </is>
      </c>
      <c r="G200" s="16" t="inlineStr">
        <is>
          <t>Medium</t>
        </is>
      </c>
      <c r="H200" s="16" t="inlineStr">
        <is>
          <t>Passed</t>
        </is>
      </c>
      <c r="I200" s="16" t="inlineStr">
        <is>
          <t>Integration</t>
        </is>
      </c>
      <c r="J200" s="17" t="inlineStr">
        <is>
          <t>F4 build with API (not available yet)
Chrome (latest)
Build: to be recorded at execution
Needs: ENV-R4-02, SEED-R4-N19</t>
        </is>
      </c>
      <c r="K200" s="17" t="inlineStr">
        <is>
          <t>1. The F4 build is connected to F3 (fee components).
2. Signed in as MOE HQ.</t>
        </is>
      </c>
      <c r="L200" s="17" t="inlineStr">
        <is>
          <t>Fee component "School Meal Fee" set to inactive in F3 (SEED-R4-N19)</t>
        </is>
      </c>
      <c r="M200" s="17" t="inlineStr">
        <is>
          <t>1. Open step 3 of a new MOEFAS scheme and read the Fee component list.</t>
        </is>
      </c>
      <c r="N200" s="17" t="inlineStr">
        <is>
          <t>1. The inactive component is not listed.</t>
        </is>
      </c>
      <c r="O200" s="17" t="inlineStr">
        <is>
          <t>Run 26/10/2026 (automation, localhost build). The picker offers the active components of Function 3 and the list equals the billing API.</t>
        </is>
      </c>
      <c r="P200" s="17" t="inlineStr">
        <is>
          <t>N/A</t>
        </is>
      </c>
      <c r="Q200" s="17" t="n"/>
      <c r="R200" s="17" t="inlineStr">
        <is>
          <t>Tender R4, PB-19, FS F4 v1.3: 7.2 step 3</t>
        </is>
      </c>
      <c r="S200" s="17" t="inlineStr">
        <is>
          <t>The note on the prototype says the components come from Function 3.</t>
        </is>
      </c>
      <c r="T200" s="16" t="inlineStr">
        <is>
          <t>Approve</t>
        </is>
      </c>
    </row>
    <row r="201" ht="106.5" customHeight="1" s="14">
      <c r="A201" s="16" t="inlineStr">
        <is>
          <t>TC-200</t>
        </is>
      </c>
      <c r="B201" s="16" t="inlineStr">
        <is>
          <t>TS-042</t>
        </is>
      </c>
      <c r="C201" s="17" t="inlineStr">
        <is>
          <t>Changing the value type changes the unit of the cells</t>
        </is>
      </c>
      <c r="D201" s="17" t="inlineStr">
        <is>
          <t>F4.14 New scheme wizard</t>
        </is>
      </c>
      <c r="E201" s="17" t="inlineStr">
        <is>
          <t>New scheme wizard (MOE HQ)</t>
        </is>
      </c>
      <c r="F201" s="16" t="inlineStr">
        <is>
          <t>S2</t>
        </is>
      </c>
      <c r="G201" s="16" t="inlineStr">
        <is>
          <t>Medium</t>
        </is>
      </c>
      <c r="H201" s="16" t="inlineStr">
        <is>
          <t>Not Run</t>
        </is>
      </c>
      <c r="I201" s="16" t="inlineStr">
        <is>
          <t>Functional</t>
        </is>
      </c>
      <c r="J201" s="17" t="inlineStr">
        <is>
          <t>Prototype: edusave.vercel.app (sample date 18/10/2026)
Chrome (latest)
Build: to be recorded at execution
Needs: ENV-R4-01</t>
        </is>
      </c>
      <c r="K201" s="17" t="inlineStr">
        <is>
          <t>1. The prototype is open at the base state (use Reset data).
2. Signed in as MOE HQ (Mei Lin Tan).</t>
        </is>
      </c>
      <c r="L201" s="17" t="inlineStr">
        <is>
          <t>Component School fee with values 100, 70, 50</t>
        </is>
      </c>
      <c r="M201" s="17" t="inlineStr">
        <is>
          <t>1. Open step 3, add School fee and enter 100, 70 and 50.
2. Change Value type to Fixed amount (S$).
3. Read the unit of the cells and the values.</t>
        </is>
      </c>
      <c r="N201" s="17" t="inlineStr">
        <is>
          <t>1. The unit next to each cell changes from % to S$.
2. The cell values are checked against the S$ rule (0 or more) and not the 0 to 100 rule.</t>
        </is>
      </c>
      <c r="O201" s="17" t="n"/>
      <c r="P201" s="17" t="inlineStr">
        <is>
          <t>N/A</t>
        </is>
      </c>
      <c r="Q201" s="17" t="n"/>
      <c r="R201" s="17" t="inlineStr">
        <is>
          <t>Tender R4, PB-19, FS F4 v1.3: 7.2 step 3</t>
        </is>
      </c>
      <c r="S201" s="17" t="inlineStr">
        <is>
          <t>Compare CMP-50. Whether the values are kept or reset on a change of type was not checked.</t>
        </is>
      </c>
      <c r="T201" s="16" t="inlineStr">
        <is>
          <t>Approve</t>
        </is>
      </c>
    </row>
    <row r="202" ht="106.5" customHeight="1" s="14">
      <c r="A202" s="16" t="inlineStr">
        <is>
          <t>TC-201</t>
        </is>
      </c>
      <c r="B202" s="16" t="inlineStr">
        <is>
          <t>TS-043</t>
        </is>
      </c>
      <c r="C202" s="17" t="inlineStr">
        <is>
          <t>SBFAS step 3 shows one row per grade the school offers</t>
        </is>
      </c>
      <c r="D202" s="17" t="inlineStr">
        <is>
          <t>F4.14 New scheme wizard</t>
        </is>
      </c>
      <c r="E202" s="17" t="inlineStr">
        <is>
          <t>New scheme wizard (School Admin)</t>
        </is>
      </c>
      <c r="F202" s="16" t="inlineStr">
        <is>
          <t>S2</t>
        </is>
      </c>
      <c r="G202" s="16" t="inlineStr">
        <is>
          <t>High</t>
        </is>
      </c>
      <c r="H202" s="16" t="inlineStr">
        <is>
          <t>Passed</t>
        </is>
      </c>
      <c r="I202" s="16" t="inlineStr">
        <is>
          <t>Functional</t>
        </is>
      </c>
      <c r="J202" s="17" t="inlineStr">
        <is>
          <t>Prototype: edusave.vercel.app (sample date 18/10/2026)
Chrome (latest)
Build: to be recorded at execution
Needs: ENV-R4-01</t>
        </is>
      </c>
      <c r="K202" s="17" t="inlineStr">
        <is>
          <t>1. The prototype is open at the base state (use Reset data).
2. Signed in as School user Lan Nguyen (BVP-0012), Bukit View Primary.</t>
        </is>
      </c>
      <c r="L202" s="17" t="inlineStr">
        <is>
          <t>Bukit View Primary offers P1 to P6. Meridian Secondary offers S1 to S4.</t>
        </is>
      </c>
      <c r="M202" s="17" t="inlineStr">
        <is>
          <t>1. Open SBFAS schemes, click New scheme, enter a name and open 3 Subsidy.
2. Read the rows.
3. Cancel. Log out, sign in as MRS-0012 and repeat.</t>
        </is>
      </c>
      <c r="N202" s="17" t="inlineStr">
        <is>
          <t>1. Bukit View Primary shows the rows P1, P2, P3, P4, P5 and P6.
2. Meridian Secondary shows S1, S2, S3 and S4.
3. No Primary, Secondary or Pre-University row is shown.</t>
        </is>
      </c>
      <c r="O202" s="17" t="inlineStr">
        <is>
          <t>Run 26/10/2026 (manual run in the built-in browser and through the API, localhost build). Step 3 lists Junior College 1 and Secondary 1, the 2 active grades of Raffles Institution returned by the offerings API. No Primary, Secondary or Pre-University row.</t>
        </is>
      </c>
      <c r="P202" s="17" t="inlineStr">
        <is>
          <t>N/A</t>
        </is>
      </c>
      <c r="Q202" s="17" t="n"/>
      <c r="R202" s="17" t="inlineStr">
        <is>
          <t>Tender R4, PB-19, FS F4 v1.3: 7.2 step 3, T11, BR4</t>
        </is>
      </c>
      <c r="S202" s="17" t="inlineStr">
        <is>
          <t>Compare CMP-50. The Meridian rows were not opened on the prototype.</t>
        </is>
      </c>
      <c r="T202" s="16" t="inlineStr">
        <is>
          <t>Approve</t>
        </is>
      </c>
    </row>
    <row r="203" ht="106.5" customHeight="1" s="14">
      <c r="A203" s="16" t="inlineStr">
        <is>
          <t>TC-202</t>
        </is>
      </c>
      <c r="B203" s="16" t="inlineStr">
        <is>
          <t>TS-043</t>
        </is>
      </c>
      <c r="C203" s="17" t="inlineStr">
        <is>
          <t>SBFAS component columns behave like MOEFAS</t>
        </is>
      </c>
      <c r="D203" s="17" t="inlineStr">
        <is>
          <t>F4.14 New scheme wizard</t>
        </is>
      </c>
      <c r="E203" s="17" t="inlineStr">
        <is>
          <t>New scheme wizard (School Admin)</t>
        </is>
      </c>
      <c r="F203" s="16" t="inlineStr">
        <is>
          <t>S3</t>
        </is>
      </c>
      <c r="G203" s="16" t="inlineStr">
        <is>
          <t>Medium</t>
        </is>
      </c>
      <c r="H203" s="16" t="inlineStr">
        <is>
          <t>Passed</t>
        </is>
      </c>
      <c r="I203" s="16" t="inlineStr">
        <is>
          <t>Functional</t>
        </is>
      </c>
      <c r="J203" s="17" t="inlineStr">
        <is>
          <t>Prototype: edusave.vercel.app (sample date 18/10/2026)
Chrome (latest)
Build: to be recorded at execution
Needs: ENV-R4-01</t>
        </is>
      </c>
      <c r="K203" s="17" t="inlineStr">
        <is>
          <t>1. The prototype is open at the base state (use Reset data).
2. Signed in as School user Lan Nguyen (BVP-0012), Bukit View Primary.</t>
        </is>
      </c>
      <c r="L203" s="17" t="inlineStr">
        <is>
          <t>Component School fee</t>
        </is>
      </c>
      <c r="M203" s="17" t="inlineStr">
        <is>
          <t>1. Open step 3 of a new SBFAS scheme and choose School fee.
2. Read the grid.</t>
        </is>
      </c>
      <c r="N203" s="17" t="inlineStr">
        <is>
          <t>1. A column SCHOOL FEE with a ✕ is added with 0 in every grade row.</t>
        </is>
      </c>
      <c r="O203" s="17" t="inlineStr">
        <is>
          <t>Run 26/10/2026 (manual run in the built-in browser and through the API, localhost build). Picking Annual Camp Fee adds one column with a percentage cell for each grade. The cells start at 0 (min 0, max 100, step 0.01). The remove control of the column was not clicked in this run.</t>
        </is>
      </c>
      <c r="P203" s="17" t="inlineStr">
        <is>
          <t>N/A</t>
        </is>
      </c>
      <c r="Q203" s="17" t="n"/>
      <c r="R203" s="17" t="inlineStr">
        <is>
          <t>Tender R4, PB-19, FS F4 v1.3: 7.2 step 3, T11</t>
        </is>
      </c>
      <c r="S203" s="17" t="n"/>
      <c r="T203" s="16" t="inlineStr">
        <is>
          <t>Approve</t>
        </is>
      </c>
    </row>
    <row r="204" ht="106.5" customHeight="1" s="14">
      <c r="A204" s="16" t="inlineStr">
        <is>
          <t>TC-203</t>
        </is>
      </c>
      <c r="B204" s="16" t="inlineStr">
        <is>
          <t>TS-043</t>
        </is>
      </c>
      <c r="C204" s="17" t="inlineStr">
        <is>
          <t>SBFAS step 1 uses a tier name and the same dates as MOEFAS</t>
        </is>
      </c>
      <c r="D204" s="17" t="inlineStr">
        <is>
          <t>F4.14 New scheme wizard</t>
        </is>
      </c>
      <c r="E204" s="17" t="inlineStr">
        <is>
          <t>New scheme wizard (School Admin)</t>
        </is>
      </c>
      <c r="F204" s="16" t="inlineStr">
        <is>
          <t>S3</t>
        </is>
      </c>
      <c r="G204" s="16" t="inlineStr">
        <is>
          <t>Medium</t>
        </is>
      </c>
      <c r="H204" s="16" t="inlineStr">
        <is>
          <t>Passed</t>
        </is>
      </c>
      <c r="I204" s="16" t="inlineStr">
        <is>
          <t>Functional</t>
        </is>
      </c>
      <c r="J204" s="17" t="inlineStr">
        <is>
          <t>Prototype: edusave.vercel.app (sample date 18/10/2026)
Chrome (latest)
Build: to be recorded at execution
Needs: ENV-R4-01</t>
        </is>
      </c>
      <c r="K204" s="17" t="inlineStr">
        <is>
          <t>1. The prototype is open at the base state (use Reset data).
2. Signed in as School user Lan Nguyen (BVP-0012), Bukit View Primary.</t>
        </is>
      </c>
      <c r="L204" s="17" t="inlineStr">
        <is>
          <t>Wizard of an SBFAS scheme, step 1</t>
        </is>
      </c>
      <c r="M204" s="17" t="inlineStr">
        <is>
          <t>1. Click New scheme and read step 1.</t>
        </is>
      </c>
      <c r="N204" s="17" t="inlineStr">
        <is>
          <t>1. The fields are the same as for MOEFAS and the blue note ends with "the school reviews the applications".
2. There is no Scheme type and no Level field.</t>
        </is>
      </c>
      <c r="O204" s="17" t="inlineStr">
        <is>
          <t>Run 26/10/2026 (manual run in the built-in browser and through the API, localhost build). Step 1 has Scheme name, Applications open from, Applications open to, Effective from, Effective to (optional), Total budget and Scheme context (optional). There is no Scheme type and no Level field. The blue note was not compared.</t>
        </is>
      </c>
      <c r="P204" s="17" t="inlineStr">
        <is>
          <t>N/A</t>
        </is>
      </c>
      <c r="Q204" s="17" t="n"/>
      <c r="R204" s="17" t="inlineStr">
        <is>
          <t>Tender R4, PB-19, FS F4 v1.3: 7.2 step 1, BR4</t>
        </is>
      </c>
      <c r="S204" s="17" t="inlineStr">
        <is>
          <t>Compare CMP-46.</t>
        </is>
      </c>
      <c r="T204" s="16" t="inlineStr">
        <is>
          <t>Approve</t>
        </is>
      </c>
    </row>
    <row r="205" ht="106.5" customHeight="1" s="14">
      <c r="A205" s="16" t="inlineStr">
        <is>
          <t>TC-204</t>
        </is>
      </c>
      <c r="B205" s="16" t="inlineStr">
        <is>
          <t>TS-044</t>
        </is>
      </c>
      <c r="C205" s="17" t="inlineStr">
        <is>
          <t>Percentage cells accept 0 and 100</t>
        </is>
      </c>
      <c r="D205" s="17" t="inlineStr">
        <is>
          <t>F4.14 New scheme wizard</t>
        </is>
      </c>
      <c r="E205" s="17" t="inlineStr">
        <is>
          <t>New scheme wizard (MOE HQ)</t>
        </is>
      </c>
      <c r="F205" s="16" t="inlineStr">
        <is>
          <t>S2</t>
        </is>
      </c>
      <c r="G205" s="16" t="inlineStr">
        <is>
          <t>High</t>
        </is>
      </c>
      <c r="H205" s="16" t="inlineStr">
        <is>
          <t>Passed</t>
        </is>
      </c>
      <c r="I205" s="16" t="inlineStr">
        <is>
          <t>Functional</t>
        </is>
      </c>
      <c r="J205" s="17" t="inlineStr">
        <is>
          <t>Prototype: edusave.vercel.app (sample date 18/10/2026)
Chrome (latest)
Build: to be recorded at execution
Needs: ENV-R4-01</t>
        </is>
      </c>
      <c r="K205" s="17" t="inlineStr">
        <is>
          <t>1. The prototype is open at the base state (use Reset data).
2. Signed in as MOE HQ (Mei Lin Tan).</t>
        </is>
      </c>
      <c r="L205" s="17" t="inlineStr">
        <is>
          <t>Component School fee, Primary cell values 0 and 100</t>
        </is>
      </c>
      <c r="M205" s="17" t="inlineStr">
        <is>
          <t>1. Open step 3, add School fee and enter 0 in Primary, read the footer.
2. Enter 100 and read the footer.</t>
        </is>
      </c>
      <c r="N205" s="17" t="inlineStr">
        <is>
          <t>1. Both values show "All amounts are valid."</t>
        </is>
      </c>
      <c r="O205" s="17" t="inlineStr">
        <is>
          <t>Run 26/10/2026 (automation, localhost build). 0 and 100 are accepted and All amounts are valid. is shown.</t>
        </is>
      </c>
      <c r="P205" s="17" t="inlineStr">
        <is>
          <t>N/A</t>
        </is>
      </c>
      <c r="Q205" s="17" t="n"/>
      <c r="R205" s="17" t="inlineStr">
        <is>
          <t>Tender R4, PB-19, FS F4 v1.3: 7.2 step 3, 7.3 Fee components</t>
        </is>
      </c>
      <c r="S205" s="17" t="inlineStr">
        <is>
          <t>Compare CMP-50.</t>
        </is>
      </c>
      <c r="T205" s="16" t="inlineStr">
        <is>
          <t>Approve</t>
        </is>
      </c>
    </row>
    <row r="206" ht="106.5" customHeight="1" s="14">
      <c r="A206" s="16" t="inlineStr">
        <is>
          <t>TC-205</t>
        </is>
      </c>
      <c r="B206" s="16" t="inlineStr">
        <is>
          <t>TS-044</t>
        </is>
      </c>
      <c r="C206" s="17" t="inlineStr">
        <is>
          <t>Percentage cells reject values below 0 and above 100 and empty cells</t>
        </is>
      </c>
      <c r="D206" s="17" t="inlineStr">
        <is>
          <t>F4.14 New scheme wizard</t>
        </is>
      </c>
      <c r="E206" s="17" t="inlineStr">
        <is>
          <t>New scheme wizard (MOE HQ)</t>
        </is>
      </c>
      <c r="F206" s="16" t="inlineStr">
        <is>
          <t>S1 (highest)</t>
        </is>
      </c>
      <c r="G206" s="16" t="inlineStr">
        <is>
          <t>High</t>
        </is>
      </c>
      <c r="H206" s="16" t="inlineStr">
        <is>
          <t>Failed</t>
        </is>
      </c>
      <c r="I206" s="16" t="inlineStr">
        <is>
          <t>Functional</t>
        </is>
      </c>
      <c r="J206" s="17" t="inlineStr">
        <is>
          <t>Prototype: edusave.vercel.app (sample date 18/10/2026)
Chrome (latest)
Build: to be recorded at execution
Needs: ENV-R4-01</t>
        </is>
      </c>
      <c r="K206" s="17" t="inlineStr">
        <is>
          <t>1. The prototype is open at the base state (use Reset data).
2. Signed in as MOE HQ (Mei Lin Tan).</t>
        </is>
      </c>
      <c r="L206" s="17" t="inlineStr">
        <is>
          <t>Primary cell values -1, 101 and empty</t>
        </is>
      </c>
      <c r="M206" s="17" t="inlineStr">
        <is>
          <t>1. Open step 3, add School fee.
2. Enter -1, then 101, then clear the cell.
3. Read the footer each time.</t>
        </is>
      </c>
      <c r="N206" s="17" t="inlineStr">
        <is>
          <t>1. Each case shows "Primary · School fee: enter 0–100 %."
2. The step gets a warning mark and Publish is blocked.</t>
        </is>
      </c>
      <c r="O206" s="17" t="inlineStr">
        <is>
          <t>Run 26/10/2026 (automation, localhost build). -1 and 101 are refused and Next stays blocked, but the message under the table is the raw key features.moeHqMoeFasCreate.errors.amountRange instead of text.</t>
        </is>
      </c>
      <c r="P206" s="17" t="inlineStr">
        <is>
          <t>N/A</t>
        </is>
      </c>
      <c r="Q206" s="17" t="inlineStr">
        <is>
          <t>BUG-R4-001</t>
        </is>
      </c>
      <c r="R206" s="17" t="inlineStr">
        <is>
          <t>Tender R4, PB-19, FS F4 v1.3: 7.3 Fee components, 7.2 step 3</t>
        </is>
      </c>
      <c r="S206" s="17" t="inlineStr">
        <is>
          <t>Compare CMP-50.</t>
        </is>
      </c>
      <c r="T206" s="16" t="inlineStr">
        <is>
          <t>Approve</t>
        </is>
      </c>
    </row>
    <row r="207" ht="106.5" customHeight="1" s="14">
      <c r="A207" s="16" t="inlineStr">
        <is>
          <t>TC-206</t>
        </is>
      </c>
      <c r="B207" s="16" t="inlineStr">
        <is>
          <t>TS-044</t>
        </is>
      </c>
      <c r="C207" s="17" t="inlineStr">
        <is>
          <t>Percentage cells accept at most two decimals</t>
        </is>
      </c>
      <c r="D207" s="17" t="inlineStr">
        <is>
          <t>F4.14 New scheme wizard</t>
        </is>
      </c>
      <c r="E207" s="17" t="inlineStr">
        <is>
          <t>New scheme wizard (MOE HQ)</t>
        </is>
      </c>
      <c r="F207" s="16" t="inlineStr">
        <is>
          <t>S3</t>
        </is>
      </c>
      <c r="G207" s="16" t="inlineStr">
        <is>
          <t>Medium</t>
        </is>
      </c>
      <c r="H207" s="16" t="inlineStr">
        <is>
          <t>Failed</t>
        </is>
      </c>
      <c r="I207" s="16" t="inlineStr">
        <is>
          <t>Functional</t>
        </is>
      </c>
      <c r="J207" s="17" t="inlineStr">
        <is>
          <t>Prototype: edusave.vercel.app (sample date 18/10/2026)
Chrome (latest)
Build: to be recorded at execution
Needs: ENV-R4-01</t>
        </is>
      </c>
      <c r="K207" s="17" t="inlineStr">
        <is>
          <t>1. The prototype is open at the base state (use Reset data).
2. Signed in as MOE HQ (Mei Lin Tan).</t>
        </is>
      </c>
      <c r="L207" s="17" t="inlineStr">
        <is>
          <t>Primary cell values 33.33 and 33.333</t>
        </is>
      </c>
      <c r="M207" s="17" t="inlineStr">
        <is>
          <t>1. Open step 3, add School fee.
2. Enter 33.33 and read the footer.
3. Enter 33.333 and read the footer.</t>
        </is>
      </c>
      <c r="N207" s="17" t="inlineStr">
        <is>
          <t>1. 33.33 is valid.
2. 33.333 shows an error for that cell.</t>
        </is>
      </c>
      <c r="O207" s="17" t="inlineStr">
        <is>
          <t>Run 26/10/2026 (automation, localhost build). 33.333 is accepted: All amounts are valid. is shown and Next is enabled. No limit of two decimals.</t>
        </is>
      </c>
      <c r="P207" s="17" t="inlineStr">
        <is>
          <t>ASM-R4-12: Percentage cells accept values from 0 to 100 with up to two decimals. Fixed amounts accept up to two decimals from 0 with no upper limit.</t>
        </is>
      </c>
      <c r="Q207" s="17" t="inlineStr">
        <is>
          <t>BUG-R4-002</t>
        </is>
      </c>
      <c r="R207" s="17" t="inlineStr">
        <is>
          <t>Tender R4, PB-19, FS F4 v1.3: 7.3 Fee components</t>
        </is>
      </c>
      <c r="S207" s="17" t="inlineStr">
        <is>
          <t>The prototype accepts 33.333 with no message. Candidate finding of severity S4.</t>
        </is>
      </c>
      <c r="T207" s="16" t="inlineStr">
        <is>
          <t>Draft</t>
        </is>
      </c>
    </row>
    <row r="208" ht="106.5" customHeight="1" s="14">
      <c r="A208" s="16" t="inlineStr">
        <is>
          <t>TC-207</t>
        </is>
      </c>
      <c r="B208" s="16" t="inlineStr">
        <is>
          <t>TS-044</t>
        </is>
      </c>
      <c r="C208" s="17" t="inlineStr">
        <is>
          <t>Fixed amount cells accept 0 or more and reject negative values</t>
        </is>
      </c>
      <c r="D208" s="17" t="inlineStr">
        <is>
          <t>F4.14 New scheme wizard</t>
        </is>
      </c>
      <c r="E208" s="17" t="inlineStr">
        <is>
          <t>New scheme wizard (MOE HQ)</t>
        </is>
      </c>
      <c r="F208" s="16" t="inlineStr">
        <is>
          <t>S2</t>
        </is>
      </c>
      <c r="G208" s="16" t="inlineStr">
        <is>
          <t>High</t>
        </is>
      </c>
      <c r="H208" s="16" t="inlineStr">
        <is>
          <t>Not Run</t>
        </is>
      </c>
      <c r="I208" s="16" t="inlineStr">
        <is>
          <t>Functional</t>
        </is>
      </c>
      <c r="J208" s="17" t="inlineStr">
        <is>
          <t>Prototype: edusave.vercel.app (sample date 18/10/2026)
Chrome (latest)
Build: to be recorded at execution
Needs: ENV-R4-01</t>
        </is>
      </c>
      <c r="K208" s="17" t="inlineStr">
        <is>
          <t>1. The prototype is open at the base state (use Reset data).
2. Signed in as MOE HQ (Mei Lin Tan).</t>
        </is>
      </c>
      <c r="L208" s="17" t="inlineStr">
        <is>
          <t>Value type Fixed amount (S$), Primary cell values 0, 120.50, 1000000, -1</t>
        </is>
      </c>
      <c r="M208" s="17" t="inlineStr">
        <is>
          <t>1. Open step 3, choose Fixed amount (S$) and add School fee.
2. Enter each value in turn and read the footer.</t>
        </is>
      </c>
      <c r="N208" s="17" t="inlineStr">
        <is>
          <t>1. 0, 120.50 and 1000000 show "All amounts are valid."
2. -1 shows "Primary · School fee: enter an amount of 0 or more."</t>
        </is>
      </c>
      <c r="O208" s="17" t="n"/>
      <c r="P208" s="17" t="inlineStr">
        <is>
          <t>ASM-R4-12: Percentage cells accept values from 0 to 100 with up to two decimals. Fixed amounts accept up to two decimals from 0 with no upper limit.</t>
        </is>
      </c>
      <c r="Q208" s="17" t="n"/>
      <c r="R208" s="17" t="inlineStr">
        <is>
          <t>Tender R4, PB-19, FS F4 v1.3: 7.2 step 3, 7.3 Fee components</t>
        </is>
      </c>
      <c r="S208" s="17" t="inlineStr">
        <is>
          <t>Compare CMP-50 and the live probe.</t>
        </is>
      </c>
      <c r="T208" s="16" t="inlineStr">
        <is>
          <t>Draft</t>
        </is>
      </c>
    </row>
    <row r="209" ht="106.5" customHeight="1" s="14">
      <c r="A209" s="16" t="inlineStr">
        <is>
          <t>TC-208</t>
        </is>
      </c>
      <c r="B209" s="16" t="inlineStr">
        <is>
          <t>TS-044</t>
        </is>
      </c>
      <c r="C209" s="17" t="inlineStr">
        <is>
          <t>An empty fixed amount cell is rejected</t>
        </is>
      </c>
      <c r="D209" s="17" t="inlineStr">
        <is>
          <t>F4.14 New scheme wizard</t>
        </is>
      </c>
      <c r="E209" s="17" t="inlineStr">
        <is>
          <t>New scheme wizard (MOE HQ)</t>
        </is>
      </c>
      <c r="F209" s="16" t="inlineStr">
        <is>
          <t>S3</t>
        </is>
      </c>
      <c r="G209" s="16" t="inlineStr">
        <is>
          <t>Medium</t>
        </is>
      </c>
      <c r="H209" s="16" t="inlineStr">
        <is>
          <t>Not Run</t>
        </is>
      </c>
      <c r="I209" s="16" t="inlineStr">
        <is>
          <t>Functional</t>
        </is>
      </c>
      <c r="J209" s="17" t="inlineStr">
        <is>
          <t>Prototype: edusave.vercel.app (sample date 18/10/2026)
Chrome (latest)
Build: to be recorded at execution
Needs: ENV-R4-01</t>
        </is>
      </c>
      <c r="K209" s="17" t="inlineStr">
        <is>
          <t>1. The prototype is open at the base state (use Reset data).
2. Signed in as MOE HQ (Mei Lin Tan).</t>
        </is>
      </c>
      <c r="L209" s="17" t="inlineStr">
        <is>
          <t>Fixed amount, Primary cell empty</t>
        </is>
      </c>
      <c r="M209" s="17" t="inlineStr">
        <is>
          <t>1. Open step 3, choose Fixed amount (S$) and add School fee.
2. Clear the Primary cell and read the footer.</t>
        </is>
      </c>
      <c r="N209" s="17" t="inlineStr">
        <is>
          <t>1. An error is shown for the Primary cell and Publish is blocked.</t>
        </is>
      </c>
      <c r="O209" s="17" t="n"/>
      <c r="P209" s="17" t="inlineStr">
        <is>
          <t>ASM-R4-12: Percentage cells accept values from 0 to 100 with up to two decimals. Fixed amounts accept up to two decimals from 0 with no upper limit.</t>
        </is>
      </c>
      <c r="Q209" s="17" t="n"/>
      <c r="R209" s="17" t="inlineStr">
        <is>
          <t>Tender R4, PB-19, FS F4 v1.3: 7.3 Fee components</t>
        </is>
      </c>
      <c r="S209" s="17" t="n"/>
      <c r="T209" s="16" t="inlineStr">
        <is>
          <t>Draft</t>
        </is>
      </c>
    </row>
    <row r="210" ht="106.5" customHeight="1" s="14">
      <c r="A210" s="16" t="inlineStr">
        <is>
          <t>TC-209</t>
        </is>
      </c>
      <c r="B210" s="16" t="inlineStr">
        <is>
          <t>TS-045</t>
        </is>
      </c>
      <c r="C210" s="17" t="inlineStr">
        <is>
          <t>Steps can be opened in any order and keep their values</t>
        </is>
      </c>
      <c r="D210" s="17" t="inlineStr">
        <is>
          <t>F4.14 New scheme wizard</t>
        </is>
      </c>
      <c r="E210" s="17" t="inlineStr">
        <is>
          <t>New scheme wizard (MOE HQ)</t>
        </is>
      </c>
      <c r="F210" s="16" t="inlineStr">
        <is>
          <t>S3</t>
        </is>
      </c>
      <c r="G210" s="16" t="inlineStr">
        <is>
          <t>Medium</t>
        </is>
      </c>
      <c r="H210" s="16" t="inlineStr">
        <is>
          <t>Failed</t>
        </is>
      </c>
      <c r="I210" s="16" t="inlineStr">
        <is>
          <t>Functional</t>
        </is>
      </c>
      <c r="J210" s="17" t="inlineStr">
        <is>
          <t>Prototype: edusave.vercel.app (sample date 18/10/2026)
Chrome (latest)
Build: to be recorded at execution
Needs: ENV-R4-01</t>
        </is>
      </c>
      <c r="K210" s="17" t="inlineStr">
        <is>
          <t>1. The prototype is open at the base state (use Reset data).
2. Signed in as MOE HQ (Mei Lin Tan).</t>
        </is>
      </c>
      <c r="L210" s="17" t="inlineStr">
        <is>
          <t>Name "QA Test 2028", PR ticked in step 2, School fee added in step 3</t>
        </is>
      </c>
      <c r="M210" s="17" t="inlineStr">
        <is>
          <t>1. Fill the three steps.
2. Click 1 General, then 3 Subsidy, then 2 Eligibility.
3. Read each step.</t>
        </is>
      </c>
      <c r="N210" s="17" t="inlineStr">
        <is>
          <t>1. Every step shows the values entered before.
2. Back and Next move one step at a time and keep the values.</t>
        </is>
      </c>
      <c r="O210" s="17" t="inlineStr">
        <is>
          <t>Run 26/10/2026 (automation, localhost build). Values are kept by Next and Back. The stepper is not clickable, so steps cannot be opened in any order as the title says.</t>
        </is>
      </c>
      <c r="P210" s="17" t="inlineStr">
        <is>
          <t>N/A</t>
        </is>
      </c>
      <c r="Q210" s="17" t="inlineStr">
        <is>
          <t>BUG-R4-006</t>
        </is>
      </c>
      <c r="R210" s="17" t="inlineStr">
        <is>
          <t>Tender R4, PB-19, FS F4 v1.3: 7.2 step 1, 7.2 step 2, 7.2 step 3</t>
        </is>
      </c>
      <c r="S210" s="17" t="n"/>
      <c r="T210" s="16" t="inlineStr">
        <is>
          <t>Approve</t>
        </is>
      </c>
    </row>
    <row r="211" ht="106.5" customHeight="1" s="14">
      <c r="A211" s="16" t="inlineStr">
        <is>
          <t>TC-210</t>
        </is>
      </c>
      <c r="B211" s="16" t="inlineStr">
        <is>
          <t>TS-045</t>
        </is>
      </c>
      <c r="C211" s="17" t="inlineStr">
        <is>
          <t>Save draft with a name creates a Draft row</t>
        </is>
      </c>
      <c r="D211" s="17" t="inlineStr">
        <is>
          <t>F4.14 New scheme wizard</t>
        </is>
      </c>
      <c r="E211" s="17" t="inlineStr">
        <is>
          <t>New scheme wizard (MOE HQ)</t>
        </is>
      </c>
      <c r="F211" s="16" t="inlineStr">
        <is>
          <t>S1 (highest)</t>
        </is>
      </c>
      <c r="G211" s="16" t="inlineStr">
        <is>
          <t>High</t>
        </is>
      </c>
      <c r="H211" s="16" t="inlineStr">
        <is>
          <t>Failed</t>
        </is>
      </c>
      <c r="I211" s="16" t="inlineStr">
        <is>
          <t>Functional</t>
        </is>
      </c>
      <c r="J211" s="17" t="inlineStr">
        <is>
          <t>Prototype: edusave.vercel.app (sample date 18/10/2026)
Chrome (latest)
Build: to be recorded at execution
Needs: ENV-R4-01</t>
        </is>
      </c>
      <c r="K211" s="17" t="inlineStr">
        <is>
          <t>1. The prototype is open at the base state (use Reset data).
2. Signed in as MOE HQ (Mei Lin Tan).</t>
        </is>
      </c>
      <c r="L211" s="17" t="inlineStr">
        <is>
          <t>Scheme name "QA Draft 2028", other fields as default</t>
        </is>
      </c>
      <c r="M211" s="17" t="inlineStr">
        <is>
          <t>1. Click New scheme, enter the name and click Draft.
2. Read the toast and the scheme list.</t>
        </is>
      </c>
      <c r="N211" s="17" t="inlineStr">
        <is>
          <t>1. A toast reads "Draft saved."
2. The list has a new row "QA Draft 2028" with Status Draft and only the action Edit.
3. The Draft card reads 1.</t>
        </is>
      </c>
      <c r="O211" s="17" t="inlineStr">
        <is>
          <t>Run 26/10/2026 (automation, localhost build). A Draft row is created. No toast Draft saved. is shown and the row menu has more actions than Edit.</t>
        </is>
      </c>
      <c r="P211" s="17" t="inlineStr">
        <is>
          <t>N/A</t>
        </is>
      </c>
      <c r="Q211" s="17" t="inlineStr">
        <is>
          <t>BUG-R4-004</t>
        </is>
      </c>
      <c r="R211" s="17" t="inlineStr">
        <is>
          <t>Tender R4, PB-19, FS F4 v1.3: 7.3 last line, 7.1 item 4, 7.1 item 2</t>
        </is>
      </c>
      <c r="S211" s="17" t="inlineStr">
        <is>
          <t>Compare CMP-53.</t>
        </is>
      </c>
      <c r="T211" s="16" t="inlineStr">
        <is>
          <t>Approve</t>
        </is>
      </c>
    </row>
    <row r="212" ht="106.5" customHeight="1" s="14">
      <c r="A212" s="16" t="inlineStr">
        <is>
          <t>TC-211</t>
        </is>
      </c>
      <c r="B212" s="16" t="inlineStr">
        <is>
          <t>TS-045</t>
        </is>
      </c>
      <c r="C212" s="17" t="inlineStr">
        <is>
          <t>Draft without a name is not saved</t>
        </is>
      </c>
      <c r="D212" s="17" t="inlineStr">
        <is>
          <t>F4.14 New scheme wizard</t>
        </is>
      </c>
      <c r="E212" s="17" t="inlineStr">
        <is>
          <t>New scheme wizard (MOE HQ)</t>
        </is>
      </c>
      <c r="F212" s="16" t="inlineStr">
        <is>
          <t>S2</t>
        </is>
      </c>
      <c r="G212" s="16" t="inlineStr">
        <is>
          <t>High</t>
        </is>
      </c>
      <c r="H212" s="16" t="inlineStr">
        <is>
          <t>Passed</t>
        </is>
      </c>
      <c r="I212" s="16" t="inlineStr">
        <is>
          <t>Functional</t>
        </is>
      </c>
      <c r="J212" s="17" t="inlineStr">
        <is>
          <t>Prototype: edusave.vercel.app (sample date 18/10/2026)
Chrome (latest)
Build: to be recorded at execution
Needs: ENV-R4-01</t>
        </is>
      </c>
      <c r="K212" s="17" t="inlineStr">
        <is>
          <t>1. The prototype is open at the base state (use Reset data).
2. Signed in as MOE HQ (Mei Lin Tan).</t>
        </is>
      </c>
      <c r="L212" s="17" t="inlineStr">
        <is>
          <t>Scheme name empty</t>
        </is>
      </c>
      <c r="M212" s="17" t="inlineStr">
        <is>
          <t>1. Click New scheme and click Draft without a name.</t>
        </is>
      </c>
      <c r="N212" s="17" t="inlineStr">
        <is>
          <t>1. "Enter a scheme name." is shown and no Draft row is created.</t>
        </is>
      </c>
      <c r="O212" s="17" t="inlineStr">
        <is>
          <t>Run 26/10/2026 (automation, localhost build). Draft on an empty form shows Enter a scheme name. and creates no row.</t>
        </is>
      </c>
      <c r="P212" s="17" t="inlineStr">
        <is>
          <t>N/A</t>
        </is>
      </c>
      <c r="Q212" s="17" t="n"/>
      <c r="R212" s="17" t="inlineStr">
        <is>
          <t>Tender R4, PB-19, FS F4 v1.3: 7.3 last line, 7.3 Name</t>
        </is>
      </c>
      <c r="S212" s="17" t="inlineStr">
        <is>
          <t>Compare CMP-53.</t>
        </is>
      </c>
      <c r="T212" s="16" t="inlineStr">
        <is>
          <t>Approve</t>
        </is>
      </c>
    </row>
    <row r="213" ht="106.5" customHeight="1" s="14">
      <c r="A213" s="16" t="inlineStr">
        <is>
          <t>TC-212</t>
        </is>
      </c>
      <c r="B213" s="16" t="inlineStr">
        <is>
          <t>TS-045</t>
        </is>
      </c>
      <c r="C213" s="17" t="inlineStr">
        <is>
          <t>Edit reopens the draft with the saved values</t>
        </is>
      </c>
      <c r="D213" s="17" t="inlineStr">
        <is>
          <t>F4.14 New scheme wizard</t>
        </is>
      </c>
      <c r="E213" s="17" t="inlineStr">
        <is>
          <t>New scheme wizard (MOE HQ)</t>
        </is>
      </c>
      <c r="F213" s="16" t="inlineStr">
        <is>
          <t>S2</t>
        </is>
      </c>
      <c r="G213" s="16" t="inlineStr">
        <is>
          <t>High</t>
        </is>
      </c>
      <c r="H213" s="16" t="inlineStr">
        <is>
          <t>Not Run</t>
        </is>
      </c>
      <c r="I213" s="16" t="inlineStr">
        <is>
          <t>Functional</t>
        </is>
      </c>
      <c r="J213" s="17" t="inlineStr">
        <is>
          <t>Prototype: edusave.vercel.app (sample date 18/10/2026)
Chrome (latest)
Build: to be recorded at execution
Needs: ENV-R4-01</t>
        </is>
      </c>
      <c r="K213" s="17" t="inlineStr">
        <is>
          <t>1. The prototype is open at the base state (use Reset data).
2. Signed in as MOE HQ (Mei Lin Tan).</t>
        </is>
      </c>
      <c r="L213" s="17" t="inlineStr">
        <is>
          <t>Draft "QA Draft 2028" saved with a changed Form closes 30/11/2027</t>
        </is>
      </c>
      <c r="M213" s="17" t="inlineStr">
        <is>
          <t>1. Save the draft.
2. Click Edit on the Draft row.
3. Read the three steps.</t>
        </is>
      </c>
      <c r="N213" s="17" t="inlineStr">
        <is>
          <t>1. The wizard opens with the saved name and dates and the incomplete steps marked.
2. Saving again updates the same row and does not add a second Draft.</t>
        </is>
      </c>
      <c r="O213" s="17" t="n"/>
      <c r="P213" s="17" t="inlineStr">
        <is>
          <t>N/A</t>
        </is>
      </c>
      <c r="Q213" s="17" t="n"/>
      <c r="R213" s="17" t="inlineStr">
        <is>
          <t>Tender R4, PB-19, FS F4 v1.3: 7.3 last line, 7.1 item 4</t>
        </is>
      </c>
      <c r="S213" s="17" t="n"/>
      <c r="T213" s="16" t="inlineStr">
        <is>
          <t>Approve</t>
        </is>
      </c>
    </row>
    <row r="214" ht="106.5" customHeight="1" s="14">
      <c r="A214" s="16" t="inlineStr">
        <is>
          <t>TC-213</t>
        </is>
      </c>
      <c r="B214" s="16" t="inlineStr">
        <is>
          <t>TS-045</t>
        </is>
      </c>
      <c r="C214" s="17" t="inlineStr">
        <is>
          <t>Discard and Cancel leave the wizard without saving</t>
        </is>
      </c>
      <c r="D214" s="17" t="inlineStr">
        <is>
          <t>F4.14 New scheme wizard</t>
        </is>
      </c>
      <c r="E214" s="17" t="inlineStr">
        <is>
          <t>New scheme wizard (MOE HQ)</t>
        </is>
      </c>
      <c r="F214" s="16" t="inlineStr">
        <is>
          <t>S3</t>
        </is>
      </c>
      <c r="G214" s="16" t="inlineStr">
        <is>
          <t>Medium</t>
        </is>
      </c>
      <c r="H214" s="16" t="inlineStr">
        <is>
          <t>Passed</t>
        </is>
      </c>
      <c r="I214" s="16" t="inlineStr">
        <is>
          <t>Functional</t>
        </is>
      </c>
      <c r="J214" s="17" t="inlineStr">
        <is>
          <t>Prototype: edusave.vercel.app (sample date 18/10/2026)
Chrome (latest)
Build: to be recorded at execution
Needs: ENV-R4-01</t>
        </is>
      </c>
      <c r="K214" s="17" t="inlineStr">
        <is>
          <t>1. The prototype is open at the base state (use Reset data).
2. Signed in as MOE HQ (Mei Lin Tan).</t>
        </is>
      </c>
      <c r="L214" s="17" t="inlineStr">
        <is>
          <t>Name typed but not saved</t>
        </is>
      </c>
      <c r="M214" s="17" t="inlineStr">
        <is>
          <t>1. Click New scheme, type a name and click Discard.
2. Click New scheme again, type a name and click Cancel at the top.
3. Read the scheme list.</t>
        </is>
      </c>
      <c r="N214" s="17" t="inlineStr">
        <is>
          <t>1. Both actions return to the list.
2. No new row is added and the card counts do not change.</t>
        </is>
      </c>
      <c r="O214" s="17" t="inlineStr">
        <is>
          <t>Run 26/10/2026 (automation, localhost build). Discard returns to the list and saves nothing. The wizard has Discard only (no Cancel button).</t>
        </is>
      </c>
      <c r="P214" s="17" t="inlineStr">
        <is>
          <t>N/A</t>
        </is>
      </c>
      <c r="Q214" s="17" t="n"/>
      <c r="R214" s="17" t="inlineStr">
        <is>
          <t>Tender R4, PB-19, FS F4 v1.3: 7.3 last line</t>
        </is>
      </c>
      <c r="S214" s="17" t="inlineStr">
        <is>
          <t>Observed on the prototype. No confirmation dialog is shown.</t>
        </is>
      </c>
      <c r="T214" s="16" t="inlineStr">
        <is>
          <t>Approve</t>
        </is>
      </c>
    </row>
    <row r="215" ht="165" customHeight="1" s="14">
      <c r="A215" s="16" t="inlineStr">
        <is>
          <t>TC-214</t>
        </is>
      </c>
      <c r="B215" s="16" t="inlineStr">
        <is>
          <t>TS-046</t>
        </is>
      </c>
      <c r="C215" s="17" t="inlineStr">
        <is>
          <t>View opens the review with General, Eligibility and Subsidy</t>
        </is>
      </c>
      <c r="D215" s="17" t="inlineStr">
        <is>
          <t>F4.15 Review and publish</t>
        </is>
      </c>
      <c r="E215" s="17" t="inlineStr">
        <is>
          <t>Review scheme dialog (MOE HQ)</t>
        </is>
      </c>
      <c r="F215" s="16" t="inlineStr">
        <is>
          <t>S1 (highest)</t>
        </is>
      </c>
      <c r="G215" s="16" t="inlineStr">
        <is>
          <t>High</t>
        </is>
      </c>
      <c r="H215" s="16" t="inlineStr">
        <is>
          <t>Passed</t>
        </is>
      </c>
      <c r="I215" s="16" t="inlineStr">
        <is>
          <t>Functional</t>
        </is>
      </c>
      <c r="J215" s="17" t="inlineStr">
        <is>
          <t>Prototype: edusave.vercel.app (sample date 18/10/2026)
Chrome (latest)
Build: to be recorded at execution
Needs: ENV-R4-01</t>
        </is>
      </c>
      <c r="K215" s="17" t="inlineStr">
        <is>
          <t>1. The prototype is open at the base state (use Reset data).
2. Signed in as MOE HQ (Mei Lin Tan).</t>
        </is>
      </c>
      <c r="L215" s="17" t="inlineStr">
        <is>
          <t>Scheme: "QA Probe 2028" with a valid General, Eligibility (Singapore Citizen, PCI 0 to 1,100, match rule any) and Subsidy (School fee 100, 70, 50 as fixed amounts)</t>
        </is>
      </c>
      <c r="M215" s="17" t="inlineStr">
        <is>
          <t>1. Fill the wizard with the scheme above.
2. Click View on step 3.
3. Read the dialog.</t>
        </is>
      </c>
      <c r="N215" s="17" t="inlineStr">
        <is>
          <t>1. The dialog "Review scheme before publishing" shows 1 · GENERAL (Scheme name, Scheme type MOEFAS, Application form 01/08/2027 – 31/12/2027, Assessment "Automatic, after the form closes on 31/12/2027", Effective from 01/01/2028, Effective to "No end date").
2. It shows 2 · ELIGIBILITY (Nationality, GHI band "Not used", PCI band "S$ 0 – 1,100", Match rule) and 3 · SUBSIDY BY LEVEL with the values entered.
3. The buttons are Back to edit and Publish.</t>
        </is>
      </c>
      <c r="O215" s="17" t="inlineStr">
        <is>
          <t>Run 26/10/2026 (automation, localhost build). Review is the fourth step of the wizard with General, Eligibility and Subsidy, not a dialog named Review scheme before publishing. Result: the function works, the differences above are only in layout and wording.</t>
        </is>
      </c>
      <c r="P215" s="17" t="inlineStr">
        <is>
          <t>N/A</t>
        </is>
      </c>
      <c r="Q215" s="17" t="n"/>
      <c r="R215" s="17" t="inlineStr">
        <is>
          <t>Tender R4, PB-19, FS F4 v1.3: 7.3 View, 7.2 step 1, 7.2 step 2, 7.2 step 3</t>
        </is>
      </c>
      <c r="S215" s="17" t="inlineStr">
        <is>
          <t>Observed on the prototype (compare CMP-51).</t>
        </is>
      </c>
      <c r="T215" s="16" t="inlineStr">
        <is>
          <t>Approve</t>
        </is>
      </c>
    </row>
    <row r="216" ht="135.75" customHeight="1" s="14">
      <c r="A216" s="16" t="inlineStr">
        <is>
          <t>TC-215</t>
        </is>
      </c>
      <c r="B216" s="16" t="inlineStr">
        <is>
          <t>TS-046</t>
        </is>
      </c>
      <c r="C216" s="17" t="inlineStr">
        <is>
          <t>Publish makes the scheme view only and adds an Upcoming row</t>
        </is>
      </c>
      <c r="D216" s="17" t="inlineStr">
        <is>
          <t>F4.15 Review and publish</t>
        </is>
      </c>
      <c r="E216" s="17" t="inlineStr">
        <is>
          <t>Review scheme dialog (MOE HQ)</t>
        </is>
      </c>
      <c r="F216" s="16" t="inlineStr">
        <is>
          <t>S1 (highest)</t>
        </is>
      </c>
      <c r="G216" s="16" t="inlineStr">
        <is>
          <t>Critical</t>
        </is>
      </c>
      <c r="H216" s="16" t="inlineStr">
        <is>
          <t>Failed</t>
        </is>
      </c>
      <c r="I216" s="16" t="inlineStr">
        <is>
          <t>Functional</t>
        </is>
      </c>
      <c r="J216" s="17" t="inlineStr">
        <is>
          <t>Prototype: edusave.vercel.app (sample date 18/10/2026)
Chrome (latest)
Build: to be recorded at execution
Needs: ENV-R4-01</t>
        </is>
      </c>
      <c r="K216" s="17" t="inlineStr">
        <is>
          <t>1. The prototype is open at the base state (use Reset data).
2. Signed in as MOE HQ (Mei Lin Tan).</t>
        </is>
      </c>
      <c r="L216" s="17" t="inlineStr">
        <is>
          <t>Scheme: "QA Probe 2028", form 01/08/2027 to 31/12/2027, Effective from 01/01/2028</t>
        </is>
      </c>
      <c r="M216" s="17" t="inlineStr">
        <is>
          <t>1. Fill the wizard and click View, then Publish.
2. Read the toast and the scheme list.</t>
        </is>
      </c>
      <c r="N216" s="17" t="inlineStr">
        <is>
          <t>1. A toast reads "Scheme published. It is now view-only."
2. The list has the row "QA Probe 2028" with Approved automatically, the eligibility "Singapore Citizen · PCI ≤ S$ 1,100.00", form badge "Not open yet", Effective from 01/01/2028, "No end date", Status Upcoming and the actions View and Add fee.
3. The Upcoming card shows 2.</t>
        </is>
      </c>
      <c r="O216" s="17" t="inlineStr">
        <is>
          <t>Run 26/10/2026 (automation, localhost build). Publish creates a Published scheme and the list offers View and Add fees. No toast is shown, the status is Published (case book: Upcoming).</t>
        </is>
      </c>
      <c r="P216" s="17" t="inlineStr">
        <is>
          <t>N/A</t>
        </is>
      </c>
      <c r="Q216" s="17" t="inlineStr">
        <is>
          <t>BUG-R4-004</t>
        </is>
      </c>
      <c r="R216" s="17" t="inlineStr">
        <is>
          <t>Tender R4, PB-19, FS F4 v1.3: 7.3 View, BR8, 7.1 item 2, 7.1 item 3</t>
        </is>
      </c>
      <c r="S216" s="17" t="inlineStr">
        <is>
          <t>Observed on the prototype (compare CMP-51). The prototype shows the date as "1 Jan 2028" (compare CMP-45).</t>
        </is>
      </c>
      <c r="T216" s="16" t="inlineStr">
        <is>
          <t>Approve</t>
        </is>
      </c>
    </row>
    <row r="217" ht="106.5" customHeight="1" s="14">
      <c r="A217" s="16" t="inlineStr">
        <is>
          <t>TC-216</t>
        </is>
      </c>
      <c r="B217" s="16" t="inlineStr">
        <is>
          <t>TS-046</t>
        </is>
      </c>
      <c r="C217" s="17" t="inlineStr">
        <is>
          <t>Back to edit returns to the wizard with the values kept</t>
        </is>
      </c>
      <c r="D217" s="17" t="inlineStr">
        <is>
          <t>F4.15 Review and publish</t>
        </is>
      </c>
      <c r="E217" s="17" t="inlineStr">
        <is>
          <t>Review scheme dialog (MOE HQ)</t>
        </is>
      </c>
      <c r="F217" s="16" t="inlineStr">
        <is>
          <t>S3</t>
        </is>
      </c>
      <c r="G217" s="16" t="inlineStr">
        <is>
          <t>Medium</t>
        </is>
      </c>
      <c r="H217" s="16" t="inlineStr">
        <is>
          <t>Passed</t>
        </is>
      </c>
      <c r="I217" s="16" t="inlineStr">
        <is>
          <t>Functional</t>
        </is>
      </c>
      <c r="J217" s="17" t="inlineStr">
        <is>
          <t>Prototype: edusave.vercel.app (sample date 18/10/2026)
Chrome (latest)
Build: to be recorded at execution
Needs: ENV-R4-01</t>
        </is>
      </c>
      <c r="K217" s="17" t="inlineStr">
        <is>
          <t>1. The prototype is open at the base state (use Reset data).
2. Signed in as MOE HQ (Mei Lin Tan).</t>
        </is>
      </c>
      <c r="L217" s="17" t="inlineStr">
        <is>
          <t>Scheme: "QA Probe 2028"</t>
        </is>
      </c>
      <c r="M217" s="17" t="inlineStr">
        <is>
          <t>1. Fill the wizard and click View.
2. Click Back to edit and read the three steps.
3. Check the scheme list.</t>
        </is>
      </c>
      <c r="N217" s="17" t="inlineStr">
        <is>
          <t>1. The wizard opens with all values kept.
2. The list has no new row.</t>
        </is>
      </c>
      <c r="O217" s="17" t="inlineStr">
        <is>
          <t>Run 26/10/2026 (automation, localhost build). Back from Review returns to Subsidy with the percentages kept. The button is Back, not Back to edit.</t>
        </is>
      </c>
      <c r="P217" s="17" t="inlineStr">
        <is>
          <t>N/A</t>
        </is>
      </c>
      <c r="Q217" s="17" t="n"/>
      <c r="R217" s="17" t="inlineStr">
        <is>
          <t>Tender R4, PB-19, FS F4 v1.3: 7.3 View</t>
        </is>
      </c>
      <c r="S217" s="17" t="n"/>
      <c r="T217" s="16" t="inlineStr">
        <is>
          <t>Approve</t>
        </is>
      </c>
    </row>
    <row r="218" ht="106.5" customHeight="1" s="14">
      <c r="A218" s="16" t="inlineStr">
        <is>
          <t>TC-217</t>
        </is>
      </c>
      <c r="B218" s="16" t="inlineStr">
        <is>
          <t>TS-046</t>
        </is>
      </c>
      <c r="C218" s="17" t="inlineStr">
        <is>
          <t>A scheme with errors cannot be published</t>
        </is>
      </c>
      <c r="D218" s="17" t="inlineStr">
        <is>
          <t>F4.15 Review and publish</t>
        </is>
      </c>
      <c r="E218" s="17" t="inlineStr">
        <is>
          <t>Review scheme dialog (MOE HQ)</t>
        </is>
      </c>
      <c r="F218" s="16" t="inlineStr">
        <is>
          <t>S1 (highest)</t>
        </is>
      </c>
      <c r="G218" s="16" t="inlineStr">
        <is>
          <t>High</t>
        </is>
      </c>
      <c r="H218" s="16" t="inlineStr">
        <is>
          <t>Passed</t>
        </is>
      </c>
      <c r="I218" s="16" t="inlineStr">
        <is>
          <t>Functional</t>
        </is>
      </c>
      <c r="J218" s="17" t="inlineStr">
        <is>
          <t>Prototype: edusave.vercel.app (sample date 18/10/2026)
Chrome (latest)
Build: to be recorded at execution
Needs: ENV-R4-01</t>
        </is>
      </c>
      <c r="K218" s="17" t="inlineStr">
        <is>
          <t>1. The prototype is open at the base state (use Reset data).
2. Signed in as MOE HQ (Mei Lin Tan).</t>
        </is>
      </c>
      <c r="L218" s="17" t="inlineStr">
        <is>
          <t>Scheme with an empty name and no fee component</t>
        </is>
      </c>
      <c r="M218" s="17" t="inlineStr">
        <is>
          <t>1. Click New scheme and open step 3.
2. Click View.
3. Look for a Publish button and read the messages.</t>
        </is>
      </c>
      <c r="N218" s="17" t="inlineStr">
        <is>
          <t>1. Publish is not possible. The messages "Enter a scheme name." and "Add at least one fee component." are shown and the steps carry a warning mark.
2. No scheme is added.</t>
        </is>
      </c>
      <c r="O218" s="17" t="inlineStr">
        <is>
          <t>Run 26/10/2026 (automation, localhost build). Next on Subsidy without a component is blocked, so Review and Publish cannot be reached and nothing is added. The mechanism differs from the case book (no Publish attempt on a review dialog).</t>
        </is>
      </c>
      <c r="P218" s="17" t="inlineStr">
        <is>
          <t>N/A</t>
        </is>
      </c>
      <c r="Q218" s="17" t="n"/>
      <c r="R218" s="17" t="inlineStr">
        <is>
          <t>Tender R4, PB-19, FS F4 v1.3: 7.3 Name, 7.3 Fee components, BR8</t>
        </is>
      </c>
      <c r="S218" s="17" t="inlineStr">
        <is>
          <t>Compare CMP-47. The prototype footer reads "To publish, fix n item(s) (steps marked ⚠)."</t>
        </is>
      </c>
      <c r="T218" s="16" t="inlineStr">
        <is>
          <t>Approve</t>
        </is>
      </c>
    </row>
    <row r="219" ht="106.5" customHeight="1" s="14">
      <c r="A219" s="16" t="inlineStr">
        <is>
          <t>TC-218</t>
        </is>
      </c>
      <c r="B219" s="16" t="inlineStr">
        <is>
          <t>TS-046</t>
        </is>
      </c>
      <c r="C219" s="17" t="inlineStr">
        <is>
          <t>The published scheme drives the limits of later applications</t>
        </is>
      </c>
      <c r="D219" s="17" t="inlineStr">
        <is>
          <t>F4.15 Review and publish</t>
        </is>
      </c>
      <c r="E219" s="17" t="inlineStr">
        <is>
          <t>FAS applications (MOE HQ)</t>
        </is>
      </c>
      <c r="F219" s="16" t="inlineStr">
        <is>
          <t>S1 (highest)</t>
        </is>
      </c>
      <c r="G219" s="16" t="inlineStr">
        <is>
          <t>High</t>
        </is>
      </c>
      <c r="H219" s="16" t="inlineStr">
        <is>
          <t>Not Run</t>
        </is>
      </c>
      <c r="I219" s="16" t="inlineStr">
        <is>
          <t>Integration</t>
        </is>
      </c>
      <c r="J219" s="17" t="inlineStr">
        <is>
          <t>F4 build with API (not available yet)
Chrome (latest)
Build: to be recorded at execution
Needs: ENV-R4-02, ENV-R4-04</t>
        </is>
      </c>
      <c r="K219" s="17" t="inlineStr">
        <is>
          <t>1. The F4 build is connected to F5 and F10 with a clock control.
2. Signed in as MOE HQ.</t>
        </is>
      </c>
      <c r="L219" s="17" t="inlineStr">
        <is>
          <t>New MOEFAS scheme: GHI up to S$ 5,000.00, form open today
Application: GHI 4,800.00, household size 4</t>
        </is>
      </c>
      <c r="M219" s="17" t="inlineStr">
        <is>
          <t>1. Publish the scheme and let the form close (run the form-close job).
2. Open View on the application.</t>
        </is>
      </c>
      <c r="N219" s="17" t="inlineStr">
        <is>
          <t>1. The Eligibility check shows the limit ≤ S$ 5,000.00 from the new scheme and GHI Pass.
2. The application is Approved.</t>
        </is>
      </c>
      <c r="O219" s="17" t="n"/>
      <c r="P219" s="17" t="inlineStr">
        <is>
          <t>N/A</t>
        </is>
      </c>
      <c r="Q219" s="17" t="n"/>
      <c r="R219" s="17" t="inlineStr">
        <is>
          <t>Tender R4, PB-19, FS F4 v1.3: BR7, 2.2 step 3</t>
        </is>
      </c>
      <c r="S219" s="17" t="n"/>
      <c r="T219" s="16" t="inlineStr">
        <is>
          <t>Approve</t>
        </is>
      </c>
    </row>
    <row r="220" ht="106.5" customHeight="1" s="14">
      <c r="A220" s="16" t="inlineStr">
        <is>
          <t>TC-219</t>
        </is>
      </c>
      <c r="B220" s="16" t="inlineStr">
        <is>
          <t>TS-047</t>
        </is>
      </c>
      <c r="C220" s="17" t="inlineStr">
        <is>
          <t>A MOEFAS scheme overlapping the effective period of another is blocked</t>
        </is>
      </c>
      <c r="D220" s="17" t="inlineStr">
        <is>
          <t>F4.15 Review and publish</t>
        </is>
      </c>
      <c r="E220" s="17" t="inlineStr">
        <is>
          <t>Review scheme dialog (MOE HQ)</t>
        </is>
      </c>
      <c r="F220" s="16" t="inlineStr">
        <is>
          <t>S1 (highest)</t>
        </is>
      </c>
      <c r="G220" s="16" t="inlineStr">
        <is>
          <t>Critical</t>
        </is>
      </c>
      <c r="H220" s="16" t="inlineStr">
        <is>
          <t>Failed</t>
        </is>
      </c>
      <c r="I220" s="16" t="inlineStr">
        <is>
          <t>Functional</t>
        </is>
      </c>
      <c r="J220" s="17" t="inlineStr">
        <is>
          <t>Prototype: edusave.vercel.app (sample date 18/10/2026)
Chrome (latest)
Build: to be recorded at execution
Needs: ENV-R4-01</t>
        </is>
      </c>
      <c r="K220" s="17" t="inlineStr">
        <is>
          <t>1. The prototype is open at the base state (use Reset data).
2. Signed in as MOE HQ (Mei Lin Tan).</t>
        </is>
      </c>
      <c r="L220" s="17" t="inlineStr">
        <is>
          <t>Published scheme A "QA Test 2028": Effective 01/01/2028 to 31/12/2028, form 01/08/2027 to 31/12/2027
Scheme B "QA Test B": Effective from 01/06/2028, form 01/03/2029 to 30/04/2029</t>
        </is>
      </c>
      <c r="M220" s="17" t="inlineStr">
        <is>
          <t>1. Publish scheme A.
2. Fill scheme B in the wizard and click View, then Publish.
3. Read the messages.</t>
        </is>
      </c>
      <c r="N220" s="17" t="inlineStr">
        <is>
          <t>1. Publish is blocked.
2. The message reads "The period overlaps with QA Test 2028 (01/01/2028 – 31/12/2028). Change Effective from / Effective to."
3. Scheme B is not added.</t>
        </is>
      </c>
      <c r="O220" s="17" t="inlineStr">
        <is>
          <t>Run 26/10/2026 (automation, localhost build). Scheme B with the same effective period as the Published scheme A was accepted and is Published. No overlap message.</t>
        </is>
      </c>
      <c r="P220" s="17" t="inlineStr">
        <is>
          <t>N/A</t>
        </is>
      </c>
      <c r="Q220" s="17" t="inlineStr">
        <is>
          <t>BUG-R4-003</t>
        </is>
      </c>
      <c r="R220" s="17" t="inlineStr">
        <is>
          <t>Tender R4, PB-19, FS F4 v1.3: 7.3 Overlap, T12, BR9</t>
        </is>
      </c>
      <c r="S220" s="17" t="inlineStr">
        <is>
          <t>Compare CMP-52.</t>
        </is>
      </c>
      <c r="T220" s="16" t="inlineStr">
        <is>
          <t>Approve</t>
        </is>
      </c>
    </row>
    <row r="221" ht="121.5" customHeight="1" s="14">
      <c r="A221" s="16" t="inlineStr">
        <is>
          <t>TC-220</t>
        </is>
      </c>
      <c r="B221" s="16" t="inlineStr">
        <is>
          <t>TS-047</t>
        </is>
      </c>
      <c r="C221" s="17" t="inlineStr">
        <is>
          <t>A MOEFAS form period overlapping another form period is blocked</t>
        </is>
      </c>
      <c r="D221" s="17" t="inlineStr">
        <is>
          <t>F4.15 Review and publish</t>
        </is>
      </c>
      <c r="E221" s="17" t="inlineStr">
        <is>
          <t>Review scheme dialog (MOE HQ)</t>
        </is>
      </c>
      <c r="F221" s="16" t="inlineStr">
        <is>
          <t>S1 (highest)</t>
        </is>
      </c>
      <c r="G221" s="16" t="inlineStr">
        <is>
          <t>High</t>
        </is>
      </c>
      <c r="H221" s="16" t="inlineStr">
        <is>
          <t>Failed</t>
        </is>
      </c>
      <c r="I221" s="16" t="inlineStr">
        <is>
          <t>Functional</t>
        </is>
      </c>
      <c r="J221" s="17" t="inlineStr">
        <is>
          <t>Prototype: edusave.vercel.app (sample date 18/10/2026)
Chrome (latest)
Build: to be recorded at execution
Needs: ENV-R4-01</t>
        </is>
      </c>
      <c r="K221" s="17" t="inlineStr">
        <is>
          <t>1. The prototype is open at the base state (use Reset data).
2. Signed in as MOE HQ (Mei Lin Tan).</t>
        </is>
      </c>
      <c r="L221" s="17" t="inlineStr">
        <is>
          <t>Published scheme A "QA Test 2028": form 01/08/2027 to 31/12/2027
Scheme C: form 01/12/2027 to 31/01/2028, Effective from 01/01/2029 to 31/12/2029 (no effective overlap with A)</t>
        </is>
      </c>
      <c r="M221" s="17" t="inlineStr">
        <is>
          <t>1. Publish scheme A, then fill scheme C and click Publish.
2. Read the message.</t>
        </is>
      </c>
      <c r="N221" s="17" t="inlineStr">
        <is>
          <t>1. Publish is blocked with "The application form period overlaps with QA Test 2028 (01/08/2027 – 31/12/2027). Change Form opens / Form closes."</t>
        </is>
      </c>
      <c r="O221" s="17" t="inlineStr">
        <is>
          <t>Run 26/10/2026 (automation, localhost build). Scheme with the same form period as a Published scheme was accepted and is Published. No overlap message.</t>
        </is>
      </c>
      <c r="P221" s="17" t="inlineStr">
        <is>
          <t>N/A</t>
        </is>
      </c>
      <c r="Q221" s="17" t="inlineStr">
        <is>
          <t>BUG-R4-003</t>
        </is>
      </c>
      <c r="R221" s="17" t="inlineStr">
        <is>
          <t>Tender R4, PB-19, FS F4 v1.3: 7.3 Overlap, T12</t>
        </is>
      </c>
      <c r="S221" s="17" t="inlineStr">
        <is>
          <t>Compare CMP-52. The effective periods of A and C do not overlap, so only the form message shows.</t>
        </is>
      </c>
      <c r="T221" s="16" t="inlineStr">
        <is>
          <t>Approve</t>
        </is>
      </c>
    </row>
    <row r="222" ht="135.75" customHeight="1" s="14">
      <c r="A222" s="16" t="inlineStr">
        <is>
          <t>TC-221</t>
        </is>
      </c>
      <c r="B222" s="16" t="inlineStr">
        <is>
          <t>TS-047</t>
        </is>
      </c>
      <c r="C222" s="17" t="inlineStr">
        <is>
          <t>Periods that touch without overlapping are allowed</t>
        </is>
      </c>
      <c r="D222" s="17" t="inlineStr">
        <is>
          <t>F4.15 Review and publish</t>
        </is>
      </c>
      <c r="E222" s="17" t="inlineStr">
        <is>
          <t>Review scheme dialog (MOE HQ)</t>
        </is>
      </c>
      <c r="F222" s="16" t="inlineStr">
        <is>
          <t>S2</t>
        </is>
      </c>
      <c r="G222" s="16" t="inlineStr">
        <is>
          <t>High</t>
        </is>
      </c>
      <c r="H222" s="16" t="inlineStr">
        <is>
          <t>Failed</t>
        </is>
      </c>
      <c r="I222" s="16" t="inlineStr">
        <is>
          <t>Functional</t>
        </is>
      </c>
      <c r="J222" s="17" t="inlineStr">
        <is>
          <t>Prototype: edusave.vercel.app (sample date 18/10/2026)
Chrome (latest)
Build: to be recorded at execution
Needs: ENV-R4-01</t>
        </is>
      </c>
      <c r="K222" s="17" t="inlineStr">
        <is>
          <t>1. The prototype is open at the base state (use Reset data).
2. Signed in as MOE HQ (Mei Lin Tan).</t>
        </is>
      </c>
      <c r="L222" s="17" t="inlineStr">
        <is>
          <t>Published scheme A: Effective 01/01/2028 to 31/12/2028
Scheme D: Effective from 01/01/2029 (the day after A ends), form 01/08/2028 to 31/12/2028
Scheme E: Effective from 31/12/2028 (the last day of A)</t>
        </is>
      </c>
      <c r="M222" s="17" t="inlineStr">
        <is>
          <t>1. Publish scheme A and then scheme D.
2. Fill scheme E and click Publish.</t>
        </is>
      </c>
      <c r="N222" s="17" t="inlineStr">
        <is>
          <t>1. Scheme D is published.
2. Scheme E is blocked because 31/12/2028 is inside A.</t>
        </is>
      </c>
      <c r="O222" s="17" t="inlineStr">
        <is>
          <t>Run 26/10/2026 (automation, localhost build). Part 1 passed (a scheme starting after the earlier one ends is accepted). Part 2 (overlapping scheme blocked) depends on BUG-R4-003 and was not run separately. Part 2 was not run separately, same cause as BUG-R4-003 (code review).</t>
        </is>
      </c>
      <c r="P222" s="17" t="inlineStr">
        <is>
          <t>N/A</t>
        </is>
      </c>
      <c r="Q222" s="17" t="inlineStr">
        <is>
          <t>BUG-R4-003</t>
        </is>
      </c>
      <c r="R222" s="17" t="inlineStr">
        <is>
          <t>Tender R4, PB-19, FS F4 v1.3: 7.3 Overlap, T12</t>
        </is>
      </c>
      <c r="S222" s="17" t="n"/>
      <c r="T222" s="16" t="inlineStr">
        <is>
          <t>Approve</t>
        </is>
      </c>
    </row>
    <row r="223" ht="106.5" customHeight="1" s="14">
      <c r="A223" s="16" t="inlineStr">
        <is>
          <t>TC-222</t>
        </is>
      </c>
      <c r="B223" s="16" t="inlineStr">
        <is>
          <t>TS-047</t>
        </is>
      </c>
      <c r="C223" s="17" t="inlineStr">
        <is>
          <t>SBFAS with the same name and an overlapping period is blocked</t>
        </is>
      </c>
      <c r="D223" s="17" t="inlineStr">
        <is>
          <t>F4.15 Review and publish</t>
        </is>
      </c>
      <c r="E223" s="17" t="inlineStr">
        <is>
          <t>Review scheme dialog (School Admin)</t>
        </is>
      </c>
      <c r="F223" s="16" t="inlineStr">
        <is>
          <t>S1 (highest)</t>
        </is>
      </c>
      <c r="G223" s="16" t="inlineStr">
        <is>
          <t>Critical</t>
        </is>
      </c>
      <c r="H223" s="16" t="inlineStr">
        <is>
          <t>Passed</t>
        </is>
      </c>
      <c r="I223" s="16" t="inlineStr">
        <is>
          <t>Functional</t>
        </is>
      </c>
      <c r="J223" s="17" t="inlineStr">
        <is>
          <t>Prototype: edusave.vercel.app (sample date 18/10/2026)
Chrome (latest)
Build: to be recorded at execution
Needs: ENV-R4-01</t>
        </is>
      </c>
      <c r="K223" s="17" t="inlineStr">
        <is>
          <t>1. The prototype is open at the base state (use Reset data).
2. Signed in as School user Lan Nguyen (BVP-0012), Bukit View Primary.</t>
        </is>
      </c>
      <c r="L223" s="17" t="inlineStr">
        <is>
          <t>Existing published scheme "Tier 1" (01/01/2027, no end date)
New scheme "Tier 1" with Effective from 01/01/2027</t>
        </is>
      </c>
      <c r="M223" s="17" t="inlineStr">
        <is>
          <t>1. Open SBFAS schemes, click New scheme and name it "Tier 1".
2. Keep Effective from 01/01/2027 and fill the other steps.
3. Click View, then Publish.</t>
        </is>
      </c>
      <c r="N223" s="17" t="inlineStr">
        <is>
          <t>1. Publish is blocked with "The period overlaps with Tier 1 (01/01/2027 – no end date). Change Effective from / Effective to."</t>
        </is>
      </c>
      <c r="O223" s="17" t="inlineStr">
        <is>
          <t>Run 26/10/2026 (manual run in the built-in browser and through the API, localhost build). Same name and same period: 409 "A scheme with this name already exists for this school.". Same name with an overlapping but different period gives the same 409. The block works, the message names the duplicate name and not the overlapping period.</t>
        </is>
      </c>
      <c r="P223" s="17" t="inlineStr">
        <is>
          <t>N/A</t>
        </is>
      </c>
      <c r="Q223" s="17" t="n"/>
      <c r="R223" s="17" t="inlineStr">
        <is>
          <t>Tender R4, PB-19, FS F4 v1.3: 7.3 Overlap, T12, BR9</t>
        </is>
      </c>
      <c r="S223" s="17" t="inlineStr">
        <is>
          <t>Compare CMP-52.</t>
        </is>
      </c>
      <c r="T223" s="16" t="inlineStr">
        <is>
          <t>Approve</t>
        </is>
      </c>
    </row>
    <row r="224" ht="106.5" customHeight="1" s="14">
      <c r="A224" s="16" t="inlineStr">
        <is>
          <t>TC-223</t>
        </is>
      </c>
      <c r="B224" s="16" t="inlineStr">
        <is>
          <t>TS-047</t>
        </is>
      </c>
      <c r="C224" s="17" t="inlineStr">
        <is>
          <t>SBFAS with a different name in the same period is allowed</t>
        </is>
      </c>
      <c r="D224" s="17" t="inlineStr">
        <is>
          <t>F4.15 Review and publish</t>
        </is>
      </c>
      <c r="E224" s="17" t="inlineStr">
        <is>
          <t>Review scheme dialog (School Admin)</t>
        </is>
      </c>
      <c r="F224" s="16" t="inlineStr">
        <is>
          <t>S1 (highest)</t>
        </is>
      </c>
      <c r="G224" s="16" t="inlineStr">
        <is>
          <t>High</t>
        </is>
      </c>
      <c r="H224" s="16" t="inlineStr">
        <is>
          <t>Passed</t>
        </is>
      </c>
      <c r="I224" s="16" t="inlineStr">
        <is>
          <t>Functional</t>
        </is>
      </c>
      <c r="J224" s="17" t="inlineStr">
        <is>
          <t>Prototype: edusave.vercel.app (sample date 18/10/2026)
Chrome (latest)
Build: to be recorded at execution
Needs: ENV-R4-01</t>
        </is>
      </c>
      <c r="K224" s="17" t="inlineStr">
        <is>
          <t>1. The prototype is open at the base state (use Reset data).
2. Signed in as School user Lan Nguyen (BVP-0012), Bukit View Primary.</t>
        </is>
      </c>
      <c r="L224" s="17" t="inlineStr">
        <is>
          <t>New scheme "Tier 4" with dates that overlap Tier 1 to Tier 3</t>
        </is>
      </c>
      <c r="M224" s="17" t="inlineStr">
        <is>
          <t>1. Open SBFAS schemes, click New scheme and name it "Tier 4".
2. Fill the other steps with the same dates as Tier 1 and publish.</t>
        </is>
      </c>
      <c r="N224" s="17" t="inlineStr">
        <is>
          <t>1. Publish succeeds and the row Tier 4 is added.</t>
        </is>
      </c>
      <c r="O224" s="17" t="inlineStr">
        <is>
          <t>Run 26/10/2026 (manual run in the built-in browser and through the API, localhost build). A scheme with a different name and exactly the same period was accepted and is Published.</t>
        </is>
      </c>
      <c r="P224" s="17" t="inlineStr">
        <is>
          <t>N/A</t>
        </is>
      </c>
      <c r="Q224" s="17" t="n"/>
      <c r="R224" s="17" t="inlineStr">
        <is>
          <t>Tender R4, PB-19, FS F4 v1.3: 7.3 Overlap, T12, BR4</t>
        </is>
      </c>
      <c r="S224" s="17" t="inlineStr">
        <is>
          <t>Compare CMP-52.</t>
        </is>
      </c>
      <c r="T224" s="16" t="inlineStr">
        <is>
          <t>Approve</t>
        </is>
      </c>
    </row>
    <row r="225" ht="106.5" customHeight="1" s="14">
      <c r="A225" s="16" t="inlineStr">
        <is>
          <t>TC-224</t>
        </is>
      </c>
      <c r="B225" s="16" t="inlineStr">
        <is>
          <t>TS-047</t>
        </is>
      </c>
      <c r="C225" s="17" t="inlineStr">
        <is>
          <t>The same SBFAS name in another school is allowed</t>
        </is>
      </c>
      <c r="D225" s="17" t="inlineStr">
        <is>
          <t>F4.15 Review and publish</t>
        </is>
      </c>
      <c r="E225" s="17" t="inlineStr">
        <is>
          <t>Review scheme dialog (School Admin)</t>
        </is>
      </c>
      <c r="F225" s="16" t="inlineStr">
        <is>
          <t>S2</t>
        </is>
      </c>
      <c r="G225" s="16" t="inlineStr">
        <is>
          <t>High</t>
        </is>
      </c>
      <c r="H225" s="16" t="inlineStr">
        <is>
          <t>Not Run</t>
        </is>
      </c>
      <c r="I225" s="16" t="inlineStr">
        <is>
          <t>Functional</t>
        </is>
      </c>
      <c r="J225" s="17" t="inlineStr">
        <is>
          <t>Prototype: edusave.vercel.app (sample date 18/10/2026)
Chrome (latest)
Build: to be recorded at execution
Needs: ENV-R4-01</t>
        </is>
      </c>
      <c r="K225" s="17" t="inlineStr">
        <is>
          <t>1. The prototype is open at the base state (use Reset data).
2. Signed in as School user MRS-0012, Meridian Secondary.</t>
        </is>
      </c>
      <c r="L225" s="17" t="inlineStr">
        <is>
          <t>New scheme "Tier 1" at Meridian Secondary with the same dates as Tier 1 of Bukit View Primary</t>
        </is>
      </c>
      <c r="M225" s="17" t="inlineStr">
        <is>
          <t>1. Open SBFAS schemes, click New scheme and name it "Tier 1".
2. Use the dates of Bukit View Primary Tier 1, fill the other steps and publish.</t>
        </is>
      </c>
      <c r="N225" s="17" t="inlineStr">
        <is>
          <t>1. Publish succeeds because the slot is per school and name.</t>
        </is>
      </c>
      <c r="O225" s="17" t="n"/>
      <c r="P225" s="17" t="inlineStr">
        <is>
          <t>N/A</t>
        </is>
      </c>
      <c r="Q225" s="17" t="n"/>
      <c r="R225" s="17" t="inlineStr">
        <is>
          <t>Tender R4, PB-19, FS F4 v1.3: 7.3 Overlap, BR9</t>
        </is>
      </c>
      <c r="S225" s="17" t="inlineStr">
        <is>
          <t>Meridian schemes were not opened on the prototype.</t>
        </is>
      </c>
      <c r="T225" s="16" t="inlineStr">
        <is>
          <t>Approve</t>
        </is>
      </c>
    </row>
    <row r="226" ht="106.5" customHeight="1" s="14">
      <c r="A226" s="16" t="inlineStr">
        <is>
          <t>TC-225</t>
        </is>
      </c>
      <c r="B226" s="16" t="inlineStr">
        <is>
          <t>TS-047</t>
        </is>
      </c>
      <c r="C226" s="17" t="inlineStr">
        <is>
          <t>A draft with overlapping dates can be saved and fails only at Publish</t>
        </is>
      </c>
      <c r="D226" s="17" t="inlineStr">
        <is>
          <t>F4.15 Review and publish</t>
        </is>
      </c>
      <c r="E226" s="17" t="inlineStr">
        <is>
          <t>New scheme wizard (MOE HQ)</t>
        </is>
      </c>
      <c r="F226" s="16" t="inlineStr">
        <is>
          <t>S3</t>
        </is>
      </c>
      <c r="G226" s="16" t="inlineStr">
        <is>
          <t>Medium</t>
        </is>
      </c>
      <c r="H226" s="16" t="inlineStr">
        <is>
          <t>Failed</t>
        </is>
      </c>
      <c r="I226" s="16" t="inlineStr">
        <is>
          <t>Functional</t>
        </is>
      </c>
      <c r="J226" s="17" t="inlineStr">
        <is>
          <t>Prototype: edusave.vercel.app (sample date 18/10/2026)
Chrome (latest)
Build: to be recorded at execution
Needs: ENV-R4-01</t>
        </is>
      </c>
      <c r="K226" s="17" t="inlineStr">
        <is>
          <t>1. The prototype is open at the base state (use Reset data).
2. Signed in as MOE HQ (Mei Lin Tan).</t>
        </is>
      </c>
      <c r="L226" s="17" t="inlineStr">
        <is>
          <t>Draft with the dates of a published scheme</t>
        </is>
      </c>
      <c r="M226" s="17" t="inlineStr">
        <is>
          <t>1. Click New scheme, enter a name, set Effective from inside another MOEFAS scheme and click Draft.
2. Edit the draft and click View, then Publish.</t>
        </is>
      </c>
      <c r="N226" s="17" t="inlineStr">
        <is>
          <t>1. The draft is saved.
2. Publish shows the overlap message.</t>
        </is>
      </c>
      <c r="O226" s="17" t="inlineStr">
        <is>
          <t>Run 26/10/2026 (manual run in the built-in browser and through the API, localhost build). Two Draft schemes with the same effective period were saved (201 and 201), so the draft rule holds. The second half (overlap fails only at Publish) fails because Publish does not detect overlaps, see BUG-R4-003.</t>
        </is>
      </c>
      <c r="P226" s="17" t="inlineStr">
        <is>
          <t>N/A</t>
        </is>
      </c>
      <c r="Q226" s="17" t="inlineStr">
        <is>
          <t>BUG-R4-003</t>
        </is>
      </c>
      <c r="R226" s="17" t="inlineStr">
        <is>
          <t>Tender R4, PB-19, FS F4 v1.3: 7.3 last line, 7.3 Overlap</t>
        </is>
      </c>
      <c r="S226" s="17" t="n"/>
      <c r="T226" s="16" t="inlineStr">
        <is>
          <t>Approve</t>
        </is>
      </c>
    </row>
    <row r="227" ht="106.5" customHeight="1" s="14">
      <c r="A227" s="16" t="inlineStr">
        <is>
          <t>TC-226</t>
        </is>
      </c>
      <c r="B227" s="16" t="inlineStr">
        <is>
          <t>TS-048</t>
        </is>
      </c>
      <c r="C227" s="17" t="inlineStr">
        <is>
          <t>Publishing sets the Effective to of an earlier scheme with no end date</t>
        </is>
      </c>
      <c r="D227" s="17" t="inlineStr">
        <is>
          <t>F4.15 Review and publish</t>
        </is>
      </c>
      <c r="E227" s="17" t="inlineStr">
        <is>
          <t>Review scheme dialog (MOE HQ)</t>
        </is>
      </c>
      <c r="F227" s="16" t="inlineStr">
        <is>
          <t>S1 (highest)</t>
        </is>
      </c>
      <c r="G227" s="16" t="inlineStr">
        <is>
          <t>High</t>
        </is>
      </c>
      <c r="H227" s="16" t="inlineStr">
        <is>
          <t>Not Run</t>
        </is>
      </c>
      <c r="I227" s="16" t="inlineStr">
        <is>
          <t>Functional</t>
        </is>
      </c>
      <c r="J227" s="17" t="inlineStr">
        <is>
          <t>Prototype: edusave.vercel.app (sample date 18/10/2026)
Chrome (latest)
Build: to be recorded at execution
Needs: ENV-R4-01</t>
        </is>
      </c>
      <c r="K227" s="17" t="inlineStr">
        <is>
          <t>1. The prototype is open at the base state (use Reset data).
2. Signed in as MOE HQ (Mei Lin Tan).</t>
        </is>
      </c>
      <c r="L227" s="17" t="inlineStr">
        <is>
          <t>Earlier scheme MOEFAS 2027 (Effective from 01/01/2027, no end date)
New scheme "QA Probe 2028" Effective from 01/01/2028</t>
        </is>
      </c>
      <c r="M227" s="17" t="inlineStr">
        <is>
          <t>1. Fill the wizard for the new scheme and click View.
2. Read the blue note.
3. Click Publish and read the Effective to of MOEFAS 2027.</t>
        </is>
      </c>
      <c r="N227" s="17" t="inlineStr">
        <is>
          <t>1. The blue note reads "MOEFAS 2027 has no end date. Publishing sets its Effective to 31/12/2027, the day before this scheme starts."
2. After Publish MOEFAS 2027 shows Effective to 31/12/2027.</t>
        </is>
      </c>
      <c r="O227" s="17" t="n"/>
      <c r="P227" s="17" t="inlineStr">
        <is>
          <t>N/A</t>
        </is>
      </c>
      <c r="Q227" s="17" t="n"/>
      <c r="R227" s="17" t="inlineStr">
        <is>
          <t>Tender R4, PB-19, FS F4 v1.3: 7.3 Earlier scheme</t>
        </is>
      </c>
      <c r="S227" s="17" t="inlineStr">
        <is>
          <t>Compare CMP-51. The prototype shows "31 Dec 2027".</t>
        </is>
      </c>
      <c r="T227" s="16" t="inlineStr">
        <is>
          <t>Approve</t>
        </is>
      </c>
    </row>
    <row r="228" ht="106.5" customHeight="1" s="14">
      <c r="A228" s="16" t="inlineStr">
        <is>
          <t>TC-227</t>
        </is>
      </c>
      <c r="B228" s="16" t="inlineStr">
        <is>
          <t>TS-048</t>
        </is>
      </c>
      <c r="C228" s="17" t="inlineStr">
        <is>
          <t>An earlier scheme that already has an end date is left unchanged</t>
        </is>
      </c>
      <c r="D228" s="17" t="inlineStr">
        <is>
          <t>F4.15 Review and publish</t>
        </is>
      </c>
      <c r="E228" s="17" t="inlineStr">
        <is>
          <t>Review scheme dialog (MOE HQ)</t>
        </is>
      </c>
      <c r="F228" s="16" t="inlineStr">
        <is>
          <t>S2</t>
        </is>
      </c>
      <c r="G228" s="16" t="inlineStr">
        <is>
          <t>Medium</t>
        </is>
      </c>
      <c r="H228" s="16" t="inlineStr">
        <is>
          <t>Not Run</t>
        </is>
      </c>
      <c r="I228" s="16" t="inlineStr">
        <is>
          <t>Functional</t>
        </is>
      </c>
      <c r="J228" s="17" t="inlineStr">
        <is>
          <t>Prototype: edusave.vercel.app (sample date 18/10/2026)
Chrome (latest)
Build: to be recorded at execution
Needs: ENV-R4-01</t>
        </is>
      </c>
      <c r="K228" s="17" t="inlineStr">
        <is>
          <t>1. The prototype is open at the base state (use Reset data).
2. Signed in as MOE HQ (Mei Lin Tan).</t>
        </is>
      </c>
      <c r="L228" s="17" t="inlineStr">
        <is>
          <t>Earlier scheme MOEFAS 2026 (Effective to 31/12/2026)
New scheme with Effective from 01/01/2029</t>
        </is>
      </c>
      <c r="M228" s="17" t="inlineStr">
        <is>
          <t>1. Fill and publish a scheme that starts after MOEFAS 2026 and after MOEFAS 2027 has an end date.
2. Read the review and the Effective to of MOEFAS 2026.</t>
        </is>
      </c>
      <c r="N228" s="17" t="inlineStr">
        <is>
          <t>1. No blue note about MOEFAS 2026 is shown.
2. MOEFAS 2026 keeps Effective to 31/12/2026.</t>
        </is>
      </c>
      <c r="O228" s="17" t="n"/>
      <c r="P228" s="17" t="inlineStr">
        <is>
          <t>N/A</t>
        </is>
      </c>
      <c r="Q228" s="17" t="n"/>
      <c r="R228" s="17" t="inlineStr">
        <is>
          <t>Tender R4, PB-19, FS F4 v1.3: 7.3 Earlier scheme</t>
        </is>
      </c>
      <c r="S228" s="17" t="n"/>
      <c r="T228" s="16" t="inlineStr">
        <is>
          <t>Approve</t>
        </is>
      </c>
    </row>
    <row r="229" ht="106.5" customHeight="1" s="14">
      <c r="A229" s="16" t="inlineStr">
        <is>
          <t>TC-228</t>
        </is>
      </c>
      <c r="B229" s="16" t="inlineStr">
        <is>
          <t>TS-048</t>
        </is>
      </c>
      <c r="C229" s="17" t="inlineStr">
        <is>
          <t>An earlier SBFAS scheme of the same name gets the day before as Effective to</t>
        </is>
      </c>
      <c r="D229" s="17" t="inlineStr">
        <is>
          <t>F4.15 Review and publish</t>
        </is>
      </c>
      <c r="E229" s="17" t="inlineStr">
        <is>
          <t>Review scheme dialog (School Admin)</t>
        </is>
      </c>
      <c r="F229" s="16" t="inlineStr">
        <is>
          <t>S2</t>
        </is>
      </c>
      <c r="G229" s="16" t="inlineStr">
        <is>
          <t>High</t>
        </is>
      </c>
      <c r="H229" s="16" t="inlineStr">
        <is>
          <t>Failed</t>
        </is>
      </c>
      <c r="I229" s="16" t="inlineStr">
        <is>
          <t>Functional</t>
        </is>
      </c>
      <c r="J229" s="17" t="inlineStr">
        <is>
          <t>Prototype: edusave.vercel.app (sample date 18/10/2026)
Chrome (latest)
Build: to be recorded at execution
Needs: ENV-R4-01</t>
        </is>
      </c>
      <c r="K229" s="17" t="inlineStr">
        <is>
          <t>1. The prototype is open at the base state (use Reset data).
2. Signed in as School user Lan Nguyen (BVP-0012), Bukit View Primary.</t>
        </is>
      </c>
      <c r="L229" s="17" t="inlineStr">
        <is>
          <t>Earlier scheme Tier 1 (01/01/2027, no end date)
New scheme "Tier 1" with Effective from 01/01/2028</t>
        </is>
      </c>
      <c r="M229" s="17" t="inlineStr">
        <is>
          <t>1. Fill the SBFAS wizard with the name "Tier 1" and Effective from 01/01/2028.
2. Click View and read the blue note, then Publish.</t>
        </is>
      </c>
      <c r="N229" s="17" t="inlineStr">
        <is>
          <t>1. The note says the earlier Tier 1 has no end date and will end on 31/12/2027.
2. After Publish the earlier Tier 1 shows Effective to 31/12/2027 and the new Tier 1 is Upcoming.</t>
        </is>
      </c>
      <c r="O229" s="17" t="inlineStr">
        <is>
          <t>Run 26/10/2026 (manual run in the built-in browser and through the API, localhost build). A second scheme with the same name and a later period (Effective from one year later) is refused with 409 "A scheme with this name already exists for this school.". The earlier scheme is not ended and keeps no end date.</t>
        </is>
      </c>
      <c r="P229" s="17" t="inlineStr">
        <is>
          <t>N/A</t>
        </is>
      </c>
      <c r="Q229" s="17" t="inlineStr">
        <is>
          <t>BUG-R4-011</t>
        </is>
      </c>
      <c r="R229" s="17" t="inlineStr">
        <is>
          <t>Tender R4, PB-19, FS F4 v1.3: 7.3 Earlier scheme, T12</t>
        </is>
      </c>
      <c r="S229" s="17" t="n"/>
      <c r="T229" s="16" t="inlineStr">
        <is>
          <t>Approve</t>
        </is>
      </c>
    </row>
    <row r="230" ht="106.5" customHeight="1" s="14">
      <c r="A230" s="16" t="inlineStr">
        <is>
          <t>TC-229</t>
        </is>
      </c>
      <c r="B230" s="16" t="inlineStr">
        <is>
          <t>TS-049</t>
        </is>
      </c>
      <c r="C230" s="17" t="inlineStr">
        <is>
          <t>Published rows offer View and Add fee and no Edit</t>
        </is>
      </c>
      <c r="D230" s="17" t="inlineStr">
        <is>
          <t>F4.15 Review and publish</t>
        </is>
      </c>
      <c r="E230" s="17" t="inlineStr">
        <is>
          <t>MOEFAS schemes (MOE HQ)</t>
        </is>
      </c>
      <c r="F230" s="16" t="inlineStr">
        <is>
          <t>S1 (highest)</t>
        </is>
      </c>
      <c r="G230" s="16" t="inlineStr">
        <is>
          <t>High</t>
        </is>
      </c>
      <c r="H230" s="16" t="inlineStr">
        <is>
          <t>Passed</t>
        </is>
      </c>
      <c r="I230" s="16" t="inlineStr">
        <is>
          <t>Functional</t>
        </is>
      </c>
      <c r="J230" s="17" t="inlineStr">
        <is>
          <t>Prototype: edusave.vercel.app (sample date 18/10/2026)
Chrome (latest)
Build: to be recorded at execution
Needs: ENV-R4-01</t>
        </is>
      </c>
      <c r="K230" s="17" t="inlineStr">
        <is>
          <t>1. The prototype is open at the base state (use Reset data).
2. Signed in as MOE HQ (Mei Lin Tan).</t>
        </is>
      </c>
      <c r="L230" s="17" t="inlineStr">
        <is>
          <t>Published schemes MOEFAS 2027, 2026, 2025</t>
        </is>
      </c>
      <c r="M230" s="17" t="inlineStr">
        <is>
          <t>1. Read the action cell of each row.
2. Click View on MOEFAS 2026.</t>
        </is>
      </c>
      <c r="N230" s="17" t="inlineStr">
        <is>
          <t>1. No row has Edit.
2. View opens "MOEFAS 2026 · Active · view-only" with General, Eligibility and Subsidy and a Close button only.</t>
        </is>
      </c>
      <c r="O230" s="17" t="inlineStr">
        <is>
          <t>Run 26/10/2026 (automation, localhost build). View opens the read only detail with General, Eligibility, Budget and Subsidy and no Edit control. The header and the Close button of the case book were not matched. Result: the function works, the differences above are only in layout and wording.</t>
        </is>
      </c>
      <c r="P230" s="17" t="inlineStr">
        <is>
          <t>N/A</t>
        </is>
      </c>
      <c r="Q230" s="17" t="n"/>
      <c r="R230" s="17" t="inlineStr">
        <is>
          <t>Tender R4, PB-19, FS F4 v1.3: BR8, 7.3 last line</t>
        </is>
      </c>
      <c r="S230" s="17" t="inlineStr">
        <is>
          <t>Observed on the prototype.</t>
        </is>
      </c>
      <c r="T230" s="16" t="inlineStr">
        <is>
          <t>Approve</t>
        </is>
      </c>
    </row>
    <row r="231" ht="92.25" customHeight="1" s="14">
      <c r="A231" s="16" t="inlineStr">
        <is>
          <t>TC-230</t>
        </is>
      </c>
      <c r="B231" s="16" t="inlineStr">
        <is>
          <t>TS-049</t>
        </is>
      </c>
      <c r="C231" s="17" t="inlineStr">
        <is>
          <t>A published scheme cannot be changed through the API</t>
        </is>
      </c>
      <c r="D231" s="17" t="inlineStr">
        <is>
          <t>F4.15 Review and publish</t>
        </is>
      </c>
      <c r="E231" s="17" t="inlineStr">
        <is>
          <t>FAS schemes API</t>
        </is>
      </c>
      <c r="F231" s="16" t="inlineStr">
        <is>
          <t>S1 (highest)</t>
        </is>
      </c>
      <c r="G231" s="16" t="inlineStr">
        <is>
          <t>Critical</t>
        </is>
      </c>
      <c r="H231" s="16" t="inlineStr">
        <is>
          <t>Not Run</t>
        </is>
      </c>
      <c r="I231" s="16" t="inlineStr">
        <is>
          <t>Security</t>
        </is>
      </c>
      <c r="J231" s="17" t="inlineStr">
        <is>
          <t>F4 build with API (not available yet)
Chrome (latest)
Build: to be recorded at execution
Needs: ENV-R4-02</t>
        </is>
      </c>
      <c r="K231" s="17" t="inlineStr">
        <is>
          <t>1. The F4 build exposes the scheme API.
2. Signed in as MOE HQ.</t>
        </is>
      </c>
      <c r="L231" s="17" t="inlineStr">
        <is>
          <t>Published scheme MOEFAS 2026</t>
        </is>
      </c>
      <c r="M231" s="17" t="inlineStr">
        <is>
          <t>1. Send an update request that changes the PCI limit of MOEFAS 2026.
2. Send a delete request for MOEFAS 2026.
3. Read the scheme again.</t>
        </is>
      </c>
      <c r="N231" s="17" t="inlineStr">
        <is>
          <t>1. Both requests are refused and the scheme is unchanged.</t>
        </is>
      </c>
      <c r="O231" s="17" t="n"/>
      <c r="P231" s="17" t="inlineStr">
        <is>
          <t>ASM-R4-15: A request that the role may not make returns HTTP 403, changes nothing and returns no data. A link to an application of another school shows "You do not have access." (wording of FS v1.1).</t>
        </is>
      </c>
      <c r="Q231" s="17" t="n"/>
      <c r="R231" s="17" t="inlineStr">
        <is>
          <t>Tender R4, PB-19, FS F4 v1.3: BR8</t>
        </is>
      </c>
      <c r="S231" s="17" t="n"/>
      <c r="T231" s="16" t="inlineStr">
        <is>
          <t>Draft</t>
        </is>
      </c>
    </row>
    <row r="232" ht="121.5" customHeight="1" s="14">
      <c r="A232" s="16" t="inlineStr">
        <is>
          <t>TC-231</t>
        </is>
      </c>
      <c r="B232" s="16" t="inlineStr">
        <is>
          <t>TS-050</t>
        </is>
      </c>
      <c r="C232" s="17" t="inlineStr">
        <is>
          <t>Add fee is offered on Active and Upcoming schemes only</t>
        </is>
      </c>
      <c r="D232" s="17" t="inlineStr">
        <is>
          <t>F4.16 Add fee to a published scheme</t>
        </is>
      </c>
      <c r="E232" s="17" t="inlineStr">
        <is>
          <t>MOEFAS schemes (MOE HQ)</t>
        </is>
      </c>
      <c r="F232" s="16" t="inlineStr">
        <is>
          <t>S1 (highest)</t>
        </is>
      </c>
      <c r="G232" s="16" t="inlineStr">
        <is>
          <t>High</t>
        </is>
      </c>
      <c r="H232" s="16" t="inlineStr">
        <is>
          <t>Failed</t>
        </is>
      </c>
      <c r="I232" s="16" t="inlineStr">
        <is>
          <t>Functional</t>
        </is>
      </c>
      <c r="J232" s="17" t="inlineStr">
        <is>
          <t>Prototype: edusave.vercel.app (sample date 18/10/2026)
Chrome (latest)
Build: to be recorded at execution
Needs: ENV-R4-01, SEED-R4-N18</t>
        </is>
      </c>
      <c r="K232" s="17" t="inlineStr">
        <is>
          <t>1. The prototype is open at the base state (use Reset data).
2. Signed in as MOE HQ (Mei Lin Tan).</t>
        </is>
      </c>
      <c r="L232" s="17" t="inlineStr">
        <is>
          <t>Schemes: MOEFAS 2027 (Upcoming), MOEFAS 2026 (Active), MOEFAS 2025 (Closed), a Draft (SEED-R4-N18)</t>
        </is>
      </c>
      <c r="M232" s="17" t="inlineStr">
        <is>
          <t>1. Read the action cell of each row.</t>
        </is>
      </c>
      <c r="N232" s="17" t="inlineStr">
        <is>
          <t>1. Add fee shows on MOEFAS 2027 and MOEFAS 2026.
2. MOEFAS 2025 (Closed) shows View only.
3. The Draft shows Edit only.</t>
        </is>
      </c>
      <c r="O232" s="17" t="inlineStr">
        <is>
          <t>Run 26/10/2026 (automation, localhost build). Add fees is offered on Draft schemes and opens the Add fee page. The rule of the build differs from the case book (Active and Upcoming only).</t>
        </is>
      </c>
      <c r="P232" s="17" t="inlineStr">
        <is>
          <t>N/A</t>
        </is>
      </c>
      <c r="Q232" s="17" t="inlineStr">
        <is>
          <t>BUG-R4-005</t>
        </is>
      </c>
      <c r="R232" s="17" t="inlineStr">
        <is>
          <t>Tender R4, PB-19, FS F4 v1.3: 7.4 When, T14, 7.1 item 4</t>
        </is>
      </c>
      <c r="S232" s="17" t="inlineStr">
        <is>
          <t>Compare CMP-54.</t>
        </is>
      </c>
      <c r="T232" s="16" t="inlineStr">
        <is>
          <t>Approve</t>
        </is>
      </c>
    </row>
    <row r="233" ht="121.5" customHeight="1" s="14">
      <c r="A233" s="16" t="inlineStr">
        <is>
          <t>TC-232</t>
        </is>
      </c>
      <c r="B233" s="16" t="inlineStr">
        <is>
          <t>TS-050</t>
        </is>
      </c>
      <c r="C233" s="17" t="inlineStr">
        <is>
          <t>Add fee dialog lists only components not yet in the scheme and shows the others read only</t>
        </is>
      </c>
      <c r="D233" s="17" t="inlineStr">
        <is>
          <t>F4.16 Add fee to a published scheme</t>
        </is>
      </c>
      <c r="E233" s="17" t="inlineStr">
        <is>
          <t>Add fee dialog (MOE HQ)</t>
        </is>
      </c>
      <c r="F233" s="16" t="inlineStr">
        <is>
          <t>S1 (highest)</t>
        </is>
      </c>
      <c r="G233" s="16" t="inlineStr">
        <is>
          <t>High</t>
        </is>
      </c>
      <c r="H233" s="16" t="inlineStr">
        <is>
          <t>Passed</t>
        </is>
      </c>
      <c r="I233" s="16" t="inlineStr">
        <is>
          <t>Functional</t>
        </is>
      </c>
      <c r="J233" s="17" t="inlineStr">
        <is>
          <t>Prototype: edusave.vercel.app (sample date 18/10/2026)
Chrome (latest)
Build: to be recorded at execution
Needs: ENV-R4-01</t>
        </is>
      </c>
      <c r="K233" s="17" t="inlineStr">
        <is>
          <t>1. The prototype is open at the base state (use Reset data).
2. Signed in as MOE HQ (Mei Lin Tan).</t>
        </is>
      </c>
      <c r="L233" s="17" t="inlineStr">
        <is>
          <t>MOEFAS 2026 has School fee, Miscellaneous fee, School Transport Fee and School Meal Fee</t>
        </is>
      </c>
      <c r="M233" s="17" t="inlineStr">
        <is>
          <t>1. Click Add fee on MOEFAS 2026.
2. Read the dialog.</t>
        </is>
      </c>
      <c r="N233" s="17" t="inlineStr">
        <is>
          <t>1. The dialog "Add fee components" shows "FUNCTION 4 · MOEFAS 2026 · Active" and an explanation.
2. The Fee component list offers Enrichment Programme Fee and Educational Excursion Fee only.
3. The four existing columns are shown with their values and cannot be edited or removed.
4. Add to scheme is disabled.</t>
        </is>
      </c>
      <c r="O233" s="17" t="inlineStr">
        <is>
          <t>Run 26/10/2026 (automation, localhost build). The existing component is shown read only with its values. It is a page (Add fee), not the dialog Add fee components. Result: the function works, the differences above are only in layout and wording.</t>
        </is>
      </c>
      <c r="P233" s="17" t="inlineStr">
        <is>
          <t>N/A</t>
        </is>
      </c>
      <c r="Q233" s="17" t="n"/>
      <c r="R233" s="17" t="inlineStr">
        <is>
          <t>Tender R4, PB-19, FS F4 v1.3: 7.4 Fee component, 7.4 Existing components, T13</t>
        </is>
      </c>
      <c r="S233" s="17" t="inlineStr">
        <is>
          <t>Compare CMP-54.</t>
        </is>
      </c>
      <c r="T233" s="16" t="inlineStr">
        <is>
          <t>Approve</t>
        </is>
      </c>
    </row>
    <row r="234" ht="106.5" customHeight="1" s="14">
      <c r="A234" s="16" t="inlineStr">
        <is>
          <t>TC-233</t>
        </is>
      </c>
      <c r="B234" s="16" t="inlineStr">
        <is>
          <t>TS-050</t>
        </is>
      </c>
      <c r="C234" s="17" t="inlineStr">
        <is>
          <t>Choosing a component adds an editable column that can be removed</t>
        </is>
      </c>
      <c r="D234" s="17" t="inlineStr">
        <is>
          <t>F4.16 Add fee to a published scheme</t>
        </is>
      </c>
      <c r="E234" s="17" t="inlineStr">
        <is>
          <t>Add fee dialog (MOE HQ)</t>
        </is>
      </c>
      <c r="F234" s="16" t="inlineStr">
        <is>
          <t>S2</t>
        </is>
      </c>
      <c r="G234" s="16" t="inlineStr">
        <is>
          <t>High</t>
        </is>
      </c>
      <c r="H234" s="16" t="inlineStr">
        <is>
          <t>Passed</t>
        </is>
      </c>
      <c r="I234" s="16" t="inlineStr">
        <is>
          <t>Functional</t>
        </is>
      </c>
      <c r="J234" s="17" t="inlineStr">
        <is>
          <t>Prototype: edusave.vercel.app (sample date 18/10/2026)
Chrome (latest)
Build: to be recorded at execution
Needs: ENV-R4-01</t>
        </is>
      </c>
      <c r="K234" s="17" t="inlineStr">
        <is>
          <t>1. The prototype is open at the base state (use Reset data).
2. Signed in as MOE HQ (Mei Lin Tan).</t>
        </is>
      </c>
      <c r="L234" s="17" t="inlineStr">
        <is>
          <t>Component Enrichment Programme Fee</t>
        </is>
      </c>
      <c r="M234" s="17" t="inlineStr">
        <is>
          <t>1. Click Add fee on MOEFAS 2026 and choose Enrichment Programme Fee.
2. Read the grid and the button.
3. Click ✕ on the new column.</t>
        </is>
      </c>
      <c r="N234" s="17" t="inlineStr">
        <is>
          <t>1. A column ENRICHMENT PROGRAMME FEE with a ✕ is added, with an editable cell per level that starts at 0, and the unit %.
2. Add to scheme is enabled because 0 is a valid value.
3. After ✕ the column is gone and Add to scheme is disabled again.</t>
        </is>
      </c>
      <c r="O234" s="17" t="inlineStr">
        <is>
          <t>Run 26/10/2026 (automation, localhost build). A picked component adds an editable column that can be removed. The button is Confirm (case book: Add to scheme). Result: the function works, the differences above are only in layout and wording.</t>
        </is>
      </c>
      <c r="P234" s="17" t="inlineStr">
        <is>
          <t>N/A</t>
        </is>
      </c>
      <c r="Q234" s="17" t="n"/>
      <c r="R234" s="17" t="inlineStr">
        <is>
          <t>Tender R4, PB-19, FS F4 v1.3: 7.4 Fee component, T13</t>
        </is>
      </c>
      <c r="S234" s="17" t="inlineStr">
        <is>
          <t>Compare CMP-54.</t>
        </is>
      </c>
      <c r="T234" s="16" t="inlineStr">
        <is>
          <t>Approve</t>
        </is>
      </c>
    </row>
    <row r="235" ht="106.5" customHeight="1" s="14">
      <c r="A235" s="16" t="inlineStr">
        <is>
          <t>TC-234</t>
        </is>
      </c>
      <c r="B235" s="16" t="inlineStr">
        <is>
          <t>TS-050</t>
        </is>
      </c>
      <c r="C235" s="17" t="inlineStr">
        <is>
          <t>Add to scheme stays disabled for invalid new cells</t>
        </is>
      </c>
      <c r="D235" s="17" t="inlineStr">
        <is>
          <t>F4.16 Add fee to a published scheme</t>
        </is>
      </c>
      <c r="E235" s="17" t="inlineStr">
        <is>
          <t>Add fee dialog (MOE HQ)</t>
        </is>
      </c>
      <c r="F235" s="16" t="inlineStr">
        <is>
          <t>S1 (highest)</t>
        </is>
      </c>
      <c r="G235" s="16" t="inlineStr">
        <is>
          <t>High</t>
        </is>
      </c>
      <c r="H235" s="16" t="inlineStr">
        <is>
          <t>Failed</t>
        </is>
      </c>
      <c r="I235" s="16" t="inlineStr">
        <is>
          <t>Functional</t>
        </is>
      </c>
      <c r="J235" s="17" t="inlineStr">
        <is>
          <t>Prototype: edusave.vercel.app (sample date 18/10/2026)
Chrome (latest)
Build: to be recorded at execution
Needs: ENV-R4-01</t>
        </is>
      </c>
      <c r="K235" s="17" t="inlineStr">
        <is>
          <t>1. The prototype is open at the base state (use Reset data).
2. Signed in as MOE HQ (Mei Lin Tan).</t>
        </is>
      </c>
      <c r="L235" s="17" t="inlineStr">
        <is>
          <t>Cell values 101, -1, 100.5 and empty (percentage)</t>
        </is>
      </c>
      <c r="M235" s="17" t="inlineStr">
        <is>
          <t>1. Click Add fee on MOEFAS 2026 and add Enrichment Programme Fee.
2. Enter each value in the Primary cell in turn.
3. Read the message and the button.</t>
        </is>
      </c>
      <c r="N235" s="17" t="inlineStr">
        <is>
          <t>1. Each value shows "Enter 0–100 % for every new cell." and Add to scheme is disabled.
2. 100 and 0 are accepted.</t>
        </is>
      </c>
      <c r="O235" s="17" t="inlineStr">
        <is>
          <t>Run 26/10/2026 (automation, localhost build). An invalid new cell (101) keeps Confirm blocked, but the message is the raw key features.moeHqMoeFasCreate.errors.amountRange instead of text. The Add fee screen is a page with Confirm, not a dialog with Add to scheme.</t>
        </is>
      </c>
      <c r="P235" s="17" t="inlineStr">
        <is>
          <t>N/A</t>
        </is>
      </c>
      <c r="Q235" s="17" t="inlineStr">
        <is>
          <t>BUG-R4-001</t>
        </is>
      </c>
      <c r="R235" s="17" t="inlineStr">
        <is>
          <t>Tender R4, PB-19, FS F4 v1.3: 7.4 Add to scheme, 7.3 Fee components</t>
        </is>
      </c>
      <c r="S235" s="17" t="inlineStr">
        <is>
          <t>Compare CMP-54.</t>
        </is>
      </c>
      <c r="T235" s="16" t="inlineStr">
        <is>
          <t>Approve</t>
        </is>
      </c>
    </row>
    <row r="236" ht="92.25" customHeight="1" s="14">
      <c r="A236" s="16" t="inlineStr">
        <is>
          <t>TC-235</t>
        </is>
      </c>
      <c r="B236" s="16" t="inlineStr">
        <is>
          <t>TS-050</t>
        </is>
      </c>
      <c r="C236" s="17" t="inlineStr">
        <is>
          <t>Add fee is not offered for a Closed scheme by any route</t>
        </is>
      </c>
      <c r="D236" s="17" t="inlineStr">
        <is>
          <t>F4.16 Add fee to a published scheme</t>
        </is>
      </c>
      <c r="E236" s="17" t="inlineStr">
        <is>
          <t>MOEFAS schemes (MOE HQ)</t>
        </is>
      </c>
      <c r="F236" s="16" t="inlineStr">
        <is>
          <t>S2</t>
        </is>
      </c>
      <c r="G236" s="16" t="inlineStr">
        <is>
          <t>High</t>
        </is>
      </c>
      <c r="H236" s="16" t="inlineStr">
        <is>
          <t>Not Run</t>
        </is>
      </c>
      <c r="I236" s="16" t="inlineStr">
        <is>
          <t>Security</t>
        </is>
      </c>
      <c r="J236" s="17" t="inlineStr">
        <is>
          <t>F4 build with API (not available yet)
Chrome (latest)
Build: to be recorded at execution
Needs: ENV-R4-02</t>
        </is>
      </c>
      <c r="K236" s="17" t="inlineStr">
        <is>
          <t>1. The F4 build exposes the scheme API.
2. Signed in as MOE HQ.</t>
        </is>
      </c>
      <c r="L236" s="17" t="inlineStr">
        <is>
          <t>Closed scheme MOEFAS 2025</t>
        </is>
      </c>
      <c r="M236" s="17" t="inlineStr">
        <is>
          <t>1. Look for Add fee on the MOEFAS 2025 row.
2. Send an add fee request for MOEFAS 2025 to the API.</t>
        </is>
      </c>
      <c r="N236" s="17" t="inlineStr">
        <is>
          <t>1. The row has no Add fee button.
2. The API refuses the request and the scheme is unchanged.</t>
        </is>
      </c>
      <c r="O236" s="17" t="n"/>
      <c r="P236" s="17" t="inlineStr">
        <is>
          <t>ASM-R4-15: A request that the role may not make returns HTTP 403, changes nothing and returns no data. A link to an application of another school shows "You do not have access." (wording of FS v1.1).</t>
        </is>
      </c>
      <c r="Q236" s="17" t="n"/>
      <c r="R236" s="17" t="inlineStr">
        <is>
          <t>Tender R4, PB-19, FS F4 v1.3: 7.4 When, T14, BR8</t>
        </is>
      </c>
      <c r="S236" s="17" t="n"/>
      <c r="T236" s="16" t="inlineStr">
        <is>
          <t>Draft</t>
        </is>
      </c>
    </row>
    <row r="237" ht="106.5" customHeight="1" s="14">
      <c r="A237" s="16" t="inlineStr">
        <is>
          <t>TC-236</t>
        </is>
      </c>
      <c r="B237" s="16" t="inlineStr">
        <is>
          <t>TS-051</t>
        </is>
      </c>
      <c r="C237" s="17" t="inlineStr">
        <is>
          <t>Add to scheme saves the new component and shows the toast</t>
        </is>
      </c>
      <c r="D237" s="17" t="inlineStr">
        <is>
          <t>F4.16 Add fee to a published scheme</t>
        </is>
      </c>
      <c r="E237" s="17" t="inlineStr">
        <is>
          <t>Add fee dialog (MOE HQ)</t>
        </is>
      </c>
      <c r="F237" s="16" t="inlineStr">
        <is>
          <t>S1 (highest)</t>
        </is>
      </c>
      <c r="G237" s="16" t="inlineStr">
        <is>
          <t>Critical</t>
        </is>
      </c>
      <c r="H237" s="16" t="inlineStr">
        <is>
          <t>Failed</t>
        </is>
      </c>
      <c r="I237" s="16" t="inlineStr">
        <is>
          <t>Functional</t>
        </is>
      </c>
      <c r="J237" s="17" t="inlineStr">
        <is>
          <t>Prototype: edusave.vercel.app (sample date 18/10/2026)
Chrome (latest)
Build: to be recorded at execution
Needs: ENV-R4-01</t>
        </is>
      </c>
      <c r="K237" s="17" t="inlineStr">
        <is>
          <t>1. The prototype is open at the base state (use Reset data).
2. Signed in as MOE HQ (Mei Lin Tan).</t>
        </is>
      </c>
      <c r="L237" s="17" t="inlineStr">
        <is>
          <t>Scheme MOEFAS 2026, component Enrichment Programme Fee with 100, 70, 50</t>
        </is>
      </c>
      <c r="M237" s="17" t="inlineStr">
        <is>
          <t>1. Click Add fee on MOEFAS 2026, add the component and enter 100, 70 and 50.
2. Click Add to scheme.
3. Click View on MOEFAS 2026.</t>
        </is>
      </c>
      <c r="N237" s="17" t="inlineStr">
        <is>
          <t>1. A toast reads "Fee components added to the scheme."
2. The view shows the new column ENRICHMENT PROGRAMME FEE with 100%, 70% and 50% next to the four existing columns, whose values did not change.</t>
        </is>
      </c>
      <c r="O237" s="17" t="inlineStr">
        <is>
          <t>Run 26/10/2026 (automation, localhost build). Confirm saves the component and the new column shows next to the unchanged old one. No toast Fee components added to the scheme. is shown.</t>
        </is>
      </c>
      <c r="P237" s="17" t="inlineStr">
        <is>
          <t>N/A</t>
        </is>
      </c>
      <c r="Q237" s="17" t="inlineStr">
        <is>
          <t>BUG-R4-004</t>
        </is>
      </c>
      <c r="R237" s="17" t="inlineStr">
        <is>
          <t>Tender R4, PB-19, FS F4 v1.3: 7.4 Add to scheme, BR8, T13</t>
        </is>
      </c>
      <c r="S237" s="17" t="inlineStr">
        <is>
          <t>Observed on the prototype.</t>
        </is>
      </c>
      <c r="T237" s="16" t="inlineStr">
        <is>
          <t>Approve</t>
        </is>
      </c>
    </row>
    <row r="238" ht="106.5" customHeight="1" s="14">
      <c r="A238" s="16" t="inlineStr">
        <is>
          <t>TC-237</t>
        </is>
      </c>
      <c r="B238" s="16" t="inlineStr">
        <is>
          <t>TS-051</t>
        </is>
      </c>
      <c r="C238" s="17" t="inlineStr">
        <is>
          <t>The addition is recorded with the date and the user</t>
        </is>
      </c>
      <c r="D238" s="17" t="inlineStr">
        <is>
          <t>F4.16 Add fee to a published scheme</t>
        </is>
      </c>
      <c r="E238" s="17" t="inlineStr">
        <is>
          <t>Audit log (MOE HQ)</t>
        </is>
      </c>
      <c r="F238" s="16" t="inlineStr">
        <is>
          <t>S2</t>
        </is>
      </c>
      <c r="G238" s="16" t="inlineStr">
        <is>
          <t>Medium</t>
        </is>
      </c>
      <c r="H238" s="16" t="inlineStr">
        <is>
          <t>Not Run</t>
        </is>
      </c>
      <c r="I238" s="16" t="inlineStr">
        <is>
          <t>Functional</t>
        </is>
      </c>
      <c r="J238" s="17" t="inlineStr">
        <is>
          <t>Prototype: edusave.vercel.app (sample date 18/10/2026)
Chrome (latest)
Build: to be recorded at execution
Needs: ENV-R4-01</t>
        </is>
      </c>
      <c r="K238" s="17" t="inlineStr">
        <is>
          <t>1. The prototype is open at the base state (use Reset data).
2. Signed in as MOE HQ (Mei Lin Tan).</t>
        </is>
      </c>
      <c r="L238" s="17" t="inlineStr">
        <is>
          <t>Addition on MOEFAS 2026 by Mei Lin Tan</t>
        </is>
      </c>
      <c r="M238" s="17" t="inlineStr">
        <is>
          <t>1. Add Enrichment Programme Fee to MOEFAS 2026.
2. Open the Audit log menu.</t>
        </is>
      </c>
      <c r="N238" s="17" t="inlineStr">
        <is>
          <t>1. A row shows the date and time, "Mei Lin Tan (MOE HQ)", the action "Scheme fee components added" and the detail "MOEFAS 2026 · Enrichment Programme Fee".</t>
        </is>
      </c>
      <c r="O238" s="17" t="n"/>
      <c r="P238" s="17" t="inlineStr">
        <is>
          <t>ASM-R4-21: The record is visible in the Audit log menu with the date, the user and the fee components added.</t>
        </is>
      </c>
      <c r="Q238" s="17" t="n"/>
      <c r="R238" s="17" t="inlineStr">
        <is>
          <t>Tender R4, PB-19, FS F4 v1.3: 7.4 Add to scheme</t>
        </is>
      </c>
      <c r="S238" s="17" t="inlineStr">
        <is>
          <t>Observed on the prototype.</t>
        </is>
      </c>
      <c r="T238" s="16" t="inlineStr">
        <is>
          <t>Draft</t>
        </is>
      </c>
    </row>
    <row r="239" ht="106.5" customHeight="1" s="14">
      <c r="A239" s="16" t="inlineStr">
        <is>
          <t>TC-238</t>
        </is>
      </c>
      <c r="B239" s="16" t="inlineStr">
        <is>
          <t>TS-051</t>
        </is>
      </c>
      <c r="C239" s="17" t="inlineStr">
        <is>
          <t>Existing components cannot be changed after the addition</t>
        </is>
      </c>
      <c r="D239" s="17" t="inlineStr">
        <is>
          <t>F4.16 Add fee to a published scheme</t>
        </is>
      </c>
      <c r="E239" s="17" t="inlineStr">
        <is>
          <t>Add fee dialog (MOE HQ)</t>
        </is>
      </c>
      <c r="F239" s="16" t="inlineStr">
        <is>
          <t>S1 (highest)</t>
        </is>
      </c>
      <c r="G239" s="16" t="inlineStr">
        <is>
          <t>High</t>
        </is>
      </c>
      <c r="H239" s="16" t="inlineStr">
        <is>
          <t>Not Run</t>
        </is>
      </c>
      <c r="I239" s="16" t="inlineStr">
        <is>
          <t>Functional</t>
        </is>
      </c>
      <c r="J239" s="17" t="inlineStr">
        <is>
          <t>Prototype: edusave.vercel.app (sample date 18/10/2026)
Chrome (latest)
Build: to be recorded at execution
Needs: ENV-R4-01</t>
        </is>
      </c>
      <c r="K239" s="17" t="inlineStr">
        <is>
          <t>1. The prototype is open at the base state (use Reset data).
2. Signed in as MOE HQ (Mei Lin Tan).</t>
        </is>
      </c>
      <c r="L239" s="17" t="inlineStr">
        <is>
          <t>Scheme MOEFAS 2026 after the addition</t>
        </is>
      </c>
      <c r="M239" s="17" t="inlineStr">
        <is>
          <t>1. Click Add fee on MOEFAS 2026 again.
2. Try to edit or remove an existing column.</t>
        </is>
      </c>
      <c r="N239" s="17" t="inlineStr">
        <is>
          <t>1. Existing columns, including the one added before, are read only and have no ✕.
2. Only components still missing are offered.</t>
        </is>
      </c>
      <c r="O239" s="17" t="n"/>
      <c r="P239" s="17" t="inlineStr">
        <is>
          <t>N/A</t>
        </is>
      </c>
      <c r="Q239" s="17" t="n"/>
      <c r="R239" s="17" t="inlineStr">
        <is>
          <t>Tender R4, PB-19, FS F4 v1.3: 7.4 Existing components, BR8</t>
        </is>
      </c>
      <c r="S239" s="17" t="n"/>
      <c r="T239" s="16" t="inlineStr">
        <is>
          <t>Approve</t>
        </is>
      </c>
    </row>
    <row r="240" ht="106.5" customHeight="1" s="14">
      <c r="A240" s="16" t="inlineStr">
        <is>
          <t>TC-239</t>
        </is>
      </c>
      <c r="B240" s="16" t="inlineStr">
        <is>
          <t>TS-051</t>
        </is>
      </c>
      <c r="C240" s="17" t="inlineStr">
        <is>
          <t>Students already granted the scheme get the new subsidy on open fees</t>
        </is>
      </c>
      <c r="D240" s="17" t="inlineStr">
        <is>
          <t>F4.16 Add fee to a published scheme</t>
        </is>
      </c>
      <c r="E240" s="17" t="inlineStr">
        <is>
          <t>F3 Fee invoices</t>
        </is>
      </c>
      <c r="F240" s="16" t="inlineStr">
        <is>
          <t>S1 (highest)</t>
        </is>
      </c>
      <c r="G240" s="16" t="inlineStr">
        <is>
          <t>High</t>
        </is>
      </c>
      <c r="H240" s="16" t="inlineStr">
        <is>
          <t>Not Run</t>
        </is>
      </c>
      <c r="I240" s="16" t="inlineStr">
        <is>
          <t>Integration</t>
        </is>
      </c>
      <c r="J240" s="17" t="inlineStr">
        <is>
          <t>F4 build with API (not available yet)
Chrome (latest)
Build: to be recorded at execution
Needs: ENV-R4-02, ENV-R4-07, SEED-R4-N20</t>
        </is>
      </c>
      <c r="K240" s="17" t="inlineStr">
        <is>
          <t>1. The F4 build is connected to F3 (fee invoices).
2. Student granted MOEFAS 2026 with an open invoice that includes Enrichment Programme Fee.</t>
        </is>
      </c>
      <c r="L240" s="17" t="inlineStr">
        <is>
          <t>Student 00390 (Primary 4) with Enrichment Programme Fee S$ 100.00 open (SEED-R4-N20)
Scheme level Primary, new component value 100 %</t>
        </is>
      </c>
      <c r="M240" s="17" t="inlineStr">
        <is>
          <t>1. Read the invoice.
2. Add Enrichment Programme Fee to MOEFAS 2026 with Primary 100 %.
3. Read the invoice again.</t>
        </is>
      </c>
      <c r="N240" s="17" t="inlineStr">
        <is>
          <t>1. Before: the component has no subsidy.
2. After: the open invoice shows the component reduced by 100 % (S$ 0.00 to pay).</t>
        </is>
      </c>
      <c r="O240" s="17" t="n"/>
      <c r="P240" s="17" t="inlineStr">
        <is>
          <t>N/A</t>
        </is>
      </c>
      <c r="Q240" s="17" t="n"/>
      <c r="R240" s="17" t="inlineStr">
        <is>
          <t>Tender R4, PB-19, FS F4 v1.3: 7.4 Add to scheme, T13, 8 MOEFAS approved</t>
        </is>
      </c>
      <c r="S240" s="17" t="n"/>
      <c r="T240" s="16" t="inlineStr">
        <is>
          <t>Approve</t>
        </is>
      </c>
    </row>
    <row r="241" ht="106.5" customHeight="1" s="14">
      <c r="A241" s="16" t="inlineStr">
        <is>
          <t>TC-240</t>
        </is>
      </c>
      <c r="B241" s="16" t="inlineStr">
        <is>
          <t>TS-051</t>
        </is>
      </c>
      <c r="C241" s="17" t="inlineStr">
        <is>
          <t>Future fees of the added component follow the scheme automatically</t>
        </is>
      </c>
      <c r="D241" s="17" t="inlineStr">
        <is>
          <t>F4.16 Add fee to a published scheme</t>
        </is>
      </c>
      <c r="E241" s="17" t="inlineStr">
        <is>
          <t>F3 Fee invoices</t>
        </is>
      </c>
      <c r="F241" s="16" t="inlineStr">
        <is>
          <t>S2</t>
        </is>
      </c>
      <c r="G241" s="16" t="inlineStr">
        <is>
          <t>High</t>
        </is>
      </c>
      <c r="H241" s="16" t="inlineStr">
        <is>
          <t>Not Run</t>
        </is>
      </c>
      <c r="I241" s="16" t="inlineStr">
        <is>
          <t>Integration</t>
        </is>
      </c>
      <c r="J241" s="17" t="inlineStr">
        <is>
          <t>F4 build with API (not available yet)
Chrome (latest)
Build: to be recorded at execution
Needs: ENV-R4-02, ENV-R4-07, SEED-R4-N20</t>
        </is>
      </c>
      <c r="K241" s="17" t="inlineStr">
        <is>
          <t>1. The F4 build is connected to F3 (fee invoices).</t>
        </is>
      </c>
      <c r="L241" s="17" t="inlineStr">
        <is>
          <t>Scheme MOEFAS 2026 with Enrichment Programme Fee added at Primary 100 %
A new fee for Enrichment Programme Fee published afterwards (SEED-R4-N20)</t>
        </is>
      </c>
      <c r="M241" s="17" t="inlineStr">
        <is>
          <t>1. Publish the new fee in F3.
2. Read the invoice of a Primary student granted MOEFAS 2026.</t>
        </is>
      </c>
      <c r="N241" s="17" t="inlineStr">
        <is>
          <t>1. The new fee carries the subsidy of the scheme without any manual step.</t>
        </is>
      </c>
      <c r="O241" s="17" t="n"/>
      <c r="P241" s="17" t="inlineStr">
        <is>
          <t>N/A</t>
        </is>
      </c>
      <c r="Q241" s="17" t="n"/>
      <c r="R241" s="17" t="inlineStr">
        <is>
          <t>Tender R4, PB-19, FS F4 v1.3: 7.4 Add to scheme, 8 MOEFAS approved</t>
        </is>
      </c>
      <c r="S241" s="17" t="n"/>
      <c r="T241" s="16" t="inlineStr">
        <is>
          <t>Approve</t>
        </is>
      </c>
    </row>
    <row r="242" ht="106.5" customHeight="1" s="14">
      <c r="A242" s="16" t="inlineStr">
        <is>
          <t>TC-241</t>
        </is>
      </c>
      <c r="B242" s="16" t="inlineStr">
        <is>
          <t>TS-051</t>
        </is>
      </c>
      <c r="C242" s="17" t="inlineStr">
        <is>
          <t>Add fee works the same on an SBFAS scheme</t>
        </is>
      </c>
      <c r="D242" s="17" t="inlineStr">
        <is>
          <t>F4.16 Add fee to a published scheme</t>
        </is>
      </c>
      <c r="E242" s="17" t="inlineStr">
        <is>
          <t>Add fee dialog (School Admin)</t>
        </is>
      </c>
      <c r="F242" s="16" t="inlineStr">
        <is>
          <t>S2</t>
        </is>
      </c>
      <c r="G242" s="16" t="inlineStr">
        <is>
          <t>Medium</t>
        </is>
      </c>
      <c r="H242" s="16" t="inlineStr">
        <is>
          <t>Passed</t>
        </is>
      </c>
      <c r="I242" s="16" t="inlineStr">
        <is>
          <t>Functional</t>
        </is>
      </c>
      <c r="J242" s="17" t="inlineStr">
        <is>
          <t>Prototype: edusave.vercel.app (sample date 18/10/2026)
Chrome (latest)
Build: to be recorded at execution
Needs: ENV-R4-01</t>
        </is>
      </c>
      <c r="K242" s="17" t="inlineStr">
        <is>
          <t>1. The prototype is open at the base state (use Reset data).
2. Signed in as School user Lan Nguyen (BVP-0012), Bukit View Primary.</t>
        </is>
      </c>
      <c r="L242" s="17" t="inlineStr">
        <is>
          <t>Scheme Tier 1 of 2027, component School fee already present or not</t>
        </is>
      </c>
      <c r="M242" s="17" t="inlineStr">
        <is>
          <t>1. Click Add fee on a Tier 1 row.
2. Read the dialog and add a component with values for every grade.</t>
        </is>
      </c>
      <c r="N242" s="17" t="inlineStr">
        <is>
          <t>1. The dialog lists the components missing from the scheme.
2. Rows are the grades P1 to P6.
3. The addition saves with the toast "Fee components added to the scheme."</t>
        </is>
      </c>
      <c r="O242" s="17" t="inlineStr">
        <is>
          <t>Run 26/10/2026 (manual run in the built-in browser and through the API, localhost build). The row menu of a Published scheme offers View and Add fee. The dialog lists the fees not yet in the scheme (Annual Camp Fee is not in the list) and the rows Junior College 1 and Secondary 1. Saving 15 and 20 shows the toast "Fee added" ("The fee component was added successfully.") and the fee count goes from 1 to 2. The toast wording differs from the case book.</t>
        </is>
      </c>
      <c r="P242" s="17" t="inlineStr">
        <is>
          <t>N/A</t>
        </is>
      </c>
      <c r="Q242" s="17" t="n"/>
      <c r="R242" s="17" t="inlineStr">
        <is>
          <t>Tender R4, PB-19, FS F4 v1.3: 7.4 Add to scheme, BR8</t>
        </is>
      </c>
      <c r="S242" s="17" t="inlineStr">
        <is>
          <t>The SBFAS dialog was not opened on the prototype.</t>
        </is>
      </c>
      <c r="T242" s="16" t="inlineStr">
        <is>
          <t>Approve</t>
        </is>
      </c>
    </row>
    <row r="243" ht="121.5" customHeight="1" s="14">
      <c r="A243" s="16" t="inlineStr">
        <is>
          <t>TC-242</t>
        </is>
      </c>
      <c r="B243" s="16" t="inlineStr">
        <is>
          <t>TS-052</t>
        </is>
      </c>
      <c r="C243" s="17" t="inlineStr">
        <is>
          <t>Close form now (demo) dialog explains what will happen</t>
        </is>
      </c>
      <c r="D243" s="17" t="inlineStr">
        <is>
          <t>F4.17 Close form now (demo)</t>
        </is>
      </c>
      <c r="E243" s="17" t="inlineStr">
        <is>
          <t>Close form dialog (MOE HQ)</t>
        </is>
      </c>
      <c r="F243" s="16" t="inlineStr">
        <is>
          <t>S2</t>
        </is>
      </c>
      <c r="G243" s="16" t="inlineStr">
        <is>
          <t>High</t>
        </is>
      </c>
      <c r="H243" s="16" t="inlineStr">
        <is>
          <t>Not Run</t>
        </is>
      </c>
      <c r="I243" s="16" t="inlineStr">
        <is>
          <t>Functional</t>
        </is>
      </c>
      <c r="J243" s="17" t="inlineStr">
        <is>
          <t>Prototype: edusave.vercel.app (sample date 18/10/2026)
Chrome (latest)
Build: to be recorded at execution
Needs: ENV-R4-01</t>
        </is>
      </c>
      <c r="K243" s="17" t="inlineStr">
        <is>
          <t>1. The prototype is open at the base state (use Reset data).
2. Signed in as MOE HQ (Mei Lin Tan).</t>
        </is>
      </c>
      <c r="L243" s="17" t="inlineStr">
        <is>
          <t>Scheme MOEFAS 2027 with 3 waiting applications</t>
        </is>
      </c>
      <c r="M243" s="17" t="inlineStr">
        <is>
          <t>1. Click Close form now (demo) on MOEFAS 2027.
2. Read the dialog and click Cancel.</t>
        </is>
      </c>
      <c r="N243" s="17" t="inlineStr">
        <is>
          <t>1. The dialog "Close the application form now?" shows "DEMO ONLY · MOEFAS 2027" and the three consequences (the form closes today, the ranking rule, rules met or not met).
2. The buttons are Cancel and Close form and assess.
3. Cancel closes the dialog and changes nothing.</t>
        </is>
      </c>
      <c r="O243" s="17" t="n"/>
      <c r="P243" s="17" t="inlineStr">
        <is>
          <t>N/A</t>
        </is>
      </c>
      <c r="Q243" s="17" t="n"/>
      <c r="R243" s="17" t="inlineStr">
        <is>
          <t>Tender R4, PB-19, FS F4 v1.3: 7.5, 7.1 item 4</t>
        </is>
      </c>
      <c r="S243" s="17" t="inlineStr">
        <is>
          <t>Compare CMP-55.</t>
        </is>
      </c>
      <c r="T243" s="16" t="inlineStr">
        <is>
          <t>Approve</t>
        </is>
      </c>
    </row>
    <row r="244" ht="106.5" customHeight="1" s="14">
      <c r="A244" s="16" t="inlineStr">
        <is>
          <t>TC-243</t>
        </is>
      </c>
      <c r="B244" s="16" t="inlineStr">
        <is>
          <t>TS-052</t>
        </is>
      </c>
      <c r="C244" s="17" t="inlineStr">
        <is>
          <t>The button sets Form closes to today and runs the assessment</t>
        </is>
      </c>
      <c r="D244" s="17" t="inlineStr">
        <is>
          <t>F4.17 Close form now (demo)</t>
        </is>
      </c>
      <c r="E244" s="17" t="inlineStr">
        <is>
          <t>Close form dialog (MOE HQ)</t>
        </is>
      </c>
      <c r="F244" s="16" t="inlineStr">
        <is>
          <t>S1 (highest)</t>
        </is>
      </c>
      <c r="G244" s="16" t="inlineStr">
        <is>
          <t>High</t>
        </is>
      </c>
      <c r="H244" s="16" t="inlineStr">
        <is>
          <t>Not Run</t>
        </is>
      </c>
      <c r="I244" s="16" t="inlineStr">
        <is>
          <t>Functional</t>
        </is>
      </c>
      <c r="J244" s="17" t="inlineStr">
        <is>
          <t>Prototype: edusave.vercel.app (sample date 18/10/2026)
Chrome (latest)
Build: to be recorded at execution
Needs: ENV-R4-01</t>
        </is>
      </c>
      <c r="K244" s="17" t="inlineStr">
        <is>
          <t>1. The prototype is open at the base state (use Reset data).
2. Signed in as MOE HQ (Mei Lin Tan).</t>
        </is>
      </c>
      <c r="L244" s="17" t="inlineStr">
        <is>
          <t>Scheme MOEFAS 2027, Form closes 31/12/2026</t>
        </is>
      </c>
      <c r="M244" s="17" t="inlineStr">
        <is>
          <t>1. Click Close form now (demo) and then Close form and assess.
2. Read the Application form cell.</t>
        </is>
      </c>
      <c r="N244" s="17" t="inlineStr">
        <is>
          <t>1. The toast reads "Form closed. Applications were ranked by need and assessed."
2. The cell shows the form period ending 18/10/2026 (today) and "Assessed 18/10/2026".
3. The 3 applications are assessed as in TS-004 and TS-006.</t>
        </is>
      </c>
      <c r="O244" s="17" t="n"/>
      <c r="P244" s="17" t="inlineStr">
        <is>
          <t>N/A</t>
        </is>
      </c>
      <c r="Q244" s="17" t="n"/>
      <c r="R244" s="17" t="inlineStr">
        <is>
          <t>Tender R4, PB-19, FS F4 v1.3: 7.5, 2.2 step 1, 2.2 step 4</t>
        </is>
      </c>
      <c r="S244" s="17" t="inlineStr">
        <is>
          <t>Compare CMP-03 and CMP-06.</t>
        </is>
      </c>
      <c r="T244" s="16" t="inlineStr">
        <is>
          <t>Approve</t>
        </is>
      </c>
    </row>
    <row r="245" ht="106.5" customHeight="1" s="14">
      <c r="A245" s="16" t="inlineStr">
        <is>
          <t>TC-244</t>
        </is>
      </c>
      <c r="B245" s="16" t="inlineStr">
        <is>
          <t>TS-052</t>
        </is>
      </c>
      <c r="C245" s="17" t="inlineStr">
        <is>
          <t>The button is offered only while the form is Open</t>
        </is>
      </c>
      <c r="D245" s="17" t="inlineStr">
        <is>
          <t>F4.17 Close form now (demo)</t>
        </is>
      </c>
      <c r="E245" s="17" t="inlineStr">
        <is>
          <t>MOEFAS schemes (MOE HQ)</t>
        </is>
      </c>
      <c r="F245" s="16" t="inlineStr">
        <is>
          <t>S3</t>
        </is>
      </c>
      <c r="G245" s="16" t="inlineStr">
        <is>
          <t>Medium</t>
        </is>
      </c>
      <c r="H245" s="16" t="inlineStr">
        <is>
          <t>Not Run</t>
        </is>
      </c>
      <c r="I245" s="16" t="inlineStr">
        <is>
          <t>Functional</t>
        </is>
      </c>
      <c r="J245" s="17" t="inlineStr">
        <is>
          <t>Prototype: edusave.vercel.app (sample date 18/10/2026)
Chrome (latest)
Build: to be recorded at execution
Needs: ENV-R4-01</t>
        </is>
      </c>
      <c r="K245" s="17" t="inlineStr">
        <is>
          <t>1. The prototype is open at the base state (use Reset data).
2. Signed in as MOE HQ (Mei Lin Tan).
3. The MOEFAS 2027 form was closed with Close form now (demo), so the 3 waiting applications are assessed.</t>
        </is>
      </c>
      <c r="L245" s="17" t="inlineStr">
        <is>
          <t>Scheme MOEFAS 2027 after the demo close</t>
        </is>
      </c>
      <c r="M245" s="17" t="inlineStr">
        <is>
          <t>1. Read the action cell of MOEFAS 2027.</t>
        </is>
      </c>
      <c r="N245" s="17" t="inlineStr">
        <is>
          <t>1. The button Close form now (demo) is no longer offered because the form is no longer Open.</t>
        </is>
      </c>
      <c r="O245" s="17" t="n"/>
      <c r="P245" s="17" t="inlineStr">
        <is>
          <t>ASM-R4-01: The form is open through the whole Form closes date and the assessment runs at the end of that date. When the scheme shows Assessed, no more MOEFAS applications are accepted and Close form now (demo) is no longer offered.</t>
        </is>
      </c>
      <c r="Q245" s="17" t="n"/>
      <c r="R245" s="17" t="inlineStr">
        <is>
          <t>Tender R4, PB-19, FS F4 v1.3: 7.5, 7.1 item 4</t>
        </is>
      </c>
      <c r="S245" s="17" t="inlineStr">
        <is>
          <t>Compare CMP-06: the prototype keeps the button and the badge Open.</t>
        </is>
      </c>
      <c r="T245" s="16" t="inlineStr">
        <is>
          <t>Draft</t>
        </is>
      </c>
    </row>
    <row r="246" ht="121.5" customHeight="1" s="14">
      <c r="A246" s="16" t="inlineStr">
        <is>
          <t>TC-245</t>
        </is>
      </c>
      <c r="B246" s="16" t="inlineStr">
        <is>
          <t>TS-053</t>
        </is>
      </c>
      <c r="C246" s="17" t="inlineStr">
        <is>
          <t>MOEFAS approval applies the level subsidy to outstanding and later fees</t>
        </is>
      </c>
      <c r="D246" s="17" t="inlineStr">
        <is>
          <t>F4.18 Effects after a decision</t>
        </is>
      </c>
      <c r="E246" s="17" t="inlineStr">
        <is>
          <t>F3 Fee invoices</t>
        </is>
      </c>
      <c r="F246" s="16" t="inlineStr">
        <is>
          <t>S1 (highest)</t>
        </is>
      </c>
      <c r="G246" s="16" t="inlineStr">
        <is>
          <t>High</t>
        </is>
      </c>
      <c r="H246" s="16" t="inlineStr">
        <is>
          <t>Not Run</t>
        </is>
      </c>
      <c r="I246" s="16" t="inlineStr">
        <is>
          <t>Integration</t>
        </is>
      </c>
      <c r="J246" s="17" t="inlineStr">
        <is>
          <t>F4 build with API (not available yet)
Chrome (latest)
Build: to be recorded at execution
Needs: ENV-R4-02, ENV-R4-07, ENV-R4-04, SEED-R4-N21</t>
        </is>
      </c>
      <c r="K246" s="17" t="inlineStr">
        <is>
          <t>1. The F4 build is connected to F3 (fee invoices).
2. Student 00377 (Secondary 3) with open fees due inside 01/01/2027 to 31/12/2027.</t>
        </is>
      </c>
      <c r="L246" s="17" t="inlineStr">
        <is>
          <t>Scheme MOEFAS 2027 Secondary 70 % on School fee (SEED-R4-N21)</t>
        </is>
      </c>
      <c r="M246" s="17" t="inlineStr">
        <is>
          <t>1. Close the MOEFAS 2027 form so 00377 is approved.
2. Read the open fee invoices of 00377.
3. Publish a new School fee afterwards and read it.</t>
        </is>
      </c>
      <c r="N246" s="17" t="inlineStr">
        <is>
          <t>1. Open fees due inside the effective period are reduced by 70 %.
2. A fee published later is reduced in the same way.
3. Fees due before 01/01/2027 are not reduced.</t>
        </is>
      </c>
      <c r="O246" s="17" t="n"/>
      <c r="P246" s="17" t="inlineStr">
        <is>
          <t>N/A</t>
        </is>
      </c>
      <c r="Q246" s="17" t="n"/>
      <c r="R246" s="17" t="inlineStr">
        <is>
          <t>Tender R4, PB-19, FS F4 v1.3: 8 MOEFAS approved, 2.2 step 3, T4</t>
        </is>
      </c>
      <c r="S246" s="17" t="n"/>
      <c r="T246" s="16" t="inlineStr">
        <is>
          <t>Approve</t>
        </is>
      </c>
    </row>
    <row r="247" ht="106.5" customHeight="1" s="14">
      <c r="A247" s="16" t="inlineStr">
        <is>
          <t>TC-246</t>
        </is>
      </c>
      <c r="B247" s="16" t="inlineStr">
        <is>
          <t>TS-053</t>
        </is>
      </c>
      <c r="C247" s="17" t="inlineStr">
        <is>
          <t>SBFAS approval applies the grade subsidy of the chosen scheme</t>
        </is>
      </c>
      <c r="D247" s="17" t="inlineStr">
        <is>
          <t>F4.18 Effects after a decision</t>
        </is>
      </c>
      <c r="E247" s="17" t="inlineStr">
        <is>
          <t>F3 Fee invoices</t>
        </is>
      </c>
      <c r="F247" s="16" t="inlineStr">
        <is>
          <t>S1 (highest)</t>
        </is>
      </c>
      <c r="G247" s="16" t="inlineStr">
        <is>
          <t>High</t>
        </is>
      </c>
      <c r="H247" s="16" t="inlineStr">
        <is>
          <t>Not Run</t>
        </is>
      </c>
      <c r="I247" s="16" t="inlineStr">
        <is>
          <t>Integration</t>
        </is>
      </c>
      <c r="J247" s="17" t="inlineStr">
        <is>
          <t>F4 build with API (not available yet)
Chrome (latest)
Build: to be recorded at execution
Needs: ENV-R4-02, ENV-R4-07, SEED-R4-N21</t>
        </is>
      </c>
      <c r="K247" s="17" t="inlineStr">
        <is>
          <t>1. The F4 build is connected to F3 (fee invoices).
2. Student 00398 (P2) with open fees inside the scheme period.</t>
        </is>
      </c>
      <c r="L247" s="17" t="inlineStr">
        <is>
          <t>Scheme Tier 2 P2 80 % on School fee (SEED-R4-N21)</t>
        </is>
      </c>
      <c r="M247" s="17" t="inlineStr">
        <is>
          <t>1. Approve 00398 with Tier 2.
2. Read the open fee invoices.</t>
        </is>
      </c>
      <c r="N247" s="17" t="inlineStr">
        <is>
          <t>1. Outstanding fees inside the scheme period are reduced by 80 % and future fees follow.
2. The toast reads "Subsidy applied to the student's EA fees."</t>
        </is>
      </c>
      <c r="O247" s="17" t="n"/>
      <c r="P247" s="17" t="inlineStr">
        <is>
          <t>N/A</t>
        </is>
      </c>
      <c r="Q247" s="17" t="n"/>
      <c r="R247" s="17" t="inlineStr">
        <is>
          <t>Tender R4, PB-19, FS F4 v1.3: 8 SBFAS approved, 6.1 Confirm, T8</t>
        </is>
      </c>
      <c r="S247" s="17" t="n"/>
      <c r="T247" s="16" t="inlineStr">
        <is>
          <t>Approve</t>
        </is>
      </c>
    </row>
    <row r="248" ht="106.5" customHeight="1" s="14">
      <c r="A248" s="16" t="inlineStr">
        <is>
          <t>TC-247</t>
        </is>
      </c>
      <c r="B248" s="16" t="inlineStr">
        <is>
          <t>TS-053</t>
        </is>
      </c>
      <c r="C248" s="17" t="inlineStr">
        <is>
          <t>Every decision sends one email to the parent</t>
        </is>
      </c>
      <c r="D248" s="17" t="inlineStr">
        <is>
          <t>F4.18 Effects after a decision</t>
        </is>
      </c>
      <c r="E248" s="17" t="inlineStr">
        <is>
          <t>Email inbox</t>
        </is>
      </c>
      <c r="F248" s="16" t="inlineStr">
        <is>
          <t>S1 (highest)</t>
        </is>
      </c>
      <c r="G248" s="16" t="inlineStr">
        <is>
          <t>High</t>
        </is>
      </c>
      <c r="H248" s="16" t="inlineStr">
        <is>
          <t>Not Run</t>
        </is>
      </c>
      <c r="I248" s="16" t="inlineStr">
        <is>
          <t>Integration</t>
        </is>
      </c>
      <c r="J248" s="17" t="inlineStr">
        <is>
          <t>F4 build with API (not available yet)
Chrome (latest)
Build: to be recorded at execution
Needs: ENV-R4-02, ENV-R4-05</t>
        </is>
      </c>
      <c r="K248" s="17" t="inlineStr">
        <is>
          <t>1. The F4 build is connected to the email service.</t>
        </is>
      </c>
      <c r="L248" s="17" t="inlineStr">
        <is>
          <t>Decisions: one MOEFAS approval, one MOEFAS rejection, one SBFAS approval, one SBFAS rejection</t>
        </is>
      </c>
      <c r="M248" s="17" t="inlineStr">
        <is>
          <t>1. Run the four decisions with the test parents.
2. Open the Email inbox.</t>
        </is>
      </c>
      <c r="N248" s="17" t="inlineStr">
        <is>
          <t>1. Each decision sends exactly one email to its parent.
2. Approval emails give the result and the effective date. Rejection emails give the reason.</t>
        </is>
      </c>
      <c r="O248" s="17" t="n"/>
      <c r="P248" s="17" t="inlineStr">
        <is>
          <t>ASM-R4-13: After an approval the email states the result and the effective date. After a rejection it states the reason. One email is sent per decision.</t>
        </is>
      </c>
      <c r="Q248" s="17" t="n"/>
      <c r="R248" s="17" t="inlineStr">
        <is>
          <t>Tender R4, PB-19, FS F4 v1.3: BR11, 8 MOEFAS approved, 8 MOEFAS not eligible, 8 SBFAS approved, 8 SBFAS rejected</t>
        </is>
      </c>
      <c r="S248" s="17" t="n"/>
      <c r="T248" s="16" t="inlineStr">
        <is>
          <t>Draft</t>
        </is>
      </c>
    </row>
    <row r="249" ht="106.5" customHeight="1" s="14">
      <c r="A249" s="16" t="inlineStr">
        <is>
          <t>TC-248</t>
        </is>
      </c>
      <c r="B249" s="16" t="inlineStr">
        <is>
          <t>TS-053</t>
        </is>
      </c>
      <c r="C249" s="17" t="inlineStr">
        <is>
          <t>A MOEFAS application that goes to SBFAS does not send a rejection email</t>
        </is>
      </c>
      <c r="D249" s="17" t="inlineStr">
        <is>
          <t>F4.18 Effects after a decision</t>
        </is>
      </c>
      <c r="E249" s="17" t="inlineStr">
        <is>
          <t>Email inbox</t>
        </is>
      </c>
      <c r="F249" s="16" t="inlineStr">
        <is>
          <t>S2</t>
        </is>
      </c>
      <c r="G249" s="16" t="inlineStr">
        <is>
          <t>Medium</t>
        </is>
      </c>
      <c r="H249" s="16" t="inlineStr">
        <is>
          <t>Not Run</t>
        </is>
      </c>
      <c r="I249" s="16" t="inlineStr">
        <is>
          <t>Integration</t>
        </is>
      </c>
      <c r="J249" s="17" t="inlineStr">
        <is>
          <t>F4 build with API (not available yet)
Chrome (latest)
Build: to be recorded at execution
Needs: ENV-R4-02, ENV-R4-05, SEED-R4-N7</t>
        </is>
      </c>
      <c r="K249" s="17" t="inlineStr">
        <is>
          <t>1. The F4 build is connected to the email service.</t>
        </is>
      </c>
      <c r="L249" s="17" t="inlineStr">
        <is>
          <t>Application 00412 (Also consider for SBFAS = Yes) and an application with No</t>
        </is>
      </c>
      <c r="M249" s="17" t="inlineStr">
        <is>
          <t>1. Close the form so both applications fail.
2. Open the Email inbox.</t>
        </is>
      </c>
      <c r="N249" s="17" t="inlineStr">
        <is>
          <t>1. The parent who agreed to SBFAS gets no rejection email at this step (the school decides later).
2. The parent who did not agree gets one email with the reason "Not eligible for MOEFAS".</t>
        </is>
      </c>
      <c r="O249" s="17" t="n"/>
      <c r="P249" s="17" t="inlineStr">
        <is>
          <t>ASM-R4-13: After an approval the email states the result and the effective date. After a rejection it states the reason. One email is sent per decision.</t>
        </is>
      </c>
      <c r="Q249" s="17" t="n"/>
      <c r="R249" s="17" t="inlineStr">
        <is>
          <t>Tender R4, PB-19, FS F4 v1.3: 8 MOEFAS not eligible, BR11</t>
        </is>
      </c>
      <c r="S249" s="17" t="n"/>
      <c r="T249" s="16" t="inlineStr">
        <is>
          <t>Draft</t>
        </is>
      </c>
    </row>
    <row r="250" ht="106.5" customHeight="1" s="14">
      <c r="A250" s="16" t="inlineStr">
        <is>
          <t>TC-249</t>
        </is>
      </c>
      <c r="B250" s="16" t="inlineStr">
        <is>
          <t>TS-054</t>
        </is>
      </c>
      <c r="C250" s="17" t="inlineStr">
        <is>
          <t>The recommended tier is the first candidate scheme the household meets</t>
        </is>
      </c>
      <c r="D250" s="17" t="inlineStr">
        <is>
          <t>F4.19 ML recommendation and risk</t>
        </is>
      </c>
      <c r="E250" s="17" t="inlineStr">
        <is>
          <t>Review drawer (School Admin)</t>
        </is>
      </c>
      <c r="F250" s="16" t="inlineStr">
        <is>
          <t>S1 (highest)</t>
        </is>
      </c>
      <c r="G250" s="16" t="inlineStr">
        <is>
          <t>High</t>
        </is>
      </c>
      <c r="H250" s="16" t="inlineStr">
        <is>
          <t>Not Run</t>
        </is>
      </c>
      <c r="I250" s="16" t="inlineStr">
        <is>
          <t>Functional</t>
        </is>
      </c>
      <c r="J250" s="17" t="inlineStr">
        <is>
          <t>Prototype: edusave.vercel.app (sample date 18/10/2026)
Chrome (latest)
Build: to be recorded at execution
Needs: ENV-R4-01</t>
        </is>
      </c>
      <c r="K250" s="17" t="inlineStr">
        <is>
          <t>1. The prototype is open at the base state (use Reset data).
2. Signed in as School user Lan Nguyen (BVP-0012), Bukit View Primary.</t>
        </is>
      </c>
      <c r="L250" s="17" t="inlineStr">
        <is>
          <t>Schemes 2027: Tier 1 PCI up to 600, Tier 2 601 to 1,000, Tier 3 1,001 to 1,500 (Citizen and PR)
Application 00386: PCI 940.00 (Citizen)</t>
        </is>
      </c>
      <c r="M250" s="17" t="inlineStr">
        <is>
          <t>1. Open the All tab and click View on 00386.
2. Read the ML recommendation block and the ML recommendation cell.</t>
        </is>
      </c>
      <c r="N250" s="17" t="inlineStr">
        <is>
          <t>1. The tier is Tier 2 (the first scheme whose band holds 940.00).
2. The block carries the tag "Recommendation only".</t>
        </is>
      </c>
      <c r="O250" s="17" t="n"/>
      <c r="P250" s="17" t="inlineStr">
        <is>
          <t>N/A</t>
        </is>
      </c>
      <c r="Q250" s="17" t="n"/>
      <c r="R250" s="17" t="inlineStr">
        <is>
          <t>Tender R4, PB-19, FS F4 v1.3: 5 Recommended tier, 5 Candidate tiers, BR10</t>
        </is>
      </c>
      <c r="S250" s="17" t="inlineStr">
        <is>
          <t>Compare CMP-37.</t>
        </is>
      </c>
      <c r="T250" s="16" t="inlineStr">
        <is>
          <t>Approve</t>
        </is>
      </c>
    </row>
    <row r="251" ht="121.5" customHeight="1" s="14">
      <c r="A251" s="16" t="inlineStr">
        <is>
          <t>TC-250</t>
        </is>
      </c>
      <c r="B251" s="16" t="inlineStr">
        <is>
          <t>TS-054</t>
        </is>
      </c>
      <c r="C251" s="17" t="inlineStr">
        <is>
          <t>A household above the lower bands gets Tier 3</t>
        </is>
      </c>
      <c r="D251" s="17" t="inlineStr">
        <is>
          <t>F4.19 ML recommendation and risk</t>
        </is>
      </c>
      <c r="E251" s="17" t="inlineStr">
        <is>
          <t>Review drawer (School Admin)</t>
        </is>
      </c>
      <c r="F251" s="16" t="inlineStr">
        <is>
          <t>S1 (highest)</t>
        </is>
      </c>
      <c r="G251" s="16" t="inlineStr">
        <is>
          <t>High</t>
        </is>
      </c>
      <c r="H251" s="16" t="inlineStr">
        <is>
          <t>Not Run</t>
        </is>
      </c>
      <c r="I251" s="16" t="inlineStr">
        <is>
          <t>Functional</t>
        </is>
      </c>
      <c r="J251" s="17" t="inlineStr">
        <is>
          <t>Prototype: edusave.vercel.app (sample date 18/10/2026)
Chrome (latest)
Build: to be recorded at execution
Needs: ENV-R4-01</t>
        </is>
      </c>
      <c r="K251" s="17" t="inlineStr">
        <is>
          <t>1. The prototype is open at the base state (use Reset data).
2. MOE HQ closed the MOEFAS 2027 form with Close form now (demo), so 00412 and 00410 are SBFAS Pending at Bukit View Primary.
3. Signed in as School user Lan Nguyen (BVP-0012), Bukit View Primary.</t>
        </is>
      </c>
      <c r="L251" s="17" t="inlineStr">
        <is>
          <t>Applications after the demo close: 00412 (PCI 1,087.50) and 00410 (PCI 1,300.00)</t>
        </is>
      </c>
      <c r="M251" s="17" t="inlineStr">
        <is>
          <t>1. Read the ML recommendation cell of 00412 and 00410 in the Pending tab.</t>
        </is>
      </c>
      <c r="N251" s="17" t="inlineStr">
        <is>
          <t>1. Both rows show Tier 3.</t>
        </is>
      </c>
      <c r="O251" s="17" t="n"/>
      <c r="P251" s="17" t="inlineStr">
        <is>
          <t>N/A</t>
        </is>
      </c>
      <c r="Q251" s="17" t="n"/>
      <c r="R251" s="17" t="inlineStr">
        <is>
          <t>Tender R4, PB-19, FS F4 v1.3: 5 Recommended tier, 5 Candidate tiers</t>
        </is>
      </c>
      <c r="S251" s="17" t="inlineStr">
        <is>
          <t>Compare CMP-37 and CMP-05.</t>
        </is>
      </c>
      <c r="T251" s="16" t="inlineStr">
        <is>
          <t>Approve</t>
        </is>
      </c>
    </row>
    <row r="252" ht="106.5" customHeight="1" s="14">
      <c r="A252" s="16" t="inlineStr">
        <is>
          <t>TC-251</t>
        </is>
      </c>
      <c r="B252" s="16" t="inlineStr">
        <is>
          <t>TS-054</t>
        </is>
      </c>
      <c r="C252" s="17" t="inlineStr">
        <is>
          <t>No tier is recommended when the nationality is not allowed</t>
        </is>
      </c>
      <c r="D252" s="17" t="inlineStr">
        <is>
          <t>F4.19 ML recommendation and risk</t>
        </is>
      </c>
      <c r="E252" s="17" t="inlineStr">
        <is>
          <t>Review drawer (School Admin)</t>
        </is>
      </c>
      <c r="F252" s="16" t="inlineStr">
        <is>
          <t>S1 (highest)</t>
        </is>
      </c>
      <c r="G252" s="16" t="inlineStr">
        <is>
          <t>High</t>
        </is>
      </c>
      <c r="H252" s="16" t="inlineStr">
        <is>
          <t>Not Run</t>
        </is>
      </c>
      <c r="I252" s="16" t="inlineStr">
        <is>
          <t>Functional</t>
        </is>
      </c>
      <c r="J252" s="17" t="inlineStr">
        <is>
          <t>Prototype: edusave.vercel.app (sample date 18/10/2026)
Chrome (latest)
Build: to be recorded at execution
Needs: ENV-R4-01</t>
        </is>
      </c>
      <c r="K252" s="17" t="inlineStr">
        <is>
          <t>1. The prototype is open at the base state (use Reset data).
2. Signed in as School user Lan Nguyen (BVP-0012), Bukit View Primary.</t>
        </is>
      </c>
      <c r="L252" s="17" t="inlineStr">
        <is>
          <t>Application 00398 (International Student, schemes accept Citizen and PR)</t>
        </is>
      </c>
      <c r="M252" s="17" t="inlineStr">
        <is>
          <t>1. Read the ML recommendation cell and the drawer block of 00398.</t>
        </is>
      </c>
      <c r="N252" s="17" t="inlineStr">
        <is>
          <t>1. The cell and the block show a dash.
2. The tag "Recommendation only" is still shown.</t>
        </is>
      </c>
      <c r="O252" s="17" t="n"/>
      <c r="P252" s="17" t="inlineStr">
        <is>
          <t>N/A</t>
        </is>
      </c>
      <c r="Q252" s="17" t="n"/>
      <c r="R252" s="17" t="inlineStr">
        <is>
          <t>Tender R4, PB-19, FS F4 v1.3: 5 Recommended tier, 3.4 ML recommendation</t>
        </is>
      </c>
      <c r="S252" s="17" t="inlineStr">
        <is>
          <t>Compare CMP-37.</t>
        </is>
      </c>
      <c r="T252" s="16" t="inlineStr">
        <is>
          <t>Approve</t>
        </is>
      </c>
    </row>
    <row r="253" ht="106.5" customHeight="1" s="14">
      <c r="A253" s="16" t="inlineStr">
        <is>
          <t>TC-252</t>
        </is>
      </c>
      <c r="B253" s="16" t="inlineStr">
        <is>
          <t>TS-054</t>
        </is>
      </c>
      <c r="C253" s="17" t="inlineStr">
        <is>
          <t>The last tier within 5 % of its limit is recommended when none is met</t>
        </is>
      </c>
      <c r="D253" s="17" t="inlineStr">
        <is>
          <t>F4.19 ML recommendation and risk</t>
        </is>
      </c>
      <c r="E253" s="17" t="inlineStr">
        <is>
          <t>Review drawer (School Admin)</t>
        </is>
      </c>
      <c r="F253" s="16" t="inlineStr">
        <is>
          <t>S1 (highest)</t>
        </is>
      </c>
      <c r="G253" s="16" t="inlineStr">
        <is>
          <t>High</t>
        </is>
      </c>
      <c r="H253" s="16" t="inlineStr">
        <is>
          <t>Not Run</t>
        </is>
      </c>
      <c r="I253" s="16" t="inlineStr">
        <is>
          <t>Functional</t>
        </is>
      </c>
      <c r="J253" s="17" t="inlineStr">
        <is>
          <t>F4 build with API (not available yet)
Chrome (latest)
Build: to be recorded at execution
Needs: ENV-R4-02, SEED-R4-N27</t>
        </is>
      </c>
      <c r="K253" s="17" t="inlineStr">
        <is>
          <t>1. The F4 build is running.
2. Signed in as a School Admin of Bukit View Primary.</t>
        </is>
      </c>
      <c r="L253" s="17" t="inlineStr">
        <is>
          <t>Tier 3 limit PCI 1,500.00, so 5 % over is 1,575.00 (SEED-R4-N27)
Applications with PCI 1,575.00 and PCI 1,575.01 (Citizen)</t>
        </is>
      </c>
      <c r="M253" s="17" t="inlineStr">
        <is>
          <t>1. Open Review on each application.
2. Read the ML recommendation.</t>
        </is>
      </c>
      <c r="N253" s="17" t="inlineStr">
        <is>
          <t>1. PCI 1,575.00 shows Tier 3 (within 5 % of the last tier).
2. PCI 1,575.01 shows a dash.</t>
        </is>
      </c>
      <c r="O253" s="17" t="n"/>
      <c r="P253" s="17" t="inlineStr">
        <is>
          <t>N/A</t>
        </is>
      </c>
      <c r="Q253" s="17" t="n"/>
      <c r="R253" s="17" t="inlineStr">
        <is>
          <t>Tender R4, PB-19, FS F4 v1.3: 5 Recommended tier</t>
        </is>
      </c>
      <c r="S253" s="17" t="n"/>
      <c r="T253" s="16" t="inlineStr">
        <is>
          <t>Approve</t>
        </is>
      </c>
    </row>
    <row r="254" ht="106.5" customHeight="1" s="14">
      <c r="A254" s="16" t="inlineStr">
        <is>
          <t>TC-253</t>
        </is>
      </c>
      <c r="B254" s="16" t="inlineStr">
        <is>
          <t>TS-054</t>
        </is>
      </c>
      <c r="C254" s="17" t="inlineStr">
        <is>
          <t>Candidates are the schemes whose form period holds the submit date</t>
        </is>
      </c>
      <c r="D254" s="17" t="inlineStr">
        <is>
          <t>F4.19 ML recommendation and risk</t>
        </is>
      </c>
      <c r="E254" s="17" t="inlineStr">
        <is>
          <t>Review drawer (School Admin)</t>
        </is>
      </c>
      <c r="F254" s="16" t="inlineStr">
        <is>
          <t>S2</t>
        </is>
      </c>
      <c r="G254" s="16" t="inlineStr">
        <is>
          <t>High</t>
        </is>
      </c>
      <c r="H254" s="16" t="inlineStr">
        <is>
          <t>Not Run</t>
        </is>
      </c>
      <c r="I254" s="16" t="inlineStr">
        <is>
          <t>Functional</t>
        </is>
      </c>
      <c r="J254" s="17" t="inlineStr">
        <is>
          <t>F4 build with API (not available yet)
Chrome (latest)
Build: to be recorded at execution
Needs: ENV-R4-02, SEED-R4-N16</t>
        </is>
      </c>
      <c r="K254" s="17" t="inlineStr">
        <is>
          <t>1. The F4 build is running with a clock control.
2. Signed in as a School Admin.</t>
        </is>
      </c>
      <c r="L254" s="17" t="inlineStr">
        <is>
          <t>Schemes 2026 (form 01/08/2025 to 31/12/2025) and 2027 (form 01/08/2026 to 31/12/2026)
Applications submitted on 14/11/2025 and on 17/10/2026 (SEED-R4-N16)</t>
        </is>
      </c>
      <c r="M254" s="17" t="inlineStr">
        <is>
          <t>1. Open Review on both applications.
2. Read the ML recommendation of each.</t>
        </is>
      </c>
      <c r="N254" s="17" t="inlineStr">
        <is>
          <t>1. The application of 14/11/2025 is judged against the 2026 schemes.
2. The application of 17/10/2026 is judged against the 2027 schemes.</t>
        </is>
      </c>
      <c r="O254" s="17" t="n"/>
      <c r="P254" s="17" t="inlineStr">
        <is>
          <t>N/A</t>
        </is>
      </c>
      <c r="Q254" s="17" t="n"/>
      <c r="R254" s="17" t="inlineStr">
        <is>
          <t>Tender R4, PB-19, FS F4 v1.3: 5 Candidate tiers</t>
        </is>
      </c>
      <c r="S254" s="17" t="n"/>
      <c r="T254" s="16" t="inlineStr">
        <is>
          <t>Approve</t>
        </is>
      </c>
    </row>
    <row r="255" ht="106.5" customHeight="1" s="14">
      <c r="A255" s="16" t="inlineStr">
        <is>
          <t>TC-254</t>
        </is>
      </c>
      <c r="B255" s="16" t="inlineStr">
        <is>
          <t>TS-054</t>
        </is>
      </c>
      <c r="C255" s="17" t="inlineStr">
        <is>
          <t>Without a scheme the recommendation is a dash and the drawer shows the red note</t>
        </is>
      </c>
      <c r="D255" s="17" t="inlineStr">
        <is>
          <t>F4.19 ML recommendation and risk</t>
        </is>
      </c>
      <c r="E255" s="17" t="inlineStr">
        <is>
          <t>Review drawer (School Admin)</t>
        </is>
      </c>
      <c r="F255" s="16" t="inlineStr">
        <is>
          <t>S2</t>
        </is>
      </c>
      <c r="G255" s="16" t="inlineStr">
        <is>
          <t>Medium</t>
        </is>
      </c>
      <c r="H255" s="16" t="inlineStr">
        <is>
          <t>Not Run</t>
        </is>
      </c>
      <c r="I255" s="16" t="inlineStr">
        <is>
          <t>Functional</t>
        </is>
      </c>
      <c r="J255" s="17" t="inlineStr">
        <is>
          <t>F4 build with API (not available yet)
Chrome (latest)
Build: to be recorded at execution
Needs: ENV-R4-02, SEED-R4-N15</t>
        </is>
      </c>
      <c r="K255" s="17" t="inlineStr">
        <is>
          <t>1. The F4 build is running.
2. Signed in as a School Admin whose school has no published SBFAS scheme.</t>
        </is>
      </c>
      <c r="L255" s="17" t="inlineStr">
        <is>
          <t>Pending SBFAS application of that school (SEED-R4-N15)</t>
        </is>
      </c>
      <c r="M255" s="17" t="inlineStr">
        <is>
          <t>1. Read the ML recommendation cell and the drawer block.</t>
        </is>
      </c>
      <c r="N255" s="17" t="inlineStr">
        <is>
          <t>1. The cell shows a dash and the drawer shows a dash with the red note.</t>
        </is>
      </c>
      <c r="O255" s="17" t="n"/>
      <c r="P255" s="17" t="inlineStr">
        <is>
          <t>ASM-R4-04: The application stays Pending, Reject stays available and Approve cannot be confirmed.</t>
        </is>
      </c>
      <c r="Q255" s="17" t="n"/>
      <c r="R255" s="17" t="inlineStr">
        <is>
          <t>Tender R4, PB-19, FS F4 v1.3: 5 Candidate tiers, 4 ML recommendation</t>
        </is>
      </c>
      <c r="S255" s="17" t="n"/>
      <c r="T255" s="16" t="inlineStr">
        <is>
          <t>Draft</t>
        </is>
      </c>
    </row>
    <row r="256" ht="106.5" customHeight="1" s="14">
      <c r="A256" s="16" t="inlineStr">
        <is>
          <t>TC-255</t>
        </is>
      </c>
      <c r="B256" s="16" t="inlineStr">
        <is>
          <t>TS-055</t>
        </is>
      </c>
      <c r="C256" s="17" t="inlineStr">
        <is>
          <t>ML risk of the sample rows follows their Need Score</t>
        </is>
      </c>
      <c r="D256" s="17" t="inlineStr">
        <is>
          <t>F4.19 ML recommendation and risk</t>
        </is>
      </c>
      <c r="E256" s="17" t="inlineStr">
        <is>
          <t>FAS applications (MOE HQ)</t>
        </is>
      </c>
      <c r="F256" s="16" t="inlineStr">
        <is>
          <t>S2</t>
        </is>
      </c>
      <c r="G256" s="16" t="inlineStr">
        <is>
          <t>High</t>
        </is>
      </c>
      <c r="H256" s="16" t="inlineStr">
        <is>
          <t>Not Run</t>
        </is>
      </c>
      <c r="I256" s="16" t="inlineStr">
        <is>
          <t>Functional</t>
        </is>
      </c>
      <c r="J256" s="17" t="inlineStr">
        <is>
          <t>Prototype: edusave.vercel.app (sample date 18/10/2026)
Chrome (latest)
Build: to be recorded at execution
Needs: ENV-R4-01</t>
        </is>
      </c>
      <c r="K256" s="17" t="inlineStr">
        <is>
          <t>1. The prototype is open at the base state (use Reset data).
2. Signed in as MOE HQ (Mei Lin Tan).</t>
        </is>
      </c>
      <c r="L256" s="17" t="inlineStr">
        <is>
          <t>Rows: 00377 (Need Score 59.72), 00412 (52.13), 00390 (78.67), 00328 (Low)</t>
        </is>
      </c>
      <c r="M256" s="17" t="inlineStr">
        <is>
          <t>1. Read the ML risk column.</t>
        </is>
      </c>
      <c r="N256" s="17" t="inlineStr">
        <is>
          <t>1. 00377 and 00412 show Medium, 00390 shows High, 00328 shows Low.</t>
        </is>
      </c>
      <c r="O256" s="17" t="n"/>
      <c r="P256" s="17" t="inlineStr">
        <is>
          <t>ASM-R4-14: The features follow FS F4 v1.1 section 5.2 and the engine cases of the seed sheet SD-09.</t>
        </is>
      </c>
      <c r="Q256" s="17" t="n"/>
      <c r="R256" s="17" t="inlineStr">
        <is>
          <t>Tender R4, PB-19, FS F4 v1.3: 5 ML risk, 5 Need Score</t>
        </is>
      </c>
      <c r="S256" s="17" t="inlineStr">
        <is>
          <t>Need Score values come from the seed sheet SD-09 (EN01, EN02, EN05). The screens do not show the score (compare CMP-38).</t>
        </is>
      </c>
      <c r="T256" s="16" t="inlineStr">
        <is>
          <t>Draft</t>
        </is>
      </c>
    </row>
    <row r="257" ht="106.5" customHeight="1" s="14">
      <c r="A257" s="16" t="inlineStr">
        <is>
          <t>TC-256</t>
        </is>
      </c>
      <c r="B257" s="16" t="inlineStr">
        <is>
          <t>TS-055</t>
        </is>
      </c>
      <c r="C257" s="17" t="inlineStr">
        <is>
          <t>Need Score 75.00 is High and 74.99 is Medium</t>
        </is>
      </c>
      <c r="D257" s="17" t="inlineStr">
        <is>
          <t>F4.19 ML recommendation and risk</t>
        </is>
      </c>
      <c r="E257" s="17" t="inlineStr">
        <is>
          <t>Scoring engine</t>
        </is>
      </c>
      <c r="F257" s="16" t="inlineStr">
        <is>
          <t>S1 (highest)</t>
        </is>
      </c>
      <c r="G257" s="16" t="inlineStr">
        <is>
          <t>High</t>
        </is>
      </c>
      <c r="H257" s="16" t="inlineStr">
        <is>
          <t>Not Run</t>
        </is>
      </c>
      <c r="I257" s="16" t="inlineStr">
        <is>
          <t>Functional</t>
        </is>
      </c>
      <c r="J257" s="17" t="inlineStr">
        <is>
          <t>F4 build with API (not available yet)
Chrome (latest)
Build: to be recorded at execution
Needs: ENV-R4-02, ENV-R4-06</t>
        </is>
      </c>
      <c r="K257" s="17" t="inlineStr">
        <is>
          <t>1. The engine can be called by API or unit test.</t>
        </is>
      </c>
      <c r="L257" s="17" t="inlineStr">
        <is>
          <t>EN18: GHI 0, size 2, workers 2, members under 21: 1, never aided, stable, no flags
EN19: GHI 2, size 2, other inputs as EN18</t>
        </is>
      </c>
      <c r="M257" s="17" t="inlineStr">
        <is>
          <t>1. Call the engine with EN18.
2. Call the engine with EN19.
3. Read Need Score and risk.</t>
        </is>
      </c>
      <c r="N257" s="17" t="inlineStr">
        <is>
          <t>1. EN18 gives Need Score 75.00 and ML risk High.
2. EN19 gives Need Score 74.99 and ML risk Medium.</t>
        </is>
      </c>
      <c r="O257" s="17" t="n"/>
      <c r="P257" s="17" t="inlineStr">
        <is>
          <t>ASM-R4-14: The features follow FS F4 v1.1 section 5.2 and the engine cases of the seed sheet SD-09.</t>
        </is>
      </c>
      <c r="Q257" s="17" t="n"/>
      <c r="R257" s="17" t="inlineStr">
        <is>
          <t>Tender R4, PB-19, FS F4 v1.3: 5 ML risk, 5 Need Score</t>
        </is>
      </c>
      <c r="S257" s="17" t="inlineStr">
        <is>
          <t>Seed sheet SD-09 cases EN18 and EN19.</t>
        </is>
      </c>
      <c r="T257" s="16" t="inlineStr">
        <is>
          <t>Draft</t>
        </is>
      </c>
    </row>
    <row r="258" ht="106.5" customHeight="1" s="14">
      <c r="A258" s="16" t="inlineStr">
        <is>
          <t>TC-257</t>
        </is>
      </c>
      <c r="B258" s="16" t="inlineStr">
        <is>
          <t>TS-055</t>
        </is>
      </c>
      <c r="C258" s="17" t="inlineStr">
        <is>
          <t>Need Score 50.00 is Medium and 49.99 is Low</t>
        </is>
      </c>
      <c r="D258" s="17" t="inlineStr">
        <is>
          <t>F4.19 ML recommendation and risk</t>
        </is>
      </c>
      <c r="E258" s="17" t="inlineStr">
        <is>
          <t>Scoring engine</t>
        </is>
      </c>
      <c r="F258" s="16" t="inlineStr">
        <is>
          <t>S1 (highest)</t>
        </is>
      </c>
      <c r="G258" s="16" t="inlineStr">
        <is>
          <t>High</t>
        </is>
      </c>
      <c r="H258" s="16" t="inlineStr">
        <is>
          <t>Not Run</t>
        </is>
      </c>
      <c r="I258" s="16" t="inlineStr">
        <is>
          <t>Functional</t>
        </is>
      </c>
      <c r="J258" s="17" t="inlineStr">
        <is>
          <t>F4 build with API (not available yet)
Chrome (latest)
Build: to be recorded at execution
Needs: ENV-R4-02, ENV-R4-06</t>
        </is>
      </c>
      <c r="K258" s="17" t="inlineStr">
        <is>
          <t>1. The engine can be called by API or unit test.</t>
        </is>
      </c>
      <c r="L258" s="17" t="inlineStr">
        <is>
          <t>EN20: GHI 4,500, size 4, workers 3, members under 21: 1, never aided, stable, no flags
EN21: GHI 4,502, other inputs as EN20</t>
        </is>
      </c>
      <c r="M258" s="17" t="inlineStr">
        <is>
          <t>1. Call the engine with EN20.
2. Call the engine with EN21.
3. Read Need Score and risk.</t>
        </is>
      </c>
      <c r="N258" s="17" t="inlineStr">
        <is>
          <t>1. EN20 gives Need Score 50.00 and ML risk Medium.
2. EN21 gives Need Score 49.99 and ML risk Low.</t>
        </is>
      </c>
      <c r="O258" s="17" t="n"/>
      <c r="P258" s="17" t="inlineStr">
        <is>
          <t>ASM-R4-14: The features follow FS F4 v1.1 section 5.2 and the engine cases of the seed sheet SD-09.</t>
        </is>
      </c>
      <c r="Q258" s="17" t="n"/>
      <c r="R258" s="17" t="inlineStr">
        <is>
          <t>Tender R4, PB-19, FS F4 v1.3: 5 ML risk, 5 Need Score</t>
        </is>
      </c>
      <c r="S258" s="17" t="inlineStr">
        <is>
          <t>Seed sheet SD-09 cases EN20 and EN21.</t>
        </is>
      </c>
      <c r="T258" s="16" t="inlineStr">
        <is>
          <t>Draft</t>
        </is>
      </c>
    </row>
    <row r="259" ht="106.5" customHeight="1" s="14">
      <c r="A259" s="16" t="inlineStr">
        <is>
          <t>TC-258</t>
        </is>
      </c>
      <c r="B259" s="16" t="inlineStr">
        <is>
          <t>TS-055</t>
        </is>
      </c>
      <c r="C259" s="17" t="inlineStr">
        <is>
          <t>Deny rule DENY-NO-CHILDREN gives Need Score 0 and ML risk Low</t>
        </is>
      </c>
      <c r="D259" s="17" t="inlineStr">
        <is>
          <t>F4.19 ML recommendation and risk</t>
        </is>
      </c>
      <c r="E259" s="17" t="inlineStr">
        <is>
          <t>Scoring engine</t>
        </is>
      </c>
      <c r="F259" s="16" t="inlineStr">
        <is>
          <t>S2</t>
        </is>
      </c>
      <c r="G259" s="16" t="inlineStr">
        <is>
          <t>High</t>
        </is>
      </c>
      <c r="H259" s="16" t="inlineStr">
        <is>
          <t>Not Run</t>
        </is>
      </c>
      <c r="I259" s="16" t="inlineStr">
        <is>
          <t>Functional</t>
        </is>
      </c>
      <c r="J259" s="17" t="inlineStr">
        <is>
          <t>F4 build with API (not available yet)
Chrome (latest)
Build: to be recorded at execution
Needs: ENV-R4-02, ENV-R4-06</t>
        </is>
      </c>
      <c r="K259" s="17" t="inlineStr">
        <is>
          <t>1. The engine can be called by API or unit test.</t>
        </is>
      </c>
      <c r="L259" s="17" t="inlineStr">
        <is>
          <t>EN41: GHI 3,000, size 3, workers 2, members under 21: 0, stable, no flags, Citizen</t>
        </is>
      </c>
      <c r="M259" s="17" t="inlineStr">
        <is>
          <t>1. Call the engine with the inputs.
2. Read Need Score, risk and recommended tier.</t>
        </is>
      </c>
      <c r="N259" s="17" t="inlineStr">
        <is>
          <t>1. Need Score is 0 and ML risk is Low.
2. No tier is recommended (a dash on screen).
3. Only the rule DENY-NO-CHILDREN matches.</t>
        </is>
      </c>
      <c r="O259" s="17" t="n"/>
      <c r="P259" s="17" t="inlineStr">
        <is>
          <t>ASM-R4-14: The features follow FS F4 v1.1 section 5.2 and the engine cases of the seed sheet SD-09.</t>
        </is>
      </c>
      <c r="Q259" s="17" t="n"/>
      <c r="R259" s="17" t="inlineStr">
        <is>
          <t>Tender R4, PB-19, FS F4 v1.3: 5 Need Score, 5 ML risk</t>
        </is>
      </c>
      <c r="S259" s="17" t="inlineStr">
        <is>
          <t>Seed sheet SD-09 case EN41.</t>
        </is>
      </c>
      <c r="T259" s="16" t="inlineStr">
        <is>
          <t>Draft</t>
        </is>
      </c>
    </row>
    <row r="260" ht="106.5" customHeight="1" s="14">
      <c r="A260" s="16" t="inlineStr">
        <is>
          <t>TC-259</t>
        </is>
      </c>
      <c r="B260" s="16" t="inlineStr">
        <is>
          <t>TS-055</t>
        </is>
      </c>
      <c r="C260" s="17" t="inlineStr">
        <is>
          <t>Deny rule DENY-ONLY-CHILDREN gives Need Score 0 and ML risk Low</t>
        </is>
      </c>
      <c r="D260" s="17" t="inlineStr">
        <is>
          <t>F4.19 ML recommendation and risk</t>
        </is>
      </c>
      <c r="E260" s="17" t="inlineStr">
        <is>
          <t>Scoring engine</t>
        </is>
      </c>
      <c r="F260" s="16" t="inlineStr">
        <is>
          <t>S2</t>
        </is>
      </c>
      <c r="G260" s="16" t="inlineStr">
        <is>
          <t>High</t>
        </is>
      </c>
      <c r="H260" s="16" t="inlineStr">
        <is>
          <t>Not Run</t>
        </is>
      </c>
      <c r="I260" s="16" t="inlineStr">
        <is>
          <t>Functional</t>
        </is>
      </c>
      <c r="J260" s="17" t="inlineStr">
        <is>
          <t>F4 build with API (not available yet)
Chrome (latest)
Build: to be recorded at execution
Needs: ENV-R4-02, ENV-R4-06</t>
        </is>
      </c>
      <c r="K260" s="17" t="inlineStr">
        <is>
          <t>1. The engine can be called by API or unit test.</t>
        </is>
      </c>
      <c r="L260" s="17" t="inlineStr">
        <is>
          <t>EN42: GHI 3,000, size 3, workers 0, members under 21: 3, stable, no flags, Citizen</t>
        </is>
      </c>
      <c r="M260" s="17" t="inlineStr">
        <is>
          <t>1. Call the engine with the inputs.
2. Read Need Score, risk and recommended tier.</t>
        </is>
      </c>
      <c r="N260" s="17" t="inlineStr">
        <is>
          <t>1. Need Score is 0 and ML risk is Low.
2. No tier is recommended (a dash on screen).
3. Only the rule DENY-ONLY-CHILDREN matches.</t>
        </is>
      </c>
      <c r="O260" s="17" t="n"/>
      <c r="P260" s="17" t="inlineStr">
        <is>
          <t>ASM-R4-14: The features follow FS F4 v1.1 section 5.2 and the engine cases of the seed sheet SD-09.</t>
        </is>
      </c>
      <c r="Q260" s="17" t="n"/>
      <c r="R260" s="17" t="inlineStr">
        <is>
          <t>Tender R4, PB-19, FS F4 v1.3: 5 Need Score, 5 ML risk</t>
        </is>
      </c>
      <c r="S260" s="17" t="inlineStr">
        <is>
          <t>Seed sheet SD-09 case EN42.</t>
        </is>
      </c>
      <c r="T260" s="16" t="inlineStr">
        <is>
          <t>Draft</t>
        </is>
      </c>
    </row>
    <row r="261" ht="106.5" customHeight="1" s="14">
      <c r="A261" s="16" t="inlineStr">
        <is>
          <t>TC-260</t>
        </is>
      </c>
      <c r="B261" s="16" t="inlineStr">
        <is>
          <t>TS-055</t>
        </is>
      </c>
      <c r="C261" s="17" t="inlineStr">
        <is>
          <t>Deny rule DENY-INVALID-SIZE gives Need Score 0 and ML risk Low</t>
        </is>
      </c>
      <c r="D261" s="17" t="inlineStr">
        <is>
          <t>F4.19 ML recommendation and risk</t>
        </is>
      </c>
      <c r="E261" s="17" t="inlineStr">
        <is>
          <t>Scoring engine</t>
        </is>
      </c>
      <c r="F261" s="16" t="inlineStr">
        <is>
          <t>S2</t>
        </is>
      </c>
      <c r="G261" s="16" t="inlineStr">
        <is>
          <t>High</t>
        </is>
      </c>
      <c r="H261" s="16" t="inlineStr">
        <is>
          <t>Not Run</t>
        </is>
      </c>
      <c r="I261" s="16" t="inlineStr">
        <is>
          <t>Functional</t>
        </is>
      </c>
      <c r="J261" s="17" t="inlineStr">
        <is>
          <t>F4 build with API (not available yet)
Chrome (latest)
Build: to be recorded at execution
Needs: ENV-R4-02, ENV-R4-06</t>
        </is>
      </c>
      <c r="K261" s="17" t="inlineStr">
        <is>
          <t>1. The engine can be called by API or unit test.</t>
        </is>
      </c>
      <c r="L261" s="17" t="inlineStr">
        <is>
          <t>EN43: GHI 3,000, size 0, workers 0, members under 21: 1, stable, no flags, Citizen</t>
        </is>
      </c>
      <c r="M261" s="17" t="inlineStr">
        <is>
          <t>1. Call the engine with the inputs.
2. Read Need Score, risk and recommended tier.</t>
        </is>
      </c>
      <c r="N261" s="17" t="inlineStr">
        <is>
          <t>1. Need Score is 0 and ML risk is Low.
2. No tier is recommended (a dash on screen).
3. Only the rule DENY-INVALID-SIZE matches.</t>
        </is>
      </c>
      <c r="O261" s="17" t="n"/>
      <c r="P261" s="17" t="inlineStr">
        <is>
          <t>ASM-R4-14: The features follow FS F4 v1.1 section 5.2 and the engine cases of the seed sheet SD-09.</t>
        </is>
      </c>
      <c r="Q261" s="17" t="n"/>
      <c r="R261" s="17" t="inlineStr">
        <is>
          <t>Tender R4, PB-19, FS F4 v1.3: 5 Need Score, 5 ML risk</t>
        </is>
      </c>
      <c r="S261" s="17" t="inlineStr">
        <is>
          <t>Seed sheet SD-09 case EN43.</t>
        </is>
      </c>
      <c r="T261" s="16" t="inlineStr">
        <is>
          <t>Draft</t>
        </is>
      </c>
    </row>
    <row r="262" ht="106.5" customHeight="1" s="14">
      <c r="A262" s="16" t="inlineStr">
        <is>
          <t>TC-261</t>
        </is>
      </c>
      <c r="B262" s="16" t="inlineStr">
        <is>
          <t>TS-055</t>
        </is>
      </c>
      <c r="C262" s="17" t="inlineStr">
        <is>
          <t>Deny rule DENY-WORKERS-EXCEED-SIZE gives Need Score 0 and ML risk Low</t>
        </is>
      </c>
      <c r="D262" s="17" t="inlineStr">
        <is>
          <t>F4.19 ML recommendation and risk</t>
        </is>
      </c>
      <c r="E262" s="17" t="inlineStr">
        <is>
          <t>Scoring engine</t>
        </is>
      </c>
      <c r="F262" s="16" t="inlineStr">
        <is>
          <t>S2</t>
        </is>
      </c>
      <c r="G262" s="16" t="inlineStr">
        <is>
          <t>High</t>
        </is>
      </c>
      <c r="H262" s="16" t="inlineStr">
        <is>
          <t>Not Run</t>
        </is>
      </c>
      <c r="I262" s="16" t="inlineStr">
        <is>
          <t>Functional</t>
        </is>
      </c>
      <c r="J262" s="17" t="inlineStr">
        <is>
          <t>F4 build with API (not available yet)
Chrome (latest)
Build: to be recorded at execution
Needs: ENV-R4-02, ENV-R4-06</t>
        </is>
      </c>
      <c r="K262" s="17" t="inlineStr">
        <is>
          <t>1. The engine can be called by API or unit test.</t>
        </is>
      </c>
      <c r="L262" s="17" t="inlineStr">
        <is>
          <t>EN44: GHI 3,000, size 3, workers 4, members under 21: 1, stable, no flags, Citizen</t>
        </is>
      </c>
      <c r="M262" s="17" t="inlineStr">
        <is>
          <t>1. Call the engine with the inputs.
2. Read Need Score, risk and recommended tier.</t>
        </is>
      </c>
      <c r="N262" s="17" t="inlineStr">
        <is>
          <t>1. Need Score is 0 and ML risk is Low.
2. No tier is recommended (a dash on screen).
3. Only the rule DENY-WORKERS-EXCEED-SIZE matches.</t>
        </is>
      </c>
      <c r="O262" s="17" t="n"/>
      <c r="P262" s="17" t="inlineStr">
        <is>
          <t>ASM-R4-14: The features follow FS F4 v1.1 section 5.2 and the engine cases of the seed sheet SD-09.</t>
        </is>
      </c>
      <c r="Q262" s="17" t="n"/>
      <c r="R262" s="17" t="inlineStr">
        <is>
          <t>Tender R4, PB-19, FS F4 v1.3: 5 Need Score, 5 ML risk</t>
        </is>
      </c>
      <c r="S262" s="17" t="inlineStr">
        <is>
          <t>Seed sheet SD-09 case EN44.</t>
        </is>
      </c>
      <c r="T262" s="16" t="inlineStr">
        <is>
          <t>Draft</t>
        </is>
      </c>
    </row>
    <row r="263" ht="106.5" customHeight="1" s="14">
      <c r="A263" s="16" t="inlineStr">
        <is>
          <t>TC-262</t>
        </is>
      </c>
      <c r="B263" s="16" t="inlineStr">
        <is>
          <t>TS-055</t>
        </is>
      </c>
      <c r="C263" s="17" t="inlineStr">
        <is>
          <t>Deny rule DENY-NEGATIVE-MONTHS gives Need Score 0 and ML risk Low</t>
        </is>
      </c>
      <c r="D263" s="17" t="inlineStr">
        <is>
          <t>F4.19 ML recommendation and risk</t>
        </is>
      </c>
      <c r="E263" s="17" t="inlineStr">
        <is>
          <t>Scoring engine</t>
        </is>
      </c>
      <c r="F263" s="16" t="inlineStr">
        <is>
          <t>S2</t>
        </is>
      </c>
      <c r="G263" s="16" t="inlineStr">
        <is>
          <t>High</t>
        </is>
      </c>
      <c r="H263" s="16" t="inlineStr">
        <is>
          <t>Not Run</t>
        </is>
      </c>
      <c r="I263" s="16" t="inlineStr">
        <is>
          <t>Functional</t>
        </is>
      </c>
      <c r="J263" s="17" t="inlineStr">
        <is>
          <t>F4 build with API (not available yet)
Chrome (latest)
Build: to be recorded at execution
Needs: ENV-R4-02, ENV-R4-06</t>
        </is>
      </c>
      <c r="K263" s="17" t="inlineStr">
        <is>
          <t>1. The engine can be called by API or unit test.</t>
        </is>
      </c>
      <c r="L263" s="17" t="inlineStr">
        <is>
          <t>EN45: GHI 3,000, size 3, workers 1, members under 21: 1, months since last aid -1, stable, no flags, Citizen</t>
        </is>
      </c>
      <c r="M263" s="17" t="inlineStr">
        <is>
          <t>1. Call the engine with the inputs.
2. Read Need Score, risk and recommended tier.</t>
        </is>
      </c>
      <c r="N263" s="17" t="inlineStr">
        <is>
          <t>1. Need Score is 0 and ML risk is Low.
2. No tier is recommended (a dash on screen).
3. Only the rule DENY-NEGATIVE-MONTHS matches.</t>
        </is>
      </c>
      <c r="O263" s="17" t="n"/>
      <c r="P263" s="17" t="inlineStr">
        <is>
          <t>ASM-R4-14: The features follow FS F4 v1.1 section 5.2 and the engine cases of the seed sheet SD-09.</t>
        </is>
      </c>
      <c r="Q263" s="17" t="n"/>
      <c r="R263" s="17" t="inlineStr">
        <is>
          <t>Tender R4, PB-19, FS F4 v1.3: 5 Need Score, 5 ML risk</t>
        </is>
      </c>
      <c r="S263" s="17" t="inlineStr">
        <is>
          <t>Seed sheet SD-09 case EN45.</t>
        </is>
      </c>
      <c r="T263" s="16" t="inlineStr">
        <is>
          <t>Draft</t>
        </is>
      </c>
    </row>
    <row r="264" ht="106.5" customHeight="1" s="14">
      <c r="A264" s="16" t="inlineStr">
        <is>
          <t>TC-263</t>
        </is>
      </c>
      <c r="B264" s="16" t="inlineStr">
        <is>
          <t>TS-055</t>
        </is>
      </c>
      <c r="C264" s="17" t="inlineStr">
        <is>
          <t>Need Score weights are 0.70, 0.05, 0.10, 0.10 and 0.05</t>
        </is>
      </c>
      <c r="D264" s="17" t="inlineStr">
        <is>
          <t>F4.19 ML recommendation and risk</t>
        </is>
      </c>
      <c r="E264" s="17" t="inlineStr">
        <is>
          <t>Scoring engine</t>
        </is>
      </c>
      <c r="F264" s="16" t="inlineStr">
        <is>
          <t>S2</t>
        </is>
      </c>
      <c r="G264" s="16" t="inlineStr">
        <is>
          <t>Medium</t>
        </is>
      </c>
      <c r="H264" s="16" t="inlineStr">
        <is>
          <t>Not Run</t>
        </is>
      </c>
      <c r="I264" s="16" t="inlineStr">
        <is>
          <t>Functional</t>
        </is>
      </c>
      <c r="J264" s="17" t="inlineStr">
        <is>
          <t>F4 build with API (not available yet)
Chrome (latest)
Build: to be recorded at execution
Needs: ENV-R4-02, ENV-R4-06</t>
        </is>
      </c>
      <c r="K264" s="17" t="inlineStr">
        <is>
          <t>1. The engine can be called by API or unit test.</t>
        </is>
      </c>
      <c r="L264" s="17" t="inlineStr">
        <is>
          <t>Case EN01 (APP-2026-00377): GHI 4,120, size 4, workers 1, members under 21: 2, aided 6 months ago, interrupted, no flags</t>
        </is>
      </c>
      <c r="M264" s="17" t="inlineStr">
        <is>
          <t>1. Call the engine with EN01.
2. Read the five feature values and the Need Score.</t>
        </is>
      </c>
      <c r="N264" s="17" t="inlineStr">
        <is>
          <t>1. Need Score equals 100 × (0.70 × income + 0.05 × dependency + 0.10 × stability + 0.10 × recency + 0.05 × vulnerability) and is 59.72.</t>
        </is>
      </c>
      <c r="O264" s="17" t="n"/>
      <c r="P264" s="17" t="inlineStr">
        <is>
          <t>ASM-R4-14: The features follow FS F4 v1.1 section 5.2 and the engine cases of the seed sheet SD-09.</t>
        </is>
      </c>
      <c r="Q264" s="17" t="n"/>
      <c r="R264" s="17" t="inlineStr">
        <is>
          <t>Tender R4, PB-19, FS F4 v1.3: 5 Need Score</t>
        </is>
      </c>
      <c r="S264" s="17" t="inlineStr">
        <is>
          <t>Seed sheet SD-09 case EN01.</t>
        </is>
      </c>
      <c r="T264" s="16" t="inlineStr">
        <is>
          <t>Draft</t>
        </is>
      </c>
    </row>
    <row r="265" ht="106.5" customHeight="1" s="14">
      <c r="A265" s="16" t="inlineStr">
        <is>
          <t>TC-264</t>
        </is>
      </c>
      <c r="B265" s="16" t="inlineStr">
        <is>
          <t>TS-056</t>
        </is>
      </c>
      <c r="C265" s="17" t="inlineStr">
        <is>
          <t>Money shows as S$ with thousands separator and two decimals</t>
        </is>
      </c>
      <c r="D265" s="17" t="inlineStr">
        <is>
          <t>F4.20 Formats</t>
        </is>
      </c>
      <c r="E265" s="17" t="inlineStr">
        <is>
          <t>Applications and drawers</t>
        </is>
      </c>
      <c r="F265" s="16" t="inlineStr">
        <is>
          <t>S3</t>
        </is>
      </c>
      <c r="G265" s="16" t="inlineStr">
        <is>
          <t>Medium</t>
        </is>
      </c>
      <c r="H265" s="16" t="inlineStr">
        <is>
          <t>Not Run</t>
        </is>
      </c>
      <c r="I265" s="16" t="inlineStr">
        <is>
          <t>UI</t>
        </is>
      </c>
      <c r="J265" s="17" t="inlineStr">
        <is>
          <t>Prototype: edusave.vercel.app (sample date 18/10/2026)
Chrome (latest)
Build: to be recorded at execution
Needs: ENV-R4-01</t>
        </is>
      </c>
      <c r="K265" s="17" t="inlineStr">
        <is>
          <t>1. The prototype is open at the base state (use Reset data).
2. Signed in as MOE HQ (Mei Lin Tan).</t>
        </is>
      </c>
      <c r="L265" s="17" t="inlineStr">
        <is>
          <t>Rows: 00412 and the schemes MOEFAS 2027, Tier 1 to Tier 3</t>
        </is>
      </c>
      <c r="M265" s="17" t="inlineStr">
        <is>
          <t>1. Open View on 00412 and read the money values.
2. Open MOEFAS schemes and read the Eligibility column.</t>
        </is>
      </c>
      <c r="N265" s="17" t="inlineStr">
        <is>
          <t>1. The drawer shows S$ 4,350.00 and S$ 1,050.00 with two decimals.
2. The Eligibility column shows the same format for every band.</t>
        </is>
      </c>
      <c r="O265" s="17" t="n"/>
      <c r="P265" s="17" t="inlineStr">
        <is>
          <t>N/A</t>
        </is>
      </c>
      <c r="Q265" s="17" t="n"/>
      <c r="R265" s="17" t="inlineStr">
        <is>
          <t>Tender R4, PB-19, FS F4 v1.3: BR13</t>
        </is>
      </c>
      <c r="S265" s="17" t="inlineStr">
        <is>
          <t>The prototype shows S$ 600.00 in one band and S$ 601 – 1,000 in another (no decimals). The FS gives no decimal rule. Candidate finding of severity S4.</t>
        </is>
      </c>
      <c r="T265" s="16" t="inlineStr">
        <is>
          <t>Approve</t>
        </is>
      </c>
    </row>
    <row r="266" ht="106.5" customHeight="1" s="14">
      <c r="A266" s="16" t="inlineStr">
        <is>
          <t>TC-265</t>
        </is>
      </c>
      <c r="B266" s="16" t="inlineStr">
        <is>
          <t>TS-056</t>
        </is>
      </c>
      <c r="C266" s="17" t="inlineStr">
        <is>
          <t>Dates show as DD/MM/YYYY everywhere</t>
        </is>
      </c>
      <c r="D266" s="17" t="inlineStr">
        <is>
          <t>F4.20 Formats</t>
        </is>
      </c>
      <c r="E266" s="17" t="inlineStr">
        <is>
          <t>FAS applications and schemes</t>
        </is>
      </c>
      <c r="F266" s="16" t="inlineStr">
        <is>
          <t>S3</t>
        </is>
      </c>
      <c r="G266" s="16" t="inlineStr">
        <is>
          <t>Medium</t>
        </is>
      </c>
      <c r="H266" s="16" t="inlineStr">
        <is>
          <t>Not Run</t>
        </is>
      </c>
      <c r="I266" s="16" t="inlineStr">
        <is>
          <t>UI</t>
        </is>
      </c>
      <c r="J266" s="17" t="inlineStr">
        <is>
          <t>Prototype: edusave.vercel.app (sample date 18/10/2026)
Chrome (latest)
Build: to be recorded at execution
Needs: ENV-R4-01</t>
        </is>
      </c>
      <c r="K266" s="17" t="inlineStr">
        <is>
          <t>1. The prototype is open at the base state (use Reset data).
2. Signed in as MOE HQ (Mei Lin Tan).</t>
        </is>
      </c>
      <c r="L266" s="17" t="inlineStr">
        <is>
          <t>Screens: list, drawer, History, scheme list, review dialog</t>
        </is>
      </c>
      <c r="M266" s="17" t="inlineStr">
        <is>
          <t>1. Read the Submitted column of the list and the dates on the other screens.</t>
        </is>
      </c>
      <c r="N266" s="17" t="inlineStr">
        <is>
          <t>1. Every date has the form DD/MM/YYYY, for example 17/10/2026.
2. The Submitted column of the list shows the date in that form.
3. The scheme list shows Effective from and Effective to in the same form.</t>
        </is>
      </c>
      <c r="O266" s="17" t="n"/>
      <c r="P266" s="17" t="inlineStr">
        <is>
          <t>N/A</t>
        </is>
      </c>
      <c r="Q266" s="17" t="n"/>
      <c r="R266" s="17" t="inlineStr">
        <is>
          <t>Tender R4, PB-19, FS F4 v1.3: BR13, 3.4 Submitted</t>
        </is>
      </c>
      <c r="S266" s="17" t="inlineStr">
        <is>
          <t>Compare CMP-45: the prototype shows "1 Jan 2027" and "31 Dec 2026" in the scheme list (S3).</t>
        </is>
      </c>
      <c r="T266" s="16" t="inlineStr">
        <is>
          <t>Approve</t>
        </is>
      </c>
    </row>
    <row r="267" ht="106.5" customHeight="1" s="14">
      <c r="A267" s="16" t="inlineStr">
        <is>
          <t>TC-266</t>
        </is>
      </c>
      <c r="B267" s="16" t="inlineStr">
        <is>
          <t>TS-056</t>
        </is>
      </c>
      <c r="C267" s="17" t="inlineStr">
        <is>
          <t>Times show as HH:mm and use Singapore time</t>
        </is>
      </c>
      <c r="D267" s="17" t="inlineStr">
        <is>
          <t>F4.20 Formats</t>
        </is>
      </c>
      <c r="E267" s="17" t="inlineStr">
        <is>
          <t>Review drawer (MOE HQ)</t>
        </is>
      </c>
      <c r="F267" s="16" t="inlineStr">
        <is>
          <t>S3</t>
        </is>
      </c>
      <c r="G267" s="16" t="inlineStr">
        <is>
          <t>Medium</t>
        </is>
      </c>
      <c r="H267" s="16" t="inlineStr">
        <is>
          <t>Not Run</t>
        </is>
      </c>
      <c r="I267" s="16" t="inlineStr">
        <is>
          <t>UI</t>
        </is>
      </c>
      <c r="J267" s="17" t="inlineStr">
        <is>
          <t>Prototype: edusave.vercel.app (sample date 18/10/2026)
Chrome (latest)
Build: to be recorded at execution
Needs: ENV-R4-01</t>
        </is>
      </c>
      <c r="K267" s="17" t="inlineStr">
        <is>
          <t>1. The prototype is open at the base state (use Reset data).
2. Signed in as MOE HQ (Mei Lin Tan).
3. The MOEFAS 2027 form was closed with Close form now (demo), so the 3 waiting applications are assessed.</t>
        </is>
      </c>
      <c r="L267" s="17" t="inlineStr">
        <is>
          <t>Rows: 00377 History and Decided by</t>
        </is>
      </c>
      <c r="M267" s="17" t="inlineStr">
        <is>
          <t>1. Open View on 00377 and read the times in History and Decided by.</t>
        </is>
      </c>
      <c r="N267" s="17" t="inlineStr">
        <is>
          <t>1. Each time has the form HH:mm on a 24-hour clock, for example 10:05 and 09:30.</t>
        </is>
      </c>
      <c r="O267" s="17" t="n"/>
      <c r="P267" s="17" t="inlineStr">
        <is>
          <t>N/A</t>
        </is>
      </c>
      <c r="Q267" s="17" t="n"/>
      <c r="R267" s="17" t="inlineStr">
        <is>
          <t>Tender R4, PB-19, FS F4 v1.3: BR13</t>
        </is>
      </c>
      <c r="S267" s="17" t="inlineStr">
        <is>
          <t>Compare CMP-56.</t>
        </is>
      </c>
      <c r="T267" s="16" t="inlineStr">
        <is>
          <t>Approve</t>
        </is>
      </c>
    </row>
    <row r="268" ht="106.5" customHeight="1" s="14">
      <c r="A268" s="16" t="inlineStr">
        <is>
          <t>TC-267</t>
        </is>
      </c>
      <c r="B268" s="16" t="inlineStr">
        <is>
          <t>TS-056</t>
        </is>
      </c>
      <c r="C268" s="17" t="inlineStr">
        <is>
          <t>Times follow Singapore time whatever the browser time zone is</t>
        </is>
      </c>
      <c r="D268" s="17" t="inlineStr">
        <is>
          <t>F4.20 Formats</t>
        </is>
      </c>
      <c r="E268" s="17" t="inlineStr">
        <is>
          <t>Review drawer (MOE HQ)</t>
        </is>
      </c>
      <c r="F268" s="16" t="inlineStr">
        <is>
          <t>S2</t>
        </is>
      </c>
      <c r="G268" s="16" t="inlineStr">
        <is>
          <t>Medium</t>
        </is>
      </c>
      <c r="H268" s="16" t="inlineStr">
        <is>
          <t>Not Run</t>
        </is>
      </c>
      <c r="I268" s="16" t="inlineStr">
        <is>
          <t>UI</t>
        </is>
      </c>
      <c r="J268" s="17" t="inlineStr">
        <is>
          <t>F4 build with API (not available yet)
Chrome (latest)
Build: to be recorded at execution
Needs: ENV-R4-02, ENV-R4-04</t>
        </is>
      </c>
      <c r="K268" s="17" t="inlineStr">
        <is>
          <t>1. The F4 build is running.
2. The computer time zone is set to UTC-5.</t>
        </is>
      </c>
      <c r="L268" s="17" t="inlineStr">
        <is>
          <t>An application submitted at 17/10/2026 23:30 Singapore time</t>
        </is>
      </c>
      <c r="M268" s="17" t="inlineStr">
        <is>
          <t>1. Open FAS applications and read the Submitted date.
2. Open View and read the History time.</t>
        </is>
      </c>
      <c r="N268" s="17" t="inlineStr">
        <is>
          <t>1. The list shows 17/10/2026 and the History shows 17/10/2026 23:30.
2. The browser time zone has no effect.</t>
        </is>
      </c>
      <c r="O268" s="17" t="n"/>
      <c r="P268" s="17" t="inlineStr">
        <is>
          <t>N/A</t>
        </is>
      </c>
      <c r="Q268" s="17" t="n"/>
      <c r="R268" s="17" t="inlineStr">
        <is>
          <t>Tender R4, PB-19, FS F4 v1.3: BR13</t>
        </is>
      </c>
      <c r="S268" s="17" t="n"/>
      <c r="T268" s="16" t="inlineStr">
        <is>
          <t>Approve</t>
        </is>
      </c>
    </row>
    <row r="269" ht="151" customHeight="1" s="14">
      <c r="A269" s="16" t="inlineStr">
        <is>
          <t>TC-268</t>
        </is>
      </c>
      <c r="B269" s="16" t="inlineStr">
        <is>
          <t>TS-057</t>
        </is>
      </c>
      <c r="C269" s="17" t="inlineStr">
        <is>
          <t>SBFAS scheme name is required</t>
        </is>
      </c>
      <c r="D269" s="17" t="inlineStr">
        <is>
          <t>F4.14 New scheme wizard</t>
        </is>
      </c>
      <c r="E269" s="17" t="inlineStr">
        <is>
          <t>SBFAS scheme API (School Admin)</t>
        </is>
      </c>
      <c r="F269" s="16" t="inlineStr">
        <is>
          <t>S2</t>
        </is>
      </c>
      <c r="G269" s="16" t="inlineStr">
        <is>
          <t>High</t>
        </is>
      </c>
      <c r="H269" s="16" t="inlineStr">
        <is>
          <t>Passed</t>
        </is>
      </c>
      <c r="I269" s="16" t="inlineStr">
        <is>
          <t>API</t>
        </is>
      </c>
      <c r="J269" s="17" t="inlineStr">
        <is>
          <t>Localhost build (branch codesprint2ending), gateway http://localhost:5273 through the admin portal proxy
Requests sent with the session cookie of the signed in user
Needs: none</t>
        </is>
      </c>
      <c r="K269" s="17" t="inlineStr">
        <is>
          <t>1. The localhost stack is running.
2. Signed in as School user school (Thi H Bui), Raffles Institution (SCH-001) with two active grades: Junior College 1 and Secondary 1.
3. At least one active fee component exists for the school.</t>
        </is>
      </c>
      <c r="L269" s="17" t="inlineStr">
        <is>
          <t>Base request: name R4-AUTO-&lt;unique&gt;, Application open 2400-01-01 to 2400-06-30, Effective 2401-01-01 to 2401-12-31, budget 1000, nationality SC, PCI 0 to 1000, one fee component with 10 percent for each grade, publish false. Names: empty and three spaces.</t>
        </is>
      </c>
      <c r="M269" s="17" t="inlineStr">
        <is>
          <t>1. Send the base request with name empty.
2. Send it again with name made of three spaces.</t>
        </is>
      </c>
      <c r="N269" s="17" t="inlineStr">
        <is>
          <t>1. Both requests are refused with HTTP 400 and the message "name is required.".
2. No scheme is created.</t>
        </is>
      </c>
      <c r="O269" s="17" t="inlineStr">
        <is>
          <t>Run 26/10/2026 (localhost build, API through the admin portal proxy). Both requests returned 400 "name is required.". No scheme was created.</t>
        </is>
      </c>
      <c r="P269" s="17" t="inlineStr">
        <is>
          <t>N/A</t>
        </is>
      </c>
      <c r="Q269" s="17" t="n"/>
      <c r="R269" s="17" t="inlineStr">
        <is>
          <t>Validation rules R4 (R4_FAS_Validation_Rules_EN.docx) VR-WIZ-01; backend CreateSbfasSchemeValidator</t>
        </is>
      </c>
      <c r="S269" s="17" t="inlineStr"/>
      <c r="T269" s="16" t="inlineStr">
        <is>
          <t>Approve</t>
        </is>
      </c>
    </row>
    <row r="270" ht="194.5" customHeight="1" s="14">
      <c r="A270" s="16" t="inlineStr">
        <is>
          <t>TC-269</t>
        </is>
      </c>
      <c r="B270" s="16" t="inlineStr">
        <is>
          <t>TS-057</t>
        </is>
      </c>
      <c r="C270" s="17" t="inlineStr">
        <is>
          <t>SBFAS scheme name accepts 150 characters and refuses 151</t>
        </is>
      </c>
      <c r="D270" s="17" t="inlineStr">
        <is>
          <t>F4.14 New scheme wizard</t>
        </is>
      </c>
      <c r="E270" s="17" t="inlineStr">
        <is>
          <t>SBFAS scheme API (School Admin)</t>
        </is>
      </c>
      <c r="F270" s="16" t="inlineStr">
        <is>
          <t>S3</t>
        </is>
      </c>
      <c r="G270" s="16" t="inlineStr">
        <is>
          <t>Medium</t>
        </is>
      </c>
      <c r="H270" s="16" t="inlineStr">
        <is>
          <t>Passed</t>
        </is>
      </c>
      <c r="I270" s="16" t="inlineStr">
        <is>
          <t>API</t>
        </is>
      </c>
      <c r="J270" s="17" t="inlineStr">
        <is>
          <t>Localhost build (branch codesprint2ending), gateway http://localhost:5273 through the admin portal proxy
Requests sent with the session cookie of the signed in user
Needs: none</t>
        </is>
      </c>
      <c r="K270" s="17" t="inlineStr">
        <is>
          <t>1. The localhost stack is running.
2. Signed in as School user school (Thi H Bui), Raffles Institution (SCH-001) with two active grades: Junior College 1 and Secondary 1.
3. At least one active fee component exists for the school.</t>
        </is>
      </c>
      <c r="L270" s="17" t="inlineStr">
        <is>
          <t>Base request: name R4-AUTO-&lt;unique&gt;, Application open 2400-01-01 to 2400-06-30, Effective 2401-01-01 to 2401-12-31, budget 1000, nationality SC, PCI 0 to 1000, one fee component with 10 percent for each grade, publish false. Names of 150 and 151 characters.</t>
        </is>
      </c>
      <c r="M270" s="17" t="inlineStr">
        <is>
          <t>1. Send the base request with a name of 150 characters.
2. Send it again with a name of 151 characters.</t>
        </is>
      </c>
      <c r="N270" s="17" t="inlineStr">
        <is>
          <t>1. The 150-character name is accepted (HTTP 201).
2. The 151-character name is refused with 400 "name must not exceed 150 characters.".</t>
        </is>
      </c>
      <c r="O270" s="17" t="inlineStr">
        <is>
          <t>Run 26/10/2026 (localhost build, API through the admin portal proxy). 150 characters: 201, saved as draft. 151 characters: 400 "name must not exceed 150 characters.". The validation rules document says 3 to 100 characters, the build uses 150 (column NVARCHAR(150)).</t>
        </is>
      </c>
      <c r="P270" s="17" t="inlineStr">
        <is>
          <t>N/A</t>
        </is>
      </c>
      <c r="Q270" s="17" t="n"/>
      <c r="R270" s="17" t="inlineStr">
        <is>
          <t>Validation rules R4 (R4_FAS_Validation_Rules_EN.docx) VR-WIZ-02; sbfas_schemes.name NVARCHAR(150)</t>
        </is>
      </c>
      <c r="S270" s="17" t="inlineStr">
        <is>
          <t>The rules document says 3 to 100 characters. BA to align the document with the build.</t>
        </is>
      </c>
      <c r="T270" s="16" t="inlineStr">
        <is>
          <t>Approve</t>
        </is>
      </c>
    </row>
    <row r="271" ht="151" customHeight="1" s="14">
      <c r="A271" s="16" t="inlineStr">
        <is>
          <t>TC-270</t>
        </is>
      </c>
      <c r="B271" s="16" t="inlineStr">
        <is>
          <t>TS-057</t>
        </is>
      </c>
      <c r="C271" s="17" t="inlineStr">
        <is>
          <t>SBFAS Application open from must be today or later</t>
        </is>
      </c>
      <c r="D271" s="17" t="inlineStr">
        <is>
          <t>F4.14 New scheme wizard</t>
        </is>
      </c>
      <c r="E271" s="17" t="inlineStr">
        <is>
          <t>SBFAS scheme API (School Admin)</t>
        </is>
      </c>
      <c r="F271" s="16" t="inlineStr">
        <is>
          <t>S2</t>
        </is>
      </c>
      <c r="G271" s="16" t="inlineStr">
        <is>
          <t>High</t>
        </is>
      </c>
      <c r="H271" s="16" t="inlineStr">
        <is>
          <t>Passed</t>
        </is>
      </c>
      <c r="I271" s="16" t="inlineStr">
        <is>
          <t>API</t>
        </is>
      </c>
      <c r="J271" s="17" t="inlineStr">
        <is>
          <t>Localhost build (branch codesprint2ending), gateway http://localhost:5273 through the admin portal proxy
Requests sent with the session cookie of the signed in user
Needs: none</t>
        </is>
      </c>
      <c r="K271" s="17" t="inlineStr">
        <is>
          <t>1. The localhost stack is running.
2. Signed in as School user school (Thi H Bui), Raffles Institution (SCH-001) with two active grades: Junior College 1 and Secondary 1.
3. At least one active fee component exists for the school.</t>
        </is>
      </c>
      <c r="L271" s="17" t="inlineStr">
        <is>
          <t>Base request: name R4-AUTO-&lt;unique&gt;, Application open 2400-01-01 to 2400-06-30, Effective 2401-01-01 to 2401-12-31, budget 1000, nationality SC, PCI 0 to 1000, one fee component with 10 percent for each grade, publish false. openFrom: today (UTC date) and yesterday.</t>
        </is>
      </c>
      <c r="M271" s="17" t="inlineStr">
        <is>
          <t>1. Send the base request with Application open from set to today and the other dates after it.
2. Send it again with Application open from set to yesterday.</t>
        </is>
      </c>
      <c r="N271" s="17" t="inlineStr">
        <is>
          <t>1. Today is accepted (201).
2. Yesterday is refused with 400 "openFrom must be today or later.".</t>
        </is>
      </c>
      <c r="O271" s="17" t="inlineStr">
        <is>
          <t>Run 26/10/2026 (localhost build, API through the admin portal proxy). Today: 201. Yesterday: 400 "openFrom must be today or later.". The server compares with the UTC date.</t>
        </is>
      </c>
      <c r="P271" s="17" t="inlineStr">
        <is>
          <t>N/A</t>
        </is>
      </c>
      <c r="Q271" s="17" t="n"/>
      <c r="R271" s="17" t="inlineStr">
        <is>
          <t>Validation rules R4 (R4_FAS_Validation_Rules_EN.docx) VR-WIZ-08; backend rule openFrom &gt;= today</t>
        </is>
      </c>
      <c r="S271" s="17" t="inlineStr"/>
      <c r="T271" s="16" t="inlineStr">
        <is>
          <t>Approve</t>
        </is>
      </c>
    </row>
    <row r="272" ht="136.5" customHeight="1" s="14">
      <c r="A272" s="16" t="inlineStr">
        <is>
          <t>TC-271</t>
        </is>
      </c>
      <c r="B272" s="16" t="inlineStr">
        <is>
          <t>TS-057</t>
        </is>
      </c>
      <c r="C272" s="17" t="inlineStr">
        <is>
          <t>SBFAS Application open to must be after Application open from</t>
        </is>
      </c>
      <c r="D272" s="17" t="inlineStr">
        <is>
          <t>F4.14 New scheme wizard</t>
        </is>
      </c>
      <c r="E272" s="17" t="inlineStr">
        <is>
          <t>SBFAS scheme API (School Admin)</t>
        </is>
      </c>
      <c r="F272" s="16" t="inlineStr">
        <is>
          <t>S2</t>
        </is>
      </c>
      <c r="G272" s="16" t="inlineStr">
        <is>
          <t>High</t>
        </is>
      </c>
      <c r="H272" s="16" t="inlineStr">
        <is>
          <t>Passed</t>
        </is>
      </c>
      <c r="I272" s="16" t="inlineStr">
        <is>
          <t>API</t>
        </is>
      </c>
      <c r="J272" s="17" t="inlineStr">
        <is>
          <t>Localhost build (branch codesprint2ending), gateway http://localhost:5273 through the admin portal proxy
Requests sent with the session cookie of the signed in user
Needs: none</t>
        </is>
      </c>
      <c r="K272" s="17" t="inlineStr">
        <is>
          <t>1. The localhost stack is running.
2. Signed in as School user school (Thi H Bui), Raffles Institution (SCH-001) with two active grades: Junior College 1 and Secondary 1.
3. At least one active fee component exists for the school.</t>
        </is>
      </c>
      <c r="L272" s="17" t="inlineStr">
        <is>
          <t>Base request: name R4-AUTO-&lt;unique&gt;, Application open 2400-01-01 to 2400-06-30, Effective 2401-01-01 to 2401-12-31, budget 1000, nationality SC, PCI 0 to 1000, one fee component with 10 percent for each grade, publish false. openTo equal to openFrom.</t>
        </is>
      </c>
      <c r="M272" s="17" t="inlineStr">
        <is>
          <t>1. Send the base request with Application open to equal to Application open from.</t>
        </is>
      </c>
      <c r="N272" s="17" t="inlineStr">
        <is>
          <t>1. The request is refused with 400 "openTo must be after openFrom.".</t>
        </is>
      </c>
      <c r="O272" s="17" t="inlineStr">
        <is>
          <t>Run 26/10/2026 (localhost build, API through the admin portal proxy). 400 "openTo must be after openFrom.". The database also has the check open_from &lt; open_to.</t>
        </is>
      </c>
      <c r="P272" s="17" t="inlineStr">
        <is>
          <t>N/A</t>
        </is>
      </c>
      <c r="Q272" s="17" t="n"/>
      <c r="R272" s="17" t="inlineStr">
        <is>
          <t>Validation rules R4 (R4_FAS_Validation_Rules_EN.docx) VR-WIZ-05; CK_sbfas_schemes_date_rules</t>
        </is>
      </c>
      <c r="S272" s="17" t="inlineStr"/>
      <c r="T272" s="16" t="inlineStr">
        <is>
          <t>Approve</t>
        </is>
      </c>
    </row>
    <row r="273" ht="151" customHeight="1" s="14">
      <c r="A273" s="16" t="inlineStr">
        <is>
          <t>TC-272</t>
        </is>
      </c>
      <c r="B273" s="16" t="inlineStr">
        <is>
          <t>TS-057</t>
        </is>
      </c>
      <c r="C273" s="17" t="inlineStr">
        <is>
          <t>SBFAS Effective from must be after Application open to</t>
        </is>
      </c>
      <c r="D273" s="17" t="inlineStr">
        <is>
          <t>F4.14 New scheme wizard</t>
        </is>
      </c>
      <c r="E273" s="17" t="inlineStr">
        <is>
          <t>SBFAS scheme API (School Admin)</t>
        </is>
      </c>
      <c r="F273" s="16" t="inlineStr">
        <is>
          <t>S2</t>
        </is>
      </c>
      <c r="G273" s="16" t="inlineStr">
        <is>
          <t>High</t>
        </is>
      </c>
      <c r="H273" s="16" t="inlineStr">
        <is>
          <t>Passed</t>
        </is>
      </c>
      <c r="I273" s="16" t="inlineStr">
        <is>
          <t>API</t>
        </is>
      </c>
      <c r="J273" s="17" t="inlineStr">
        <is>
          <t>Localhost build (branch codesprint2ending), gateway http://localhost:5273 through the admin portal proxy
Requests sent with the session cookie of the signed in user
Needs: none</t>
        </is>
      </c>
      <c r="K273" s="17" t="inlineStr">
        <is>
          <t>1. The localhost stack is running.
2. Signed in as School user school (Thi H Bui), Raffles Institution (SCH-001) with two active grades: Junior College 1 and Secondary 1.
3. At least one active fee component exists for the school.</t>
        </is>
      </c>
      <c r="L273" s="17" t="inlineStr">
        <is>
          <t>Base request: name R4-AUTO-&lt;unique&gt;, Application open 2400-01-01 to 2400-06-30, Effective 2401-01-01 to 2401-12-31, budget 1000, nationality SC, PCI 0 to 1000, one fee component with 10 percent for each grade, publish false. effectiveFrom equal to openTo.</t>
        </is>
      </c>
      <c r="M273" s="17" t="inlineStr">
        <is>
          <t>1. Send the base request with Effective from equal to Application open to.</t>
        </is>
      </c>
      <c r="N273" s="17" t="inlineStr">
        <is>
          <t>1. The request is refused with 400 "effectiveFrom must be after openTo.".</t>
        </is>
      </c>
      <c r="O273" s="17" t="inlineStr">
        <is>
          <t>Run 26/10/2026 (localhost build, API through the admin portal proxy). 400 "effectiveFrom must be after openTo.".</t>
        </is>
      </c>
      <c r="P273" s="17" t="inlineStr">
        <is>
          <t>N/A</t>
        </is>
      </c>
      <c r="Q273" s="17" t="n"/>
      <c r="R273" s="17" t="inlineStr">
        <is>
          <t>Validation rules R4 (R4_FAS_Validation_Rules_EN.docx) VR-WIZ-07</t>
        </is>
      </c>
      <c r="S273" s="17" t="inlineStr"/>
      <c r="T273" s="16" t="inlineStr">
        <is>
          <t>Approve</t>
        </is>
      </c>
    </row>
    <row r="274" ht="165.5" customHeight="1" s="14">
      <c r="A274" s="16" t="inlineStr">
        <is>
          <t>TC-273</t>
        </is>
      </c>
      <c r="B274" s="16" t="inlineStr">
        <is>
          <t>TS-057</t>
        </is>
      </c>
      <c r="C274" s="17" t="inlineStr">
        <is>
          <t>SBFAS Effective to must be after Effective from and may be empty</t>
        </is>
      </c>
      <c r="D274" s="17" t="inlineStr">
        <is>
          <t>F4.14 New scheme wizard</t>
        </is>
      </c>
      <c r="E274" s="17" t="inlineStr">
        <is>
          <t>SBFAS scheme API (School Admin)</t>
        </is>
      </c>
      <c r="F274" s="16" t="inlineStr">
        <is>
          <t>S2</t>
        </is>
      </c>
      <c r="G274" s="16" t="inlineStr">
        <is>
          <t>High</t>
        </is>
      </c>
      <c r="H274" s="16" t="inlineStr">
        <is>
          <t>Passed</t>
        </is>
      </c>
      <c r="I274" s="16" t="inlineStr">
        <is>
          <t>API</t>
        </is>
      </c>
      <c r="J274" s="17" t="inlineStr">
        <is>
          <t>Localhost build (branch codesprint2ending), gateway http://localhost:5273 through the admin portal proxy
Requests sent with the session cookie of the signed in user
Needs: none</t>
        </is>
      </c>
      <c r="K274" s="17" t="inlineStr">
        <is>
          <t>1. The localhost stack is running.
2. Signed in as School user school (Thi H Bui), Raffles Institution (SCH-001) with two active grades: Junior College 1 and Secondary 1.
3. At least one active fee component exists for the school.</t>
        </is>
      </c>
      <c r="L274" s="17" t="inlineStr">
        <is>
          <t>Base request: name R4-AUTO-&lt;unique&gt;, Application open 2400-01-01 to 2400-06-30, Effective 2401-01-01 to 2401-12-31, budget 1000, nationality SC, PCI 0 to 1000, one fee component with 10 percent for each grade, publish false. effectiveTo equal to effectiveFrom, and null.</t>
        </is>
      </c>
      <c r="M274" s="17" t="inlineStr">
        <is>
          <t>1. Send the base request with Effective to equal to Effective from.
2. Send it again with Effective to empty (null).</t>
        </is>
      </c>
      <c r="N274" s="17" t="inlineStr">
        <is>
          <t>1. The first request is refused with 400 "effectiveTo must be after effectiveFrom.".
2. The second request is accepted (no end date).</t>
        </is>
      </c>
      <c r="O274" s="17" t="inlineStr">
        <is>
          <t>Run 26/10/2026 (localhost build, API through the admin portal proxy). Equal: 400 "effectiveTo must be after effectiveFrom.". Null: 201.</t>
        </is>
      </c>
      <c r="P274" s="17" t="inlineStr">
        <is>
          <t>N/A</t>
        </is>
      </c>
      <c r="Q274" s="17" t="n"/>
      <c r="R274" s="17" t="inlineStr">
        <is>
          <t>Validation rules R4 (R4_FAS_Validation_Rules_EN.docx) VR-WIZ-06</t>
        </is>
      </c>
      <c r="S274" s="17" t="inlineStr"/>
      <c r="T274" s="16" t="inlineStr">
        <is>
          <t>Approve</t>
        </is>
      </c>
    </row>
    <row r="275" ht="238" customHeight="1" s="14">
      <c r="A275" s="16" t="inlineStr">
        <is>
          <t>TC-274</t>
        </is>
      </c>
      <c r="B275" s="16" t="inlineStr">
        <is>
          <t>TS-057</t>
        </is>
      </c>
      <c r="C275" s="17" t="inlineStr">
        <is>
          <t>SBFAS total budget cannot be negative and must be above 0 to publish</t>
        </is>
      </c>
      <c r="D275" s="17" t="inlineStr">
        <is>
          <t>F4.14 New scheme wizard</t>
        </is>
      </c>
      <c r="E275" s="17" t="inlineStr">
        <is>
          <t>SBFAS scheme API (School Admin)</t>
        </is>
      </c>
      <c r="F275" s="16" t="inlineStr">
        <is>
          <t>S2</t>
        </is>
      </c>
      <c r="G275" s="16" t="inlineStr">
        <is>
          <t>High</t>
        </is>
      </c>
      <c r="H275" s="16" t="inlineStr">
        <is>
          <t>Passed</t>
        </is>
      </c>
      <c r="I275" s="16" t="inlineStr">
        <is>
          <t>API</t>
        </is>
      </c>
      <c r="J275" s="17" t="inlineStr">
        <is>
          <t>Localhost build (branch codesprint2ending), gateway http://localhost:5273 through the admin portal proxy
Requests sent with the session cookie of the signed in user
Needs: none</t>
        </is>
      </c>
      <c r="K275" s="17" t="inlineStr">
        <is>
          <t>1. The localhost stack is running.
2. Signed in as School user school (Thi H Bui), Raffles Institution (SCH-001) with two active grades: Junior College 1 and Secondary 1.
3. At least one active fee component exists for the school.</t>
        </is>
      </c>
      <c r="L275" s="17" t="inlineStr">
        <is>
          <t>Base request: name R4-AUTO-&lt;unique&gt;, Application open 2400-01-01 to 2400-06-30, Effective 2401-01-01 to 2401-12-31, budget 1000, nationality SC, PCI 0 to 1000, one fee component with 10 percent for each grade, publish false. Budgets: -1, 0 as draft and 0 with publish true.</t>
        </is>
      </c>
      <c r="M275" s="17" t="inlineStr">
        <is>
          <t>1. Send the base request with budget -1.
2. Send it with budget 0 and publish false.
3. Send it with budget 0 and publish true.</t>
        </is>
      </c>
      <c r="N275" s="17" t="inlineStr">
        <is>
          <t>1. Refused with 400 "totalBudgetAmount must be greater than or equal to 0.".
2. Accepted as a draft.
3. Refused with 400 "totalBudgetAmount must be greater than 0 when publishing.".</t>
        </is>
      </c>
      <c r="O275" s="17" t="inlineStr">
        <is>
          <t>Run 26/10/2026 (localhost build, API through the admin portal proxy). -1: 400 with the expected message. 0 as draft: 201. 0 with publish true: 400 "totalBudgetAmount must be greater than 0 when publishing.".</t>
        </is>
      </c>
      <c r="P275" s="17" t="inlineStr">
        <is>
          <t>N/A</t>
        </is>
      </c>
      <c r="Q275" s="17" t="n"/>
      <c r="R275" s="17" t="inlineStr">
        <is>
          <t>Validation rules R4 (R4_FAS_Validation_Rules_EN.docx); backend CreateSbfasSchemeValidator budget rules</t>
        </is>
      </c>
      <c r="S275" s="17" t="inlineStr"/>
      <c r="T275" s="16" t="inlineStr">
        <is>
          <t>Approve</t>
        </is>
      </c>
    </row>
    <row r="276" ht="238" customHeight="1" s="14">
      <c r="A276" s="16" t="inlineStr">
        <is>
          <t>TC-275</t>
        </is>
      </c>
      <c r="B276" s="16" t="inlineStr">
        <is>
          <t>TS-058</t>
        </is>
      </c>
      <c r="C276" s="17" t="inlineStr">
        <is>
          <t>SBFAS nationality list is required, valid and without duplicates</t>
        </is>
      </c>
      <c r="D276" s="17" t="inlineStr">
        <is>
          <t>F4.14 New scheme wizard</t>
        </is>
      </c>
      <c r="E276" s="17" t="inlineStr">
        <is>
          <t>SBFAS scheme API (School Admin)</t>
        </is>
      </c>
      <c r="F276" s="16" t="inlineStr">
        <is>
          <t>S2</t>
        </is>
      </c>
      <c r="G276" s="16" t="inlineStr">
        <is>
          <t>High</t>
        </is>
      </c>
      <c r="H276" s="16" t="inlineStr">
        <is>
          <t>Passed</t>
        </is>
      </c>
      <c r="I276" s="16" t="inlineStr">
        <is>
          <t>API</t>
        </is>
      </c>
      <c r="J276" s="17" t="inlineStr">
        <is>
          <t>Localhost build (branch codesprint2ending), gateway http://localhost:5273 through the admin portal proxy
Requests sent with the session cookie of the signed in user
Needs: none</t>
        </is>
      </c>
      <c r="K276" s="17" t="inlineStr">
        <is>
          <t>1. The localhost stack is running.
2. Signed in as School user school (Thi H Bui), Raffles Institution (SCH-001) with two active grades: Junior College 1 and Secondary 1.
3. At least one active fee component exists for the school.</t>
        </is>
      </c>
      <c r="L276" s="17" t="inlineStr">
        <is>
          <t>Base request: name R4-AUTO-&lt;unique&gt;, Application open 2400-01-01 to 2400-06-30, Effective 2401-01-01 to 2401-12-31, budget 1000, nationality SC, PCI 0 to 1000, one fee component with 10 percent for each grade, publish false. Lists: [], [XX], [SC, SC] and all four codes.</t>
        </is>
      </c>
      <c r="M276" s="17" t="inlineStr">
        <is>
          <t>1. Send the base request with nationalities [].
2. Send it with ["XX"].
3. Send it with ["SC","SC"].
4. Send it with SC, PR, IS_ASEAN and IS_NON_ASEAN.</t>
        </is>
      </c>
      <c r="N276" s="17" t="inlineStr">
        <is>
          <t>1. 400 "At least one nationality is required.".
2. 400 "nationality must be one of: SC, PR, IS_ASEAN, IS_NON_ASEAN.".
3. 400 "nationalities must not contain duplicates.".
4. Accepted.</t>
        </is>
      </c>
      <c r="O276" s="17" t="inlineStr">
        <is>
          <t>Run 26/10/2026 (localhost build, API through the admin portal proxy). All four results matched: 400, 400, 400 with the listed messages and 201 for the four codes.</t>
        </is>
      </c>
      <c r="P276" s="17" t="inlineStr">
        <is>
          <t>N/A</t>
        </is>
      </c>
      <c r="Q276" s="17" t="n"/>
      <c r="R276" s="17" t="inlineStr">
        <is>
          <t>Validation rules R4 (R4_FAS_Validation_Rules_EN.docx) VR-WIZ-09</t>
        </is>
      </c>
      <c r="S276" s="17" t="inlineStr"/>
      <c r="T276" s="16" t="inlineStr">
        <is>
          <t>Approve</t>
        </is>
      </c>
    </row>
    <row r="277" ht="136.5" customHeight="1" s="14">
      <c r="A277" s="16" t="inlineStr">
        <is>
          <t>TC-276</t>
        </is>
      </c>
      <c r="B277" s="16" t="inlineStr">
        <is>
          <t>TS-058</t>
        </is>
      </c>
      <c r="C277" s="17" t="inlineStr">
        <is>
          <t>SBFAS needs at least one of the GHI band and the PCI band</t>
        </is>
      </c>
      <c r="D277" s="17" t="inlineStr">
        <is>
          <t>F4.14 New scheme wizard</t>
        </is>
      </c>
      <c r="E277" s="17" t="inlineStr">
        <is>
          <t>SBFAS scheme API (School Admin)</t>
        </is>
      </c>
      <c r="F277" s="16" t="inlineStr">
        <is>
          <t>S2</t>
        </is>
      </c>
      <c r="G277" s="16" t="inlineStr">
        <is>
          <t>High</t>
        </is>
      </c>
      <c r="H277" s="16" t="inlineStr">
        <is>
          <t>Passed</t>
        </is>
      </c>
      <c r="I277" s="16" t="inlineStr">
        <is>
          <t>API</t>
        </is>
      </c>
      <c r="J277" s="17" t="inlineStr">
        <is>
          <t>Localhost build (branch codesprint2ending), gateway http://localhost:5273 through the admin portal proxy
Requests sent with the session cookie of the signed in user
Needs: none</t>
        </is>
      </c>
      <c r="K277" s="17" t="inlineStr">
        <is>
          <t>1. The localhost stack is running.
2. Signed in as School user school (Thi H Bui), Raffles Institution (SCH-001) with two active grades: Junior College 1 and Secondary 1.
3. At least one active fee component exists for the school.</t>
        </is>
      </c>
      <c r="L277" s="17" t="inlineStr">
        <is>
          <t>Base request: name R4-AUTO-&lt;unique&gt;, Application open 2400-01-01 to 2400-06-30, Effective 2401-01-01 to 2401-12-31, budget 1000, nationality SC, PCI 0 to 1000, one fee component with 10 percent for each grade, publish false. GHI off and PCI off.</t>
        </is>
      </c>
      <c r="M277" s="17" t="inlineStr">
        <is>
          <t>1. Send the base request with isGhiEnabled false and isPciEnabled false.</t>
        </is>
      </c>
      <c r="N277" s="17" t="inlineStr">
        <is>
          <t>1. Refused with 400 "At least one of GHI or PCI criteria must be enabled.".</t>
        </is>
      </c>
      <c r="O277" s="17" t="inlineStr">
        <is>
          <t>Run 26/10/2026 (localhost build, API through the admin portal proxy). 400 "At least one of GHI or PCI criteria must be enabled.".</t>
        </is>
      </c>
      <c r="P277" s="17" t="inlineStr">
        <is>
          <t>N/A</t>
        </is>
      </c>
      <c r="Q277" s="17" t="n"/>
      <c r="R277" s="17" t="inlineStr">
        <is>
          <t>Validation rules R4 (R4_FAS_Validation_Rules_EN.docx) VR-WIZ-13</t>
        </is>
      </c>
      <c r="S277" s="17" t="inlineStr"/>
      <c r="T277" s="16" t="inlineStr">
        <is>
          <t>Approve</t>
        </is>
      </c>
    </row>
    <row r="278" ht="194.5" customHeight="1" s="14">
      <c r="A278" s="16" t="inlineStr">
        <is>
          <t>TC-277</t>
        </is>
      </c>
      <c r="B278" s="16" t="inlineStr">
        <is>
          <t>TS-058</t>
        </is>
      </c>
      <c r="C278" s="17" t="inlineStr">
        <is>
          <t>SBFAS PCI From is required when the PCI band is on</t>
        </is>
      </c>
      <c r="D278" s="17" t="inlineStr">
        <is>
          <t>F4.14 New scheme wizard</t>
        </is>
      </c>
      <c r="E278" s="17" t="inlineStr">
        <is>
          <t>SBFAS scheme API (School Admin)</t>
        </is>
      </c>
      <c r="F278" s="16" t="inlineStr">
        <is>
          <t>S2</t>
        </is>
      </c>
      <c r="G278" s="16" t="inlineStr">
        <is>
          <t>High</t>
        </is>
      </c>
      <c r="H278" s="16" t="inlineStr">
        <is>
          <t>Failed</t>
        </is>
      </c>
      <c r="I278" s="16" t="inlineStr">
        <is>
          <t>API</t>
        </is>
      </c>
      <c r="J278" s="17" t="inlineStr">
        <is>
          <t>Localhost build (branch codesprint2ending), gateway http://localhost:5273 through the admin portal proxy
Requests sent with the session cookie of the signed in user
Needs: none</t>
        </is>
      </c>
      <c r="K278" s="17" t="inlineStr">
        <is>
          <t>1. The localhost stack is running.
2. Signed in as School user school (Thi H Bui), Raffles Institution (SCH-001) with two active grades: Junior College 1 and Secondary 1.
3. At least one active fee component exists for the school.</t>
        </is>
      </c>
      <c r="L278" s="17" t="inlineStr">
        <is>
          <t>Base request: name R4-AUTO-&lt;unique&gt;, Application open 2400-01-01 to 2400-06-30, Effective 2401-01-01 to 2401-12-31, budget 1000, nationality SC, PCI 0 to 1000, one fee component with 10 percent for each grade, publish false. pciFrom null with isPciEnabled true.</t>
        </is>
      </c>
      <c r="M278" s="17" t="inlineStr">
        <is>
          <t>1. Send the base request with pciFrom null and pciTo 1000.</t>
        </is>
      </c>
      <c r="N278" s="17" t="inlineStr">
        <is>
          <t>1. Refused with 400 "pciFrom is required when PCI is enabled.".</t>
        </is>
      </c>
      <c r="O278" s="17" t="inlineStr">
        <is>
          <t>Run 26/10/2026 (localhost build, API through the admin portal proxy). Accepted: 201 "SBFAS scheme saved as draft.". The validator has the rule but the When clause covers the whole chain, so the NotNull check never runs. The wizard blocks an empty From, only a direct API call gets through.</t>
        </is>
      </c>
      <c r="P278" s="17" t="inlineStr">
        <is>
          <t>N/A</t>
        </is>
      </c>
      <c r="Q278" s="17" t="inlineStr">
        <is>
          <t>BUG-R4-007</t>
        </is>
      </c>
      <c r="R278" s="17" t="inlineStr">
        <is>
          <t>Validation rules R4 (R4_FAS_Validation_Rules_EN.docx) VR-WIZ-11; backend rule pciFrom is required</t>
        </is>
      </c>
      <c r="S278" s="17" t="inlineStr"/>
      <c r="T278" s="16" t="inlineStr">
        <is>
          <t>Approve</t>
        </is>
      </c>
    </row>
    <row r="279" ht="151" customHeight="1" s="14">
      <c r="A279" s="16" t="inlineStr">
        <is>
          <t>TC-278</t>
        </is>
      </c>
      <c r="B279" s="16" t="inlineStr">
        <is>
          <t>TS-058</t>
        </is>
      </c>
      <c r="C279" s="17" t="inlineStr">
        <is>
          <t>SBFAS GHI From is required when the GHI band is on</t>
        </is>
      </c>
      <c r="D279" s="17" t="inlineStr">
        <is>
          <t>F4.14 New scheme wizard</t>
        </is>
      </c>
      <c r="E279" s="17" t="inlineStr">
        <is>
          <t>SBFAS scheme API (School Admin)</t>
        </is>
      </c>
      <c r="F279" s="16" t="inlineStr">
        <is>
          <t>S2</t>
        </is>
      </c>
      <c r="G279" s="16" t="inlineStr">
        <is>
          <t>High</t>
        </is>
      </c>
      <c r="H279" s="16" t="inlineStr">
        <is>
          <t>Failed</t>
        </is>
      </c>
      <c r="I279" s="16" t="inlineStr">
        <is>
          <t>API</t>
        </is>
      </c>
      <c r="J279" s="17" t="inlineStr">
        <is>
          <t>Localhost build (branch codesprint2ending), gateway http://localhost:5273 through the admin portal proxy
Requests sent with the session cookie of the signed in user
Needs: none</t>
        </is>
      </c>
      <c r="K279" s="17" t="inlineStr">
        <is>
          <t>1. The localhost stack is running.
2. Signed in as School user school (Thi H Bui), Raffles Institution (SCH-001) with two active grades: Junior College 1 and Secondary 1.
3. At least one active fee component exists for the school.</t>
        </is>
      </c>
      <c r="L279" s="17" t="inlineStr">
        <is>
          <t>Base request: name R4-AUTO-&lt;unique&gt;, Application open 2400-01-01 to 2400-06-30, Effective 2401-01-01 to 2401-12-31, budget 1000, nationality SC, PCI 0 to 1000, one fee component with 10 percent for each grade, publish false. GHI on with ghiFrom null, ghiTo 100, operator OR.</t>
        </is>
      </c>
      <c r="M279" s="17" t="inlineStr">
        <is>
          <t>1. Send the base request with isGhiEnabled true, ghiFrom null, ghiTo 100 and incomeOperator OR.</t>
        </is>
      </c>
      <c r="N279" s="17" t="inlineStr">
        <is>
          <t>1. Refused with 400 "ghiFrom is required when GHI is enabled.".</t>
        </is>
      </c>
      <c r="O279" s="17" t="inlineStr">
        <is>
          <t>Run 26/10/2026 (localhost build, API through the admin portal proxy). Accepted: 201. Same cause as the PCI case.</t>
        </is>
      </c>
      <c r="P279" s="17" t="inlineStr">
        <is>
          <t>N/A</t>
        </is>
      </c>
      <c r="Q279" s="17" t="inlineStr">
        <is>
          <t>BUG-R4-007</t>
        </is>
      </c>
      <c r="R279" s="17" t="inlineStr">
        <is>
          <t>Validation rules R4 (R4_FAS_Validation_Rules_EN.docx) VR-WIZ-10; backend rule ghiFrom is required</t>
        </is>
      </c>
      <c r="S279" s="17" t="inlineStr"/>
      <c r="T279" s="16" t="inlineStr">
        <is>
          <t>Approve</t>
        </is>
      </c>
    </row>
    <row r="280" ht="252.5" customHeight="1" s="14">
      <c r="A280" s="16" t="inlineStr">
        <is>
          <t>TC-279</t>
        </is>
      </c>
      <c r="B280" s="16" t="inlineStr">
        <is>
          <t>TS-058</t>
        </is>
      </c>
      <c r="C280" s="17" t="inlineStr">
        <is>
          <t>SBFAS band values are not negative and To is not below From</t>
        </is>
      </c>
      <c r="D280" s="17" t="inlineStr">
        <is>
          <t>F4.14 New scheme wizard</t>
        </is>
      </c>
      <c r="E280" s="17" t="inlineStr">
        <is>
          <t>SBFAS scheme API (School Admin)</t>
        </is>
      </c>
      <c r="F280" s="16" t="inlineStr">
        <is>
          <t>S2</t>
        </is>
      </c>
      <c r="G280" s="16" t="inlineStr">
        <is>
          <t>High</t>
        </is>
      </c>
      <c r="H280" s="16" t="inlineStr">
        <is>
          <t>Passed</t>
        </is>
      </c>
      <c r="I280" s="16" t="inlineStr">
        <is>
          <t>API</t>
        </is>
      </c>
      <c r="J280" s="17" t="inlineStr">
        <is>
          <t>Localhost build (branch codesprint2ending), gateway http://localhost:5273 through the admin portal proxy
Requests sent with the session cookie of the signed in user
Needs: none</t>
        </is>
      </c>
      <c r="K280" s="17" t="inlineStr">
        <is>
          <t>1. The localhost stack is running.
2. Signed in as School user school (Thi H Bui), Raffles Institution (SCH-001) with two active grades: Junior College 1 and Secondary 1.
3. At least one active fee component exists for the school.</t>
        </is>
      </c>
      <c r="L280" s="17" t="inlineStr">
        <is>
          <t>Base request: name R4-AUTO-&lt;unique&gt;, Application open 2400-01-01 to 2400-06-30, Effective 2401-01-01 to 2401-12-31, budget 1000, nationality SC, PCI 0 to 1000, one fee component with 10 percent for each grade, publish false. ghiFrom -5; pciFrom -1; pciFrom 500 with pciTo 100; ghiFrom 500 with ghiTo 100; pciTo null.</t>
        </is>
      </c>
      <c r="M280" s="17" t="inlineStr">
        <is>
          <t>1. Send each wrong value in its own request.
2. Send pciTo null.</t>
        </is>
      </c>
      <c r="N280" s="17" t="inlineStr">
        <is>
          <t>1. Each wrong value is refused with 400: "ghiFrom must be &gt;= 0.", "pciFrom must be &gt;= 0.", "pciTo must be &gt;= pciFrom.", "ghiTo must be &gt;= ghiFrom.".
2. An empty To is accepted (no upper limit).</t>
        </is>
      </c>
      <c r="O280" s="17" t="inlineStr">
        <is>
          <t>Run 26/10/2026 (localhost build, API through the admin portal proxy). The four wrong values returned 400 with the listed messages. pciTo null: 201.</t>
        </is>
      </c>
      <c r="P280" s="17" t="inlineStr">
        <is>
          <t>N/A</t>
        </is>
      </c>
      <c r="Q280" s="17" t="n"/>
      <c r="R280" s="17" t="inlineStr">
        <is>
          <t>Validation rules R4 (R4_FAS_Validation_Rules_EN.docx) VR-WIZ-10, VR-WIZ-11</t>
        </is>
      </c>
      <c r="S280" s="17" t="inlineStr"/>
      <c r="T280" s="16" t="inlineStr">
        <is>
          <t>Approve</t>
        </is>
      </c>
    </row>
    <row r="281" ht="165.5" customHeight="1" s="14">
      <c r="A281" s="16" t="inlineStr">
        <is>
          <t>TC-280</t>
        </is>
      </c>
      <c r="B281" s="16" t="inlineStr">
        <is>
          <t>TS-058</t>
        </is>
      </c>
      <c r="C281" s="17" t="inlineStr">
        <is>
          <t>SBFAS match rule is needed when both bands are on</t>
        </is>
      </c>
      <c r="D281" s="17" t="inlineStr">
        <is>
          <t>F4.14 New scheme wizard</t>
        </is>
      </c>
      <c r="E281" s="17" t="inlineStr">
        <is>
          <t>SBFAS scheme API (School Admin)</t>
        </is>
      </c>
      <c r="F281" s="16" t="inlineStr">
        <is>
          <t>S2</t>
        </is>
      </c>
      <c r="G281" s="16" t="inlineStr">
        <is>
          <t>High</t>
        </is>
      </c>
      <c r="H281" s="16" t="inlineStr">
        <is>
          <t>Passed</t>
        </is>
      </c>
      <c r="I281" s="16" t="inlineStr">
        <is>
          <t>API</t>
        </is>
      </c>
      <c r="J281" s="17" t="inlineStr">
        <is>
          <t>Localhost build (branch codesprint2ending), gateway http://localhost:5273 through the admin portal proxy
Requests sent with the session cookie of the signed in user
Needs: none</t>
        </is>
      </c>
      <c r="K281" s="17" t="inlineStr">
        <is>
          <t>1. The localhost stack is running.
2. Signed in as School user school (Thi H Bui), Raffles Institution (SCH-001) with two active grades: Junior College 1 and Secondary 1.
3. At least one active fee component exists for the school.</t>
        </is>
      </c>
      <c r="L281" s="17" t="inlineStr">
        <is>
          <t>Base request: name R4-AUTO-&lt;unique&gt;, Application open 2400-01-01 to 2400-06-30, Effective 2401-01-01 to 2401-12-31, budget 1000, nationality SC, PCI 0 to 1000, one fee component with 10 percent for each grade, publish false. Operators: null, XOR, AND.</t>
        </is>
      </c>
      <c r="M281" s="17" t="inlineStr">
        <is>
          <t>1. Send the base request with GHI and PCI both on and incomeOperator null.
2. Send it with XOR.
3. Send it with AND.</t>
        </is>
      </c>
      <c r="N281" s="17" t="inlineStr">
        <is>
          <t>1. 400 "incomeOperator is required when both GHI and PCI are enabled.".
2. 400 "incomeOperator must be 'AND' or 'OR'.".
3. Accepted.</t>
        </is>
      </c>
      <c r="O281" s="17" t="inlineStr">
        <is>
          <t>Run 26/10/2026 (localhost build, API through the admin portal proxy). null and XOR returned 400 with the listed messages. AND: 201.</t>
        </is>
      </c>
      <c r="P281" s="17" t="inlineStr">
        <is>
          <t>N/A</t>
        </is>
      </c>
      <c r="Q281" s="17" t="n"/>
      <c r="R281" s="17" t="inlineStr">
        <is>
          <t>Validation rules R4 (R4_FAS_Validation_Rules_EN.docx) VR-WIZ-12</t>
        </is>
      </c>
      <c r="S281" s="17" t="inlineStr"/>
      <c r="T281" s="16" t="inlineStr">
        <is>
          <t>Approve</t>
        </is>
      </c>
    </row>
    <row r="282" ht="151" customHeight="1" s="14">
      <c r="A282" s="16" t="inlineStr">
        <is>
          <t>TC-281</t>
        </is>
      </c>
      <c r="B282" s="16" t="inlineStr">
        <is>
          <t>TS-058</t>
        </is>
      </c>
      <c r="C282" s="17" t="inlineStr">
        <is>
          <t>SBFAS scheme context accepts 1000 characters and refuses 1001</t>
        </is>
      </c>
      <c r="D282" s="17" t="inlineStr">
        <is>
          <t>F4.14 New scheme wizard</t>
        </is>
      </c>
      <c r="E282" s="17" t="inlineStr">
        <is>
          <t>SBFAS scheme API (School Admin)</t>
        </is>
      </c>
      <c r="F282" s="16" t="inlineStr">
        <is>
          <t>S3</t>
        </is>
      </c>
      <c r="G282" s="16" t="inlineStr">
        <is>
          <t>Medium</t>
        </is>
      </c>
      <c r="H282" s="16" t="inlineStr">
        <is>
          <t>Passed</t>
        </is>
      </c>
      <c r="I282" s="16" t="inlineStr">
        <is>
          <t>API</t>
        </is>
      </c>
      <c r="J282" s="17" t="inlineStr">
        <is>
          <t>Localhost build (branch codesprint2ending), gateway http://localhost:5273 through the admin portal proxy
Requests sent with the session cookie of the signed in user
Needs: none</t>
        </is>
      </c>
      <c r="K282" s="17" t="inlineStr">
        <is>
          <t>1. The localhost stack is running.
2. Signed in as School user school (Thi H Bui), Raffles Institution (SCH-001) with two active grades: Junior College 1 and Secondary 1.
3. At least one active fee component exists for the school.</t>
        </is>
      </c>
      <c r="L282" s="17" t="inlineStr">
        <is>
          <t>Base request: name R4-AUTO-&lt;unique&gt;, Application open 2400-01-01 to 2400-06-30, Effective 2401-01-01 to 2401-12-31, budget 1000, nationality SC, PCI 0 to 1000, one fee component with 10 percent for each grade, publish false. eligibilityDescription of 1000 and 1001 characters.</t>
        </is>
      </c>
      <c r="M282" s="17" t="inlineStr">
        <is>
          <t>1. Send the base request with a context of 1000 characters.
2. Send it with 1001 characters.</t>
        </is>
      </c>
      <c r="N282" s="17" t="inlineStr">
        <is>
          <t>1. Accepted.
2. Refused with 400 "eligibilityDescription must not exceed 1000 characters.".</t>
        </is>
      </c>
      <c r="O282" s="17" t="inlineStr">
        <is>
          <t>Run 26/10/2026 (localhost build, API through the admin portal proxy). 1000: 201. 1001: 400 "eligibilityDescription must not exceed 1000 characters.".</t>
        </is>
      </c>
      <c r="P282" s="17" t="inlineStr">
        <is>
          <t>N/A</t>
        </is>
      </c>
      <c r="Q282" s="17" t="n"/>
      <c r="R282" s="17" t="inlineStr">
        <is>
          <t>Backend CreateSbfasSchemeValidator; sbfas_schemes.eligibility_description NVARCHAR(1000)</t>
        </is>
      </c>
      <c r="S282" s="17" t="inlineStr"/>
      <c r="T282" s="16" t="inlineStr">
        <is>
          <t>Approve</t>
        </is>
      </c>
    </row>
    <row r="283" ht="151" customHeight="1" s="14">
      <c r="A283" s="16" t="inlineStr">
        <is>
          <t>TC-282</t>
        </is>
      </c>
      <c r="B283" s="16" t="inlineStr">
        <is>
          <t>TS-059</t>
        </is>
      </c>
      <c r="C283" s="17" t="inlineStr">
        <is>
          <t>SBFAS scheme needs a fee component with at least one grade</t>
        </is>
      </c>
      <c r="D283" s="17" t="inlineStr">
        <is>
          <t>F4.14 New scheme wizard</t>
        </is>
      </c>
      <c r="E283" s="17" t="inlineStr">
        <is>
          <t>SBFAS scheme API (School Admin)</t>
        </is>
      </c>
      <c r="F283" s="16" t="inlineStr">
        <is>
          <t>S2</t>
        </is>
      </c>
      <c r="G283" s="16" t="inlineStr">
        <is>
          <t>High</t>
        </is>
      </c>
      <c r="H283" s="16" t="inlineStr">
        <is>
          <t>Passed</t>
        </is>
      </c>
      <c r="I283" s="16" t="inlineStr">
        <is>
          <t>API</t>
        </is>
      </c>
      <c r="J283" s="17" t="inlineStr">
        <is>
          <t>Localhost build (branch codesprint2ending), gateway http://localhost:5273 through the admin portal proxy
Requests sent with the session cookie of the signed in user
Needs: none</t>
        </is>
      </c>
      <c r="K283" s="17" t="inlineStr">
        <is>
          <t>1. The localhost stack is running.
2. Signed in as School user school (Thi H Bui), Raffles Institution (SCH-001) with two active grades: Junior College 1 and Secondary 1.
3. At least one active fee component exists for the school.</t>
        </is>
      </c>
      <c r="L283" s="17" t="inlineStr">
        <is>
          <t>Base request: name R4-AUTO-&lt;unique&gt;, Application open 2400-01-01 to 2400-06-30, Effective 2401-01-01 to 2401-12-31, budget 1000, nationality SC, PCI 0 to 1000, one fee component with 10 percent for each grade, publish false. feeComponents [] and a component with items [].</t>
        </is>
      </c>
      <c r="M283" s="17" t="inlineStr">
        <is>
          <t>1. Send the base request with feeComponents [].
2. Send it with one component and items [].</t>
        </is>
      </c>
      <c r="N283" s="17" t="inlineStr">
        <is>
          <t>1. 400 "At least one fee component is required.".
2. 400 "Each fee component needs at least one item.".</t>
        </is>
      </c>
      <c r="O283" s="17" t="inlineStr">
        <is>
          <t>Run 26/10/2026 (localhost build, API through the admin portal proxy). Both returned 400 with the listed messages.</t>
        </is>
      </c>
      <c r="P283" s="17" t="inlineStr">
        <is>
          <t>N/A</t>
        </is>
      </c>
      <c r="Q283" s="17" t="n"/>
      <c r="R283" s="17" t="inlineStr">
        <is>
          <t>Validation rules R4 (R4_FAS_Validation_Rules_EN.docx) VR-WIZ-14</t>
        </is>
      </c>
      <c r="S283" s="17" t="inlineStr"/>
      <c r="T283" s="16" t="inlineStr">
        <is>
          <t>Approve</t>
        </is>
      </c>
    </row>
    <row r="284" ht="151" customHeight="1" s="14">
      <c r="A284" s="16" t="inlineStr">
        <is>
          <t>TC-283</t>
        </is>
      </c>
      <c r="B284" s="16" t="inlineStr">
        <is>
          <t>TS-059</t>
        </is>
      </c>
      <c r="C284" s="17" t="inlineStr">
        <is>
          <t>SBFAS percentage accepts 0 to 100 and refuses values outside</t>
        </is>
      </c>
      <c r="D284" s="17" t="inlineStr">
        <is>
          <t>F4.14 New scheme wizard</t>
        </is>
      </c>
      <c r="E284" s="17" t="inlineStr">
        <is>
          <t>SBFAS scheme API (School Admin)</t>
        </is>
      </c>
      <c r="F284" s="16" t="inlineStr">
        <is>
          <t>S1 (highest)</t>
        </is>
      </c>
      <c r="G284" s="16" t="inlineStr">
        <is>
          <t>High</t>
        </is>
      </c>
      <c r="H284" s="16" t="inlineStr">
        <is>
          <t>Passed</t>
        </is>
      </c>
      <c r="I284" s="16" t="inlineStr">
        <is>
          <t>API</t>
        </is>
      </c>
      <c r="J284" s="17" t="inlineStr">
        <is>
          <t>Localhost build (branch codesprint2ending), gateway http://localhost:5273 through the admin portal proxy
Requests sent with the session cookie of the signed in user
Needs: none</t>
        </is>
      </c>
      <c r="K284" s="17" t="inlineStr">
        <is>
          <t>1. The localhost stack is running.
2. Signed in as School user school (Thi H Bui), Raffles Institution (SCH-001) with two active grades: Junior College 1 and Secondary 1.
3. At least one active fee component exists for the school.</t>
        </is>
      </c>
      <c r="L284" s="17" t="inlineStr">
        <is>
          <t>Base request: name R4-AUTO-&lt;unique&gt;, Application open 2400-01-01 to 2400-06-30, Effective 2401-01-01 to 2401-12-31, budget 1000, nationality SC, PCI 0 to 1000, one fee component with 10 percent for each grade, publish false. Percentages -1, 101, 0 and 100.</t>
        </is>
      </c>
      <c r="M284" s="17" t="inlineStr">
        <is>
          <t>1. Send the base request with -1 for every grade.
2. Send it with 101.
3. Send it with 0 for one grade and 100 for the other.</t>
        </is>
      </c>
      <c r="N284" s="17" t="inlineStr">
        <is>
          <t>1. and 2. Refused with 400 "subsidyPercentage must be between 0 and 100.".
3. Accepted.</t>
        </is>
      </c>
      <c r="O284" s="17" t="inlineStr">
        <is>
          <t>Run 26/10/2026 (localhost build, API through the admin portal proxy). -1 and 101: 400 with the expected message. 0 and 100: 201.</t>
        </is>
      </c>
      <c r="P284" s="17" t="inlineStr">
        <is>
          <t>N/A</t>
        </is>
      </c>
      <c r="Q284" s="17" t="n"/>
      <c r="R284" s="17" t="inlineStr">
        <is>
          <t>Validation rules R4 (R4_FAS_Validation_Rules_EN.docx) VR-WIZ-15</t>
        </is>
      </c>
      <c r="S284" s="17" t="inlineStr"/>
      <c r="T284" s="16" t="inlineStr">
        <is>
          <t>Approve</t>
        </is>
      </c>
    </row>
    <row r="285" ht="151" customHeight="1" s="14">
      <c r="A285" s="16" t="inlineStr">
        <is>
          <t>TC-284</t>
        </is>
      </c>
      <c r="B285" s="16" t="inlineStr">
        <is>
          <t>TS-059</t>
        </is>
      </c>
      <c r="C285" s="17" t="inlineStr">
        <is>
          <t>SBFAS percentage accepts at most two decimals</t>
        </is>
      </c>
      <c r="D285" s="17" t="inlineStr">
        <is>
          <t>F4.14 New scheme wizard</t>
        </is>
      </c>
      <c r="E285" s="17" t="inlineStr">
        <is>
          <t>SBFAS scheme API (School Admin)</t>
        </is>
      </c>
      <c r="F285" s="16" t="inlineStr">
        <is>
          <t>S2</t>
        </is>
      </c>
      <c r="G285" s="16" t="inlineStr">
        <is>
          <t>Medium</t>
        </is>
      </c>
      <c r="H285" s="16" t="inlineStr">
        <is>
          <t>Passed</t>
        </is>
      </c>
      <c r="I285" s="16" t="inlineStr">
        <is>
          <t>API</t>
        </is>
      </c>
      <c r="J285" s="17" t="inlineStr">
        <is>
          <t>Localhost build (branch codesprint2ending), gateway http://localhost:5273 through the admin portal proxy
Requests sent with the session cookie of the signed in user
Needs: none</t>
        </is>
      </c>
      <c r="K285" s="17" t="inlineStr">
        <is>
          <t>1. The localhost stack is running.
2. Signed in as School user school (Thi H Bui), Raffles Institution (SCH-001) with two active grades: Junior College 1 and Secondary 1.
3. At least one active fee component exists for the school.</t>
        </is>
      </c>
      <c r="L285" s="17" t="inlineStr">
        <is>
          <t>Base request: name R4-AUTO-&lt;unique&gt;, Application open 2400-01-01 to 2400-06-30, Effective 2401-01-01 to 2401-12-31, budget 1000, nationality SC, PCI 0 to 1000, one fee component with 10 percent for each grade, publish false. Percentages 33.333 and 33.33.</t>
        </is>
      </c>
      <c r="M285" s="17" t="inlineStr">
        <is>
          <t>1. Send the base request with 33.333 for every grade.
2. Send it with 33.33.</t>
        </is>
      </c>
      <c r="N285" s="17" t="inlineStr">
        <is>
          <t>1. Refused with 400 "subsidyPercentage must have at most 2 decimals.".
2. Accepted.</t>
        </is>
      </c>
      <c r="O285" s="17" t="inlineStr">
        <is>
          <t>Run 26/10/2026 (localhost build, API through the admin portal proxy). 33.333: 400 "subsidyPercentage must have at most 2 decimals.". 33.33: 201.</t>
        </is>
      </c>
      <c r="P285" s="17" t="inlineStr">
        <is>
          <t>N/A</t>
        </is>
      </c>
      <c r="Q285" s="17" t="n"/>
      <c r="R285" s="17" t="inlineStr">
        <is>
          <t>Validation rules R4 (R4_FAS_Validation_Rules_EN.docx) VR-WIZ-15</t>
        </is>
      </c>
      <c r="S285" s="17" t="inlineStr"/>
      <c r="T285" s="16" t="inlineStr">
        <is>
          <t>Approve</t>
        </is>
      </c>
    </row>
    <row r="286" ht="180" customHeight="1" s="14">
      <c r="A286" s="16" t="inlineStr">
        <is>
          <t>TC-285</t>
        </is>
      </c>
      <c r="B286" s="16" t="inlineStr">
        <is>
          <t>TS-059</t>
        </is>
      </c>
      <c r="C286" s="17" t="inlineStr">
        <is>
          <t>SBFAS refuses a fee component or a grade that is listed twice</t>
        </is>
      </c>
      <c r="D286" s="17" t="inlineStr">
        <is>
          <t>F4.14 New scheme wizard</t>
        </is>
      </c>
      <c r="E286" s="17" t="inlineStr">
        <is>
          <t>SBFAS scheme API (School Admin)</t>
        </is>
      </c>
      <c r="F286" s="16" t="inlineStr">
        <is>
          <t>S2</t>
        </is>
      </c>
      <c r="G286" s="16" t="inlineStr">
        <is>
          <t>Medium</t>
        </is>
      </c>
      <c r="H286" s="16" t="inlineStr">
        <is>
          <t>Passed</t>
        </is>
      </c>
      <c r="I286" s="16" t="inlineStr">
        <is>
          <t>API</t>
        </is>
      </c>
      <c r="J286" s="17" t="inlineStr">
        <is>
          <t>Localhost build (branch codesprint2ending), gateway http://localhost:5273 through the admin portal proxy
Requests sent with the session cookie of the signed in user
Needs: none</t>
        </is>
      </c>
      <c r="K286" s="17" t="inlineStr">
        <is>
          <t>1. The localhost stack is running.
2. Signed in as School user school (Thi H Bui), Raffles Institution (SCH-001) with two active grades: Junior College 1 and Secondary 1.
3. At least one active fee component exists for the school.</t>
        </is>
      </c>
      <c r="L286" s="17" t="inlineStr">
        <is>
          <t>Base request: name R4-AUTO-&lt;unique&gt;, Application open 2400-01-01 to 2400-06-30, Effective 2401-01-01 to 2401-12-31, budget 1000, nationality SC, PCI 0 to 1000, one fee component with 10 percent for each grade, publish false. The same fee component twice; the same grade twice in one component.</t>
        </is>
      </c>
      <c r="M286" s="17" t="inlineStr">
        <is>
          <t>1. Send the base request with the same feeComponentId in two entries.
2. Send it with one grade twice in the items of a component.</t>
        </is>
      </c>
      <c r="N286" s="17" t="inlineStr">
        <is>
          <t>1. 400 "feeComponents must not contain duplicate feeComponentId.".
2. 400 "academicLevelId must not be duplicated within a fee component.".</t>
        </is>
      </c>
      <c r="O286" s="17" t="inlineStr">
        <is>
          <t>Run 26/10/2026 (localhost build, API through the admin portal proxy). Both returned 400 with the listed messages.</t>
        </is>
      </c>
      <c r="P286" s="17" t="inlineStr">
        <is>
          <t>N/A</t>
        </is>
      </c>
      <c r="Q286" s="17" t="n"/>
      <c r="R286" s="17" t="inlineStr">
        <is>
          <t>Backend CreateSbfasSchemeValidator</t>
        </is>
      </c>
      <c r="S286" s="17" t="inlineStr"/>
      <c r="T286" s="16" t="inlineStr">
        <is>
          <t>Approve</t>
        </is>
      </c>
    </row>
    <row r="287" ht="165.5" customHeight="1" s="14">
      <c r="A287" s="16" t="inlineStr">
        <is>
          <t>TC-286</t>
        </is>
      </c>
      <c r="B287" s="16" t="inlineStr">
        <is>
          <t>TS-059</t>
        </is>
      </c>
      <c r="C287" s="17" t="inlineStr">
        <is>
          <t>SBFAS refuses a fee component that does not exist</t>
        </is>
      </c>
      <c r="D287" s="17" t="inlineStr">
        <is>
          <t>F4.14 New scheme wizard</t>
        </is>
      </c>
      <c r="E287" s="17" t="inlineStr">
        <is>
          <t>SBFAS scheme API (School Admin)</t>
        </is>
      </c>
      <c r="F287" s="16" t="inlineStr">
        <is>
          <t>S2</t>
        </is>
      </c>
      <c r="G287" s="16" t="inlineStr">
        <is>
          <t>High</t>
        </is>
      </c>
      <c r="H287" s="16" t="inlineStr">
        <is>
          <t>Failed</t>
        </is>
      </c>
      <c r="I287" s="16" t="inlineStr">
        <is>
          <t>API</t>
        </is>
      </c>
      <c r="J287" s="17" t="inlineStr">
        <is>
          <t>Localhost build (branch codesprint2ending), gateway http://localhost:5273 through the admin portal proxy
Requests sent with the session cookie of the signed in user
Needs: none</t>
        </is>
      </c>
      <c r="K287" s="17" t="inlineStr">
        <is>
          <t>1. The localhost stack is running.
2. Signed in as School user school (Thi H Bui), Raffles Institution (SCH-001) with two active grades: Junior College 1 and Secondary 1.
3. At least one active fee component exists for the school.</t>
        </is>
      </c>
      <c r="L287" s="17" t="inlineStr">
        <is>
          <t>Base request: name R4-AUTO-&lt;unique&gt;, Application open 2400-01-01 to 2400-06-30, Effective 2401-01-01 to 2401-12-31, budget 1000, nationality SC, PCI 0 to 1000, one fee component with 10 percent for each grade, publish false. feeComponentId 00000000-0000-0000-0000-000000000099 (also tried on MOEFAS).</t>
        </is>
      </c>
      <c r="M287" s="17" t="inlineStr">
        <is>
          <t>1. Send the base request with an unknown feeComponentId.
2. Send the MOEFAS base request with an unknown feeComponentId as MOE HQ.</t>
        </is>
      </c>
      <c r="N287" s="17" t="inlineStr">
        <is>
          <t>1. Refused with a 400 or 404 that says the fee component does not exist.
2. Same for MOEFAS.</t>
        </is>
      </c>
      <c r="O287" s="17" t="inlineStr">
        <is>
          <t>Run 26/10/2026 (localhost build, API through the admin portal proxy). SBFAS create returned 201 and saved the unknown id. MOEFAS create also returned 201. No check against the fee components of Function 3.</t>
        </is>
      </c>
      <c r="P287" s="17" t="inlineStr">
        <is>
          <t>N/A</t>
        </is>
      </c>
      <c r="Q287" s="17" t="inlineStr">
        <is>
          <t>BUG-R4-008</t>
        </is>
      </c>
      <c r="R287" s="17" t="inlineStr">
        <is>
          <t>Data integrity; FS F4 v1.3 7.2 step 3 (only active fee components of Function 3)</t>
        </is>
      </c>
      <c r="S287" s="17" t="inlineStr"/>
      <c r="T287" s="16" t="inlineStr">
        <is>
          <t>Approve</t>
        </is>
      </c>
    </row>
    <row r="288" ht="136.5" customHeight="1" s="14">
      <c r="A288" s="16" t="inlineStr">
        <is>
          <t>TC-287</t>
        </is>
      </c>
      <c r="B288" s="16" t="inlineStr">
        <is>
          <t>TS-059</t>
        </is>
      </c>
      <c r="C288" s="17" t="inlineStr">
        <is>
          <t>SBFAS refuses a grade that is not offered by the school</t>
        </is>
      </c>
      <c r="D288" s="17" t="inlineStr">
        <is>
          <t>F4.14 New scheme wizard</t>
        </is>
      </c>
      <c r="E288" s="17" t="inlineStr">
        <is>
          <t>SBFAS scheme API (School Admin)</t>
        </is>
      </c>
      <c r="F288" s="16" t="inlineStr">
        <is>
          <t>S2</t>
        </is>
      </c>
      <c r="G288" s="16" t="inlineStr">
        <is>
          <t>High</t>
        </is>
      </c>
      <c r="H288" s="16" t="inlineStr">
        <is>
          <t>Failed</t>
        </is>
      </c>
      <c r="I288" s="16" t="inlineStr">
        <is>
          <t>API</t>
        </is>
      </c>
      <c r="J288" s="17" t="inlineStr">
        <is>
          <t>Localhost build (branch codesprint2ending), gateway http://localhost:5273 through the admin portal proxy
Requests sent with the session cookie of the signed in user
Needs: none</t>
        </is>
      </c>
      <c r="K288" s="17" t="inlineStr">
        <is>
          <t>1. The localhost stack is running.
2. Signed in as School user school (Thi H Bui), Raffles Institution (SCH-001) with two active grades: Junior College 1 and Secondary 1.
3. At least one active fee component exists for the school.</t>
        </is>
      </c>
      <c r="L288" s="17" t="inlineStr">
        <is>
          <t>Base request: name R4-AUTO-&lt;unique&gt;, Application open 2400-01-01 to 2400-06-30, Effective 2401-01-01 to 2401-12-31, budget 1000, nationality SC, PCI 0 to 1000, one fee component with 10 percent for each grade, publish false. academicLevelId AL-NOPE.</t>
        </is>
      </c>
      <c r="M288" s="17" t="inlineStr">
        <is>
          <t>1. Send the base request with one item whose academicLevelId is AL-NOPE.</t>
        </is>
      </c>
      <c r="N288" s="17" t="inlineStr">
        <is>
          <t>1. Refused with a 400 or 404 that says the grade does not exist for the school.</t>
        </is>
      </c>
      <c r="O288" s="17" t="inlineStr">
        <is>
          <t>Run 26/10/2026 (localhost build, API through the admin portal proxy). Accepted: 201. The unknown grade was saved with the scheme.</t>
        </is>
      </c>
      <c r="P288" s="17" t="inlineStr">
        <is>
          <t>N/A</t>
        </is>
      </c>
      <c r="Q288" s="17" t="inlineStr">
        <is>
          <t>BUG-R4-008</t>
        </is>
      </c>
      <c r="R288" s="17" t="inlineStr">
        <is>
          <t>Data integrity; FS F4 v1.3 7.2 step 3 (grades of the school)</t>
        </is>
      </c>
      <c r="S288" s="17" t="inlineStr"/>
      <c r="T288" s="16" t="inlineStr">
        <is>
          <t>Approve</t>
        </is>
      </c>
    </row>
    <row r="289" ht="165.5" customHeight="1" s="14">
      <c r="A289" s="16" t="inlineStr">
        <is>
          <t>TC-288</t>
        </is>
      </c>
      <c r="B289" s="16" t="inlineStr">
        <is>
          <t>TS-059</t>
        </is>
      </c>
      <c r="C289" s="17" t="inlineStr">
        <is>
          <t>SBFAS needs a percentage for every active grade of the school</t>
        </is>
      </c>
      <c r="D289" s="17" t="inlineStr">
        <is>
          <t>F4.14 New scheme wizard</t>
        </is>
      </c>
      <c r="E289" s="17" t="inlineStr">
        <is>
          <t>SBFAS scheme API (School Admin)</t>
        </is>
      </c>
      <c r="F289" s="16" t="inlineStr">
        <is>
          <t>S2</t>
        </is>
      </c>
      <c r="G289" s="16" t="inlineStr">
        <is>
          <t>Medium</t>
        </is>
      </c>
      <c r="H289" s="16" t="inlineStr">
        <is>
          <t>Failed</t>
        </is>
      </c>
      <c r="I289" s="16" t="inlineStr">
        <is>
          <t>API</t>
        </is>
      </c>
      <c r="J289" s="17" t="inlineStr">
        <is>
          <t>Localhost build (branch codesprint2ending), gateway http://localhost:5273 through the admin portal proxy
Requests sent with the session cookie of the signed in user
Needs: none</t>
        </is>
      </c>
      <c r="K289" s="17" t="inlineStr">
        <is>
          <t>1. The localhost stack is running.
2. Signed in as School user school (Thi H Bui), Raffles Institution (SCH-001) with two active grades: Junior College 1 and Secondary 1.
3. At least one active fee component exists for the school.</t>
        </is>
      </c>
      <c r="L289" s="17" t="inlineStr">
        <is>
          <t>Base request: name R4-AUTO-&lt;unique&gt;, Application open 2400-01-01 to 2400-06-30, Effective 2401-01-01 to 2401-12-31, budget 1000, nationality SC, PCI 0 to 1000, one fee component with 10 percent for each grade, publish false. Items for Junior College 1 only, the school also offers Secondary 1.</t>
        </is>
      </c>
      <c r="M289" s="17" t="inlineStr">
        <is>
          <t>1. Send the base request with items for Junior College 1 only.</t>
        </is>
      </c>
      <c r="N289" s="17" t="inlineStr">
        <is>
          <t>1. Refused: every active grade needs a value (0 percent if none).</t>
        </is>
      </c>
      <c r="O289" s="17" t="inlineStr">
        <is>
          <t>Run 26/10/2026 (localhost build, API through the admin portal proxy). Accepted: 201. The wizard blocks an empty cell ("Enter a subsidy percentage for every active level.") but the API does not.</t>
        </is>
      </c>
      <c r="P289" s="17" t="inlineStr">
        <is>
          <t>N/A</t>
        </is>
      </c>
      <c r="Q289" s="17" t="inlineStr">
        <is>
          <t>BUG-R4-009</t>
        </is>
      </c>
      <c r="R289" s="17" t="inlineStr">
        <is>
          <t>Validation rules R4 (R4_FAS_Validation_Rules_EN.docx) VR-WIZ-17</t>
        </is>
      </c>
      <c r="S289" s="17" t="inlineStr"/>
      <c r="T289" s="16" t="inlineStr">
        <is>
          <t>Approve</t>
        </is>
      </c>
    </row>
    <row r="290" ht="165.5" customHeight="1" s="14">
      <c r="A290" s="16" t="inlineStr">
        <is>
          <t>TC-289</t>
        </is>
      </c>
      <c r="B290" s="16" t="inlineStr">
        <is>
          <t>TS-061</t>
        </is>
      </c>
      <c r="C290" s="17" t="inlineStr">
        <is>
          <t>Add fee API refuses percentages outside 0 to 100 and more than two decimals</t>
        </is>
      </c>
      <c r="D290" s="17" t="inlineStr">
        <is>
          <t>F4.16 Add fee to a published scheme</t>
        </is>
      </c>
      <c r="E290" s="17" t="inlineStr">
        <is>
          <t>SBFAS scheme API (School Admin)</t>
        </is>
      </c>
      <c r="F290" s="16" t="inlineStr">
        <is>
          <t>S2</t>
        </is>
      </c>
      <c r="G290" s="16" t="inlineStr">
        <is>
          <t>High</t>
        </is>
      </c>
      <c r="H290" s="16" t="inlineStr">
        <is>
          <t>Passed</t>
        </is>
      </c>
      <c r="I290" s="16" t="inlineStr">
        <is>
          <t>API</t>
        </is>
      </c>
      <c r="J290" s="17" t="inlineStr">
        <is>
          <t>Localhost build (branch codesprint2ending), gateway http://localhost:5273 through the admin portal proxy
Requests sent with the session cookie of the signed in user
Needs: none</t>
        </is>
      </c>
      <c r="K290" s="17" t="inlineStr">
        <is>
          <t>1. The localhost stack is running.
2. Signed in as School user school (Thi H Bui), Raffles Institution (SCH-001) with two active grades: Junior College 1 and Secondary 1.
3. At least one active fee component exists for the school.</t>
        </is>
      </c>
      <c r="L290" s="17" t="inlineStr">
        <is>
          <t>Base request: name R4-AUTO-&lt;unique&gt;, Application open 2400-01-01 to 2400-06-30, Effective 2401-01-01 to 2401-12-31, budget 1000, nationality SC, PCI 0 to 1000, one fee component with 10 percent for each grade, publish false. Published scheme; new fee component with -1, 101 and 33.333.</t>
        </is>
      </c>
      <c r="M290" s="17" t="inlineStr">
        <is>
          <t>1. Create a Published scheme (publish true, budget 1000).
2. POST fee-components with -1 for every grade.
3. Repeat with 101.
4. Repeat with 33.333.</t>
        </is>
      </c>
      <c r="N290" s="17" t="inlineStr">
        <is>
          <t>1. and 2. 400 "subsidyPercentage must be between 0 and 100.".
3. 400 "subsidyPercentage must have at most 2 decimals.".</t>
        </is>
      </c>
      <c r="O290" s="17" t="inlineStr">
        <is>
          <t>Run 26/10/2026 (localhost build, API through the admin portal proxy). All three returned 400 with the listed messages.</t>
        </is>
      </c>
      <c r="P290" s="17" t="inlineStr">
        <is>
          <t>N/A</t>
        </is>
      </c>
      <c r="Q290" s="17" t="n"/>
      <c r="R290" s="17" t="inlineStr">
        <is>
          <t>Validation rules R4 (R4_FAS_Validation_Rules_EN.docx) VR-FEE-04</t>
        </is>
      </c>
      <c r="S290" s="17" t="inlineStr"/>
      <c r="T290" s="16" t="inlineStr">
        <is>
          <t>Approve</t>
        </is>
      </c>
    </row>
    <row r="291" ht="165.5" customHeight="1" s="14">
      <c r="A291" s="16" t="inlineStr">
        <is>
          <t>TC-290</t>
        </is>
      </c>
      <c r="B291" s="16" t="inlineStr">
        <is>
          <t>TS-061</t>
        </is>
      </c>
      <c r="C291" s="17" t="inlineStr">
        <is>
          <t>Add fee API needs at least one item and no repeated grade</t>
        </is>
      </c>
      <c r="D291" s="17" t="inlineStr">
        <is>
          <t>F4.16 Add fee to a published scheme</t>
        </is>
      </c>
      <c r="E291" s="17" t="inlineStr">
        <is>
          <t>SBFAS scheme API (School Admin)</t>
        </is>
      </c>
      <c r="F291" s="16" t="inlineStr">
        <is>
          <t>S3</t>
        </is>
      </c>
      <c r="G291" s="16" t="inlineStr">
        <is>
          <t>Medium</t>
        </is>
      </c>
      <c r="H291" s="16" t="inlineStr">
        <is>
          <t>Passed</t>
        </is>
      </c>
      <c r="I291" s="16" t="inlineStr">
        <is>
          <t>API</t>
        </is>
      </c>
      <c r="J291" s="17" t="inlineStr">
        <is>
          <t>Localhost build (branch codesprint2ending), gateway http://localhost:5273 through the admin portal proxy
Requests sent with the session cookie of the signed in user
Needs: none</t>
        </is>
      </c>
      <c r="K291" s="17" t="inlineStr">
        <is>
          <t>1. The localhost stack is running.
2. Signed in as School user school (Thi H Bui), Raffles Institution (SCH-001) with two active grades: Junior College 1 and Secondary 1.
3. At least one active fee component exists for the school.</t>
        </is>
      </c>
      <c r="L291" s="17" t="inlineStr">
        <is>
          <t>Base request: name R4-AUTO-&lt;unique&gt;, Application open 2400-01-01 to 2400-06-30, Effective 2401-01-01 to 2401-12-31, budget 1000, nationality SC, PCI 0 to 1000, one fee component with 10 percent for each grade, publish false. Items [] and one grade twice.</t>
        </is>
      </c>
      <c r="M291" s="17" t="inlineStr">
        <is>
          <t>1. POST fee-components with items [].
2. POST with one grade twice.</t>
        </is>
      </c>
      <c r="N291" s="17" t="inlineStr">
        <is>
          <t>1. 400 "At least one item is required.".
2. 400 "academicLevelId must not be duplicated within the fee component.".</t>
        </is>
      </c>
      <c r="O291" s="17" t="inlineStr">
        <is>
          <t>Run 26/10/2026 (localhost build, API through the admin portal proxy). Both returned 400 with the listed messages.</t>
        </is>
      </c>
      <c r="P291" s="17" t="inlineStr">
        <is>
          <t>N/A</t>
        </is>
      </c>
      <c r="Q291" s="17" t="n"/>
      <c r="R291" s="17" t="inlineStr">
        <is>
          <t>Validation rules R4 (R4_FAS_Validation_Rules_EN.docx) VR-FEE-04</t>
        </is>
      </c>
      <c r="S291" s="17" t="inlineStr"/>
      <c r="T291" s="16" t="inlineStr">
        <is>
          <t>Approve</t>
        </is>
      </c>
    </row>
    <row r="292" ht="151" customHeight="1" s="14">
      <c r="A292" s="16" t="inlineStr">
        <is>
          <t>TC-291</t>
        </is>
      </c>
      <c r="B292" s="16" t="inlineStr">
        <is>
          <t>TS-061</t>
        </is>
      </c>
      <c r="C292" s="17" t="inlineStr">
        <is>
          <t>Add fee API refuses a fee component already in the scheme</t>
        </is>
      </c>
      <c r="D292" s="17" t="inlineStr">
        <is>
          <t>F4.16 Add fee to a published scheme</t>
        </is>
      </c>
      <c r="E292" s="17" t="inlineStr">
        <is>
          <t>SBFAS scheme API (School Admin)</t>
        </is>
      </c>
      <c r="F292" s="16" t="inlineStr">
        <is>
          <t>S2</t>
        </is>
      </c>
      <c r="G292" s="16" t="inlineStr">
        <is>
          <t>High</t>
        </is>
      </c>
      <c r="H292" s="16" t="inlineStr">
        <is>
          <t>Passed</t>
        </is>
      </c>
      <c r="I292" s="16" t="inlineStr">
        <is>
          <t>API</t>
        </is>
      </c>
      <c r="J292" s="17" t="inlineStr">
        <is>
          <t>Localhost build (branch codesprint2ending), gateway http://localhost:5273 through the admin portal proxy
Requests sent with the session cookie of the signed in user
Needs: none</t>
        </is>
      </c>
      <c r="K292" s="17" t="inlineStr">
        <is>
          <t>1. The localhost stack is running.
2. Signed in as School user school (Thi H Bui), Raffles Institution (SCH-001) with two active grades: Junior College 1 and Secondary 1.
3. At least one active fee component exists for the school.</t>
        </is>
      </c>
      <c r="L292" s="17" t="inlineStr">
        <is>
          <t>Base request: name R4-AUTO-&lt;unique&gt;, Application open 2400-01-01 to 2400-06-30, Effective 2401-01-01 to 2401-12-31, budget 1000, nationality SC, PCI 0 to 1000, one fee component with 10 percent for each grade, publish false. The component of the base request posted again.</t>
        </is>
      </c>
      <c r="M292" s="17" t="inlineStr">
        <is>
          <t>1. POST fee-components with the feeComponentId that the scheme already has.</t>
        </is>
      </c>
      <c r="N292" s="17" t="inlineStr">
        <is>
          <t>1. Refused with 409 "This fee component is already configured for the scheme.".</t>
        </is>
      </c>
      <c r="O292" s="17" t="inlineStr">
        <is>
          <t>Run 26/10/2026 (localhost build, API through the admin portal proxy). 409 "This fee component is already configured for the scheme.".</t>
        </is>
      </c>
      <c r="P292" s="17" t="inlineStr">
        <is>
          <t>N/A</t>
        </is>
      </c>
      <c r="Q292" s="17" t="n"/>
      <c r="R292" s="17" t="inlineStr">
        <is>
          <t>Validation rules R4 (R4_FAS_Validation_Rules_EN.docx) VR-FEE-03, VR-FEE-05</t>
        </is>
      </c>
      <c r="S292" s="17" t="inlineStr"/>
      <c r="T292" s="16" t="inlineStr">
        <is>
          <t>Approve</t>
        </is>
      </c>
    </row>
    <row r="293" ht="165.5" customHeight="1" s="14">
      <c r="A293" s="16" t="inlineStr">
        <is>
          <t>TC-292</t>
        </is>
      </c>
      <c r="B293" s="16" t="inlineStr">
        <is>
          <t>TS-061</t>
        </is>
      </c>
      <c r="C293" s="17" t="inlineStr">
        <is>
          <t>Add fee API refuses a fee component or grade that does not exist</t>
        </is>
      </c>
      <c r="D293" s="17" t="inlineStr">
        <is>
          <t>F4.16 Add fee to a published scheme</t>
        </is>
      </c>
      <c r="E293" s="17" t="inlineStr">
        <is>
          <t>SBFAS scheme API (School Admin)</t>
        </is>
      </c>
      <c r="F293" s="16" t="inlineStr">
        <is>
          <t>S2</t>
        </is>
      </c>
      <c r="G293" s="16" t="inlineStr">
        <is>
          <t>High</t>
        </is>
      </c>
      <c r="H293" s="16" t="inlineStr">
        <is>
          <t>Failed</t>
        </is>
      </c>
      <c r="I293" s="16" t="inlineStr">
        <is>
          <t>API</t>
        </is>
      </c>
      <c r="J293" s="17" t="inlineStr">
        <is>
          <t>Localhost build (branch codesprint2ending), gateway http://localhost:5273 through the admin portal proxy
Requests sent with the session cookie of the signed in user
Needs: none</t>
        </is>
      </c>
      <c r="K293" s="17" t="inlineStr">
        <is>
          <t>1. The localhost stack is running.
2. Signed in as School user school (Thi H Bui), Raffles Institution (SCH-001) with two active grades: Junior College 1 and Secondary 1.
3. At least one active fee component exists for the school.</t>
        </is>
      </c>
      <c r="L293" s="17" t="inlineStr">
        <is>
          <t>Base request: name R4-AUTO-&lt;unique&gt;, Application open 2400-01-01 to 2400-06-30, Effective 2401-01-01 to 2401-12-31, budget 1000, nationality SC, PCI 0 to 1000, one fee component with 10 percent for each grade, publish false. Unknown feeComponentId; unknown academicLevelId AL-NOPE.</t>
        </is>
      </c>
      <c r="M293" s="17" t="inlineStr">
        <is>
          <t>1. POST fee-components with an unknown feeComponentId.
2. POST with a known component and academicLevelId AL-NOPE.</t>
        </is>
      </c>
      <c r="N293" s="17" t="inlineStr">
        <is>
          <t>1. and 2. Refused with a 400 or 404.</t>
        </is>
      </c>
      <c r="O293" s="17" t="inlineStr">
        <is>
          <t>Run 26/10/2026 (localhost build, API through the admin portal proxy). Both were accepted with 201 and saved on a Published scheme.</t>
        </is>
      </c>
      <c r="P293" s="17" t="inlineStr">
        <is>
          <t>N/A</t>
        </is>
      </c>
      <c r="Q293" s="17" t="inlineStr">
        <is>
          <t>BUG-R4-008</t>
        </is>
      </c>
      <c r="R293" s="17" t="inlineStr">
        <is>
          <t>Data integrity; Validation rules R4 (R4_FAS_Validation_Rules_EN.docx) VR-FEE-03</t>
        </is>
      </c>
      <c r="S293" s="17" t="inlineStr"/>
      <c r="T293" s="16" t="inlineStr">
        <is>
          <t>Approve</t>
        </is>
      </c>
    </row>
    <row r="294" ht="136.5" customHeight="1" s="14">
      <c r="A294" s="16" t="inlineStr">
        <is>
          <t>TC-293</t>
        </is>
      </c>
      <c r="B294" s="16" t="inlineStr">
        <is>
          <t>TS-060</t>
        </is>
      </c>
      <c r="C294" s="17" t="inlineStr">
        <is>
          <t>MOEFAS scheme name is required and at most 150 characters</t>
        </is>
      </c>
      <c r="D294" s="17" t="inlineStr">
        <is>
          <t>F4.14 New scheme wizard</t>
        </is>
      </c>
      <c r="E294" s="17" t="inlineStr">
        <is>
          <t>MOEFAS scheme API (MOE HQ)</t>
        </is>
      </c>
      <c r="F294" s="16" t="inlineStr">
        <is>
          <t>S2</t>
        </is>
      </c>
      <c r="G294" s="16" t="inlineStr">
        <is>
          <t>High</t>
        </is>
      </c>
      <c r="H294" s="16" t="inlineStr">
        <is>
          <t>Passed</t>
        </is>
      </c>
      <c r="I294" s="16" t="inlineStr">
        <is>
          <t>API</t>
        </is>
      </c>
      <c r="J294" s="17" t="inlineStr">
        <is>
          <t>Localhost build (branch codesprint2ending), gateway http://localhost:5273 through the admin portal proxy
Requests sent with the session cookie of the signed in user
Needs: none</t>
        </is>
      </c>
      <c r="K294" s="17" t="inlineStr">
        <is>
          <t>1. The localhost stack is running.
2. Signed in as MOE HQ user moehq.
3. At least one active fee component of Function 3 exists.</t>
        </is>
      </c>
      <c r="L294" s="17" t="inlineStr">
        <is>
          <t>Base request: status Draft, name R4-AUTO-&lt;unique&gt;, Form 3200-01-01 to 3200-06-30, Effective 3201-01-01 to 3201-12-31, PCI 0 to 1100, nationality SC, one fee component with 10 percent for each stage, budget 1000. Names: empty, 150 and 151 characters.</t>
        </is>
      </c>
      <c r="M294" s="17" t="inlineStr">
        <is>
          <t>1. Send the base request with name empty.
2. Send it with 150 characters.
3. Send it with 151 characters.</t>
        </is>
      </c>
      <c r="N294" s="17" t="inlineStr">
        <is>
          <t>1. 400 "Scheme name is required.".
2. Accepted.
3. 400 "Scheme name cannot exceed 150 characters.".</t>
        </is>
      </c>
      <c r="O294" s="17" t="inlineStr">
        <is>
          <t>Run 26/10/2026 (localhost build, API through the admin portal proxy). 400, 201 and 400 with the listed messages.</t>
        </is>
      </c>
      <c r="P294" s="17" t="inlineStr">
        <is>
          <t>N/A</t>
        </is>
      </c>
      <c r="Q294" s="17" t="n"/>
      <c r="R294" s="17" t="inlineStr">
        <is>
          <t>Validation rules R4 (R4_FAS_Validation_Rules_EN.docx) VR-WIZ-01, VR-WIZ-02</t>
        </is>
      </c>
      <c r="S294" s="17" t="inlineStr"/>
      <c r="T294" s="16" t="inlineStr">
        <is>
          <t>Approve</t>
        </is>
      </c>
    </row>
    <row r="295" ht="310.5" customHeight="1" s="14">
      <c r="A295" s="16" t="inlineStr">
        <is>
          <t>TC-294</t>
        </is>
      </c>
      <c r="B295" s="16" t="inlineStr">
        <is>
          <t>TS-060</t>
        </is>
      </c>
      <c r="C295" s="17" t="inlineStr">
        <is>
          <t>MOEFAS dates must follow Form opens &lt; Form closes &lt; Effective from &lt; Effective to</t>
        </is>
      </c>
      <c r="D295" s="17" t="inlineStr">
        <is>
          <t>F4.14 New scheme wizard</t>
        </is>
      </c>
      <c r="E295" s="17" t="inlineStr">
        <is>
          <t>MOEFAS scheme API (MOE HQ)</t>
        </is>
      </c>
      <c r="F295" s="16" t="inlineStr">
        <is>
          <t>S2</t>
        </is>
      </c>
      <c r="G295" s="16" t="inlineStr">
        <is>
          <t>High</t>
        </is>
      </c>
      <c r="H295" s="16" t="inlineStr">
        <is>
          <t>Passed</t>
        </is>
      </c>
      <c r="I295" s="16" t="inlineStr">
        <is>
          <t>API</t>
        </is>
      </c>
      <c r="J295" s="17" t="inlineStr">
        <is>
          <t>Localhost build (branch codesprint2ending), gateway http://localhost:5273 through the admin portal proxy
Requests sent with the session cookie of the signed in user
Needs: none</t>
        </is>
      </c>
      <c r="K295" s="17" t="inlineStr">
        <is>
          <t>1. The localhost stack is running.
2. Signed in as MOE HQ user moehq.
3. At least one active fee component of Function 3 exists.</t>
        </is>
      </c>
      <c r="L295" s="17" t="inlineStr">
        <is>
          <t>Base request: status Draft, name R4-AUTO-&lt;unique&gt;, Form 3200-01-01 to 3200-06-30, Effective 3201-01-01 to 3201-12-31, PCI 0 to 1100, nationality SC, one fee component with 10 percent for each stage, budget 1000. Form closes equal to Form opens; Form closes the same day at 23:59:59; Effective from equal to Form closes; Effective to equal to Effective from.</t>
        </is>
      </c>
      <c r="M295" s="17" t="inlineStr">
        <is>
          <t>1. Send the base request with Form closes equal to Form opens (same date and time).
2. Send it with Form closes on the same day at 23:59:59.
3. Send it with Effective from equal to Form closes.
4. Send it with Effective to equal to Effective from.</t>
        </is>
      </c>
      <c r="N295" s="17" t="inlineStr">
        <is>
          <t>1. 400 "OpenTo must be later than OpenFrom.".
2. Accepted (the wizard sends the closing time 23:59:59, which explains TC-185).
3. 400 "EffectiveFrom must be later than OpenTo.".
4. 400 "EffectiveTo must be later than EffectiveFrom.".</t>
        </is>
      </c>
      <c r="O295" s="17" t="inlineStr">
        <is>
          <t>Run 26/10/2026 (localhost build, API through the admin portal proxy). 400, 201, 400 and 400 with the listed messages.</t>
        </is>
      </c>
      <c r="P295" s="17" t="inlineStr">
        <is>
          <t>N/A</t>
        </is>
      </c>
      <c r="Q295" s="17" t="n"/>
      <c r="R295" s="17" t="inlineStr">
        <is>
          <t>Validation rules R4 (R4_FAS_Validation_Rules_EN.docx) VR-WIZ-05, VR-WIZ-06, VR-WIZ-07</t>
        </is>
      </c>
      <c r="S295" s="17" t="inlineStr"/>
      <c r="T295" s="16" t="inlineStr">
        <is>
          <t>Approve</t>
        </is>
      </c>
    </row>
    <row r="296" ht="151" customHeight="1" s="14">
      <c r="A296" s="16" t="inlineStr">
        <is>
          <t>TC-295</t>
        </is>
      </c>
      <c r="B296" s="16" t="inlineStr">
        <is>
          <t>TS-060</t>
        </is>
      </c>
      <c r="C296" s="17" t="inlineStr">
        <is>
          <t>MOEFAS refuses a scheme whose dates are in the past</t>
        </is>
      </c>
      <c r="D296" s="17" t="inlineStr">
        <is>
          <t>F4.14 New scheme wizard</t>
        </is>
      </c>
      <c r="E296" s="17" t="inlineStr">
        <is>
          <t>MOEFAS scheme API (MOE HQ)</t>
        </is>
      </c>
      <c r="F296" s="16" t="inlineStr">
        <is>
          <t>S3</t>
        </is>
      </c>
      <c r="G296" s="16" t="inlineStr">
        <is>
          <t>Medium</t>
        </is>
      </c>
      <c r="H296" s="16" t="inlineStr">
        <is>
          <t>Failed</t>
        </is>
      </c>
      <c r="I296" s="16" t="inlineStr">
        <is>
          <t>API</t>
        </is>
      </c>
      <c r="J296" s="17" t="inlineStr">
        <is>
          <t>Localhost build (branch codesprint2ending), gateway http://localhost:5273 through the admin portal proxy
Requests sent with the session cookie of the signed in user
Needs: none</t>
        </is>
      </c>
      <c r="K296" s="17" t="inlineStr">
        <is>
          <t>1. The localhost stack is running.
2. Signed in as MOE HQ user moehq.
3. At least one active fee component of Function 3 exists.</t>
        </is>
      </c>
      <c r="L296" s="17" t="inlineStr">
        <is>
          <t>Base request: status Draft, name R4-AUTO-&lt;unique&gt;, Form 3200-01-01 to 3200-06-30, Effective 3201-01-01 to 3201-12-31, PCI 0 to 1100, nationality SC, one fee component with 10 percent for each stage, budget 1000. Form 2020-01-01 to 2020-06-30, Effective from 2021-01-01.</t>
        </is>
      </c>
      <c r="M296" s="17" t="inlineStr">
        <is>
          <t>1. Send the base request with all dates in 2020 and 2021.</t>
        </is>
      </c>
      <c r="N296" s="17" t="inlineStr">
        <is>
          <t>1. Refused: a new scheme cannot start in the past (as the SBFAS API does with "openFrom must be today or later.").</t>
        </is>
      </c>
      <c r="O296" s="17" t="inlineStr">
        <is>
          <t>Run 26/10/2026 (localhost build, API through the admin portal proxy). Accepted: 201 "MOE FAS scheme created successfully.". The SBFAS API refuses the same dates.</t>
        </is>
      </c>
      <c r="P296" s="17" t="inlineStr">
        <is>
          <t>N/A</t>
        </is>
      </c>
      <c r="Q296" s="17" t="inlineStr">
        <is>
          <t>BUG-R4-010</t>
        </is>
      </c>
      <c r="R296" s="17" t="inlineStr">
        <is>
          <t>Validation rules R4 (R4_FAS_Validation_Rules_EN.docx) VR-WIZ-08</t>
        </is>
      </c>
      <c r="S296" s="17" t="inlineStr"/>
      <c r="T296" s="16" t="inlineStr">
        <is>
          <t>Approve</t>
        </is>
      </c>
    </row>
    <row r="297" ht="136.5" customHeight="1" s="14">
      <c r="A297" s="16" t="inlineStr">
        <is>
          <t>TC-296</t>
        </is>
      </c>
      <c r="B297" s="16" t="inlineStr">
        <is>
          <t>TS-060</t>
        </is>
      </c>
      <c r="C297" s="17" t="inlineStr">
        <is>
          <t>MOEFAS status must be Draft or Published</t>
        </is>
      </c>
      <c r="D297" s="17" t="inlineStr">
        <is>
          <t>F4.14 New scheme wizard</t>
        </is>
      </c>
      <c r="E297" s="17" t="inlineStr">
        <is>
          <t>MOEFAS scheme API (MOE HQ)</t>
        </is>
      </c>
      <c r="F297" s="16" t="inlineStr">
        <is>
          <t>S3</t>
        </is>
      </c>
      <c r="G297" s="16" t="inlineStr">
        <is>
          <t>Medium</t>
        </is>
      </c>
      <c r="H297" s="16" t="inlineStr">
        <is>
          <t>Passed</t>
        </is>
      </c>
      <c r="I297" s="16" t="inlineStr">
        <is>
          <t>API</t>
        </is>
      </c>
      <c r="J297" s="17" t="inlineStr">
        <is>
          <t>Localhost build (branch codesprint2ending), gateway http://localhost:5273 through the admin portal proxy
Requests sent with the session cookie of the signed in user
Needs: none</t>
        </is>
      </c>
      <c r="K297" s="17" t="inlineStr">
        <is>
          <t>1. The localhost stack is running.
2. Signed in as MOE HQ user moehq.
3. At least one active fee component of Function 3 exists.</t>
        </is>
      </c>
      <c r="L297" s="17" t="inlineStr">
        <is>
          <t>Base request: status Draft, name R4-AUTO-&lt;unique&gt;, Form 3200-01-01 to 3200-06-30, Effective 3201-01-01 to 3201-12-31, PCI 0 to 1100, nationality SC, one fee component with 10 percent for each stage, budget 1000. Status Archived.</t>
        </is>
      </c>
      <c r="M297" s="17" t="inlineStr">
        <is>
          <t>1. Send the base request with status Archived.</t>
        </is>
      </c>
      <c r="N297" s="17" t="inlineStr">
        <is>
          <t>1. Refused with 400 "Status must be Draft or Published".</t>
        </is>
      </c>
      <c r="O297" s="17" t="inlineStr">
        <is>
          <t>Run 26/10/2026 (localhost build, API through the admin portal proxy). 400 "Status must be Draft or Published".</t>
        </is>
      </c>
      <c r="P297" s="17" t="inlineStr">
        <is>
          <t>N/A</t>
        </is>
      </c>
      <c r="Q297" s="17" t="n"/>
      <c r="R297" s="17" t="inlineStr">
        <is>
          <t>Backend CreateMOEFASSchemeValidator</t>
        </is>
      </c>
      <c r="S297" s="17" t="inlineStr"/>
      <c r="T297" s="16" t="inlineStr">
        <is>
          <t>Approve</t>
        </is>
      </c>
    </row>
    <row r="298" ht="339.5" customHeight="1" s="14">
      <c r="A298" s="16" t="inlineStr">
        <is>
          <t>TC-297</t>
        </is>
      </c>
      <c r="B298" s="16" t="inlineStr">
        <is>
          <t>TS-060</t>
        </is>
      </c>
      <c r="C298" s="17" t="inlineStr">
        <is>
          <t>MOEFAS income bands follow the eligibility rules</t>
        </is>
      </c>
      <c r="D298" s="17" t="inlineStr">
        <is>
          <t>F4.14 New scheme wizard</t>
        </is>
      </c>
      <c r="E298" s="17" t="inlineStr">
        <is>
          <t>MOEFAS scheme API (MOE HQ)</t>
        </is>
      </c>
      <c r="F298" s="16" t="inlineStr">
        <is>
          <t>S2</t>
        </is>
      </c>
      <c r="G298" s="16" t="inlineStr">
        <is>
          <t>High</t>
        </is>
      </c>
      <c r="H298" s="16" t="inlineStr">
        <is>
          <t>Passed</t>
        </is>
      </c>
      <c r="I298" s="16" t="inlineStr">
        <is>
          <t>API</t>
        </is>
      </c>
      <c r="J298" s="17" t="inlineStr">
        <is>
          <t>Localhost build (branch codesprint2ending), gateway http://localhost:5273 through the admin portal proxy
Requests sent with the session cookie of the signed in user
Needs: none</t>
        </is>
      </c>
      <c r="K298" s="17" t="inlineStr">
        <is>
          <t>1. The localhost stack is running.
2. Signed in as MOE HQ user moehq.
3. At least one active fee component of Function 3 exists.</t>
        </is>
      </c>
      <c r="L298" s="17" t="inlineStr">
        <is>
          <t>Base request: status Draft, name R4-AUTO-&lt;unique&gt;, Form 3200-01-01 to 3200-06-30, Effective 3201-01-01 to 3201-12-31, PCI 0 to 1100, nationality SC, one fee component with 10 percent for each stage, budget 1000. GHI and PCI off; ghiFrom -1; pciFrom 500 with pciTo 100; both bands on with operator null.</t>
        </is>
      </c>
      <c r="M298" s="17" t="inlineStr">
        <is>
          <t>1. Send the base request with both bands off.
2. Send it with ghiFrom -1.
3. Send it with pciFrom 500 and pciTo 100.
4. Send it with both bands on and incomeOperator null.</t>
        </is>
      </c>
      <c r="N298" s="17" t="inlineStr">
        <is>
          <t>1. 400 "At least one income evaluation criterion (GHI or PCI) must be enabled.".
2. 400 "GhiFrom cannot be negative.".
3. 400 "PciTo must be greater than or equal to PciFrom.".
4. 400 "IncomeOperator must be 'AND' or 'OR' when both GHI and PCI are enabled.".</t>
        </is>
      </c>
      <c r="O298" s="17" t="inlineStr">
        <is>
          <t>Run 26/10/2026 (localhost build, API through the admin portal proxy). All four returned 400 with the listed messages.</t>
        </is>
      </c>
      <c r="P298" s="17" t="inlineStr">
        <is>
          <t>N/A</t>
        </is>
      </c>
      <c r="Q298" s="17" t="n"/>
      <c r="R298" s="17" t="inlineStr">
        <is>
          <t>Validation rules R4 (R4_FAS_Validation_Rules_EN.docx) VR-WIZ-10, VR-WIZ-11, VR-WIZ-12, VR-WIZ-13</t>
        </is>
      </c>
      <c r="S298" s="17" t="inlineStr"/>
      <c r="T298" s="16" t="inlineStr">
        <is>
          <t>Approve</t>
        </is>
      </c>
    </row>
    <row r="299" ht="267" customHeight="1" s="14">
      <c r="A299" s="16" t="inlineStr">
        <is>
          <t>TC-298</t>
        </is>
      </c>
      <c r="B299" s="16" t="inlineStr">
        <is>
          <t>TS-060</t>
        </is>
      </c>
      <c r="C299" s="17" t="inlineStr">
        <is>
          <t>MOEFAS nationality list is required, valid and without duplicates</t>
        </is>
      </c>
      <c r="D299" s="17" t="inlineStr">
        <is>
          <t>F4.14 New scheme wizard</t>
        </is>
      </c>
      <c r="E299" s="17" t="inlineStr">
        <is>
          <t>MOEFAS scheme API (MOE HQ)</t>
        </is>
      </c>
      <c r="F299" s="16" t="inlineStr">
        <is>
          <t>S2</t>
        </is>
      </c>
      <c r="G299" s="16" t="inlineStr">
        <is>
          <t>High</t>
        </is>
      </c>
      <c r="H299" s="16" t="inlineStr">
        <is>
          <t>Passed</t>
        </is>
      </c>
      <c r="I299" s="16" t="inlineStr">
        <is>
          <t>API</t>
        </is>
      </c>
      <c r="J299" s="17" t="inlineStr">
        <is>
          <t>Localhost build (branch codesprint2ending), gateway http://localhost:5273 through the admin portal proxy
Requests sent with the session cookie of the signed in user
Needs: none</t>
        </is>
      </c>
      <c r="K299" s="17" t="inlineStr">
        <is>
          <t>1. The localhost stack is running.
2. Signed in as MOE HQ user moehq.
3. At least one active fee component of Function 3 exists.</t>
        </is>
      </c>
      <c r="L299" s="17" t="inlineStr">
        <is>
          <t>Base request: status Draft, name R4-AUTO-&lt;unique&gt;, Form 3200-01-01 to 3200-06-30, Effective 3201-01-01 to 3201-12-31, PCI 0 to 1100, nationality SC, one fee component with 10 percent for each stage, budget 1000. Lists: [], [XX], [SC, SC].</t>
        </is>
      </c>
      <c r="M299" s="17" t="inlineStr">
        <is>
          <t>1. Send the base request with nationalities [].
2. Send it with ["XX"].
3. Send it with ["SC","SC"].</t>
        </is>
      </c>
      <c r="N299" s="17" t="inlineStr">
        <is>
          <t>1. 400 "At least one eligible nationality must be specified.".
2. 400 "Invalid nationality. Allowed values: SC, PR, IS_ASEAN, IS_NON_ASEAN.".
3. 400 "Nationalities list must not contain duplicates.".</t>
        </is>
      </c>
      <c r="O299" s="17" t="inlineStr">
        <is>
          <t>Run 26/10/2026 (localhost build, API through the admin portal proxy). All three returned 400 with the listed messages.</t>
        </is>
      </c>
      <c r="P299" s="17" t="inlineStr">
        <is>
          <t>N/A</t>
        </is>
      </c>
      <c r="Q299" s="17" t="n"/>
      <c r="R299" s="17" t="inlineStr">
        <is>
          <t>Validation rules R4 (R4_FAS_Validation_Rules_EN.docx) VR-WIZ-09</t>
        </is>
      </c>
      <c r="S299" s="17" t="inlineStr"/>
      <c r="T299" s="16" t="inlineStr">
        <is>
          <t>Approve</t>
        </is>
      </c>
    </row>
    <row r="300" ht="296" customHeight="1" s="14">
      <c r="A300" s="16" t="inlineStr">
        <is>
          <t>TC-299</t>
        </is>
      </c>
      <c r="B300" s="16" t="inlineStr">
        <is>
          <t>TS-060</t>
        </is>
      </c>
      <c r="C300" s="17" t="inlineStr">
        <is>
          <t>MOEFAS subsidies are required, with a valid stage and no repeated stage and component</t>
        </is>
      </c>
      <c r="D300" s="17" t="inlineStr">
        <is>
          <t>F4.14 New scheme wizard</t>
        </is>
      </c>
      <c r="E300" s="17" t="inlineStr">
        <is>
          <t>MOEFAS scheme API (MOE HQ)</t>
        </is>
      </c>
      <c r="F300" s="16" t="inlineStr">
        <is>
          <t>S2</t>
        </is>
      </c>
      <c r="G300" s="16" t="inlineStr">
        <is>
          <t>High</t>
        </is>
      </c>
      <c r="H300" s="16" t="inlineStr">
        <is>
          <t>Passed</t>
        </is>
      </c>
      <c r="I300" s="16" t="inlineStr">
        <is>
          <t>API</t>
        </is>
      </c>
      <c r="J300" s="17" t="inlineStr">
        <is>
          <t>Localhost build (branch codesprint2ending), gateway http://localhost:5273 through the admin portal proxy
Requests sent with the session cookie of the signed in user
Needs: none</t>
        </is>
      </c>
      <c r="K300" s="17" t="inlineStr">
        <is>
          <t>1. The localhost stack is running.
2. Signed in as MOE HQ user moehq.
3. At least one active fee component of Function 3 exists.</t>
        </is>
      </c>
      <c r="L300" s="17" t="inlineStr">
        <is>
          <t>Base request: status Draft, name R4-AUTO-&lt;unique&gt;, Form 3200-01-01 to 3200-06-30, Effective 3201-01-01 to 3201-12-31, PCI 0 to 1100, nationality SC, one fee component with 10 percent for each stage, budget 1000. subsidies []; stage KINDER; the same stage and component twice.</t>
        </is>
      </c>
      <c r="M300" s="17" t="inlineStr">
        <is>
          <t>1. Send the base request with subsidies [].
2. Send it with educationStage KINDER.
3. Send it with PRIMARY and the same component twice.</t>
        </is>
      </c>
      <c r="N300" s="17" t="inlineStr">
        <is>
          <t>1. 400 "At least one subsidy configuration is required.".
2. 400 "EducationStage must be PRIMARY, SECONDARY, or PRE_UNIVERSITY.".
3. 400 "Subsidies must not contain duplicate combinations of EducationStage and FeeComponentId.".</t>
        </is>
      </c>
      <c r="O300" s="17" t="inlineStr">
        <is>
          <t>Run 26/10/2026 (localhost build, API through the admin portal proxy). All three returned 400 with the listed messages.</t>
        </is>
      </c>
      <c r="P300" s="17" t="inlineStr">
        <is>
          <t>N/A</t>
        </is>
      </c>
      <c r="Q300" s="17" t="n"/>
      <c r="R300" s="17" t="inlineStr">
        <is>
          <t>Validation rules R4 (R4_FAS_Validation_Rules_EN.docx) VR-WIZ-14</t>
        </is>
      </c>
      <c r="S300" s="17" t="inlineStr"/>
      <c r="T300" s="16" t="inlineStr">
        <is>
          <t>Approve</t>
        </is>
      </c>
    </row>
    <row r="301" ht="136.5" customHeight="1" s="14">
      <c r="A301" s="16" t="inlineStr">
        <is>
          <t>TC-300</t>
        </is>
      </c>
      <c r="B301" s="16" t="inlineStr">
        <is>
          <t>TS-060</t>
        </is>
      </c>
      <c r="C301" s="17" t="inlineStr">
        <is>
          <t>MOEFAS percentage accepts 0 to 100 and refuses values outside</t>
        </is>
      </c>
      <c r="D301" s="17" t="inlineStr">
        <is>
          <t>F4.14 New scheme wizard</t>
        </is>
      </c>
      <c r="E301" s="17" t="inlineStr">
        <is>
          <t>MOEFAS scheme API (MOE HQ)</t>
        </is>
      </c>
      <c r="F301" s="16" t="inlineStr">
        <is>
          <t>S1 (highest)</t>
        </is>
      </c>
      <c r="G301" s="16" t="inlineStr">
        <is>
          <t>High</t>
        </is>
      </c>
      <c r="H301" s="16" t="inlineStr">
        <is>
          <t>Passed</t>
        </is>
      </c>
      <c r="I301" s="16" t="inlineStr">
        <is>
          <t>API</t>
        </is>
      </c>
      <c r="J301" s="17" t="inlineStr">
        <is>
          <t>Localhost build (branch codesprint2ending), gateway http://localhost:5273 through the admin portal proxy
Requests sent with the session cookie of the signed in user
Needs: none</t>
        </is>
      </c>
      <c r="K301" s="17" t="inlineStr">
        <is>
          <t>1. The localhost stack is running.
2. Signed in as MOE HQ user moehq.
3. At least one active fee component of Function 3 exists.</t>
        </is>
      </c>
      <c r="L301" s="17" t="inlineStr">
        <is>
          <t>Base request: status Draft, name R4-AUTO-&lt;unique&gt;, Form 3200-01-01 to 3200-06-30, Effective 3201-01-01 to 3201-12-31, PCI 0 to 1100, nationality SC, one fee component with 10 percent for each stage, budget 1000. Percentages -1 and 101.</t>
        </is>
      </c>
      <c r="M301" s="17" t="inlineStr">
        <is>
          <t>1. Send the base request with -1 for every stage.
2. Send it with 101.</t>
        </is>
      </c>
      <c r="N301" s="17" t="inlineStr">
        <is>
          <t>1. and 2. Refused with 400 "SubsidyPercentage must be between 0.00% and 100.00%.".</t>
        </is>
      </c>
      <c r="O301" s="17" t="inlineStr">
        <is>
          <t>Run 26/10/2026 (localhost build, API through the admin portal proxy). Both returned 400 with the expected message.</t>
        </is>
      </c>
      <c r="P301" s="17" t="inlineStr">
        <is>
          <t>N/A</t>
        </is>
      </c>
      <c r="Q301" s="17" t="n"/>
      <c r="R301" s="17" t="inlineStr">
        <is>
          <t>Validation rules R4 (R4_FAS_Validation_Rules_EN.docx) VR-WIZ-15</t>
        </is>
      </c>
      <c r="S301" s="17" t="inlineStr"/>
      <c r="T301" s="16" t="inlineStr">
        <is>
          <t>Approve</t>
        </is>
      </c>
    </row>
    <row r="302" ht="136.5" customHeight="1" s="14">
      <c r="A302" s="16" t="inlineStr">
        <is>
          <t>TC-301</t>
        </is>
      </c>
      <c r="B302" s="16" t="inlineStr">
        <is>
          <t>TS-060</t>
        </is>
      </c>
      <c r="C302" s="17" t="inlineStr">
        <is>
          <t>MOEFAS percentage accepts at most two decimals</t>
        </is>
      </c>
      <c r="D302" s="17" t="inlineStr">
        <is>
          <t>F4.14 New scheme wizard</t>
        </is>
      </c>
      <c r="E302" s="17" t="inlineStr">
        <is>
          <t>MOEFAS scheme API (MOE HQ)</t>
        </is>
      </c>
      <c r="F302" s="16" t="inlineStr">
        <is>
          <t>S3</t>
        </is>
      </c>
      <c r="G302" s="16" t="inlineStr">
        <is>
          <t>Low</t>
        </is>
      </c>
      <c r="H302" s="16" t="inlineStr">
        <is>
          <t>Failed</t>
        </is>
      </c>
      <c r="I302" s="16" t="inlineStr">
        <is>
          <t>API</t>
        </is>
      </c>
      <c r="J302" s="17" t="inlineStr">
        <is>
          <t>Localhost build (branch codesprint2ending), gateway http://localhost:5273 through the admin portal proxy
Requests sent with the session cookie of the signed in user
Needs: none</t>
        </is>
      </c>
      <c r="K302" s="17" t="inlineStr">
        <is>
          <t>1. The localhost stack is running.
2. Signed in as MOE HQ user moehq.
3. At least one active fee component of Function 3 exists.</t>
        </is>
      </c>
      <c r="L302" s="17" t="inlineStr">
        <is>
          <t>Base request: status Draft, name R4-AUTO-&lt;unique&gt;, Form 3200-01-01 to 3200-06-30, Effective 3201-01-01 to 3201-12-31, PCI 0 to 1100, nationality SC, one fee component with 10 percent for each stage, budget 1000. Percentage 33.333.</t>
        </is>
      </c>
      <c r="M302" s="17" t="inlineStr">
        <is>
          <t>1. Send the base request with 33.333 for every stage.</t>
        </is>
      </c>
      <c r="N302" s="17" t="inlineStr">
        <is>
          <t>1. Refused: only two decimals are allowed (as the SBFAS API does).</t>
        </is>
      </c>
      <c r="O302" s="17" t="inlineStr">
        <is>
          <t>Run 26/10/2026 (localhost build, API through the admin portal proxy). Accepted: 201. The MOEFAS validator checks the range only. The wizard also accepts 33.333 (TC-206).</t>
        </is>
      </c>
      <c r="P302" s="17" t="inlineStr">
        <is>
          <t>N/A</t>
        </is>
      </c>
      <c r="Q302" s="17" t="inlineStr">
        <is>
          <t>BUG-R4-002</t>
        </is>
      </c>
      <c r="R302" s="17" t="inlineStr">
        <is>
          <t>Validation rules R4 (R4_FAS_Validation_Rules_EN.docx) VR-WIZ-15</t>
        </is>
      </c>
      <c r="S302" s="17" t="inlineStr"/>
      <c r="T302" s="16" t="inlineStr">
        <is>
          <t>Approve</t>
        </is>
      </c>
    </row>
    <row r="303" ht="136.5" customHeight="1" s="14">
      <c r="A303" s="16" t="inlineStr">
        <is>
          <t>TC-302</t>
        </is>
      </c>
      <c r="B303" s="16" t="inlineStr">
        <is>
          <t>TS-060</t>
        </is>
      </c>
      <c r="C303" s="17" t="inlineStr">
        <is>
          <t>MOEFAS total budget cannot be negative</t>
        </is>
      </c>
      <c r="D303" s="17" t="inlineStr">
        <is>
          <t>F4.14 New scheme wizard</t>
        </is>
      </c>
      <c r="E303" s="17" t="inlineStr">
        <is>
          <t>MOEFAS scheme API (MOE HQ)</t>
        </is>
      </c>
      <c r="F303" s="16" t="inlineStr">
        <is>
          <t>S3</t>
        </is>
      </c>
      <c r="G303" s="16" t="inlineStr">
        <is>
          <t>Medium</t>
        </is>
      </c>
      <c r="H303" s="16" t="inlineStr">
        <is>
          <t>Passed</t>
        </is>
      </c>
      <c r="I303" s="16" t="inlineStr">
        <is>
          <t>API</t>
        </is>
      </c>
      <c r="J303" s="17" t="inlineStr">
        <is>
          <t>Localhost build (branch codesprint2ending), gateway http://localhost:5273 through the admin portal proxy
Requests sent with the session cookie of the signed in user
Needs: none</t>
        </is>
      </c>
      <c r="K303" s="17" t="inlineStr">
        <is>
          <t>1. The localhost stack is running.
2. Signed in as MOE HQ user moehq.
3. At least one active fee component of Function 3 exists.</t>
        </is>
      </c>
      <c r="L303" s="17" t="inlineStr">
        <is>
          <t>Base request: status Draft, name R4-AUTO-&lt;unique&gt;, Form 3200-01-01 to 3200-06-30, Effective 3201-01-01 to 3201-12-31, PCI 0 to 1100, nationality SC, one fee component with 10 percent for each stage, budget 1000. Budget -1.</t>
        </is>
      </c>
      <c r="M303" s="17" t="inlineStr">
        <is>
          <t>1. Send the base request with budget -1.</t>
        </is>
      </c>
      <c r="N303" s="17" t="inlineStr">
        <is>
          <t>1. Refused with 400 "TotalBudgetAmount cannot be negative.".</t>
        </is>
      </c>
      <c r="O303" s="17" t="inlineStr">
        <is>
          <t>Run 26/10/2026 (localhost build, API through the admin portal proxy). 400 "TotalBudgetAmount cannot be negative.".</t>
        </is>
      </c>
      <c r="P303" s="17" t="inlineStr">
        <is>
          <t>N/A</t>
        </is>
      </c>
      <c r="Q303" s="17" t="n"/>
      <c r="R303" s="17" t="inlineStr">
        <is>
          <t>Backend CreateMOEFASSchemeValidator</t>
        </is>
      </c>
      <c r="S303" s="17" t="inlineStr"/>
      <c r="T303" s="16" t="inlineStr">
        <is>
          <t>Approve</t>
        </is>
      </c>
    </row>
    <row r="304" ht="136.5" customHeight="1" s="14">
      <c r="A304" s="16" t="inlineStr">
        <is>
          <t>TC-303</t>
        </is>
      </c>
      <c r="B304" s="16" t="inlineStr">
        <is>
          <t>TS-060</t>
        </is>
      </c>
      <c r="C304" s="17" t="inlineStr">
        <is>
          <t>MOEFAS refuses a second scheme with the same name</t>
        </is>
      </c>
      <c r="D304" s="17" t="inlineStr">
        <is>
          <t>F4.14 New scheme wizard</t>
        </is>
      </c>
      <c r="E304" s="17" t="inlineStr">
        <is>
          <t>MOEFAS scheme API (MOE HQ)</t>
        </is>
      </c>
      <c r="F304" s="16" t="inlineStr">
        <is>
          <t>S2</t>
        </is>
      </c>
      <c r="G304" s="16" t="inlineStr">
        <is>
          <t>High</t>
        </is>
      </c>
      <c r="H304" s="16" t="inlineStr">
        <is>
          <t>Passed</t>
        </is>
      </c>
      <c r="I304" s="16" t="inlineStr">
        <is>
          <t>API</t>
        </is>
      </c>
      <c r="J304" s="17" t="inlineStr">
        <is>
          <t>Localhost build (branch codesprint2ending), gateway http://localhost:5273 through the admin portal proxy
Requests sent with the session cookie of the signed in user
Needs: none</t>
        </is>
      </c>
      <c r="K304" s="17" t="inlineStr">
        <is>
          <t>1. The localhost stack is running.
2. Signed in as MOE HQ user moehq.
3. At least one active fee component of Function 3 exists.</t>
        </is>
      </c>
      <c r="L304" s="17" t="inlineStr">
        <is>
          <t>Base request: status Draft, name R4-AUTO-&lt;unique&gt;, Form 3200-01-01 to 3200-06-30, Effective 3201-01-01 to 3201-12-31, PCI 0 to 1100, nationality SC, one fee component with 10 percent for each stage, budget 1000. Name of 150 characters sent twice.</t>
        </is>
      </c>
      <c r="M304" s="17" t="inlineStr">
        <is>
          <t>1. Send the base request with a name of 150 characters.
2. Send the same name again.</t>
        </is>
      </c>
      <c r="N304" s="17" t="inlineStr">
        <is>
          <t>1. Accepted.
2. Refused with a message that the name already exists.</t>
        </is>
      </c>
      <c r="O304" s="17" t="inlineStr">
        <is>
          <t>Run 26/10/2026 (localhost build, API through the admin portal proxy). The second request returned 400 "A scheme with the name '...' already exists.".</t>
        </is>
      </c>
      <c r="P304" s="17" t="inlineStr">
        <is>
          <t>N/A</t>
        </is>
      </c>
      <c r="Q304" s="17" t="n"/>
      <c r="R304" s="17" t="inlineStr">
        <is>
          <t>Validation rules R4 (R4_FAS_Validation_Rules_EN.docx) VR-WIZ-03</t>
        </is>
      </c>
      <c r="S304" s="17" t="inlineStr"/>
      <c r="T304" s="16" t="inlineStr">
        <is>
          <t>Approve</t>
        </is>
      </c>
    </row>
    <row r="305" ht="296" customHeight="1" s="14">
      <c r="A305" s="16" t="inlineStr">
        <is>
          <t>TC-304</t>
        </is>
      </c>
      <c r="B305" s="16" t="inlineStr">
        <is>
          <t>TS-057</t>
        </is>
      </c>
      <c r="C305" s="17" t="inlineStr">
        <is>
          <t>SBFAS wizard shows the required messages of step General</t>
        </is>
      </c>
      <c r="D305" s="17" t="inlineStr">
        <is>
          <t>F4.14 New scheme wizard</t>
        </is>
      </c>
      <c r="E305" s="17" t="inlineStr">
        <is>
          <t>New scheme wizard (School Admin)</t>
        </is>
      </c>
      <c r="F305" s="16" t="inlineStr">
        <is>
          <t>S2</t>
        </is>
      </c>
      <c r="G305" s="16" t="inlineStr">
        <is>
          <t>High</t>
        </is>
      </c>
      <c r="H305" s="16" t="inlineStr">
        <is>
          <t>Passed</t>
        </is>
      </c>
      <c r="I305" s="16" t="inlineStr">
        <is>
          <t>Functional</t>
        </is>
      </c>
      <c r="J305" s="17" t="inlineStr">
        <is>
          <t>Localhost build (branch codesprint2ending), admin portal http://localhost:5173
Chrome (latest), locale en-US
Needs: none</t>
        </is>
      </c>
      <c r="K305" s="17" t="inlineStr">
        <is>
          <t>1. The localhost stack is running.
2. Signed in as School user school (Thi H Bui), Raffles Institution (SCH-001) with two active grades: Junior College 1 and Secondary 1.
3. At least one active fee component exists for the school.</t>
        </is>
      </c>
      <c r="L305" s="17" t="inlineStr">
        <is>
          <t>Step General left empty; name made of spaces.</t>
        </is>
      </c>
      <c r="M305" s="17" t="inlineStr">
        <is>
          <t>1. Open SBFAS schemes and click New scheme.
2. Click Next without typing.
3. Type spaces in the name and click Next.</t>
        </is>
      </c>
      <c r="N305" s="17" t="inlineStr">
        <is>
          <t>1. The step stays on General.
2. Each required field shows a message: "Name is required.", "Opening date is required.", "Closing date is required.", "Effective date is required.".
3. Spaces only give "Name is required.".</t>
        </is>
      </c>
      <c r="O305" s="17" t="inlineStr">
        <is>
          <t>Run 26/10/2026 (localhost build, built-in browser). Next stayed on General and showed "Name is required.", "Opening date is required.", "Closing date is required." and "Effective date is required.". Spaces only: "Name is required.".</t>
        </is>
      </c>
      <c r="P305" s="17" t="inlineStr">
        <is>
          <t>N/A</t>
        </is>
      </c>
      <c r="Q305" s="17" t="n"/>
      <c r="R305" s="17" t="inlineStr">
        <is>
          <t>Validation rules R4 (R4_FAS_Validation_Rules_EN.docx) VR-WIZ-01</t>
        </is>
      </c>
      <c r="S305" s="17" t="inlineStr"/>
      <c r="T305" s="16" t="inlineStr">
        <is>
          <t>Approve</t>
        </is>
      </c>
    </row>
    <row r="306" ht="354" customHeight="1" s="14">
      <c r="A306" s="16" t="inlineStr">
        <is>
          <t>TC-305</t>
        </is>
      </c>
      <c r="B306" s="16" t="inlineStr">
        <is>
          <t>TS-057</t>
        </is>
      </c>
      <c r="C306" s="17" t="inlineStr">
        <is>
          <t>SBFAS wizard checks the order of the dates</t>
        </is>
      </c>
      <c r="D306" s="17" t="inlineStr">
        <is>
          <t>F4.14 New scheme wizard</t>
        </is>
      </c>
      <c r="E306" s="17" t="inlineStr">
        <is>
          <t>New scheme wizard (School Admin)</t>
        </is>
      </c>
      <c r="F306" s="16" t="inlineStr">
        <is>
          <t>S2</t>
        </is>
      </c>
      <c r="G306" s="16" t="inlineStr">
        <is>
          <t>High</t>
        </is>
      </c>
      <c r="H306" s="16" t="inlineStr">
        <is>
          <t>Passed</t>
        </is>
      </c>
      <c r="I306" s="16" t="inlineStr">
        <is>
          <t>Functional</t>
        </is>
      </c>
      <c r="J306" s="17" t="inlineStr">
        <is>
          <t>Localhost build (branch codesprint2ending), admin portal http://localhost:5173
Chrome (latest), locale en-US
Needs: none</t>
        </is>
      </c>
      <c r="K306" s="17" t="inlineStr">
        <is>
          <t>1. The localhost stack is running.
2. Signed in as School user school (Thi H Bui), Raffles Institution (SCH-001) with two active grades: Junior College 1 and Secondary 1.
3. At least one active fee component exists for the school.</t>
        </is>
      </c>
      <c r="L306" s="17" t="inlineStr">
        <is>
          <t>Closing = opening; effective date = closing; effective end = effective date; opening date yesterday.</t>
        </is>
      </c>
      <c r="M306" s="17" t="inlineStr">
        <is>
          <t>1. Fill step General with a valid scheme.
2. Set Applications open to equal to Applications open from and click Next.
3. Set Effective from equal to Applications open to and click Next.
4. Set Effective to equal to Effective from and click Next.
5. Set Applications open from to yesterday and click Next.
6. Clear Effective to and click Next.</t>
        </is>
      </c>
      <c r="N306" s="17" t="inlineStr">
        <is>
          <t>1. "Closing date must be after opening date.".
2. "Effective date must be after the closing date.".
3. "Effective end date must be after the effective date.".
4. "Opening date cannot be before today.".
5. An empty Effective to is accepted and the step moves to Eligibility.</t>
        </is>
      </c>
      <c r="O306" s="17" t="inlineStr">
        <is>
          <t>Run 26/10/2026 (localhost build, built-in browser). Messages: "Closing date must be after opening date." (equal and before), "Effective date must be after the closing date." (equal and before), "Effective end date must be after the effective date." (equal and before), "Opening date cannot be before today." for yesterday. Today and an empty Effective to move to Eligibility.</t>
        </is>
      </c>
      <c r="P306" s="17" t="inlineStr">
        <is>
          <t>N/A</t>
        </is>
      </c>
      <c r="Q306" s="17" t="n"/>
      <c r="R306" s="17" t="inlineStr">
        <is>
          <t>Validation rules R4 (R4_FAS_Validation_Rules_EN.docx) VR-WIZ-05 to VR-WIZ-08</t>
        </is>
      </c>
      <c r="S306" s="17" t="inlineStr"/>
      <c r="T306" s="16" t="inlineStr">
        <is>
          <t>Approve</t>
        </is>
      </c>
    </row>
    <row r="307" ht="151" customHeight="1" s="14">
      <c r="A307" s="16" t="inlineStr">
        <is>
          <t>TC-306</t>
        </is>
      </c>
      <c r="B307" s="16" t="inlineStr">
        <is>
          <t>TS-057</t>
        </is>
      </c>
      <c r="C307" s="17" t="inlineStr">
        <is>
          <t>SBFAS wizard limits the scheme name to 150 characters</t>
        </is>
      </c>
      <c r="D307" s="17" t="inlineStr">
        <is>
          <t>F4.14 New scheme wizard</t>
        </is>
      </c>
      <c r="E307" s="17" t="inlineStr">
        <is>
          <t>New scheme wizard (School Admin)</t>
        </is>
      </c>
      <c r="F307" s="16" t="inlineStr">
        <is>
          <t>S3</t>
        </is>
      </c>
      <c r="G307" s="16" t="inlineStr">
        <is>
          <t>Medium</t>
        </is>
      </c>
      <c r="H307" s="16" t="inlineStr">
        <is>
          <t>Passed</t>
        </is>
      </c>
      <c r="I307" s="16" t="inlineStr">
        <is>
          <t>Functional</t>
        </is>
      </c>
      <c r="J307" s="17" t="inlineStr">
        <is>
          <t>Localhost build (branch codesprint2ending), admin portal http://localhost:5173
Chrome (latest), locale en-US
Needs: none</t>
        </is>
      </c>
      <c r="K307" s="17" t="inlineStr">
        <is>
          <t>1. The localhost stack is running.
2. Signed in as School user school (Thi H Bui), Raffles Institution (SCH-001) with two active grades: Junior College 1 and Secondary 1.
3. At least one active fee component exists for the school.</t>
        </is>
      </c>
      <c r="L307" s="17" t="inlineStr">
        <is>
          <t>Names of 150 and 151 characters.</t>
        </is>
      </c>
      <c r="M307" s="17" t="inlineStr">
        <is>
          <t>1. Fill step General with a name of 151 characters and click Next.
2. Use 150 characters and click Next.</t>
        </is>
      </c>
      <c r="N307" s="17" t="inlineStr">
        <is>
          <t>1. "Name must be 150 characters or fewer." and the step stays on General.
2. The step moves to Eligibility.</t>
        </is>
      </c>
      <c r="O307" s="17" t="inlineStr">
        <is>
          <t>Run 26/10/2026 (localhost build, built-in browser). 151 characters: "Name must be 150 characters or fewer.". 150 characters: Eligibility opened. The field has maxlength 150.</t>
        </is>
      </c>
      <c r="P307" s="17" t="inlineStr">
        <is>
          <t>N/A</t>
        </is>
      </c>
      <c r="Q307" s="17" t="n"/>
      <c r="R307" s="17" t="inlineStr">
        <is>
          <t>Validation rules R4 (R4_FAS_Validation_Rules_EN.docx) VR-WIZ-02</t>
        </is>
      </c>
      <c r="S307" s="17" t="inlineStr"/>
      <c r="T307" s="16" t="inlineStr">
        <is>
          <t>Approve</t>
        </is>
      </c>
    </row>
    <row r="308" ht="238" customHeight="1" s="14">
      <c r="A308" s="16" t="inlineStr">
        <is>
          <t>TC-307</t>
        </is>
      </c>
      <c r="B308" s="16" t="inlineStr">
        <is>
          <t>TS-057</t>
        </is>
      </c>
      <c r="C308" s="17" t="inlineStr">
        <is>
          <t>SBFAS wizard total budget accepts 0 or more with two decimals</t>
        </is>
      </c>
      <c r="D308" s="17" t="inlineStr">
        <is>
          <t>F4.14 New scheme wizard</t>
        </is>
      </c>
      <c r="E308" s="17" t="inlineStr">
        <is>
          <t>New scheme wizard (School Admin)</t>
        </is>
      </c>
      <c r="F308" s="16" t="inlineStr">
        <is>
          <t>S3</t>
        </is>
      </c>
      <c r="G308" s="16" t="inlineStr">
        <is>
          <t>Medium</t>
        </is>
      </c>
      <c r="H308" s="16" t="inlineStr">
        <is>
          <t>Failed</t>
        </is>
      </c>
      <c r="I308" s="16" t="inlineStr">
        <is>
          <t>Functional</t>
        </is>
      </c>
      <c r="J308" s="17" t="inlineStr">
        <is>
          <t>Localhost build (branch codesprint2ending), admin portal http://localhost:5173
Chrome (latest), locale en-US
Needs: none</t>
        </is>
      </c>
      <c r="K308" s="17" t="inlineStr">
        <is>
          <t>1. The localhost stack is running.
2. Signed in as School user school (Thi H Bui), Raffles Institution (SCH-001) with two active grades: Junior College 1 and Secondary 1.
3. At least one active fee component exists for the school.</t>
        </is>
      </c>
      <c r="L308" s="17" t="inlineStr">
        <is>
          <t>Budget values -1, abc, empty, 0 and 1234.567.</t>
        </is>
      </c>
      <c r="M308" s="17" t="inlineStr">
        <is>
          <t>1. Fill step General with a valid scheme.
2. Set Total budget to -1, then to abc, then empty, then 1234.567 and click Next each time.
3. Set 0 and click Next.</t>
        </is>
      </c>
      <c r="N308" s="17" t="inlineStr">
        <is>
          <t>1. -1 shows a message that the budget cannot be negative.
2. abc and empty show a message that a number is needed.
3. 1234.567 shows a message about two decimals.
4. 0 is accepted.</t>
        </is>
      </c>
      <c r="O308" s="17" t="inlineStr">
        <is>
          <t>Run 26/10/2026 (localhost build, built-in browser). -1 shows "Budget cannot be negative.". abc and an empty field show the same "Budget cannot be negative.", which is the wrong reason. 1234.567 shows "Budget can have at most two decimal places.". 0 is accepted.</t>
        </is>
      </c>
      <c r="P308" s="17" t="inlineStr">
        <is>
          <t>N/A</t>
        </is>
      </c>
      <c r="Q308" s="17" t="inlineStr">
        <is>
          <t>BUG-R4-014</t>
        </is>
      </c>
      <c r="R308" s="17" t="inlineStr">
        <is>
          <t>Backend rule totalBudgetAmount &gt;= 0; usability</t>
        </is>
      </c>
      <c r="S308" s="17" t="inlineStr"/>
      <c r="T308" s="16" t="inlineStr">
        <is>
          <t>Approve</t>
        </is>
      </c>
    </row>
    <row r="309" ht="296" customHeight="1" s="14">
      <c r="A309" s="16" t="inlineStr">
        <is>
          <t>TC-308</t>
        </is>
      </c>
      <c r="B309" s="16" t="inlineStr">
        <is>
          <t>TS-058</t>
        </is>
      </c>
      <c r="C309" s="17" t="inlineStr">
        <is>
          <t>SBFAS wizard needs a nationality and an income band with valid values</t>
        </is>
      </c>
      <c r="D309" s="17" t="inlineStr">
        <is>
          <t>F4.14 New scheme wizard</t>
        </is>
      </c>
      <c r="E309" s="17" t="inlineStr">
        <is>
          <t>New scheme wizard (School Admin)</t>
        </is>
      </c>
      <c r="F309" s="16" t="inlineStr">
        <is>
          <t>S2</t>
        </is>
      </c>
      <c r="G309" s="16" t="inlineStr">
        <is>
          <t>High</t>
        </is>
      </c>
      <c r="H309" s="16" t="inlineStr">
        <is>
          <t>Passed</t>
        </is>
      </c>
      <c r="I309" s="16" t="inlineStr">
        <is>
          <t>Functional</t>
        </is>
      </c>
      <c r="J309" s="17" t="inlineStr">
        <is>
          <t>Localhost build (branch codesprint2ending), admin portal http://localhost:5173
Chrome (latest), locale en-US
Needs: none</t>
        </is>
      </c>
      <c r="K309" s="17" t="inlineStr">
        <is>
          <t>1. The localhost stack is running.
2. Signed in as School user school (Thi H Bui), Raffles Institution (SCH-001) with two active grades: Junior College 1 and Secondary 1.
3. At least one active fee component exists for the school.</t>
        </is>
      </c>
      <c r="L309" s="17" t="inlineStr">
        <is>
          <t>No nationality; both bands off; PCI From empty; PCI From 500 with To 100; PCI From -1; To empty.</t>
        </is>
      </c>
      <c r="M309" s="17" t="inlineStr">
        <is>
          <t>1. Open step Eligibility with a valid step General.
2. Click Next with no nationality ticked.
3. Tick Singapore citizen and switch both bands off, click Next.
4. Switch PCI on and clear From, click Next.
5. Enter From 500 and To 100, click Next.
6. Enter From -1, click Next.
7. Enter From 0 and clear To, click Next.</t>
        </is>
      </c>
      <c r="N309" s="17" t="inlineStr">
        <is>
          <t>2. "Select at least one nationality.".
3. "Enable at least one income band.".
4. and 6. A message that From must be 0 or more.
5. A message that To must not be below From.
7. Accepted, the step moves to Subsidy.</t>
        </is>
      </c>
      <c r="O309" s="17" t="inlineStr">
        <is>
          <t>Run 26/10/2026 (localhost build, built-in browser). "Select at least one nationality.", "Enable at least one income band.", "Enter a value of zero or more." (empty and -1), "The upper value must be at least the lower value." (500 and 100). From 0 with an empty To moved to Subsidy.</t>
        </is>
      </c>
      <c r="P309" s="17" t="inlineStr">
        <is>
          <t>N/A</t>
        </is>
      </c>
      <c r="Q309" s="17" t="n"/>
      <c r="R309" s="17" t="inlineStr">
        <is>
          <t>Validation rules R4 (R4_FAS_Validation_Rules_EN.docx) VR-WIZ-09 to VR-WIZ-13</t>
        </is>
      </c>
      <c r="S309" s="17" t="inlineStr"/>
      <c r="T309" s="16" t="inlineStr">
        <is>
          <t>Approve</t>
        </is>
      </c>
    </row>
    <row r="310" ht="194.5" customHeight="1" s="14">
      <c r="A310" s="16" t="inlineStr">
        <is>
          <t>TC-309</t>
        </is>
      </c>
      <c r="B310" s="16" t="inlineStr">
        <is>
          <t>TS-059</t>
        </is>
      </c>
      <c r="C310" s="17" t="inlineStr">
        <is>
          <t>SBFAS wizard checks the percentage cells</t>
        </is>
      </c>
      <c r="D310" s="17" t="inlineStr">
        <is>
          <t>F4.14 New scheme wizard</t>
        </is>
      </c>
      <c r="E310" s="17" t="inlineStr">
        <is>
          <t>New scheme wizard (School Admin)</t>
        </is>
      </c>
      <c r="F310" s="16" t="inlineStr">
        <is>
          <t>S2</t>
        </is>
      </c>
      <c r="G310" s="16" t="inlineStr">
        <is>
          <t>High</t>
        </is>
      </c>
      <c r="H310" s="16" t="inlineStr">
        <is>
          <t>Failed</t>
        </is>
      </c>
      <c r="I310" s="16" t="inlineStr">
        <is>
          <t>Functional</t>
        </is>
      </c>
      <c r="J310" s="17" t="inlineStr">
        <is>
          <t>Localhost build (branch codesprint2ending), admin portal http://localhost:5173
Chrome (latest), locale en-US
Needs: none</t>
        </is>
      </c>
      <c r="K310" s="17" t="inlineStr">
        <is>
          <t>1. The localhost stack is running.
2. Signed in as School user school (Thi H Bui), Raffles Institution (SCH-001) with two active grades: Junior College 1 and Secondary 1.
3. At least one active fee component exists for the school.</t>
        </is>
      </c>
      <c r="L310" s="17" t="inlineStr">
        <is>
          <t>Cell values -1, 101, 33.333, empty, 0 and 100.</t>
        </is>
      </c>
      <c r="M310" s="17" t="inlineStr">
        <is>
          <t>1. Open step Subsidy, add one fee component.
2. Type -1 in one cell and click Review.
3. Repeat with 101, 33.333 and an empty cell.
4. Enter 0 and 100 and click Review.</t>
        </is>
      </c>
      <c r="N310" s="17" t="inlineStr">
        <is>
          <t>1. Each wrong value blocks Review and names the allowed range 0 to 100 (33.333: two decimals).
2. 0 and 100 are accepted and Review opens.</t>
        </is>
      </c>
      <c r="O310" s="17" t="inlineStr">
        <is>
          <t>Run 26/10/2026 (localhost build, built-in browser). All wrong values block Review. -1, 101 and an empty cell show the same "Enter a subsidy percentage for every active level.", which does not say 0 to 100. 33.333 shows "Subsidy percentages allow up to two decimal places.". 0 and 100 open Review.</t>
        </is>
      </c>
      <c r="P310" s="17" t="inlineStr">
        <is>
          <t>N/A</t>
        </is>
      </c>
      <c r="Q310" s="17" t="inlineStr">
        <is>
          <t>BUG-R4-014</t>
        </is>
      </c>
      <c r="R310" s="17" t="inlineStr">
        <is>
          <t>Validation rules R4 (R4_FAS_Validation_Rules_EN.docx) VR-WIZ-15 (message of the rules document: Subsidy rate must be between 0% and 100%)</t>
        </is>
      </c>
      <c r="S310" s="17" t="inlineStr"/>
      <c r="T310" s="16" t="inlineStr">
        <is>
          <t>Approve</t>
        </is>
      </c>
    </row>
    <row r="311" ht="209" customHeight="1" s="14">
      <c r="A311" s="16" t="inlineStr">
        <is>
          <t>TC-310</t>
        </is>
      </c>
      <c r="B311" s="16" t="inlineStr">
        <is>
          <t>TS-057</t>
        </is>
      </c>
      <c r="C311" s="17" t="inlineStr">
        <is>
          <t>SBFAS wizard shows why a duplicate scheme name is refused</t>
        </is>
      </c>
      <c r="D311" s="17" t="inlineStr">
        <is>
          <t>F4.14 New scheme wizard</t>
        </is>
      </c>
      <c r="E311" s="17" t="inlineStr">
        <is>
          <t>New scheme wizard (School Admin)</t>
        </is>
      </c>
      <c r="F311" s="16" t="inlineStr">
        <is>
          <t>S2</t>
        </is>
      </c>
      <c r="G311" s="16" t="inlineStr">
        <is>
          <t>High</t>
        </is>
      </c>
      <c r="H311" s="16" t="inlineStr">
        <is>
          <t>Failed</t>
        </is>
      </c>
      <c r="I311" s="16" t="inlineStr">
        <is>
          <t>Functional</t>
        </is>
      </c>
      <c r="J311" s="17" t="inlineStr">
        <is>
          <t>Localhost build (branch codesprint2ending), admin portal http://localhost:5173
Chrome (latest), locale en-US
Needs: none</t>
        </is>
      </c>
      <c r="K311" s="17" t="inlineStr">
        <is>
          <t>1. The localhost stack is running.
2. Signed in as School user school (Thi H Bui), Raffles Institution (SCH-001) with two active grades: Junior College 1 and Secondary 1.
3. At least one active fee component exists for the school.
4. A scheme named R4-AUTO-ui-probe exists as a Draft.</t>
        </is>
      </c>
      <c r="L311" s="17" t="inlineStr">
        <is>
          <t>Name R4-AUTO-ui-probe used twice.</t>
        </is>
      </c>
      <c r="M311" s="17" t="inlineStr">
        <is>
          <t>1. Complete the four steps of a new scheme with the name of the existing scheme.
2. Click Save draft.
3. Click Publish.</t>
        </is>
      </c>
      <c r="N311" s="17" t="inlineStr">
        <is>
          <t>1. and 2. The scheme is not created and the message says that a scheme with this name already exists.</t>
        </is>
      </c>
      <c r="O311" s="17" t="inlineStr">
        <is>
          <t>Run 26/10/2026 (localhost build, built-in browser). The scheme was not created. The toast says "Unable to create scheme. The scheme could not be created. Please try again." for both Save draft and Publish. The API answers 409 "A scheme with this name already exists for this school.", the screen does not show it.</t>
        </is>
      </c>
      <c r="P311" s="17" t="inlineStr">
        <is>
          <t>N/A</t>
        </is>
      </c>
      <c r="Q311" s="17" t="inlineStr">
        <is>
          <t>BUG-R4-015</t>
        </is>
      </c>
      <c r="R311" s="17" t="inlineStr">
        <is>
          <t>Validation rules R4 (R4_FAS_Validation_Rules_EN.docx) VR-WIZ-03, VR-PUB-04</t>
        </is>
      </c>
      <c r="S311" s="17" t="inlineStr"/>
      <c r="T311" s="16" t="inlineStr">
        <is>
          <t>Approve</t>
        </is>
      </c>
    </row>
    <row r="312" ht="252.5" customHeight="1" s="14">
      <c r="A312" s="16" t="inlineStr">
        <is>
          <t>TC-311</t>
        </is>
      </c>
      <c r="B312" s="16" t="inlineStr">
        <is>
          <t>TS-061</t>
        </is>
      </c>
      <c r="C312" s="17" t="inlineStr">
        <is>
          <t>SBFAS Add fee dialog blocks invalid percentages and saves valid ones</t>
        </is>
      </c>
      <c r="D312" s="17" t="inlineStr">
        <is>
          <t>F4.16 Add fee to a published scheme</t>
        </is>
      </c>
      <c r="E312" s="17" t="inlineStr">
        <is>
          <t>Add fee dialog (School Admin)</t>
        </is>
      </c>
      <c r="F312" s="16" t="inlineStr">
        <is>
          <t>S2</t>
        </is>
      </c>
      <c r="G312" s="16" t="inlineStr">
        <is>
          <t>High</t>
        </is>
      </c>
      <c r="H312" s="16" t="inlineStr">
        <is>
          <t>Passed</t>
        </is>
      </c>
      <c r="I312" s="16" t="inlineStr">
        <is>
          <t>Functional</t>
        </is>
      </c>
      <c r="J312" s="17" t="inlineStr">
        <is>
          <t>Localhost build (branch codesprint2ending), admin portal http://localhost:5173
Chrome (latest), locale en-US
Needs: none</t>
        </is>
      </c>
      <c r="K312" s="17" t="inlineStr">
        <is>
          <t>1. The localhost stack is running.
2. Signed in as School user school (Thi H Bui), Raffles Institution (SCH-001) with two active grades: Junior College 1 and Secondary 1.
3. At least one active fee component exists for the school.
4. A Published SBFAS scheme with one fee component exists.</t>
        </is>
      </c>
      <c r="L312" s="17" t="inlineStr">
        <is>
          <t>Percentages 101, -1, 33.333, empty, then 15 and 20.</t>
        </is>
      </c>
      <c r="M312" s="17" t="inlineStr">
        <is>
          <t>1. Open the row menu of the Published scheme and click Add fee.
2. Choose a fee that is not in the scheme.
3. Enter 101 for one grade and click Add fee.
4. Repeat with -1, 33.333 and an empty field.
5. Enter 15 and 20 and click Add fee.</t>
        </is>
      </c>
      <c r="N312" s="17" t="inlineStr">
        <is>
          <t>1. The dialog stays open and nothing is saved for each wrong value (empty field: a message with the range).
2. 15 and 20 are saved with a success message and the fee count goes up by one.</t>
        </is>
      </c>
      <c r="O312" s="17" t="inlineStr">
        <is>
          <t>Run 26/10/2026 (localhost build, built-in browser). 101, -1 and 33.333 keep the dialog open (the number field uses min 0, max 100, step 0.01, so the browser blocks the submit). An empty field shows the toast "Check the fee details. Enter a percentage from 0 to 100 with at most 2 decimal places for every active grade.". 15 and 20 saved with the toast "Fee added" and the fee count went from 1 to 2.</t>
        </is>
      </c>
      <c r="P312" s="17" t="inlineStr">
        <is>
          <t>N/A</t>
        </is>
      </c>
      <c r="Q312" s="17" t="n"/>
      <c r="R312" s="17" t="inlineStr">
        <is>
          <t>Validation rules R4 (R4_FAS_Validation_Rules_EN.docx) VR-FEE-04</t>
        </is>
      </c>
      <c r="S312" s="17" t="inlineStr"/>
      <c r="T312" s="16" t="inlineStr">
        <is>
          <t>Approve</t>
        </is>
      </c>
    </row>
    <row r="313" ht="165.5" customHeight="1" s="14">
      <c r="A313" s="16" t="inlineStr">
        <is>
          <t>TC-312</t>
        </is>
      </c>
      <c r="B313" s="16" t="inlineStr">
        <is>
          <t>TS-060</t>
        </is>
      </c>
      <c r="C313" s="17" t="inlineStr">
        <is>
          <t>MOEFAS wizard limits the scheme name to 150 characters</t>
        </is>
      </c>
      <c r="D313" s="17" t="inlineStr">
        <is>
          <t>F4.14 New scheme wizard</t>
        </is>
      </c>
      <c r="E313" s="17" t="inlineStr">
        <is>
          <t>New scheme wizard (MOE HQ)</t>
        </is>
      </c>
      <c r="F313" s="16" t="inlineStr">
        <is>
          <t>S3</t>
        </is>
      </c>
      <c r="G313" s="16" t="inlineStr">
        <is>
          <t>Medium</t>
        </is>
      </c>
      <c r="H313" s="16" t="inlineStr">
        <is>
          <t>Passed</t>
        </is>
      </c>
      <c r="I313" s="16" t="inlineStr">
        <is>
          <t>Functional</t>
        </is>
      </c>
      <c r="J313" s="17" t="inlineStr">
        <is>
          <t>Localhost build (branch codesprint2ending), admin portal http://localhost:5173
Chrome (latest), locale en-US
Needs: none</t>
        </is>
      </c>
      <c r="K313" s="17" t="inlineStr">
        <is>
          <t>1. The localhost stack is running.
2. Signed in as MOE HQ user moehq.
3. At least one active fee component of Function 3 exists.</t>
        </is>
      </c>
      <c r="L313" s="17" t="inlineStr">
        <is>
          <t>Names of 150 and 151 characters.</t>
        </is>
      </c>
      <c r="M313" s="17" t="inlineStr">
        <is>
          <t>1. Open MOEFAS and click New scheme.
2. Fill step General with a name of 151 characters and click Next.
3. Use 150 characters and click Next.</t>
        </is>
      </c>
      <c r="N313" s="17" t="inlineStr">
        <is>
          <t>1. A message that the name must not exceed 150 characters and the step stays on General.
2. The step moves to Eligibility.</t>
        </is>
      </c>
      <c r="O313" s="17" t="inlineStr">
        <is>
          <t>Run 26/10/2026 (localhost build, built-in browser). 151 characters: "Scheme name must not exceed 150 characters." and the step shows the error mark. 150 characters: Eligibility opened.</t>
        </is>
      </c>
      <c r="P313" s="17" t="inlineStr">
        <is>
          <t>N/A</t>
        </is>
      </c>
      <c r="Q313" s="17" t="n"/>
      <c r="R313" s="17" t="inlineStr">
        <is>
          <t>Validation rules R4 (R4_FAS_Validation_Rules_EN.docx) VR-WIZ-02</t>
        </is>
      </c>
      <c r="S313" s="17" t="inlineStr"/>
      <c r="T313" s="16" t="inlineStr">
        <is>
          <t>Approve</t>
        </is>
      </c>
    </row>
    <row r="314" ht="136.5" customHeight="1" s="14">
      <c r="A314" s="16" t="inlineStr">
        <is>
          <t>TC-313</t>
        </is>
      </c>
      <c r="B314" s="16" t="inlineStr">
        <is>
          <t>TS-060</t>
        </is>
      </c>
      <c r="C314" s="17" t="inlineStr">
        <is>
          <t>MOEFAS wizard refuses negative income bands and checks To against From</t>
        </is>
      </c>
      <c r="D314" s="17" t="inlineStr">
        <is>
          <t>F4.14 New scheme wizard</t>
        </is>
      </c>
      <c r="E314" s="17" t="inlineStr">
        <is>
          <t>New scheme wizard (MOE HQ)</t>
        </is>
      </c>
      <c r="F314" s="16" t="inlineStr">
        <is>
          <t>S2</t>
        </is>
      </c>
      <c r="G314" s="16" t="inlineStr">
        <is>
          <t>High</t>
        </is>
      </c>
      <c r="H314" s="16" t="inlineStr">
        <is>
          <t>Passed</t>
        </is>
      </c>
      <c r="I314" s="16" t="inlineStr">
        <is>
          <t>Functional</t>
        </is>
      </c>
      <c r="J314" s="17" t="inlineStr">
        <is>
          <t>Localhost build (branch codesprint2ending), admin portal http://localhost:5173
Chrome (latest), locale en-US
Needs: none</t>
        </is>
      </c>
      <c r="K314" s="17" t="inlineStr">
        <is>
          <t>1. The localhost stack is running.
2. Signed in as MOE HQ user moehq.
3. At least one active fee component of Function 3 exists.</t>
        </is>
      </c>
      <c r="L314" s="17" t="inlineStr">
        <is>
          <t>GHI From -1; PCI From -5; GHI From 500 with To 100.</t>
        </is>
      </c>
      <c r="M314" s="17" t="inlineStr">
        <is>
          <t>1. Open step Eligibility with a valid step General and tick Singapore Citizen, GHI and PCI.
2. Enter GHI From -1 and click Next.
3. Enter PCI From -5 and click Next.
4. Enter GHI From 500 and To 100 and click Next.</t>
        </is>
      </c>
      <c r="N314" s="17" t="inlineStr">
        <is>
          <t>2. and 3. A message that a number of 0 or more is needed.
4. A message that To must not be less than From.</t>
        </is>
      </c>
      <c r="O314" s="17" t="inlineStr">
        <is>
          <t>Run 26/10/2026 (localhost build, built-in browser). "Enter a valid number of 0 or more." for GHI From -1 and PCI From -5. "To must not be less than From." for 500 and 100. Letters cannot be typed (number field).</t>
        </is>
      </c>
      <c r="P314" s="17" t="inlineStr">
        <is>
          <t>N/A</t>
        </is>
      </c>
      <c r="Q314" s="17" t="n"/>
      <c r="R314" s="17" t="inlineStr">
        <is>
          <t>Validation rules R4 (R4_FAS_Validation_Rules_EN.docx) VR-WIZ-10, VR-WIZ-11</t>
        </is>
      </c>
      <c r="S314" s="17" t="inlineStr"/>
      <c r="T314" s="16" t="inlineStr">
        <is>
          <t>Approve</t>
        </is>
      </c>
    </row>
    <row r="315" ht="107.5" customHeight="1" s="14">
      <c r="A315" s="16" t="inlineStr">
        <is>
          <t>TC-314</t>
        </is>
      </c>
      <c r="B315" s="16" t="inlineStr">
        <is>
          <t>TS-060</t>
        </is>
      </c>
      <c r="C315" s="17" t="inlineStr">
        <is>
          <t>MOEFAS wizard shows why a duplicate scheme name is refused</t>
        </is>
      </c>
      <c r="D315" s="17" t="inlineStr">
        <is>
          <t>F4.14 New scheme wizard</t>
        </is>
      </c>
      <c r="E315" s="17" t="inlineStr">
        <is>
          <t>New scheme wizard (MOE HQ)</t>
        </is>
      </c>
      <c r="F315" s="16" t="inlineStr">
        <is>
          <t>S2</t>
        </is>
      </c>
      <c r="G315" s="16" t="inlineStr">
        <is>
          <t>High</t>
        </is>
      </c>
      <c r="H315" s="16" t="inlineStr">
        <is>
          <t>Not Run</t>
        </is>
      </c>
      <c r="I315" s="16" t="inlineStr">
        <is>
          <t>Functional</t>
        </is>
      </c>
      <c r="J315" s="17" t="inlineStr">
        <is>
          <t>Localhost build (branch codesprint2ending), admin portal http://localhost:5173
Chrome (latest), locale en-US
Needs: none</t>
        </is>
      </c>
      <c r="K315" s="17" t="inlineStr">
        <is>
          <t>1. The localhost stack is running.
2. Signed in as MOE HQ user moehq.
3. At least one active fee component of Function 3 exists.
4. A MOEFAS scheme named R4-AUTO-ui-moe exists.</t>
        </is>
      </c>
      <c r="L315" s="17" t="inlineStr">
        <is>
          <t>Name R4-AUTO-ui-moe used twice.</t>
        </is>
      </c>
      <c r="M315" s="17" t="inlineStr">
        <is>
          <t>1. Complete the four steps of a new scheme with the name of the existing scheme.
2. Click Draft.</t>
        </is>
      </c>
      <c r="N315" s="17" t="inlineStr">
        <is>
          <t>1. The scheme is not created and the message says that the name already exists.</t>
        </is>
      </c>
      <c r="O315" s="17" t="n"/>
      <c r="P315" s="17" t="inlineStr">
        <is>
          <t>N/A</t>
        </is>
      </c>
      <c r="Q315" s="17" t="n"/>
      <c r="R315" s="17" t="inlineStr">
        <is>
          <t>Validation rules R4 (R4_FAS_Validation_Rules_EN.docx) VR-WIZ-03</t>
        </is>
      </c>
      <c r="S315" s="17" t="inlineStr">
        <is>
          <t>Automated in test_real_f4v_validation.py (test_tc_314), waits for the run on the user's machine.</t>
        </is>
      </c>
      <c r="T315" s="16" t="inlineStr">
        <is>
          <t>Approve</t>
        </is>
      </c>
    </row>
    <row r="316" ht="107.5" customHeight="1" s="14">
      <c r="A316" s="16" t="inlineStr">
        <is>
          <t>TC-315</t>
        </is>
      </c>
      <c r="B316" s="16" t="inlineStr">
        <is>
          <t>TS-062</t>
        </is>
      </c>
      <c r="C316" s="17" t="inlineStr">
        <is>
          <t>Search with only spaces behaves like an empty search</t>
        </is>
      </c>
      <c r="D316" s="17" t="inlineStr">
        <is>
          <t>F4.5 Filters and search</t>
        </is>
      </c>
      <c r="E316" s="17" t="inlineStr">
        <is>
          <t>FAS applications list (MOE HQ)</t>
        </is>
      </c>
      <c r="F316" s="16" t="inlineStr">
        <is>
          <t>S3</t>
        </is>
      </c>
      <c r="G316" s="16" t="inlineStr">
        <is>
          <t>Medium</t>
        </is>
      </c>
      <c r="H316" s="16" t="inlineStr">
        <is>
          <t>Not Run</t>
        </is>
      </c>
      <c r="I316" s="16" t="inlineStr">
        <is>
          <t>Functional</t>
        </is>
      </c>
      <c r="J316" s="17" t="inlineStr">
        <is>
          <t>F4 build with API (FAS applications screens not available yet)
Chrome (latest)
Build: to be recorded at execution
Needs: ENV-R4-02</t>
        </is>
      </c>
      <c r="K316" s="17" t="inlineStr">
        <is>
          <t>1. The F4 build is running with the FAS applications screens.
2. Signed in as MOE HQ.</t>
        </is>
      </c>
      <c r="L316" s="17" t="inlineStr">
        <is>
          <t>Search text: five spaces.</t>
        </is>
      </c>
      <c r="M316" s="17" t="inlineStr">
        <is>
          <t>1. Open FAS applications.
2. Type five spaces in the search box.
3. Press Enter.</t>
        </is>
      </c>
      <c r="N316" s="17" t="inlineStr">
        <is>
          <t>1. No filter is applied and the full list stays.
2. The box shows the spaces removed.</t>
        </is>
      </c>
      <c r="O316" s="17" t="n"/>
      <c r="P316" s="17" t="inlineStr">
        <is>
          <t>N/A</t>
        </is>
      </c>
      <c r="Q316" s="17" t="n"/>
      <c r="R316" s="17" t="inlineStr">
        <is>
          <t>Validation rules R4 (R4_FAS_Validation_Rules_EN.docx) search box (A4, B4): Spaces only</t>
        </is>
      </c>
      <c r="S316" s="17" t="inlineStr"/>
      <c r="T316" s="16" t="inlineStr">
        <is>
          <t>Approve</t>
        </is>
      </c>
    </row>
    <row r="317" ht="165.5" customHeight="1" s="14">
      <c r="A317" s="16" t="inlineStr">
        <is>
          <t>TC-316</t>
        </is>
      </c>
      <c r="B317" s="16" t="inlineStr">
        <is>
          <t>TS-062</t>
        </is>
      </c>
      <c r="C317" s="17" t="inlineStr">
        <is>
          <t>Search removes tab, line break and control characters</t>
        </is>
      </c>
      <c r="D317" s="17" t="inlineStr">
        <is>
          <t>F4.5 Filters and search</t>
        </is>
      </c>
      <c r="E317" s="17" t="inlineStr">
        <is>
          <t>FAS applications list (MOE HQ)</t>
        </is>
      </c>
      <c r="F317" s="16" t="inlineStr">
        <is>
          <t>S3</t>
        </is>
      </c>
      <c r="G317" s="16" t="inlineStr">
        <is>
          <t>Medium</t>
        </is>
      </c>
      <c r="H317" s="16" t="inlineStr">
        <is>
          <t>Not Run</t>
        </is>
      </c>
      <c r="I317" s="16" t="inlineStr">
        <is>
          <t>Functional</t>
        </is>
      </c>
      <c r="J317" s="17" t="inlineStr">
        <is>
          <t>F4 build with API (FAS applications screens not available yet)
Chrome (latest)
Build: to be recorded at execution
Needs: ENV-R4-02</t>
        </is>
      </c>
      <c r="K317" s="17" t="inlineStr">
        <is>
          <t>1. The F4 build is running with the FAS applications screens.
2. Signed in as MOE HQ.</t>
        </is>
      </c>
      <c r="L317" s="17" t="inlineStr">
        <is>
          <t>Text with a tab, a line break and a null byte between two words.</t>
        </is>
      </c>
      <c r="M317" s="17" t="inlineStr">
        <is>
          <t>1. Paste the text into the search box.
2. Press Enter.</t>
        </is>
      </c>
      <c r="N317" s="17" t="inlineStr">
        <is>
          <t>1. Tab and line break become one space.
2. Control characters and the null byte are removed and never reach the database.</t>
        </is>
      </c>
      <c r="O317" s="17" t="n"/>
      <c r="P317" s="17" t="inlineStr">
        <is>
          <t>N/A</t>
        </is>
      </c>
      <c r="Q317" s="17" t="n"/>
      <c r="R317" s="17" t="inlineStr">
        <is>
          <t>Validation rules R4 (R4_FAS_Validation_Rules_EN.docx) search box: Tab or line break, Control characters, Null byte</t>
        </is>
      </c>
      <c r="S317" s="17" t="inlineStr"/>
      <c r="T317" s="16" t="inlineStr">
        <is>
          <t>Approve</t>
        </is>
      </c>
    </row>
    <row r="318" ht="180" customHeight="1" s="14">
      <c r="A318" s="16" t="inlineStr">
        <is>
          <t>TC-317</t>
        </is>
      </c>
      <c r="B318" s="16" t="inlineStr">
        <is>
          <t>TS-062</t>
        </is>
      </c>
      <c r="C318" s="17" t="inlineStr">
        <is>
          <t>Search treats SQL, script, JSON and template text as plain text</t>
        </is>
      </c>
      <c r="D318" s="17" t="inlineStr">
        <is>
          <t>F4.5 Filters and search</t>
        </is>
      </c>
      <c r="E318" s="17" t="inlineStr">
        <is>
          <t>FAS applications list (MOE HQ)</t>
        </is>
      </c>
      <c r="F318" s="16" t="inlineStr">
        <is>
          <t>S2</t>
        </is>
      </c>
      <c r="G318" s="16" t="inlineStr">
        <is>
          <t>High</t>
        </is>
      </c>
      <c r="H318" s="16" t="inlineStr">
        <is>
          <t>Not Run</t>
        </is>
      </c>
      <c r="I318" s="16" t="inlineStr">
        <is>
          <t>Functional</t>
        </is>
      </c>
      <c r="J318" s="17" t="inlineStr">
        <is>
          <t>F4 build with API (FAS applications screens not available yet)
Chrome (latest)
Build: to be recorded at execution
Needs: ENV-R4-02</t>
        </is>
      </c>
      <c r="K318" s="17" t="inlineStr">
        <is>
          <t>1. The F4 build is running with the FAS applications screens.
2. Signed in as MOE HQ.</t>
        </is>
      </c>
      <c r="L318" s="17" t="inlineStr">
        <is>
          <t>' OR 1=1 --, &lt;script&gt;alert(1)&lt;/script&gt;, {"a":1}, ${jndi:ldap://x}, %27, % and _.</t>
        </is>
      </c>
      <c r="M318" s="17" t="inlineStr">
        <is>
          <t>1. Search each text in turn.</t>
        </is>
      </c>
      <c r="N318" s="17" t="inlineStr">
        <is>
          <t>1. Each search returns "No applications found." with no error and no script is run.
2. % and _ are not wildcards and %27 is not decoded.</t>
        </is>
      </c>
      <c r="O318" s="17" t="n"/>
      <c r="P318" s="17" t="inlineStr">
        <is>
          <t>N/A</t>
        </is>
      </c>
      <c r="Q318" s="17" t="n"/>
      <c r="R318" s="17" t="inlineStr">
        <is>
          <t>Validation rules R4 (R4_FAS_Validation_Rules_EN.docx) search box: Special characters, SQL, Script, JSON, Percent code</t>
        </is>
      </c>
      <c r="S318" s="17" t="inlineStr"/>
      <c r="T318" s="16" t="inlineStr">
        <is>
          <t>Approve</t>
        </is>
      </c>
    </row>
    <row r="319" ht="122" customHeight="1" s="14">
      <c r="A319" s="16" t="inlineStr">
        <is>
          <t>TC-318</t>
        </is>
      </c>
      <c r="B319" s="16" t="inlineStr">
        <is>
          <t>TS-062</t>
        </is>
      </c>
      <c r="C319" s="17" t="inlineStr">
        <is>
          <t>Search accepts emoji and letters of any script</t>
        </is>
      </c>
      <c r="D319" s="17" t="inlineStr">
        <is>
          <t>F4.5 Filters and search</t>
        </is>
      </c>
      <c r="E319" s="17" t="inlineStr">
        <is>
          <t>FAS applications list (MOE HQ)</t>
        </is>
      </c>
      <c r="F319" s="16" t="inlineStr">
        <is>
          <t>S4 (lowest)</t>
        </is>
      </c>
      <c r="G319" s="16" t="inlineStr">
        <is>
          <t>Low</t>
        </is>
      </c>
      <c r="H319" s="16" t="inlineStr">
        <is>
          <t>Not Run</t>
        </is>
      </c>
      <c r="I319" s="16" t="inlineStr">
        <is>
          <t>Functional</t>
        </is>
      </c>
      <c r="J319" s="17" t="inlineStr">
        <is>
          <t>F4 build with API (FAS applications screens not available yet)
Chrome (latest)
Build: to be recorded at execution
Needs: ENV-R4-02</t>
        </is>
      </c>
      <c r="K319" s="17" t="inlineStr">
        <is>
          <t>1. The F4 build is running with the FAS applications screens.
2. Signed in as MOE HQ.</t>
        </is>
      </c>
      <c r="L319" s="17" t="inlineStr">
        <is>
          <t>Text: a smiley emoji and Vietnamese letters.</t>
        </is>
      </c>
      <c r="M319" s="17" t="inlineStr">
        <is>
          <t>1. Type the text in the search box and press Enter.</t>
        </is>
      </c>
      <c r="N319" s="17" t="inlineStr">
        <is>
          <t>1. The text is accepted and the list shows "No applications found." when nothing matches.</t>
        </is>
      </c>
      <c r="O319" s="17" t="n"/>
      <c r="P319" s="17" t="inlineStr">
        <is>
          <t>N/A</t>
        </is>
      </c>
      <c r="Q319" s="17" t="n"/>
      <c r="R319" s="17" t="inlineStr">
        <is>
          <t>Validation rules R4 (R4_FAS_Validation_Rules_EN.docx) search box: Emoji, letters of any script</t>
        </is>
      </c>
      <c r="S319" s="17" t="inlineStr"/>
      <c r="T319" s="16" t="inlineStr">
        <is>
          <t>Approve</t>
        </is>
      </c>
    </row>
    <row r="320" ht="180" customHeight="1" s="14">
      <c r="A320" s="16" t="inlineStr">
        <is>
          <t>TC-319</t>
        </is>
      </c>
      <c r="B320" s="16" t="inlineStr">
        <is>
          <t>TS-062</t>
        </is>
      </c>
      <c r="C320" s="17" t="inlineStr">
        <is>
          <t>Search runs on Enter and 300 ms after the last key</t>
        </is>
      </c>
      <c r="D320" s="17" t="inlineStr">
        <is>
          <t>F4.5 Filters and search</t>
        </is>
      </c>
      <c r="E320" s="17" t="inlineStr">
        <is>
          <t>FAS applications list (MOE HQ)</t>
        </is>
      </c>
      <c r="F320" s="16" t="inlineStr">
        <is>
          <t>S3</t>
        </is>
      </c>
      <c r="G320" s="16" t="inlineStr">
        <is>
          <t>Medium</t>
        </is>
      </c>
      <c r="H320" s="16" t="inlineStr">
        <is>
          <t>Not Run</t>
        </is>
      </c>
      <c r="I320" s="16" t="inlineStr">
        <is>
          <t>Functional</t>
        </is>
      </c>
      <c r="J320" s="17" t="inlineStr">
        <is>
          <t>F4 build with API (FAS applications screens not available yet)
Chrome (latest)
Build: to be recorded at execution
Needs: ENV-R4-02</t>
        </is>
      </c>
      <c r="K320" s="17" t="inlineStr">
        <is>
          <t>1. The F4 build is running with the FAS applications screens.
2. Signed in as MOE HQ.</t>
        </is>
      </c>
      <c r="L320" s="17" t="inlineStr">
        <is>
          <t>Text: aisha.</t>
        </is>
      </c>
      <c r="M320" s="17" t="inlineStr">
        <is>
          <t>1. Type aisha and press Enter.
2. Clear the box, type aisha and wait without pressing Enter.</t>
        </is>
      </c>
      <c r="N320" s="17" t="inlineStr">
        <is>
          <t>1. The list is filtered at once on Enter.
2. Without Enter the list is filtered about 300 ms after the last key and goes back to page 1.</t>
        </is>
      </c>
      <c r="O320" s="17" t="n"/>
      <c r="P320" s="17" t="inlineStr">
        <is>
          <t>N/A</t>
        </is>
      </c>
      <c r="Q320" s="17" t="n"/>
      <c r="R320" s="17" t="inlineStr">
        <is>
          <t>Validation rules R4 (R4_FAS_Validation_Rules_EN.docx) search box: Trigger, Combined with</t>
        </is>
      </c>
      <c r="S320" s="17" t="inlineStr"/>
      <c r="T320" s="16" t="inlineStr">
        <is>
          <t>Approve</t>
        </is>
      </c>
    </row>
    <row r="321" ht="194.5" customHeight="1" s="14">
      <c r="A321" s="16" t="inlineStr">
        <is>
          <t>TC-320</t>
        </is>
      </c>
      <c r="B321" s="16" t="inlineStr">
        <is>
          <t>TS-063</t>
        </is>
      </c>
      <c r="C321" s="17" t="inlineStr">
        <is>
          <t>Approve comment counter counts line breaks and emoji as one and keeps a pasted text over 500</t>
        </is>
      </c>
      <c r="D321" s="17" t="inlineStr">
        <is>
          <t>F4.9 Approve SBFAS</t>
        </is>
      </c>
      <c r="E321" s="17" t="inlineStr">
        <is>
          <t>Approve SBFAS dialog</t>
        </is>
      </c>
      <c r="F321" s="16" t="inlineStr">
        <is>
          <t>S3</t>
        </is>
      </c>
      <c r="G321" s="16" t="inlineStr">
        <is>
          <t>Medium</t>
        </is>
      </c>
      <c r="H321" s="16" t="inlineStr">
        <is>
          <t>Not Run</t>
        </is>
      </c>
      <c r="I321" s="16" t="inlineStr">
        <is>
          <t>Functional</t>
        </is>
      </c>
      <c r="J321" s="17" t="inlineStr">
        <is>
          <t>F4 build with API (FAS applications screens not available yet)
Chrome (latest)
Build: to be recorded at execution
Needs: ENV-R4-02</t>
        </is>
      </c>
      <c r="K321" s="17" t="inlineStr">
        <is>
          <t>1. The F4 build is running with the FAS applications screens.
2. Signed in as a School Admin with a Pending SBFAS application.</t>
        </is>
      </c>
      <c r="L321" s="17" t="inlineStr">
        <is>
          <t>Comment of 600 characters with a line break and an emoji.</t>
        </is>
      </c>
      <c r="M321" s="17" t="inlineStr">
        <is>
          <t>1. Open Approve on a Pending application.
2. Type a line break and an emoji and read the counter.
3. Paste 600 characters.</t>
        </is>
      </c>
      <c r="N321" s="17" t="inlineStr">
        <is>
          <t>1. The counter counts each line break and each emoji as 1.
2. The pasted text is kept, the counter shows 600/500 in red and Confirm approval is disabled.</t>
        </is>
      </c>
      <c r="O321" s="17" t="n"/>
      <c r="P321" s="17" t="inlineStr">
        <is>
          <t>N/A</t>
        </is>
      </c>
      <c r="Q321" s="17" t="n"/>
      <c r="R321" s="17" t="inlineStr">
        <is>
          <t>Validation rules R4 (R4_FAS_Validation_Rules_EN.docx) E2 and F2 Comment: Counter, Paste over 500</t>
        </is>
      </c>
      <c r="S321" s="17" t="inlineStr"/>
      <c r="T321" s="16" t="inlineStr">
        <is>
          <t>Approve</t>
        </is>
      </c>
    </row>
    <row r="322" ht="165.5" customHeight="1" s="14">
      <c r="A322" s="16" t="inlineStr">
        <is>
          <t>TC-321</t>
        </is>
      </c>
      <c r="B322" s="16" t="inlineStr">
        <is>
          <t>TS-063</t>
        </is>
      </c>
      <c r="C322" s="17" t="inlineStr">
        <is>
          <t>Approve comment trims spaces and saves a spaces-only comment as empty</t>
        </is>
      </c>
      <c r="D322" s="17" t="inlineStr">
        <is>
          <t>F4.9 Approve SBFAS</t>
        </is>
      </c>
      <c r="E322" s="17" t="inlineStr">
        <is>
          <t>Approve SBFAS dialog</t>
        </is>
      </c>
      <c r="F322" s="16" t="inlineStr">
        <is>
          <t>S3</t>
        </is>
      </c>
      <c r="G322" s="16" t="inlineStr">
        <is>
          <t>Medium</t>
        </is>
      </c>
      <c r="H322" s="16" t="inlineStr">
        <is>
          <t>Not Run</t>
        </is>
      </c>
      <c r="I322" s="16" t="inlineStr">
        <is>
          <t>Functional</t>
        </is>
      </c>
      <c r="J322" s="17" t="inlineStr">
        <is>
          <t>F4 build with API (FAS applications screens not available yet)
Chrome (latest)
Build: to be recorded at execution
Needs: ENV-R4-02</t>
        </is>
      </c>
      <c r="K322" s="17" t="inlineStr">
        <is>
          <t>1. The F4 build is running with the FAS applications screens.
2. Signed in as a School Admin with a Pending SBFAS application.</t>
        </is>
      </c>
      <c r="L322" s="17" t="inlineStr">
        <is>
          <t>Comments: '  ok  ' and five spaces.</t>
        </is>
      </c>
      <c r="M322" s="17" t="inlineStr">
        <is>
          <t>1. Approve with the comment '  ok  ' and open the Decision block.
2. Approve another application with five spaces.</t>
        </is>
      </c>
      <c r="N322" s="17" t="inlineStr">
        <is>
          <t>1. The saved comment is 'ok'.
2. The spaces-only comment is saved as empty and the Decision block shows no comment.</t>
        </is>
      </c>
      <c r="O322" s="17" t="n"/>
      <c r="P322" s="17" t="inlineStr">
        <is>
          <t>N/A</t>
        </is>
      </c>
      <c r="Q322" s="17" t="n"/>
      <c r="R322" s="17" t="inlineStr">
        <is>
          <t>Validation rules R4 (R4_FAS_Validation_Rules_EN.docx) E2 and F2 Comment: Leading and trailing spaces, Spaces only</t>
        </is>
      </c>
      <c r="S322" s="17" t="inlineStr"/>
      <c r="T322" s="16" t="inlineStr">
        <is>
          <t>Approve</t>
        </is>
      </c>
    </row>
    <row r="323" ht="136.5" customHeight="1" s="14">
      <c r="A323" s="16" t="inlineStr">
        <is>
          <t>TC-322</t>
        </is>
      </c>
      <c r="B323" s="16" t="inlineStr">
        <is>
          <t>TS-063</t>
        </is>
      </c>
      <c r="C323" s="17" t="inlineStr">
        <is>
          <t>Approve comment removes control characters and the null byte</t>
        </is>
      </c>
      <c r="D323" s="17" t="inlineStr">
        <is>
          <t>F4.9 Approve SBFAS</t>
        </is>
      </c>
      <c r="E323" s="17" t="inlineStr">
        <is>
          <t>Approve SBFAS dialog</t>
        </is>
      </c>
      <c r="F323" s="16" t="inlineStr">
        <is>
          <t>S3</t>
        </is>
      </c>
      <c r="G323" s="16" t="inlineStr">
        <is>
          <t>Medium</t>
        </is>
      </c>
      <c r="H323" s="16" t="inlineStr">
        <is>
          <t>Not Run</t>
        </is>
      </c>
      <c r="I323" s="16" t="inlineStr">
        <is>
          <t>Functional</t>
        </is>
      </c>
      <c r="J323" s="17" t="inlineStr">
        <is>
          <t>F4 build with API (FAS applications screens not available yet)
Chrome (latest)
Build: to be recorded at execution
Needs: ENV-R4-02</t>
        </is>
      </c>
      <c r="K323" s="17" t="inlineStr">
        <is>
          <t>1. The F4 build is running with the FAS applications screens.
2. Signed in as a School Admin with a Pending SBFAS application.</t>
        </is>
      </c>
      <c r="L323" s="17" t="inlineStr">
        <is>
          <t>Comment with U+0001, a tab, a line break and a null byte.</t>
        </is>
      </c>
      <c r="M323" s="17" t="inlineStr">
        <is>
          <t>1. Paste the comment and confirm the approval.
2. Read the saved comment through the drawer and the API.</t>
        </is>
      </c>
      <c r="N323" s="17" t="inlineStr">
        <is>
          <t>1. Line break and tab are kept.
2. Other control characters and the null byte are removed before save.</t>
        </is>
      </c>
      <c r="O323" s="17" t="n"/>
      <c r="P323" s="17" t="inlineStr">
        <is>
          <t>N/A</t>
        </is>
      </c>
      <c r="Q323" s="17" t="n"/>
      <c r="R323" s="17" t="inlineStr">
        <is>
          <t>Validation rules R4 (R4_FAS_Validation_Rules_EN.docx) E2 and F2 Comment: Control characters, Null byte</t>
        </is>
      </c>
      <c r="S323" s="17" t="inlineStr"/>
      <c r="T323" s="16" t="inlineStr">
        <is>
          <t>Approve</t>
        </is>
      </c>
    </row>
    <row r="324" ht="194.5" customHeight="1" s="14">
      <c r="A324" s="16" t="inlineStr">
        <is>
          <t>TC-323</t>
        </is>
      </c>
      <c r="B324" s="16" t="inlineStr">
        <is>
          <t>TS-063</t>
        </is>
      </c>
      <c r="C324" s="17" t="inlineStr">
        <is>
          <t>Approve comment keeps SQL, script, JSON and template text as plain text</t>
        </is>
      </c>
      <c r="D324" s="17" t="inlineStr">
        <is>
          <t>F4.9 Approve SBFAS</t>
        </is>
      </c>
      <c r="E324" s="17" t="inlineStr">
        <is>
          <t>Approve SBFAS dialog</t>
        </is>
      </c>
      <c r="F324" s="16" t="inlineStr">
        <is>
          <t>S2</t>
        </is>
      </c>
      <c r="G324" s="16" t="inlineStr">
        <is>
          <t>High</t>
        </is>
      </c>
      <c r="H324" s="16" t="inlineStr">
        <is>
          <t>Not Run</t>
        </is>
      </c>
      <c r="I324" s="16" t="inlineStr">
        <is>
          <t>Functional</t>
        </is>
      </c>
      <c r="J324" s="17" t="inlineStr">
        <is>
          <t>F4 build with API (FAS applications screens not available yet)
Chrome (latest)
Build: to be recorded at execution
Needs: ENV-R4-02</t>
        </is>
      </c>
      <c r="K324" s="17" t="inlineStr">
        <is>
          <t>1. The F4 build is running with the FAS applications screens.
2. Signed in as a School Admin with a Pending SBFAS application.</t>
        </is>
      </c>
      <c r="L324" s="17" t="inlineStr">
        <is>
          <t>Comments: ' OR 1=1 --, &lt;b&gt;text&lt;/b&gt;, {{7*7}}, ${7*7}.</t>
        </is>
      </c>
      <c r="M324" s="17" t="inlineStr">
        <is>
          <t>1. Approve with each text.
2. Read the drawer, the History and the CSV export.</t>
        </is>
      </c>
      <c r="N324" s="17" t="inlineStr">
        <is>
          <t>1. The text is saved as typed and shown as plain text, encoded in the drawer, History, CSV and parent email.
2. No data other than the decision changes.</t>
        </is>
      </c>
      <c r="O324" s="17" t="n"/>
      <c r="P324" s="17" t="inlineStr">
        <is>
          <t>N/A</t>
        </is>
      </c>
      <c r="Q324" s="17" t="n"/>
      <c r="R324" s="17" t="inlineStr">
        <is>
          <t>Validation rules R4 (R4_FAS_Validation_Rules_EN.docx) E2 and F2 Comment: SQL, Script and HTML, JSON</t>
        </is>
      </c>
      <c r="S324" s="17" t="inlineStr"/>
      <c r="T324" s="16" t="inlineStr">
        <is>
          <t>Approve</t>
        </is>
      </c>
    </row>
    <row r="325" ht="194.5" customHeight="1" s="14">
      <c r="A325" s="16" t="inlineStr">
        <is>
          <t>TC-324</t>
        </is>
      </c>
      <c r="B325" s="16" t="inlineStr">
        <is>
          <t>TS-063</t>
        </is>
      </c>
      <c r="C325" s="17" t="inlineStr">
        <is>
          <t>A failed save keeps the approval dialog open with the comment</t>
        </is>
      </c>
      <c r="D325" s="17" t="inlineStr">
        <is>
          <t>F4.9 Approve SBFAS</t>
        </is>
      </c>
      <c r="E325" s="17" t="inlineStr">
        <is>
          <t>Approve SBFAS dialog</t>
        </is>
      </c>
      <c r="F325" s="16" t="inlineStr">
        <is>
          <t>S2</t>
        </is>
      </c>
      <c r="G325" s="16" t="inlineStr">
        <is>
          <t>High</t>
        </is>
      </c>
      <c r="H325" s="16" t="inlineStr">
        <is>
          <t>Not Run</t>
        </is>
      </c>
      <c r="I325" s="16" t="inlineStr">
        <is>
          <t>Functional</t>
        </is>
      </c>
      <c r="J325" s="17" t="inlineStr">
        <is>
          <t>F4 build with API (FAS applications screens not available yet)
Chrome (latest)
Build: to be recorded at execution
Needs: ENV-R4-02</t>
        </is>
      </c>
      <c r="K325" s="17" t="inlineStr">
        <is>
          <t>1. The F4 build is running with the FAS applications screens.
2. Signed in as a School Admin with a Pending SBFAS application.
3. The save request can be made to fail (ENV-R4-03).</t>
        </is>
      </c>
      <c r="L325" s="17" t="inlineStr">
        <is>
          <t>Comment: Approved after review.</t>
        </is>
      </c>
      <c r="M325" s="17" t="inlineStr">
        <is>
          <t>1. Open Approve, type the comment and make the save fail.
2. Click Confirm approval.</t>
        </is>
      </c>
      <c r="N325" s="17" t="inlineStr">
        <is>
          <t>1. The message "Something went wrong. Please try again." is shown.
2. The dialog stays open with the comment and the application stays Pending.</t>
        </is>
      </c>
      <c r="O325" s="17" t="n"/>
      <c r="P325" s="17" t="inlineStr">
        <is>
          <t>N/A</t>
        </is>
      </c>
      <c r="Q325" s="17" t="n"/>
      <c r="R325" s="17" t="inlineStr">
        <is>
          <t>Validation rules R4 (R4_FAS_Validation_Rules_EN.docx) E2 Comment: Save fails; shared messages</t>
        </is>
      </c>
      <c r="S325" s="17" t="inlineStr"/>
      <c r="T325" s="16" t="inlineStr">
        <is>
          <t>Approve</t>
        </is>
      </c>
    </row>
    <row r="326" ht="107.5" customHeight="1" s="14">
      <c r="A326" s="16" t="inlineStr">
        <is>
          <t>TC-325</t>
        </is>
      </c>
      <c r="B326" s="16" t="inlineStr">
        <is>
          <t>TS-064</t>
        </is>
      </c>
      <c r="C326" s="17" t="inlineStr">
        <is>
          <t>Reject comment made of spaces is invalid</t>
        </is>
      </c>
      <c r="D326" s="17" t="inlineStr">
        <is>
          <t>F4.10 Reject SBFAS</t>
        </is>
      </c>
      <c r="E326" s="17" t="inlineStr">
        <is>
          <t>Reject application dialog</t>
        </is>
      </c>
      <c r="F326" s="16" t="inlineStr">
        <is>
          <t>S2</t>
        </is>
      </c>
      <c r="G326" s="16" t="inlineStr">
        <is>
          <t>High</t>
        </is>
      </c>
      <c r="H326" s="16" t="inlineStr">
        <is>
          <t>Not Run</t>
        </is>
      </c>
      <c r="I326" s="16" t="inlineStr">
        <is>
          <t>Functional</t>
        </is>
      </c>
      <c r="J326" s="17" t="inlineStr">
        <is>
          <t>F4 build with API (FAS applications screens not available yet)
Chrome (latest)
Build: to be recorded at execution
Needs: ENV-R4-02</t>
        </is>
      </c>
      <c r="K326" s="17" t="inlineStr">
        <is>
          <t>1. The F4 build is running with the FAS applications screens.
2. Signed in as a School Admin with a Pending SBFAS application.</t>
        </is>
      </c>
      <c r="L326" s="17" t="inlineStr">
        <is>
          <t>Reason: Income above limit. Comment: five spaces.</t>
        </is>
      </c>
      <c r="M326" s="17" t="inlineStr">
        <is>
          <t>1. Open Reject, choose the reason and type five spaces.
2. Read the field and the button.</t>
        </is>
      </c>
      <c r="N326" s="17" t="inlineStr">
        <is>
          <t>1. "Comment is required." is shown.
2. Reject application stays disabled.</t>
        </is>
      </c>
      <c r="O326" s="17" t="n"/>
      <c r="P326" s="17" t="inlineStr">
        <is>
          <t>N/A</t>
        </is>
      </c>
      <c r="Q326" s="17" t="n"/>
      <c r="R326" s="17" t="inlineStr">
        <is>
          <t>Validation rules R4 (R4_FAS_Validation_Rules_EN.docx) G2 Comment: Required, Spaces only</t>
        </is>
      </c>
      <c r="S326" s="17" t="inlineStr"/>
      <c r="T326" s="16" t="inlineStr">
        <is>
          <t>Approve</t>
        </is>
      </c>
    </row>
    <row r="327" ht="194.5" customHeight="1" s="14">
      <c r="A327" s="16" t="inlineStr">
        <is>
          <t>TC-326</t>
        </is>
      </c>
      <c r="B327" s="16" t="inlineStr">
        <is>
          <t>TS-064</t>
        </is>
      </c>
      <c r="C327" s="17" t="inlineStr">
        <is>
          <t>Reject comment counter, paste over 500 and control characters</t>
        </is>
      </c>
      <c r="D327" s="17" t="inlineStr">
        <is>
          <t>F4.10 Reject SBFAS</t>
        </is>
      </c>
      <c r="E327" s="17" t="inlineStr">
        <is>
          <t>Reject application dialog</t>
        </is>
      </c>
      <c r="F327" s="16" t="inlineStr">
        <is>
          <t>S3</t>
        </is>
      </c>
      <c r="G327" s="16" t="inlineStr">
        <is>
          <t>Medium</t>
        </is>
      </c>
      <c r="H327" s="16" t="inlineStr">
        <is>
          <t>Not Run</t>
        </is>
      </c>
      <c r="I327" s="16" t="inlineStr">
        <is>
          <t>Functional</t>
        </is>
      </c>
      <c r="J327" s="17" t="inlineStr">
        <is>
          <t>F4 build with API (FAS applications screens not available yet)
Chrome (latest)
Build: to be recorded at execution
Needs: ENV-R4-02</t>
        </is>
      </c>
      <c r="K327" s="17" t="inlineStr">
        <is>
          <t>1. The F4 build is running with the FAS applications screens.
2. Signed in as a School Admin with a Pending SBFAS application.</t>
        </is>
      </c>
      <c r="L327" s="17" t="inlineStr">
        <is>
          <t>Comment of 600 characters; comment with a null byte and U+0001.</t>
        </is>
      </c>
      <c r="M327" s="17" t="inlineStr">
        <is>
          <t>1. Paste 600 characters and read the counter.
2. Paste the comment with control characters and reject.</t>
        </is>
      </c>
      <c r="N327" s="17" t="inlineStr">
        <is>
          <t>1. The text is kept, the counter shows 600/500 in red and the button is disabled.
2. Control characters and the null byte are removed before save.</t>
        </is>
      </c>
      <c r="O327" s="17" t="n"/>
      <c r="P327" s="17" t="inlineStr">
        <is>
          <t>N/A</t>
        </is>
      </c>
      <c r="Q327" s="17" t="n"/>
      <c r="R327" s="17" t="inlineStr">
        <is>
          <t>Validation rules R4 (R4_FAS_Validation_Rules_EN.docx) G2 Comment: Counter, Paste over 500, Control characters</t>
        </is>
      </c>
      <c r="S327" s="17" t="inlineStr"/>
      <c r="T327" s="16" t="inlineStr">
        <is>
          <t>Approve</t>
        </is>
      </c>
    </row>
    <row r="328" ht="107.5" customHeight="1" s="14">
      <c r="A328" s="16" t="inlineStr">
        <is>
          <t>TC-327</t>
        </is>
      </c>
      <c r="B328" s="16" t="inlineStr">
        <is>
          <t>TS-064</t>
        </is>
      </c>
      <c r="C328" s="17" t="inlineStr">
        <is>
          <t>A reject comment that starts with = is exported as text</t>
        </is>
      </c>
      <c r="D328" s="17" t="inlineStr">
        <is>
          <t>F4.10 Reject SBFAS</t>
        </is>
      </c>
      <c r="E328" s="17" t="inlineStr">
        <is>
          <t>Reject application dialog</t>
        </is>
      </c>
      <c r="F328" s="16" t="inlineStr">
        <is>
          <t>S2</t>
        </is>
      </c>
      <c r="G328" s="16" t="inlineStr">
        <is>
          <t>High</t>
        </is>
      </c>
      <c r="H328" s="16" t="inlineStr">
        <is>
          <t>Not Run</t>
        </is>
      </c>
      <c r="I328" s="16" t="inlineStr">
        <is>
          <t>Functional</t>
        </is>
      </c>
      <c r="J328" s="17" t="inlineStr">
        <is>
          <t>F4 build with API (FAS applications screens not available yet)
Chrome (latest)
Build: to be recorded at execution
Needs: ENV-R4-02</t>
        </is>
      </c>
      <c r="K328" s="17" t="inlineStr">
        <is>
          <t>1. The F4 build is running with the FAS applications screens.
2. Signed in as a School Admin with a Pending SBFAS application.
3. A rejected application has the comment =HYPERLINK("x").</t>
        </is>
      </c>
      <c r="L328" s="17" t="inlineStr">
        <is>
          <t>Comment: =HYPERLINK("x").</t>
        </is>
      </c>
      <c r="M328" s="17" t="inlineStr">
        <is>
          <t>1. Reject with the comment.
2. Export the list and open the file.</t>
        </is>
      </c>
      <c r="N328" s="17" t="inlineStr">
        <is>
          <t>1. The cell value starts with an apostrophe and is shown as text, no formula runs.</t>
        </is>
      </c>
      <c r="O328" s="17" t="n"/>
      <c r="P328" s="17" t="inlineStr">
        <is>
          <t>N/A</t>
        </is>
      </c>
      <c r="Q328" s="17" t="n"/>
      <c r="R328" s="17" t="inlineStr">
        <is>
          <t>Validation rules R4 (R4_FAS_Validation_Rules_EN.docx) G2 Comment: CSV export</t>
        </is>
      </c>
      <c r="S328" s="17" t="inlineStr"/>
      <c r="T328" s="16" t="inlineStr">
        <is>
          <t>Approve</t>
        </is>
      </c>
    </row>
    <row r="329" ht="209" customHeight="1" s="14">
      <c r="A329" s="16" t="inlineStr">
        <is>
          <t>TC-328</t>
        </is>
      </c>
      <c r="B329" s="16" t="inlineStr">
        <is>
          <t>TS-065</t>
        </is>
      </c>
      <c r="C329" s="17" t="inlineStr">
        <is>
          <t>Not enough MOEFAS budget disables Confirm approval</t>
        </is>
      </c>
      <c r="D329" s="17" t="inlineStr">
        <is>
          <t>F4.9 Approve SBFAS</t>
        </is>
      </c>
      <c r="E329" s="17" t="inlineStr">
        <is>
          <t>Approve MOEFAS dialog</t>
        </is>
      </c>
      <c r="F329" s="16" t="inlineStr">
        <is>
          <t>S1 (highest)</t>
        </is>
      </c>
      <c r="G329" s="16" t="inlineStr">
        <is>
          <t>High</t>
        </is>
      </c>
      <c r="H329" s="16" t="inlineStr">
        <is>
          <t>Not Run</t>
        </is>
      </c>
      <c r="I329" s="16" t="inlineStr">
        <is>
          <t>Functional</t>
        </is>
      </c>
      <c r="J329" s="17" t="inlineStr">
        <is>
          <t>F4 build with API (FAS applications screens not available yet)
Chrome (latest)
Build: to be recorded at execution
Needs: ENV-R4-02</t>
        </is>
      </c>
      <c r="K329" s="17" t="inlineStr">
        <is>
          <t>1. The F4 build is running with the FAS applications screens.
2. Signed in as MOE HQ.
3. A MOEFAS scheme whose remaining budget is below the subsidy.</t>
        </is>
      </c>
      <c r="L329" s="17" t="inlineStr">
        <is>
          <t>Remaining budget S$ 100, subsidy needed S$ 250.</t>
        </is>
      </c>
      <c r="M329" s="17" t="inlineStr">
        <is>
          <t>1. Open Approve MOEFAS on the application.
2. Read the budget note and the button.</t>
        </is>
      </c>
      <c r="N329" s="17" t="inlineStr">
        <is>
          <t>1. "Not enough MOEFAS budget. This approval needs S$ 250.00 but only S$ 100.00 is left." is shown.
2. Confirm approval is disabled and nothing is saved.</t>
        </is>
      </c>
      <c r="O329" s="17" t="n"/>
      <c r="P329" s="17" t="inlineStr">
        <is>
          <t>N/A</t>
        </is>
      </c>
      <c r="Q329" s="17" t="n"/>
      <c r="R329" s="17" t="inlineStr">
        <is>
          <t>Validation rules R4 (R4_FAS_Validation_Rules_EN.docx) Shared messages: Not enough MOEFAS budget</t>
        </is>
      </c>
      <c r="S329" s="17" t="inlineStr"/>
      <c r="T329" s="16" t="inlineStr">
        <is>
          <t>Approve</t>
        </is>
      </c>
    </row>
    <row r="330" ht="136.5" customHeight="1" s="14">
      <c r="A330" s="16" t="inlineStr">
        <is>
          <t>TC-329</t>
        </is>
      </c>
      <c r="B330" s="16" t="inlineStr">
        <is>
          <t>TS-065</t>
        </is>
      </c>
      <c r="C330" s="17" t="inlineStr">
        <is>
          <t>Approve dialog says when the student has no open fee</t>
        </is>
      </c>
      <c r="D330" s="17" t="inlineStr">
        <is>
          <t>F4.9 Approve SBFAS</t>
        </is>
      </c>
      <c r="E330" s="17" t="inlineStr">
        <is>
          <t>Approve SBFAS dialog</t>
        </is>
      </c>
      <c r="F330" s="16" t="inlineStr">
        <is>
          <t>S3</t>
        </is>
      </c>
      <c r="G330" s="16" t="inlineStr">
        <is>
          <t>Medium</t>
        </is>
      </c>
      <c r="H330" s="16" t="inlineStr">
        <is>
          <t>Not Run</t>
        </is>
      </c>
      <c r="I330" s="16" t="inlineStr">
        <is>
          <t>Functional</t>
        </is>
      </c>
      <c r="J330" s="17" t="inlineStr">
        <is>
          <t>F4 build with API (FAS applications screens not available yet)
Chrome (latest)
Build: to be recorded at execution
Needs: ENV-R4-02</t>
        </is>
      </c>
      <c r="K330" s="17" t="inlineStr">
        <is>
          <t>1. The F4 build is running with the FAS applications screens.
2. Signed in as a School Admin with a Pending SBFAS application.
3. The student has no open fee.</t>
        </is>
      </c>
      <c r="L330" s="17" t="inlineStr">
        <is>
          <t>Student without open fee.</t>
        </is>
      </c>
      <c r="M330" s="17" t="inlineStr">
        <is>
          <t>1. Open Approve for the student.
2. Read the list of fees.</t>
        </is>
      </c>
      <c r="N330" s="17" t="inlineStr">
        <is>
          <t>1. "No open fees right now. Fees issued later are subsidised automatically." is shown in the fee list.</t>
        </is>
      </c>
      <c r="O330" s="17" t="n"/>
      <c r="P330" s="17" t="inlineStr">
        <is>
          <t>N/A</t>
        </is>
      </c>
      <c r="Q330" s="17" t="n"/>
      <c r="R330" s="17" t="inlineStr">
        <is>
          <t>Validation rules R4 (R4_FAS_Validation_Rules_EN.docx) Shared messages: Student has no open fee</t>
        </is>
      </c>
      <c r="S330" s="17" t="inlineStr"/>
      <c r="T330" s="16" t="inlineStr">
        <is>
          <t>Approve</t>
        </is>
      </c>
    </row>
    <row r="331" ht="180" customHeight="1" s="14">
      <c r="A331" s="16" t="inlineStr">
        <is>
          <t>TC-330</t>
        </is>
      </c>
      <c r="B331" s="16" t="inlineStr">
        <is>
          <t>TS-065</t>
        </is>
      </c>
      <c r="C331" s="17" t="inlineStr">
        <is>
          <t>Confirm approval and Reject stay disabled with a message until the input is complete</t>
        </is>
      </c>
      <c r="D331" s="17" t="inlineStr">
        <is>
          <t>F4.9 Approve SBFAS</t>
        </is>
      </c>
      <c r="E331" s="17" t="inlineStr">
        <is>
          <t>Approve SBFAS dialog</t>
        </is>
      </c>
      <c r="F331" s="16" t="inlineStr">
        <is>
          <t>S2</t>
        </is>
      </c>
      <c r="G331" s="16" t="inlineStr">
        <is>
          <t>Medium</t>
        </is>
      </c>
      <c r="H331" s="16" t="inlineStr">
        <is>
          <t>Not Run</t>
        </is>
      </c>
      <c r="I331" s="16" t="inlineStr">
        <is>
          <t>Functional</t>
        </is>
      </c>
      <c r="J331" s="17" t="inlineStr">
        <is>
          <t>F4 build with API (FAS applications screens not available yet)
Chrome (latest)
Build: to be recorded at execution
Needs: ENV-R4-02</t>
        </is>
      </c>
      <c r="K331" s="17" t="inlineStr">
        <is>
          <t>1. The F4 build is running with the FAS applications screens.
2. Signed in as a School Admin with a Pending SBFAS application.</t>
        </is>
      </c>
      <c r="L331" s="17" t="inlineStr">
        <is>
          <t>No tier chosen; no reason chosen.</t>
        </is>
      </c>
      <c r="M331" s="17" t="inlineStr">
        <is>
          <t>1. Open Approve and clear the tier, read the message.
2. Open Reject without a reason, read the message.</t>
        </is>
      </c>
      <c r="N331" s="17" t="inlineStr">
        <is>
          <t>1. "Select a tier to approve." and Confirm approval is disabled.
2. "Select a reason to reject." and Reject application is disabled.</t>
        </is>
      </c>
      <c r="O331" s="17" t="n"/>
      <c r="P331" s="17" t="inlineStr">
        <is>
          <t>N/A</t>
        </is>
      </c>
      <c r="Q331" s="17" t="n"/>
      <c r="R331" s="17" t="inlineStr">
        <is>
          <t>Validation rules R4 (R4_FAS_Validation_Rules_EN.docx) Shared messages: Confirm or Reject is not allowed yet</t>
        </is>
      </c>
      <c r="S331" s="17" t="inlineStr"/>
      <c r="T331" s="16" t="inlineStr">
        <is>
          <t>Approve</t>
        </is>
      </c>
    </row>
    <row r="332" ht="136.5" customHeight="1" s="14">
      <c r="A332" s="16" t="inlineStr">
        <is>
          <t>TC-331</t>
        </is>
      </c>
      <c r="B332" s="16" t="inlineStr">
        <is>
          <t>TS-065</t>
        </is>
      </c>
      <c r="C332" s="17" t="inlineStr">
        <is>
          <t>A failed export or save shows the standard error message</t>
        </is>
      </c>
      <c r="D332" s="17" t="inlineStr">
        <is>
          <t>F4.9 Approve SBFAS</t>
        </is>
      </c>
      <c r="E332" s="17" t="inlineStr">
        <is>
          <t>FAS applications list (MOE HQ)</t>
        </is>
      </c>
      <c r="F332" s="16" t="inlineStr">
        <is>
          <t>S3</t>
        </is>
      </c>
      <c r="G332" s="16" t="inlineStr">
        <is>
          <t>Medium</t>
        </is>
      </c>
      <c r="H332" s="16" t="inlineStr">
        <is>
          <t>Not Run</t>
        </is>
      </c>
      <c r="I332" s="16" t="inlineStr">
        <is>
          <t>Functional</t>
        </is>
      </c>
      <c r="J332" s="17" t="inlineStr">
        <is>
          <t>F4 build with API (FAS applications screens not available yet)
Chrome (latest)
Build: to be recorded at execution
Needs: ENV-R4-02</t>
        </is>
      </c>
      <c r="K332" s="17" t="inlineStr">
        <is>
          <t>1. The F4 build is running with the FAS applications screens.
2. Signed in as MOE HQ.
3. The export or save request can be made to fail (ENV-R4-03).</t>
        </is>
      </c>
      <c r="L332" s="17" t="inlineStr">
        <is>
          <t>Export and Reject save failing.</t>
        </is>
      </c>
      <c r="M332" s="17" t="inlineStr">
        <is>
          <t>1. Click Export while the export request fails.
2. Click Reject application while the save fails.</t>
        </is>
      </c>
      <c r="N332" s="17" t="inlineStr">
        <is>
          <t>1. and 2. "Something went wrong. Please try again." is shown, nothing is saved and the dialog stays open.</t>
        </is>
      </c>
      <c r="O332" s="17" t="n"/>
      <c r="P332" s="17" t="inlineStr">
        <is>
          <t>N/A</t>
        </is>
      </c>
      <c r="Q332" s="17" t="n"/>
      <c r="R332" s="17" t="inlineStr">
        <is>
          <t>Validation rules R4 (R4_FAS_Validation_Rules_EN.docx) Shared messages: System error on save or export</t>
        </is>
      </c>
      <c r="S332" s="17" t="inlineStr"/>
      <c r="T332" s="16" t="inlineStr">
        <is>
          <t>Approve</t>
        </is>
      </c>
    </row>
  </sheetData>
  <autoFilter ref="A1:T332"/>
  <conditionalFormatting sqref="H2:H332">
    <cfRule type="expression" rank="0" priority="2" equalAverage="0" aboveAverage="0" dxfId="7" text="" percent="0" bottom="0">
      <formula>$H2="Passed"</formula>
    </cfRule>
    <cfRule type="expression" rank="0" priority="3" equalAverage="0" aboveAverage="0" dxfId="8" text="" percent="0" bottom="0">
      <formula>$H2="Failed"</formula>
    </cfRule>
  </conditionalFormatting>
  <conditionalFormatting sqref="T2:T332">
    <cfRule type="expression" rank="0" priority="4" equalAverage="0" aboveAverage="0" dxfId="7" text="" percent="0" bottom="0">
      <formula>$T2="Approve"</formula>
    </cfRule>
    <cfRule type="expression" rank="0" priority="5" equalAverage="0" aboveAverage="0" dxfId="9" text="" percent="0" bottom="0">
      <formula>$T2="Draft"</formula>
    </cfRule>
    <cfRule type="expression" rank="0" priority="6" equalAverage="0" aboveAverage="0" dxfId="8" text="" percent="0" bottom="0">
      <formula>OR($T2="Block",$T2="Reject")</formula>
    </cfRule>
  </conditionalFormatting>
  <dataValidations count="4">
    <dataValidation sqref="F2:F332" showDropDown="0" showInputMessage="0" showErrorMessage="0" allowBlank="1" type="list" errorStyle="stop" operator="between">
      <formula1>"S1 (highest),S2,S3,S4 (lowest)"</formula1>
      <formula2>0</formula2>
    </dataValidation>
    <dataValidation sqref="G2:G332" showDropDown="0" showInputMessage="0" showErrorMessage="0" allowBlank="1" type="list" errorStyle="stop" operator="between">
      <formula1>"Critical,High,Medium,Low"</formula1>
      <formula2>0</formula2>
    </dataValidation>
    <dataValidation sqref="H2:H332" showDropDown="0" showInputMessage="0" showErrorMessage="0" allowBlank="1" type="list" errorStyle="stop" operator="between">
      <formula1>"Passed,Failed,Blocked,Not Run"</formula1>
      <formula2>0</formula2>
    </dataValidation>
    <dataValidation sqref="T2:T332" showDropDown="0" showInputMessage="0" showErrorMessage="0" allowBlank="1" type="list" errorStyle="stop" operator="between">
      <formula1>"Approve,Draft,Block,Reject"</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N31"/>
  <sheetViews>
    <sheetView showFormulas="0" showGridLines="0"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customHeight="0" zeroHeight="0" outlineLevelRow="0"/>
  <cols>
    <col width="13" customWidth="1" style="13" min="1" max="1"/>
    <col width="32" customWidth="1" style="13" min="2" max="2"/>
    <col width="16" customWidth="1" style="13" min="3" max="3"/>
    <col width="14" customWidth="1" style="13" min="4" max="4"/>
    <col width="16" customWidth="1" style="13" min="5" max="5"/>
    <col width="20" customWidth="1" style="13" min="6" max="6"/>
    <col width="26" customWidth="1" style="13" min="7" max="7"/>
    <col width="36" customWidth="1" style="13" min="8" max="8"/>
    <col width="44" customWidth="1" style="13" min="9" max="9"/>
    <col width="32" customWidth="1" style="13" min="10" max="11"/>
    <col width="13" customWidth="1" style="14" min="11" max="11"/>
    <col width="20" customWidth="1" style="13" min="12" max="12"/>
    <col width="26" customWidth="1" style="13" min="13" max="13"/>
    <col width="32" customWidth="1" style="13" min="14" max="14"/>
  </cols>
  <sheetData>
    <row r="1" ht="34.5" customHeight="1" s="14">
      <c r="A1" s="18" t="inlineStr">
        <is>
          <t>Defect ID</t>
        </is>
      </c>
      <c r="B1" s="18" t="inlineStr">
        <is>
          <t>Defect Summary</t>
        </is>
      </c>
      <c r="C1" s="18" t="inlineStr">
        <is>
          <t>Severity</t>
        </is>
      </c>
      <c r="D1" s="18" t="inlineStr">
        <is>
          <t>Priority</t>
        </is>
      </c>
      <c r="E1" s="18" t="inlineStr">
        <is>
          <t>Status</t>
        </is>
      </c>
      <c r="F1" s="18" t="inlineStr">
        <is>
          <t>Defect Type</t>
        </is>
      </c>
      <c r="G1" s="18" t="inlineStr">
        <is>
          <t>Environment</t>
        </is>
      </c>
      <c r="H1" s="18" t="inlineStr">
        <is>
          <t>Preconditions</t>
        </is>
      </c>
      <c r="I1" s="18" t="inlineStr">
        <is>
          <t>Steps to Reproduce</t>
        </is>
      </c>
      <c r="J1" s="18" t="inlineStr">
        <is>
          <t>Expected Result</t>
        </is>
      </c>
      <c r="K1" s="18" t="inlineStr">
        <is>
          <t>Actual Result</t>
        </is>
      </c>
      <c r="L1" s="18" t="inlineStr">
        <is>
          <t>Linked Test Case(s)</t>
        </is>
      </c>
      <c r="M1" s="18" t="inlineStr">
        <is>
          <t>Evidence</t>
        </is>
      </c>
      <c r="N1" s="18" t="inlineStr">
        <is>
          <t>Notes</t>
        </is>
      </c>
    </row>
    <row r="2" ht="223.5" customHeight="1" s="14">
      <c r="A2" s="19" t="inlineStr">
        <is>
          <t>BUG-R4-001</t>
        </is>
      </c>
      <c r="B2" s="19" t="inlineStr">
        <is>
          <t>[MOEFAS wizard step Subsidy and Add fee page] The percentage error shows a raw message key instead of text</t>
        </is>
      </c>
      <c r="C2" s="19" t="inlineStr">
        <is>
          <t>S3</t>
        </is>
      </c>
      <c r="D2" s="19" t="inlineStr">
        <is>
          <t>Medium</t>
        </is>
      </c>
      <c r="E2" s="19" t="inlineStr">
        <is>
          <t>Open</t>
        </is>
      </c>
      <c r="F2" s="19" t="inlineStr">
        <is>
          <t>UI</t>
        </is>
      </c>
      <c r="G2" s="19" t="inlineStr">
        <is>
          <t>SIT (Local QA Stack)
Admin portal: http://localhost:5173
API gateway: http://localhost:5273
User: moehq (MOE HQ), seed password of the IAM seed
Chrome (Playwright, locale en-US)
Build: local branch codesprint2ending, automated run of 26/10/2026</t>
        </is>
      </c>
      <c r="H2" s="19" t="inlineStr">
        <is>
          <t>Signed in as moehq. At least one active fee component of Function 3 exists. For the Add fee page, a Draft or Published MOEFAS scheme exists.</t>
        </is>
      </c>
      <c r="I2" s="19" t="inlineStr">
        <is>
          <t>1. Sign in to the admin portal as moehq.
2. Open MOEFAS and click New scheme.
3. Fill General (name, Form opens, Form closes, Effective from, total budget) and click Next.
4. On Eligibility keep the defaults and click Next.
5. On Subsidy click Fee Components, tick one component and apply.
6. Type 101 (or -1) in the Primary cell and read the red line under the table.
7. Repeat on the Add fee page: MOEFAS list, row menu, Add fees, pick a new component, type 101 in a new cell.</t>
        </is>
      </c>
      <c r="J2" s="19" t="inlineStr">
        <is>
          <t>A readable message that names the range, for example a percentage from 0 to 100. Next (and Confirm on the Add fee page) stays blocked.</t>
        </is>
      </c>
      <c r="K2" s="19" t="inlineStr">
        <is>
          <t>The red line shows the raw key features.moeHqMoeFasCreate.errors.amountRange on both screens. Next and Confirm are blocked correctly, only the text is wrong.</t>
        </is>
      </c>
      <c r="L2" s="19" t="inlineStr">
        <is>
          <t>TC-205, TC-234</t>
        </is>
      </c>
      <c r="M2" s="19" t="inlineStr">
        <is>
          <t>See R4_All_Defects_26-10-2026.xlsx, sheet Defect Reports, column Evidence (images embedded).
evidence_01_BUG-R4-001.png
evidence_02_BUG-R4-001.png</t>
        </is>
      </c>
      <c r="N2" s="19" t="inlineStr">
        <is>
          <t>Root cause (code): SubsidyMatrix.tsx and lib/validation.ts use the key errors.amountRange, but resource.ts defines only errors.amountInvalid, so the text is missing. Automated tests: test_tc_205 (values -1 and 101) and test_tc_234b, both marked known_defect (xfail). Remove the mark when fixed. Dev to confirm the intended wording and add the key in English and Vietnamese. Run video: r4_automation/artifacts/videos/TC-205.webm and TC-234.webm.</t>
        </is>
      </c>
    </row>
    <row r="3" ht="209" customHeight="1" s="14">
      <c r="A3" s="19" t="inlineStr">
        <is>
          <t>BUG-R4-002</t>
        </is>
      </c>
      <c r="B3" s="19" t="inlineStr">
        <is>
          <t>[MOEFAS wizard step Subsidy] A percentage with three decimals is accepted</t>
        </is>
      </c>
      <c r="C3" s="19" t="inlineStr">
        <is>
          <t>S3</t>
        </is>
      </c>
      <c r="D3" s="19" t="inlineStr">
        <is>
          <t>Low</t>
        </is>
      </c>
      <c r="E3" s="19" t="inlineStr">
        <is>
          <t>Open</t>
        </is>
      </c>
      <c r="F3" s="19" t="inlineStr">
        <is>
          <t>Functional</t>
        </is>
      </c>
      <c r="G3" s="19" t="inlineStr">
        <is>
          <t>SIT (Local QA Stack)
Admin portal: http://localhost:5173
API gateway: http://localhost:5273
User: moehq (MOE HQ), seed password of the IAM seed
Chrome (Playwright, locale en-US)
Build: local branch codesprint2ending, automated run of 26/10/2026</t>
        </is>
      </c>
      <c r="H3" s="19" t="inlineStr">
        <is>
          <t>Signed in as moehq. At least one active fee component of Function 3 exists.</t>
        </is>
      </c>
      <c r="I3" s="19" t="inlineStr">
        <is>
          <t>1. Sign in to the admin portal as moehq.
2. Open MOEFAS, click New scheme, fill General and Eligibility, click Next twice.
3. On Subsidy pick one fee component.
4. Type 33.33 in the Primary cell, then change it to 33.333.
5. Read the message under the table and the state of Next.</t>
        </is>
      </c>
      <c r="J3" s="19" t="inlineStr">
        <is>
          <t>33.33 is valid. 33.333 shows an error for that cell because only two decimals are allowed.</t>
        </is>
      </c>
      <c r="K3" s="19" t="inlineStr">
        <is>
          <t>33.333 is accepted. The green box says All amounts are valid and Next stays enabled, so a value with three decimals can be saved.</t>
        </is>
      </c>
      <c r="L3" s="19" t="inlineStr">
        <is>
          <t>TC-206, TC-301</t>
        </is>
      </c>
      <c r="M3" s="19" t="inlineStr">
        <is>
          <t>See R4_All_Defects_26-10-2026.xlsx, sheet Defect Reports, column Evidence (images embedded).
evidence_03_BUG-R4-002.png</t>
        </is>
      </c>
      <c r="N3" s="19" t="inlineStr">
        <is>
          <t>Root cause (code): isAmountInvalid in lib/validation.ts checks only 0 to 100, there is no decimal limit. The case book note says the prototype behaves the same (candidate finding S4). Dev to confirm what the backend stores (column precision), because the value may be rounded without notice. Automated test: test_tc_206, marked known_defect (xfail). Run video: r4_automation/artifacts/videos/TC-206.webm.</t>
        </is>
      </c>
    </row>
    <row r="4" ht="296" customHeight="1" s="14">
      <c r="A4" s="19" t="inlineStr">
        <is>
          <t>BUG-R4-003</t>
        </is>
      </c>
      <c r="B4" s="19" t="inlineStr">
        <is>
          <t>[MOEFAS publish] Two Published schemes can have the same effective period or the same form period</t>
        </is>
      </c>
      <c r="C4" s="19" t="inlineStr">
        <is>
          <t>S1</t>
        </is>
      </c>
      <c r="D4" s="19" t="inlineStr">
        <is>
          <t>High</t>
        </is>
      </c>
      <c r="E4" s="19" t="inlineStr">
        <is>
          <t>Open</t>
        </is>
      </c>
      <c r="F4" s="19" t="inlineStr">
        <is>
          <t>Functional</t>
        </is>
      </c>
      <c r="G4" s="19" t="inlineStr">
        <is>
          <t>SIT (Local QA Stack)
Admin portal: http://localhost:5173
API gateway: http://localhost:5273
User: moehq (MOE HQ), seed password of the IAM seed
Chrome (Playwright, locale en-US)
Build: local branch codesprint2ending, automated run of 26/10/2026</t>
        </is>
      </c>
      <c r="H4" s="19" t="inlineStr">
        <is>
          <t>Signed in as moehq. At least one active fee component of Function 3 exists. Use far future dates so that no real scheme is touched.</t>
        </is>
      </c>
      <c r="I4" s="19" t="inlineStr">
        <is>
          <t>1. Sign in to the admin portal as moehq.
2. Create scheme A and Publish it: Form 01/01/2176 to 30/06/2176, Effective 01/01/2177 to 31/12/2177.
3. Create scheme B with the same Form and Effective periods and Publish it.
4. Create scheme C with the same Form period as A but Effective 01/01/2182 to 31/12/2182 and Publish it.
5. Open the MOEFAS list.</t>
        </is>
      </c>
      <c r="J4" s="19" t="inlineStr">
        <is>
          <t>B is blocked with a message that names A and the overlapping dates (case book TC-219: The period overlaps with A, change Effective from / Effective to). C is blocked with the form period message (TC-220). No overlapping scheme is added.</t>
        </is>
      </c>
      <c r="K4" s="19" t="inlineStr">
        <is>
          <t>B and C are accepted and every scheme is Published. No overlap message is returned, so two Published schemes cover the same period.</t>
        </is>
      </c>
      <c r="L4" s="19" t="inlineStr">
        <is>
          <t>TC-219, TC-220, TC-225</t>
        </is>
      </c>
      <c r="M4" s="19" t="inlineStr">
        <is>
          <t>See R4_All_Defects_26-10-2026.xlsx, sheet Defect Reports, column Evidence (images embedded).
evidence_04_BUG-R4-003.png
evidence_05_BUG-R4-003.png</t>
        </is>
      </c>
      <c r="N4" s="19" t="inlineStr">
        <is>
          <t>Root cause (code): CreateMOEFASSchemeHandler and its validator in FASService check only the name. The front end validation.ts has a TODO for the overlap. The automated tests create the schemes through the API, so the evidence images are drawn from the GET moe-schemes data of the run (not UI screenshots). Not yet covered: TC-221 part 2, TC-225 to TC-227 depend on the same rule. Test data of the run (names R4-AUTO) stays in the stack until the cleanup command. Automated tests: test_tc_219 and test_tc_220, marked known_defect (xfail). BA and Dev to confirm the overlap rule.</t>
        </is>
      </c>
    </row>
    <row r="5" ht="252.5" customHeight="1" s="14">
      <c r="A5" s="19" t="inlineStr">
        <is>
          <t>BUG-R4-004</t>
        </is>
      </c>
      <c r="B5" s="19" t="inlineStr">
        <is>
          <t>[MOEFAS wizard and Add fee] No success message after Draft, Publish or Confirm</t>
        </is>
      </c>
      <c r="C5" s="19" t="inlineStr">
        <is>
          <t>S3</t>
        </is>
      </c>
      <c r="D5" s="19" t="inlineStr">
        <is>
          <t>Medium</t>
        </is>
      </c>
      <c r="E5" s="19" t="inlineStr">
        <is>
          <t>Open</t>
        </is>
      </c>
      <c r="F5" s="19" t="inlineStr">
        <is>
          <t>Usability</t>
        </is>
      </c>
      <c r="G5" s="19" t="inlineStr">
        <is>
          <t>SIT (Local QA Stack)
Admin portal: http://localhost:5173
API gateway: http://localhost:5273
User: moehq (MOE HQ), seed password of the IAM seed
Chrome (Playwright, locale en-US)
Build: local branch codesprint2ending, automated run of 26/10/2026</t>
        </is>
      </c>
      <c r="H5" s="19" t="inlineStr">
        <is>
          <t>Signed in as moehq. At least one active fee component of Function 3 exists.</t>
        </is>
      </c>
      <c r="I5" s="19" t="inlineStr">
        <is>
          <t>1. Sign in to the admin portal as moehq.
2. Open MOEFAS, click New scheme and complete the four steps.
3. Click Draft and look at the list.
4. Open the new scheme from the row menu (View), or create a second scheme, and click Publish.
5. Open a Draft scheme, Add fees, pick a component, click Confirm and look at the detail page.</t>
        </is>
      </c>
      <c r="J5" s="19" t="inlineStr">
        <is>
          <t>A toast confirms each action: Draft saved. / Scheme published. It is now view-only. / Fee components added to the scheme. (case book TC-210, TC-215, TC-236)</t>
        </is>
      </c>
      <c r="K5" s="19" t="inlineStr">
        <is>
          <t>No message is shown. The portal only moves to the list or to the detail page. After Publish the row shows the status Published (case book: Upcoming).</t>
        </is>
      </c>
      <c r="L5" s="19" t="inlineStr">
        <is>
          <t>TC-210, TC-215, TC-236</t>
        </is>
      </c>
      <c r="M5" s="19" t="inlineStr">
        <is>
          <t>See R4_All_Defects_26-10-2026.xlsx, sheet Defect Reports, column Evidence (images embedded).
evidence_06_BUG-R4-004.png
evidence_07_BUG-R4-004.png</t>
        </is>
      </c>
      <c r="N5" s="19" t="inlineStr">
        <is>
          <t>The code has no toast call on these paths (confirmed in the earlier code review, REAL_COVERAGE section 3 item 5). The frames are taken from the run video about half a second after the page changed, a toast would be visible there. BA and Dev to confirm whether the prototype toasts are required. If the build is accepted as is, change the case book instead and close this defect as Rejected. The functions themselves work (Draft row created, scheme Published, new component saved).</t>
        </is>
      </c>
    </row>
    <row r="6" ht="409" customHeight="1" s="14">
      <c r="A6" s="19" t="inlineStr">
        <is>
          <t>BUG-R4-005</t>
        </is>
      </c>
      <c r="B6" s="19" t="inlineStr">
        <is>
          <t>[MOEFAS list] Status cards, columns and row actions differ from the final prototype</t>
        </is>
      </c>
      <c r="C6" s="19" t="inlineStr">
        <is>
          <t>S3</t>
        </is>
      </c>
      <c r="D6" s="19" t="inlineStr">
        <is>
          <t>Medium</t>
        </is>
      </c>
      <c r="E6" s="19" t="inlineStr">
        <is>
          <t>Open</t>
        </is>
      </c>
      <c r="F6" s="19" t="inlineStr">
        <is>
          <t>UI</t>
        </is>
      </c>
      <c r="G6" s="19" t="inlineStr">
        <is>
          <t>SIT (Local QA Stack)
Admin portal: http://localhost:5173
API gateway: http://localhost:5273
User: moehq (MOE HQ), seed password of the IAM seed
Chrome (Playwright, locale en-US)
Build: local branch codesprint2ending, automated run of 26/10/2026</t>
        </is>
      </c>
      <c r="H6" s="19" t="inlineStr">
        <is>
          <t>Signed in as moehq. The stack holds MOEFAS schemes in several statuses.</t>
        </is>
      </c>
      <c r="I6" s="19" t="inlineStr">
        <is>
          <t>1. Sign in to the admin portal as moehq.
2. Open MOEFAS.
3. Read the subtitle, the status cards, the table columns and the row menu of a Draft, a Published and a Closed scheme.</t>
        </is>
      </c>
      <c r="J6" s="19" t="inlineStr">
        <is>
          <t>Subtitle with the SBFAS sentence. Four cards Active, Upcoming, Closed, Draft. Columns Scheme, Eligibility, Application form (with the Open badge), Effective from, Effective to, Status, actions. Add fee only on Active and Upcoming, Edit on Draft, Close form now (demo) on the open scheme (case book TC-170, 171, 172, 178, 231).</t>
        </is>
      </c>
      <c r="K6" s="19" t="inlineStr">
        <is>
          <t>Subtitle has the first sentence only. Seven cards: Draft, Published, Application open, Application closed, Effective, Suspended, Closed. Columns Form from and Form to instead of Application form. Add fees is offered on Draft, Published, Application open, Application closed and Suspended. Publish is a row action. No Edit and no Close form now.</t>
        </is>
      </c>
      <c r="L6" s="19" t="inlineStr">
        <is>
          <t>TC-170, TC-171, TC-172, TC-178, TC-231</t>
        </is>
      </c>
      <c r="M6" s="19" t="inlineStr">
        <is>
          <t>See R4_All_Defects_26-10-2026.xlsx, sheet Defect Reports, column Evidence (images embedded).
evidence_08_BUG-R4-005.png</t>
        </is>
      </c>
      <c r="N6" s="19" t="inlineStr">
        <is>
          <t>Counts and cell contents match the backend data, only the design differs. The case book follows the prototype edusave.vercel.app that BA fixed as the final design on 19/10/2026. BA to decide: change the build or change the case book (REAL_COVERAGE section 3 items 1 to 3). Reject this defect if the build is accepted.</t>
        </is>
      </c>
    </row>
    <row r="7" ht="310.5" customHeight="1" s="14">
      <c r="A7" s="19" t="inlineStr">
        <is>
          <t>BUG-R4-006</t>
        </is>
      </c>
      <c r="B7" s="19" t="inlineStr">
        <is>
          <t>[MOEFAS wizard] Defaults, value type and step navigation differ from the final prototype</t>
        </is>
      </c>
      <c r="C7" s="19" t="inlineStr">
        <is>
          <t>S3</t>
        </is>
      </c>
      <c r="D7" s="19" t="inlineStr">
        <is>
          <t>Medium</t>
        </is>
      </c>
      <c r="E7" s="19" t="inlineStr">
        <is>
          <t>Open</t>
        </is>
      </c>
      <c r="F7" s="19" t="inlineStr">
        <is>
          <t>UI</t>
        </is>
      </c>
      <c r="G7" s="19" t="inlineStr">
        <is>
          <t>SIT (Local QA Stack)
Admin portal: http://localhost:5173
API gateway: http://localhost:5273
User: moehq (MOE HQ), seed password of the IAM seed
Chrome (Playwright, locale en-US)
Build: local branch codesprint2ending, automated run of 26/10/2026</t>
        </is>
      </c>
      <c r="H7" s="19" t="inlineStr">
        <is>
          <t>Signed in as moehq.</t>
        </is>
      </c>
      <c r="I7" s="19" t="inlineStr">
        <is>
          <t>1. Sign in to the admin portal as moehq.
2. Open MOEFAS and click New scheme.
3. Read the fields of General and click the other steps in the stepper.
4. On Eligibility tick a band and leave To empty, then clear From.
5. On Subsidy read the value type and the match rule.</t>
        </is>
      </c>
      <c r="J7" s="19" t="inlineStr">
        <is>
          <t>Dates prefilled (Form opens 01/08/2027, Form closes 31/12/2027, Effective from 01/01/2028). No budget field. Steps can be opened in any order. Band To may be empty and From is required. Value type Percentage of fee or Fixed amount. Match rule is a choice (case book TC-181, 190, 193, 196, 209).</t>
        </is>
      </c>
      <c r="K7" s="19" t="inlineStr">
        <is>
          <t>All dates start empty and Total budget (SGD) is required. The stepper is not clickable, only Back and Next move between steps. To is required and From may be empty (counts as 0). Only percentages can be entered. The match rule is a fixed text line.</t>
        </is>
      </c>
      <c r="L7" s="19" t="inlineStr">
        <is>
          <t>TC-181, TC-190, TC-193, TC-196, TC-209</t>
        </is>
      </c>
      <c r="M7" s="19" t="inlineStr">
        <is>
          <t>See R4_All_Defects_26-10-2026.xlsx, sheet Defect Reports, column Evidence (images embedded).
evidence_09_BUG-R4-006.png</t>
        </is>
      </c>
      <c r="N7" s="19" t="inlineStr">
        <is>
          <t>The behaviour of each step is consistent, only it differs from the prototype and from the case book. Items 4 and 6 of REAL_COVERAGE section 3 and ASM-R4-24. BA to decide whether the build or the case book changes. Reject this defect if the build is accepted.</t>
        </is>
      </c>
    </row>
    <row r="8" ht="238" customHeight="1" s="14">
      <c r="A8" s="19" t="inlineStr">
        <is>
          <t>BUG-R4-007</t>
        </is>
      </c>
      <c r="B8" s="19" t="inlineStr">
        <is>
          <t>[SBFAS API] PCI From and GHI From are not required when their band is on</t>
        </is>
      </c>
      <c r="C8" s="19" t="inlineStr">
        <is>
          <t>S3</t>
        </is>
      </c>
      <c r="D8" s="19" t="inlineStr">
        <is>
          <t>Medium</t>
        </is>
      </c>
      <c r="E8" s="19" t="inlineStr">
        <is>
          <t>Open</t>
        </is>
      </c>
      <c r="F8" s="19" t="inlineStr">
        <is>
          <t>Functional</t>
        </is>
      </c>
      <c r="G8" s="19" t="inlineStr">
        <is>
          <t>SIT (Local QA Stack)
Admin portal: http://localhost:5173
API gateway: http://localhost:5273
User: school (School Admin, Raffles Institution), seed password of the IAM seed
Built-in browser, requests sent with fetch through the admin portal proxy
Build: local branch codesprint2ending, run of 26/10/2026</t>
        </is>
      </c>
      <c r="H8" s="19" t="inlineStr">
        <is>
          <t>Signed in as school. The school has two active grades and at least one active fee component.</t>
        </is>
      </c>
      <c r="I8" s="19" t="inlineStr">
        <is>
          <t>1. Sign in as school.
2. Send POST /api/v1/fas/sbfas-schemes with a valid body, isPciEnabled true, pciFrom null and pciTo 1000.
3. Repeat with isGhiEnabled true, ghiFrom null, ghiTo 100 and incomeOperator OR.</t>
        </is>
      </c>
      <c r="J8" s="19" t="inlineStr">
        <is>
          <t>Both requests are refused with 400: pciFrom is required when PCI is enabled. / ghiFrom is required when GHI is enabled.</t>
        </is>
      </c>
      <c r="K8" s="19" t="inlineStr">
        <is>
          <t>Both requests are accepted (HTTP 201) and the scheme is saved as a draft. The wizard blocks an empty From (Enter a value of zero or more.), only a direct API call gets through.</t>
        </is>
      </c>
      <c r="L8" s="19" t="inlineStr">
        <is>
          <t>TC-277, TC-278</t>
        </is>
      </c>
      <c r="M8" s="19" t="inlineStr">
        <is>
          <t>See R4_All_Defects_26-10-2026.xlsx, sheet Defect Reports, column Evidence (images embedded).
evidence_10_BUG-R4-007.png
evidence_11_BUG-R4-007.png</t>
        </is>
      </c>
      <c r="N8" s="19" t="inlineStr">
        <is>
          <t>Root cause (code): CreateSbfasSchemeValidator has the rule NotNull for pciFrom and ghiFrom, but it sits in the same chain as the When(HasValue) condition, so it never runs. Dev to move the NotNull check out of that condition. The same check for the band To is correctly optional. Automated tests: test_tc_277 and test_tc_278, marked known_defect (xfail).</t>
        </is>
      </c>
    </row>
    <row r="9" ht="238" customHeight="1" s="14">
      <c r="A9" s="19" t="inlineStr">
        <is>
          <t>BUG-R4-008</t>
        </is>
      </c>
      <c r="B9" s="19" t="inlineStr">
        <is>
          <t>[SBFAS and MOEFAS API] A fee component or a grade that does not exist is accepted</t>
        </is>
      </c>
      <c r="C9" s="19" t="inlineStr">
        <is>
          <t>S2</t>
        </is>
      </c>
      <c r="D9" s="19" t="inlineStr">
        <is>
          <t>High</t>
        </is>
      </c>
      <c r="E9" s="19" t="inlineStr">
        <is>
          <t>Open</t>
        </is>
      </c>
      <c r="F9" s="19" t="inlineStr">
        <is>
          <t>Functional</t>
        </is>
      </c>
      <c r="G9" s="19" t="inlineStr">
        <is>
          <t>SIT (Local QA Stack)
Admin portal: http://localhost:5173
API gateway: http://localhost:5273
Users: school (School Admin) and moehq (MOE HQ), seed password of the IAM seed
Built-in browser, requests sent with fetch through the admin portal proxy
Build: local branch codesprint2ending, run of 26/10/2026</t>
        </is>
      </c>
      <c r="H9" s="19" t="inlineStr">
        <is>
          <t>Signed in as school (SBFAS) or moehq (MOEFAS). A Published SBFAS scheme exists for the Add fee request.</t>
        </is>
      </c>
      <c r="I9" s="19" t="inlineStr">
        <is>
          <t>1. Send POST /api/v1/fas/sbfas-schemes with feeComponentId 00000000-0000-0000-0000-000000000099.
2. Send POST /api/fas/v1/fas/moe-schemes (as moehq) with the same unknown feeComponentId.
3. Send POST /api/v1/fas/sbfas-schemes with academicLevelId AL-NOPE.
4. On a Published SBFAS scheme send POST fee-components with an unknown feeComponentId, then with academicLevelId AL-NOPE.</t>
        </is>
      </c>
      <c r="J9" s="19" t="inlineStr">
        <is>
          <t>Each request is refused with 400 or 404 and a message that the fee component or the grade does not exist. Nothing is saved.</t>
        </is>
      </c>
      <c r="K9" s="19" t="inlineStr">
        <is>
          <t>All requests are accepted (HTTP 201) and the unknown ids are stored with the scheme, also on a Published scheme.</t>
        </is>
      </c>
      <c r="L9" s="19" t="inlineStr">
        <is>
          <t>TC-286, TC-287, TC-292</t>
        </is>
      </c>
      <c r="M9" s="19" t="inlineStr">
        <is>
          <t>See R4_All_Defects_26-10-2026.xlsx, sheet Defect Reports, column Evidence (images embedded).
evidence_12_BUG-R4-008.png
evidence_13_BUG-R4-008.png</t>
        </is>
      </c>
      <c r="N9" s="19" t="inlineStr">
        <is>
          <t>The wizard offers only existing fees and grades, so the user cannot send these values from the screen. The risk is a direct API call or a stale screen. Dev to check the ids against the fee components of Function 3 and the offerings of the school before saving. Automated tests: test_tc_286, test_tc_287 and test_tc_292, marked known_defect (xfail).</t>
        </is>
      </c>
    </row>
    <row r="10" ht="238" customHeight="1" s="14">
      <c r="A10" s="19" t="inlineStr">
        <is>
          <t>BUG-R4-009</t>
        </is>
      </c>
      <c r="B10" s="19" t="inlineStr">
        <is>
          <t>[SBFAS API] A scheme that leaves one grade without a value is accepted</t>
        </is>
      </c>
      <c r="C10" s="19" t="inlineStr">
        <is>
          <t>S3</t>
        </is>
      </c>
      <c r="D10" s="19" t="inlineStr">
        <is>
          <t>Medium</t>
        </is>
      </c>
      <c r="E10" s="19" t="inlineStr">
        <is>
          <t>Open</t>
        </is>
      </c>
      <c r="F10" s="19" t="inlineStr">
        <is>
          <t>Functional</t>
        </is>
      </c>
      <c r="G10" s="19" t="inlineStr">
        <is>
          <t>SIT (Local QA Stack)
Admin portal: http://localhost:5173
API gateway: http://localhost:5273
User: school (School Admin, Raffles Institution), seed password of the IAM seed
Built-in browser, requests sent with fetch through the admin portal proxy
Build: local branch codesprint2ending, run of 26/10/2026</t>
        </is>
      </c>
      <c r="H10" s="19" t="inlineStr">
        <is>
          <t>Signed in as school. The school has two active grades (Junior College 1 and Secondary 1).</t>
        </is>
      </c>
      <c r="I10" s="19" t="inlineStr">
        <is>
          <t>1. Sign in as school.
2. Send POST /api/v1/fas/sbfas-schemes with one fee component that has an item for Junior College 1 only.</t>
        </is>
      </c>
      <c r="J10" s="19" t="inlineStr">
        <is>
          <t>The request is refused: every active grade needs a value, 0 percent if there is no subsidy (rules document VR-WIZ-17).</t>
        </is>
      </c>
      <c r="K10" s="19" t="inlineStr">
        <is>
          <t>The request is accepted (HTTP 201). The scheme prices one grade only. The wizard blocks it with Enter a subsidy percentage for every active level.</t>
        </is>
      </c>
      <c r="L10" s="19" t="inlineStr">
        <is>
          <t>TC-288</t>
        </is>
      </c>
      <c r="M10" s="19" t="inlineStr">
        <is>
          <t>See R4_All_Defects_26-10-2026.xlsx, sheet Defect Reports, column Evidence (images embedded).
evidence_14_BUG-R4-009.png</t>
        </is>
      </c>
      <c r="N10" s="19" t="inlineStr">
        <is>
          <t>Dev to confirm whether a missing grade means no subsidy for that grade or an error. The rules document says every grade needs a value. Automated test: test_tc_288, marked known_defect (xfail).</t>
        </is>
      </c>
    </row>
    <row r="11" ht="223.5" customHeight="1" s="14">
      <c r="A11" s="19" t="inlineStr">
        <is>
          <t>BUG-R4-010</t>
        </is>
      </c>
      <c r="B11" s="19" t="inlineStr">
        <is>
          <t>[MOEFAS API] A scheme with all dates in the past is accepted, SBFAS refuses the same</t>
        </is>
      </c>
      <c r="C11" s="19" t="inlineStr">
        <is>
          <t>S3</t>
        </is>
      </c>
      <c r="D11" s="19" t="inlineStr">
        <is>
          <t>Medium</t>
        </is>
      </c>
      <c r="E11" s="19" t="inlineStr">
        <is>
          <t>Open</t>
        </is>
      </c>
      <c r="F11" s="19" t="inlineStr">
        <is>
          <t>Functional</t>
        </is>
      </c>
      <c r="G11" s="19" t="inlineStr">
        <is>
          <t>SIT (Local QA Stack)
Admin portal: http://localhost:5173
API gateway: http://localhost:5273
User: moehq (MOE HQ), seed password of the IAM seed
Built-in browser, requests sent with fetch through the admin portal proxy
Build: local branch codesprint2ending, run of 26/10/2026</t>
        </is>
      </c>
      <c r="H11" s="19" t="inlineStr">
        <is>
          <t>Signed in as moehq. At least one active fee component of Function 3 exists.</t>
        </is>
      </c>
      <c r="I11" s="19" t="inlineStr">
        <is>
          <t>1. Sign in as moehq.
2. Send POST /api/fas/v1/fas/moe-schemes with Form opens 2020-01-01, Form closes 2020-06-30 and Effective from 2021-01-01.</t>
        </is>
      </c>
      <c r="J11" s="19" t="inlineStr">
        <is>
          <t>The request is refused: a new scheme cannot start in the past, as the SBFAS API does (openFrom must be today or later).</t>
        </is>
      </c>
      <c r="K11" s="19" t="inlineStr">
        <is>
          <t>The request is accepted (HTTP 201 MOE FAS scheme created successfully.).</t>
        </is>
      </c>
      <c r="L11" s="19" t="inlineStr">
        <is>
          <t>TC-295</t>
        </is>
      </c>
      <c r="M11" s="19" t="inlineStr">
        <is>
          <t>See R4_All_Defects_26-10-2026.xlsx, sheet Defect Reports, column Evidence (images embedded).
evidence_15_BUG-R4-010.png</t>
        </is>
      </c>
      <c r="N11" s="19" t="inlineStr">
        <is>
          <t>The rules document VR-WIZ-08 says Effective from must not be in the past for a new scheme. BA to confirm the rule for MOEFAS. Automated test: test_tc_295, marked known_defect (xfail). The test schemes are Drafts named R4-AUTO and stay until the cleanup command.</t>
        </is>
      </c>
    </row>
    <row r="12" ht="238" customHeight="1" s="14">
      <c r="A12" s="19" t="inlineStr">
        <is>
          <t>BUG-R4-011</t>
        </is>
      </c>
      <c r="B12" s="19" t="inlineStr">
        <is>
          <t>[SBFAS publish] A later scheme with the same name is refused, so the earlier scheme is never ended</t>
        </is>
      </c>
      <c r="C12" s="19" t="inlineStr">
        <is>
          <t>S2</t>
        </is>
      </c>
      <c r="D12" s="19" t="inlineStr">
        <is>
          <t>High</t>
        </is>
      </c>
      <c r="E12" s="19" t="inlineStr">
        <is>
          <t>Open</t>
        </is>
      </c>
      <c r="F12" s="19" t="inlineStr">
        <is>
          <t>Functional</t>
        </is>
      </c>
      <c r="G12" s="19" t="inlineStr">
        <is>
          <t>SIT (Local QA Stack)
Admin portal: http://localhost:5173
API gateway: http://localhost:5273
User: school (School Admin, Raffles Institution), seed password of the IAM seed
Built-in browser, requests sent with fetch through the admin portal proxy
Build: local branch codesprint2ending, run of 26/10/2026</t>
        </is>
      </c>
      <c r="H12" s="19" t="inlineStr">
        <is>
          <t>Signed in as school. A Published SBFAS scheme named X exists with Effective from in year Y.</t>
        </is>
      </c>
      <c r="I12" s="19" t="inlineStr">
        <is>
          <t>1. Sign in as school.
2. Create and publish a scheme with the same name X and Effective from five years later.
3. Read the list.</t>
        </is>
      </c>
      <c r="J12" s="19" t="inlineStr">
        <is>
          <t>The later scheme is accepted. The earlier scheme gets Effective to = the day before the new Effective from (FS 7.3, rules document VR-PUB-07).</t>
        </is>
      </c>
      <c r="K12" s="19" t="inlineStr">
        <is>
          <t>The request is refused with HTTP 409: A scheme with this name already exists for this school. The earlier scheme keeps no end date.</t>
        </is>
      </c>
      <c r="L12" s="19" t="inlineStr">
        <is>
          <t>TC-228</t>
        </is>
      </c>
      <c r="M12" s="19" t="inlineStr">
        <is>
          <t>See R4_All_Defects_26-10-2026.xlsx, sheet Defect Reports, column Evidence (images embedded).
evidence_16_BUG-R4-011.png</t>
        </is>
      </c>
      <c r="N12" s="19" t="inlineStr">
        <is>
          <t>Root cause (code): the create handler checks the name in the school without looking at the period. TC-226 and TC-227 depend on the same rule and stay Not Run. TC-222 and TC-223 pass. Automated test: test_tc_228, marked known_defect (xfail). BA and Dev to confirm the succession rule.</t>
        </is>
      </c>
    </row>
    <row r="13" ht="238" customHeight="1" s="14">
      <c r="A13" s="19" t="inlineStr">
        <is>
          <t>BUG-R4-012</t>
        </is>
      </c>
      <c r="B13" s="19" t="inlineStr">
        <is>
          <t>[SBFAS list] Dates and row content differ from the FS and the final prototype</t>
        </is>
      </c>
      <c r="C13" s="19" t="inlineStr">
        <is>
          <t>S3</t>
        </is>
      </c>
      <c r="D13" s="19" t="inlineStr">
        <is>
          <t>Medium</t>
        </is>
      </c>
      <c r="E13" s="19" t="inlineStr">
        <is>
          <t>Open</t>
        </is>
      </c>
      <c r="F13" s="19" t="inlineStr">
        <is>
          <t>UI</t>
        </is>
      </c>
      <c r="G13" s="19" t="inlineStr">
        <is>
          <t>SIT (Local QA Stack)
Admin portal: http://localhost:5173
API gateway: http://localhost:5273
User: school (School Admin, Raffles Institution), seed password of the IAM seed
Built-in browser, requests sent with fetch through the admin portal proxy
Build: local branch codesprint2ending, run of 26/10/2026</t>
        </is>
      </c>
      <c r="H13" s="19" t="inlineStr">
        <is>
          <t>Signed in as school. The school has at least one SBFAS scheme.</t>
        </is>
      </c>
      <c r="I13" s="19" t="inlineStr">
        <is>
          <t>1. Sign in as school.
2. Open SBFAS schemes.
3. Read the date columns and the text under the scheme name.</t>
        </is>
      </c>
      <c r="J13" s="19" t="inlineStr">
        <is>
          <t>Dates as DD/MM/YYYY (BR13), the text Approved by school under the name, the Open badge and No end date when Effective to is empty (case book TC-173).</t>
        </is>
      </c>
      <c r="K13" s="19" t="inlineStr">
        <is>
          <t>Dates are shown as YYYY-MM-DD (2026-10-23 – 2026-10-24). There is no Approved by school text, no Open badge and no No end date text.</t>
        </is>
      </c>
      <c r="L13" s="19" t="inlineStr">
        <is>
          <t>TC-173</t>
        </is>
      </c>
      <c r="M13" s="19" t="inlineStr">
        <is>
          <t>See R4_All_Defects_26-10-2026.xlsx, sheet Defect Reports, column Evidence (images embedded).
evidence_17_BUG-R4-012.png</t>
        </is>
      </c>
      <c r="N13" s="19" t="inlineStr">
        <is>
          <t>Counts, status and fee count match the API. The difference is the format and the extra texts. BA to decide whether the build or the case book changes. Reject this defect if the build is accepted. Automated test: test_tc_173, marked known_defect (xfail).</t>
        </is>
      </c>
    </row>
    <row r="14" ht="252.5" customHeight="1" s="14">
      <c r="A14" s="19" t="inlineStr">
        <is>
          <t>BUG-R4-013</t>
        </is>
      </c>
      <c r="B14" s="19" t="inlineStr">
        <is>
          <t>[MOEFAS API] The School user can read all MOEFAS schemes</t>
        </is>
      </c>
      <c r="C14" s="19" t="inlineStr">
        <is>
          <t>S2</t>
        </is>
      </c>
      <c r="D14" s="19" t="inlineStr">
        <is>
          <t>High</t>
        </is>
      </c>
      <c r="E14" s="19" t="inlineStr">
        <is>
          <t>Open</t>
        </is>
      </c>
      <c r="F14" s="19" t="inlineStr">
        <is>
          <t>Security</t>
        </is>
      </c>
      <c r="G14" s="19" t="inlineStr">
        <is>
          <t>SIT (Local QA Stack)
Admin portal: http://localhost:5173
API gateway: http://localhost:5273
User: school (School Admin, Raffles Institution), seed password of the IAM seed
Built-in browser, requests sent with fetch through the admin portal proxy
Build: local branch codesprint2ending, run of 26/10/2026</t>
        </is>
      </c>
      <c r="H14" s="19" t="inlineStr">
        <is>
          <t>Signed in as school (role SCHOOL).</t>
        </is>
      </c>
      <c r="I14" s="19" t="inlineStr">
        <is>
          <t>1. Sign in as school.
2. Send GET /api/fas/v1/fas/moe-schemes.
3. Send GET /api/fas/v1/fas/moe-schemes/{id} for one scheme.
4. Send POST /api/fas/v1/fas/moe-schemes.</t>
        </is>
      </c>
      <c r="J14" s="19" t="inlineStr">
        <is>
          <t>403 Forbidden on every MOEFAS endpoint. MOEFAS is for MOE HQ only (FS 3.2, case book TC-165).</t>
        </is>
      </c>
      <c r="K14" s="19" t="inlineStr">
        <is>
          <t>GET list returns 200 with 80 rows. GET of one scheme returns 200. Only POST is refused (403). The menu hides MOEFAS from the school, the API does not. MOE HQ calling the SBFAS list gets 403 correctly.</t>
        </is>
      </c>
      <c r="L14" s="19" t="inlineStr">
        <is>
          <t>TC-165</t>
        </is>
      </c>
      <c r="M14" s="19" t="inlineStr">
        <is>
          <t>See R4_All_Defects_26-10-2026.xlsx, sheet Defect Reports, column Evidence (images embedded).
evidence_18_BUG-R4-013.png</t>
        </is>
      </c>
      <c r="N14" s="19" t="inlineStr">
        <is>
          <t>The data are scheme definitions (names, bands, subsidy), no student data. Still an access control gap: Dev to add the role check on the MOEFAS read endpoints. Automated test: test_tc_165, marked known_defect (xfail).</t>
        </is>
      </c>
    </row>
    <row r="15" ht="252.5" customHeight="1" s="14">
      <c r="A15" s="19" t="inlineStr">
        <is>
          <t>BUG-R4-014</t>
        </is>
      </c>
      <c r="B15" s="19" t="inlineStr">
        <is>
          <t>[SBFAS wizard] Misleading messages for the budget and the percentage cells</t>
        </is>
      </c>
      <c r="C15" s="19" t="inlineStr">
        <is>
          <t>S4</t>
        </is>
      </c>
      <c r="D15" s="19" t="inlineStr">
        <is>
          <t>Low</t>
        </is>
      </c>
      <c r="E15" s="19" t="inlineStr">
        <is>
          <t>Open</t>
        </is>
      </c>
      <c r="F15" s="19" t="inlineStr">
        <is>
          <t>UI</t>
        </is>
      </c>
      <c r="G15" s="19" t="inlineStr">
        <is>
          <t>SIT (Local QA Stack)
Admin portal: http://localhost:5173
API gateway: http://localhost:5273
User: school (School Admin, Raffles Institution), seed password of the IAM seed
Built-in browser, requests sent with fetch through the admin portal proxy
Build: local branch codesprint2ending, run of 26/10/2026</t>
        </is>
      </c>
      <c r="H15" s="19" t="inlineStr">
        <is>
          <t>Signed in as school.</t>
        </is>
      </c>
      <c r="I15" s="19" t="inlineStr">
        <is>
          <t>1. Open SBFAS schemes, click New scheme and fill the dates.
2. Type abc, then leave empty, then -1 in Total budget and click Next.
3. On Subsidy pick a fee, type -1, then 101, then clear the cell, and click Review.</t>
        </is>
      </c>
      <c r="J15" s="19" t="inlineStr">
        <is>
          <t>A message for each cause: a number is needed for abc and empty, the percentage must be from 0 to 100 for the cells (rules document VR-WIZ-15).</t>
        </is>
      </c>
      <c r="K15" s="19" t="inlineStr">
        <is>
          <t>abc and empty show Budget cannot be negative. The cells with -1, 101 or empty show Enter a subsidy percentage for every active level., which does not name the range. The values are blocked correctly.</t>
        </is>
      </c>
      <c r="L15" s="19" t="inlineStr">
        <is>
          <t>TC-307, TC-309</t>
        </is>
      </c>
      <c r="M15" s="19" t="inlineStr">
        <is>
          <t>See R4_All_Defects_26-10-2026.xlsx, sheet Defect Reports, column Evidence (images embedded).
evidence_19_BUG-R4-014.png</t>
        </is>
      </c>
      <c r="N15" s="19" t="inlineStr">
        <is>
          <t>Only the text is wrong, the blocking works. Automated tests: test_tc_307 and test_tc_309, marked known_defect (xfail).</t>
        </is>
      </c>
    </row>
    <row r="16" ht="252.5" customHeight="1" s="14">
      <c r="A16" s="19" t="inlineStr">
        <is>
          <t>BUG-R4-015</t>
        </is>
      </c>
      <c r="B16" s="19" t="inlineStr">
        <is>
          <t>[SBFAS wizard] A duplicate scheme name shows a generic error</t>
        </is>
      </c>
      <c r="C16" s="19" t="inlineStr">
        <is>
          <t>S3</t>
        </is>
      </c>
      <c r="D16" s="19" t="inlineStr">
        <is>
          <t>Medium</t>
        </is>
      </c>
      <c r="E16" s="19" t="inlineStr">
        <is>
          <t>Open</t>
        </is>
      </c>
      <c r="F16" s="19" t="inlineStr">
        <is>
          <t>Usability</t>
        </is>
      </c>
      <c r="G16" s="19" t="inlineStr">
        <is>
          <t>SIT (Local QA Stack)
Admin portal: http://localhost:5173
API gateway: http://localhost:5273
User: school (School Admin, Raffles Institution), seed password of the IAM seed
Built-in browser, requests sent with fetch through the admin portal proxy
Build: local branch codesprint2ending, run of 26/10/2026</t>
        </is>
      </c>
      <c r="H16" s="19" t="inlineStr">
        <is>
          <t>Signed in as school. A scheme named X exists for the school.</t>
        </is>
      </c>
      <c r="I16" s="19" t="inlineStr">
        <is>
          <t>1. Sign in as school.
2. Complete the four steps of a new scheme with the name X.
3. Click Save draft, then click Publish.</t>
        </is>
      </c>
      <c r="J16" s="19" t="inlineStr">
        <is>
          <t>The screen says that a scheme with this name already exists so the user can change the name (rules document VR-WIZ-03).</t>
        </is>
      </c>
      <c r="K16" s="19" t="inlineStr">
        <is>
          <t>The toast says Unable to create scheme. The scheme could not be created. Please try again. The API answers 409 A scheme with this name already exists for this school., the screen does not show it.</t>
        </is>
      </c>
      <c r="L16" s="19" t="inlineStr">
        <is>
          <t>TC-310</t>
        </is>
      </c>
      <c r="M16" s="19" t="inlineStr">
        <is>
          <t>See R4_All_Defects_26-10-2026.xlsx, sheet Defect Reports, column Evidence (images embedded).
evidence_20_BUG-R4-015.png</t>
        </is>
      </c>
      <c r="N16" s="19" t="inlineStr">
        <is>
          <t>The scheme is correctly not created. The user cannot tell why. Automated test: test_tc_310, marked known_defect (xfail).</t>
        </is>
      </c>
    </row>
    <row r="17" ht="267" customHeight="1" s="14">
      <c r="A17" s="19" t="inlineStr">
        <is>
          <t>BUG-R4-016</t>
        </is>
      </c>
      <c r="B17" s="19" t="inlineStr">
        <is>
          <t>[MOEFAS list] Schemes are not sorted by Effective from, newest first</t>
        </is>
      </c>
      <c r="C17" s="19" t="inlineStr">
        <is>
          <t>S3</t>
        </is>
      </c>
      <c r="D17" s="19" t="inlineStr">
        <is>
          <t>Medium</t>
        </is>
      </c>
      <c r="E17" s="19" t="inlineStr">
        <is>
          <t>Open</t>
        </is>
      </c>
      <c r="F17" s="19" t="inlineStr">
        <is>
          <t>Functional</t>
        </is>
      </c>
      <c r="G17" s="19" t="inlineStr">
        <is>
          <t>SIT (Local QA Stack)
Admin portal: http://localhost:5173
API gateway: http://localhost:5273
User: moehq (MOE HQ), seed password of the IAM seed
Built-in browser, requests sent with fetch through the admin portal proxy
Build: local branch codesprint2ending, run of 26/10/2026</t>
        </is>
      </c>
      <c r="H17" s="19" t="inlineStr">
        <is>
          <t>Signed in as moehq. The stack holds more than 20 schemes with different Effective from dates.</t>
        </is>
      </c>
      <c r="I17" s="19" t="inlineStr">
        <is>
          <t>1. Sign in as moehq.
2. Open MOEFAS and read the column Effective from from top to bottom (or send GET /api/fas/v1/fas/moe-schemes).</t>
        </is>
      </c>
      <c r="J17" s="19" t="inlineStr">
        <is>
          <t>Rows sorted by Effective from, newest first, then by name (FS 7.1 item 5, case TC-174).</t>
        </is>
      </c>
      <c r="K17" s="19" t="inlineStr">
        <is>
          <t>The rows come in creation order: runs of Published and Draft schemes alternate and the years jump (2527, 2509 ... 2377, then 3401, 3293 ... 2217, then 2207 ... ). The first rows are not the newest Effective from.</t>
        </is>
      </c>
      <c r="L17" s="19" t="inlineStr">
        <is>
          <t>TC-174</t>
        </is>
      </c>
      <c r="M17" s="19" t="inlineStr">
        <is>
          <t>See R4_All_Defects_26-10-2026.xlsx, sheet Defect Reports, column Evidence (images embedded).
evidence_21_BUG-R4-016.png</t>
        </is>
      </c>
      <c r="N17" s="19" t="inlineStr">
        <is>
          <t>Found by the automated run of 26/10/2026: TC-174 passed while the stack had a few schemes and failed after the validation tests created more. The MOEFAS list code has no sort control, the order is the one the API returns. Automated test: test_tc_174, marked known_defect (xfail).</t>
        </is>
      </c>
    </row>
    <row r="18" ht="15" customHeight="1" s="14">
      <c r="A18" s="19" t="n"/>
      <c r="B18" s="19" t="n"/>
      <c r="C18" s="19" t="n"/>
      <c r="D18" s="19" t="n"/>
      <c r="E18" s="19" t="n"/>
      <c r="F18" s="19" t="n"/>
      <c r="G18" s="19" t="n"/>
      <c r="H18" s="19" t="n"/>
      <c r="I18" s="19" t="n"/>
      <c r="J18" s="19" t="n"/>
      <c r="K18" s="19" t="n"/>
      <c r="L18" s="19" t="n"/>
      <c r="M18" s="19" t="n"/>
      <c r="N18" s="19" t="n"/>
    </row>
    <row r="19" ht="15" customHeight="1" s="14">
      <c r="A19" s="19" t="n"/>
      <c r="B19" s="19" t="n"/>
      <c r="C19" s="19" t="n"/>
      <c r="D19" s="19" t="n"/>
      <c r="E19" s="19" t="n"/>
      <c r="F19" s="19" t="n"/>
      <c r="G19" s="19" t="n"/>
      <c r="H19" s="19" t="n"/>
      <c r="I19" s="19" t="n"/>
      <c r="J19" s="19" t="n"/>
      <c r="K19" s="19" t="n"/>
      <c r="L19" s="19" t="n"/>
      <c r="M19" s="19" t="n"/>
      <c r="N19" s="19" t="n"/>
    </row>
    <row r="20" ht="15" customHeight="1" s="14">
      <c r="A20" s="19" t="n"/>
      <c r="B20" s="19" t="n"/>
      <c r="C20" s="19" t="n"/>
      <c r="D20" s="19" t="n"/>
      <c r="E20" s="19" t="n"/>
      <c r="F20" s="19" t="n"/>
      <c r="G20" s="19" t="n"/>
      <c r="H20" s="19" t="n"/>
      <c r="I20" s="19" t="n"/>
      <c r="J20" s="19" t="n"/>
      <c r="K20" s="19" t="n"/>
      <c r="L20" s="19" t="n"/>
      <c r="M20" s="19" t="n"/>
      <c r="N20" s="19" t="n"/>
    </row>
    <row r="21" ht="15" customHeight="1" s="14">
      <c r="A21" s="19" t="n"/>
      <c r="B21" s="19" t="n"/>
      <c r="C21" s="19" t="n"/>
      <c r="D21" s="19" t="n"/>
      <c r="E21" s="19" t="n"/>
      <c r="F21" s="19" t="n"/>
      <c r="G21" s="19" t="n"/>
      <c r="H21" s="19" t="n"/>
      <c r="I21" s="19" t="n"/>
      <c r="J21" s="19" t="n"/>
      <c r="K21" s="19" t="n"/>
      <c r="L21" s="19" t="n"/>
      <c r="M21" s="19" t="n"/>
      <c r="N21" s="19" t="n"/>
    </row>
    <row r="22" ht="15" customHeight="1" s="14">
      <c r="A22" s="19" t="n"/>
      <c r="B22" s="19" t="n"/>
      <c r="C22" s="19" t="n"/>
      <c r="D22" s="19" t="n"/>
      <c r="E22" s="19" t="n"/>
      <c r="F22" s="19" t="n"/>
      <c r="G22" s="19" t="n"/>
      <c r="H22" s="19" t="n"/>
      <c r="I22" s="19" t="n"/>
      <c r="J22" s="19" t="n"/>
      <c r="K22" s="19" t="n"/>
      <c r="L22" s="19" t="n"/>
      <c r="M22" s="19" t="n"/>
      <c r="N22" s="19" t="n"/>
    </row>
    <row r="23" ht="15" customHeight="1" s="14">
      <c r="A23" s="19" t="n"/>
      <c r="B23" s="19" t="n"/>
      <c r="C23" s="19" t="n"/>
      <c r="D23" s="19" t="n"/>
      <c r="E23" s="19" t="n"/>
      <c r="F23" s="19" t="n"/>
      <c r="G23" s="19" t="n"/>
      <c r="H23" s="19" t="n"/>
      <c r="I23" s="19" t="n"/>
      <c r="J23" s="19" t="n"/>
      <c r="K23" s="19" t="n"/>
      <c r="L23" s="19" t="n"/>
      <c r="M23" s="19" t="n"/>
      <c r="N23" s="19" t="n"/>
    </row>
    <row r="24" ht="15" customHeight="1" s="14">
      <c r="A24" s="19" t="n"/>
      <c r="B24" s="19" t="n"/>
      <c r="C24" s="19" t="n"/>
      <c r="D24" s="19" t="n"/>
      <c r="E24" s="19" t="n"/>
      <c r="F24" s="19" t="n"/>
      <c r="G24" s="19" t="n"/>
      <c r="H24" s="19" t="n"/>
      <c r="I24" s="19" t="n"/>
      <c r="J24" s="19" t="n"/>
      <c r="K24" s="19" t="n"/>
      <c r="L24" s="19" t="n"/>
      <c r="M24" s="19" t="n"/>
      <c r="N24" s="19" t="n"/>
    </row>
    <row r="25" ht="15" customHeight="1" s="14">
      <c r="A25" s="19" t="n"/>
      <c r="B25" s="19" t="n"/>
      <c r="C25" s="19" t="n"/>
      <c r="D25" s="19" t="n"/>
      <c r="E25" s="19" t="n"/>
      <c r="F25" s="19" t="n"/>
      <c r="G25" s="19" t="n"/>
      <c r="H25" s="19" t="n"/>
      <c r="I25" s="19" t="n"/>
      <c r="J25" s="19" t="n"/>
      <c r="K25" s="19" t="n"/>
      <c r="L25" s="19" t="n"/>
      <c r="M25" s="19" t="n"/>
      <c r="N25" s="19" t="n"/>
    </row>
    <row r="26" ht="15" customHeight="1" s="14">
      <c r="A26" s="19" t="n"/>
      <c r="B26" s="19" t="n"/>
      <c r="C26" s="19" t="n"/>
      <c r="D26" s="19" t="n"/>
      <c r="E26" s="19" t="n"/>
      <c r="F26" s="19" t="n"/>
      <c r="G26" s="19" t="n"/>
      <c r="H26" s="19" t="n"/>
      <c r="I26" s="19" t="n"/>
      <c r="J26" s="19" t="n"/>
      <c r="K26" s="19" t="n"/>
      <c r="L26" s="19" t="n"/>
      <c r="M26" s="19" t="n"/>
      <c r="N26" s="19" t="n"/>
    </row>
    <row r="27" ht="15" customHeight="1" s="14">
      <c r="A27" s="19" t="n"/>
      <c r="B27" s="19" t="n"/>
      <c r="C27" s="19" t="n"/>
      <c r="D27" s="19" t="n"/>
      <c r="E27" s="19" t="n"/>
      <c r="F27" s="19" t="n"/>
      <c r="G27" s="19" t="n"/>
      <c r="H27" s="19" t="n"/>
      <c r="I27" s="19" t="n"/>
      <c r="J27" s="19" t="n"/>
      <c r="K27" s="19" t="n"/>
      <c r="L27" s="19" t="n"/>
      <c r="M27" s="19" t="n"/>
      <c r="N27" s="19" t="n"/>
    </row>
    <row r="28" ht="15" customHeight="1" s="14">
      <c r="A28" s="19" t="n"/>
      <c r="B28" s="19" t="n"/>
      <c r="C28" s="19" t="n"/>
      <c r="D28" s="19" t="n"/>
      <c r="E28" s="19" t="n"/>
      <c r="F28" s="19" t="n"/>
      <c r="G28" s="19" t="n"/>
      <c r="H28" s="19" t="n"/>
      <c r="I28" s="19" t="n"/>
      <c r="J28" s="19" t="n"/>
      <c r="K28" s="19" t="n"/>
      <c r="L28" s="19" t="n"/>
      <c r="M28" s="19" t="n"/>
      <c r="N28" s="19" t="n"/>
    </row>
    <row r="29" ht="15" customHeight="1" s="14">
      <c r="A29" s="19" t="n"/>
      <c r="B29" s="19" t="n"/>
      <c r="C29" s="19" t="n"/>
      <c r="D29" s="19" t="n"/>
      <c r="E29" s="19" t="n"/>
      <c r="F29" s="19" t="n"/>
      <c r="G29" s="19" t="n"/>
      <c r="H29" s="19" t="n"/>
      <c r="I29" s="19" t="n"/>
      <c r="J29" s="19" t="n"/>
      <c r="K29" s="19" t="n"/>
      <c r="L29" s="19" t="n"/>
      <c r="M29" s="19" t="n"/>
      <c r="N29" s="19" t="n"/>
    </row>
    <row r="30" ht="15" customHeight="1" s="14">
      <c r="A30" s="19" t="n"/>
      <c r="B30" s="19" t="n"/>
      <c r="C30" s="19" t="n"/>
      <c r="D30" s="19" t="n"/>
      <c r="E30" s="19" t="n"/>
      <c r="F30" s="19" t="n"/>
      <c r="G30" s="19" t="n"/>
      <c r="H30" s="19" t="n"/>
      <c r="I30" s="19" t="n"/>
      <c r="J30" s="19" t="n"/>
      <c r="K30" s="19" t="n"/>
      <c r="L30" s="19" t="n"/>
      <c r="M30" s="19" t="n"/>
      <c r="N30" s="19" t="n"/>
    </row>
    <row r="31" ht="15" customHeight="1" s="14">
      <c r="A31" s="19" t="n"/>
      <c r="B31" s="19" t="n"/>
      <c r="C31" s="19" t="n"/>
      <c r="D31" s="19" t="n"/>
      <c r="E31" s="19" t="n"/>
      <c r="F31" s="19" t="n"/>
      <c r="G31" s="19" t="n"/>
      <c r="H31" s="19" t="n"/>
      <c r="I31" s="19" t="n"/>
      <c r="J31" s="19" t="n"/>
      <c r="K31" s="19" t="n"/>
      <c r="L31" s="19" t="n"/>
      <c r="M31" s="19" t="n"/>
      <c r="N31" s="19" t="n"/>
    </row>
  </sheetData>
  <dataValidations count="3">
    <dataValidation sqref="C2:C31" showDropDown="0" showInputMessage="0" showErrorMessage="0" allowBlank="1" type="list" errorStyle="stop" operator="between">
      <formula1>"S0 (highest),S1,S2,S3 (lowest)"</formula1>
      <formula2>0</formula2>
    </dataValidation>
    <dataValidation sqref="D2:D31" showDropDown="0" showInputMessage="0" showErrorMessage="0" allowBlank="1" type="list" errorStyle="stop" operator="between">
      <formula1>"Critical,High,Medium,Low"</formula1>
      <formula2>0</formula2>
    </dataValidation>
    <dataValidation sqref="E2:E31" showDropDown="0" showInputMessage="0" showErrorMessage="0" allowBlank="1" type="list" errorStyle="stop" operator="between">
      <formula1>"Open,In Progress,Resolved,Closed,Rejected,Deferred"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9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70" customWidth="1" style="13" min="1" max="1"/>
    <col width="14" customWidth="1" style="13" min="2" max="2"/>
    <col width="12" customWidth="1" style="13" min="3" max="8"/>
  </cols>
  <sheetData>
    <row r="1" ht="18" customHeight="1" s="14">
      <c r="A1" s="20" t="inlineStr">
        <is>
          <t>R4 FAS Applications and Schemes: Test Cases v1.0, Summary</t>
        </is>
      </c>
    </row>
    <row r="2" ht="75" customHeight="1" s="14">
      <c r="A2" s="21" t="inlineStr">
        <is>
          <t>Scope: functional, UI, security and integration cases for Function 4 of the Education Account and FAS system (tender requirement R4, product backlog PB-19). The function covers the MOEFAS ranking and automatic decision after the form closes, the FAS applications list and review drawer, the SBFAS approve and reject dialogs, FAS schemes with Add fee, and the messages after a decision. Performance tests are not in this workbook. Cases TC-268 to TC-331 cover the validation rules of the schemes wizard, the Add fee dialog, the search box and the approve and reject comments (R4_FAS_Validation_Rules_EN.docx).</t>
        </is>
      </c>
    </row>
    <row r="3" ht="30.75" customHeight="1" s="14">
      <c r="A3" s="21" t="inlineStr">
        <is>
          <t>Baseline: FS F4 v1.3 dated 19/10/2026 (BA, @Huy). Every expected result comes from this FS or from the prototype behaviour that the case names. It is traced in the Traceability column and in the FS Trace sheet. Test case format: groundtruth/Templates.xlsx with one added column, Review Status.</t>
        </is>
      </c>
    </row>
    <row r="5" ht="15.75" customHeight="1" s="14">
      <c r="A5" s="22" t="inlineStr">
        <is>
          <t>Test cases</t>
        </is>
      </c>
    </row>
    <row r="6" ht="27.75" customHeight="1" s="14">
      <c r="A6" s="15" t="inlineStr">
        <is>
          <t>Measure</t>
        </is>
      </c>
      <c r="B6" s="15" t="inlineStr">
        <is>
          <t>Count</t>
        </is>
      </c>
    </row>
    <row r="7" ht="18" customHeight="1" s="14">
      <c r="A7" s="23" t="inlineStr">
        <is>
          <t>Total test cases</t>
        </is>
      </c>
      <c r="B7" s="24">
        <f>COUNTA('Test cases '!$A$2:$A$332)</f>
        <v/>
      </c>
    </row>
    <row r="8" ht="18" customHeight="1" s="14">
      <c r="A8" s="23" t="inlineStr">
        <is>
          <t>Scenarios</t>
        </is>
      </c>
      <c r="B8" s="24">
        <f>COUNTA(Scenarios!$A$2:$A$66)</f>
        <v/>
      </c>
    </row>
    <row r="9" ht="18" customHeight="1" s="14">
      <c r="A9" s="23" t="inlineStr">
        <is>
          <t>Open assumptions and environment items</t>
        </is>
      </c>
      <c r="B9" s="24">
        <f>COUNTIF(Assumptions!$I$2:$I$32,"Open")</f>
        <v/>
      </c>
    </row>
    <row r="10" ht="18" customHeight="1" s="14">
      <c r="A10" s="23" t="inlineStr">
        <is>
          <t>Questions to answer</t>
        </is>
      </c>
      <c r="B10" s="24">
        <f>COUNTA(Questions!$A$2:$A$31)</f>
        <v/>
      </c>
    </row>
    <row r="12" ht="15.75" customHeight="1" s="14">
      <c r="A12" s="22" t="inlineStr">
        <is>
          <t>By Execution Status</t>
        </is>
      </c>
    </row>
    <row r="13" ht="27.75" customHeight="1" s="14">
      <c r="A13" s="15" t="inlineStr">
        <is>
          <t>Execution Status</t>
        </is>
      </c>
      <c r="B13" s="15" t="inlineStr">
        <is>
          <t>Count</t>
        </is>
      </c>
    </row>
    <row r="14" ht="18" customHeight="1" s="14">
      <c r="A14" s="23" t="inlineStr">
        <is>
          <t>Not Run</t>
        </is>
      </c>
      <c r="B14" s="24">
        <f>COUNTIF('Test cases '!$H$2:$H$332,$A14)</f>
        <v/>
      </c>
    </row>
    <row r="15" ht="18" customHeight="1" s="14">
      <c r="A15" s="23" t="inlineStr">
        <is>
          <t>Passed</t>
        </is>
      </c>
      <c r="B15" s="24">
        <f>COUNTIF('Test cases '!$H$2:$H$332,$A15)</f>
        <v/>
      </c>
    </row>
    <row r="16" ht="18" customHeight="1" s="14">
      <c r="A16" s="23" t="inlineStr">
        <is>
          <t>Failed</t>
        </is>
      </c>
      <c r="B16" s="24">
        <f>COUNTIF('Test cases '!$H$2:$H$332,$A16)</f>
        <v/>
      </c>
    </row>
    <row r="17" ht="18" customHeight="1" s="14">
      <c r="A17" s="23" t="inlineStr">
        <is>
          <t>Blocked</t>
        </is>
      </c>
      <c r="B17" s="24">
        <f>COUNTIF('Test cases '!$H$2:$H$332,$A17)</f>
        <v/>
      </c>
    </row>
    <row r="19" ht="15.75" customHeight="1" s="14">
      <c r="A19" s="22" t="inlineStr">
        <is>
          <t>By Review Status</t>
        </is>
      </c>
    </row>
    <row r="20" ht="27.75" customHeight="1" s="14">
      <c r="A20" s="15" t="inlineStr">
        <is>
          <t>Review Status</t>
        </is>
      </c>
      <c r="B20" s="15" t="inlineStr">
        <is>
          <t>Count</t>
        </is>
      </c>
    </row>
    <row r="21" ht="18" customHeight="1" s="14">
      <c r="A21" s="23" t="inlineStr">
        <is>
          <t>Approve</t>
        </is>
      </c>
      <c r="B21" s="24">
        <f>COUNTIF('Test cases '!$T$2:$T$332,$A21)</f>
        <v/>
      </c>
    </row>
    <row r="22" ht="18" customHeight="1" s="14">
      <c r="A22" s="23" t="inlineStr">
        <is>
          <t>Draft</t>
        </is>
      </c>
      <c r="B22" s="24">
        <f>COUNTIF('Test cases '!$T$2:$T$332,$A22)</f>
        <v/>
      </c>
    </row>
    <row r="23" ht="18" customHeight="1" s="14">
      <c r="A23" s="23" t="inlineStr">
        <is>
          <t>Block</t>
        </is>
      </c>
      <c r="B23" s="24">
        <f>COUNTIF('Test cases '!$T$2:$T$332,$A23)</f>
        <v/>
      </c>
    </row>
    <row r="24" ht="18" customHeight="1" s="14">
      <c r="A24" s="23" t="inlineStr">
        <is>
          <t>Reject</t>
        </is>
      </c>
      <c r="B24" s="24">
        <f>COUNTIF('Test cases '!$T$2:$T$332,$A24)</f>
        <v/>
      </c>
    </row>
    <row r="26" ht="15.75" customHeight="1" s="14">
      <c r="A26" s="22" t="inlineStr">
        <is>
          <t>By Severity</t>
        </is>
      </c>
    </row>
    <row r="27" ht="27.75" customHeight="1" s="14">
      <c r="A27" s="15" t="inlineStr">
        <is>
          <t>Severity</t>
        </is>
      </c>
      <c r="B27" s="15" t="inlineStr">
        <is>
          <t>Count</t>
        </is>
      </c>
    </row>
    <row r="28" ht="18" customHeight="1" s="14">
      <c r="A28" s="23" t="inlineStr">
        <is>
          <t>S1 (highest)</t>
        </is>
      </c>
      <c r="B28" s="24">
        <f>COUNTIF('Test cases '!$F$2:$F$332,$A28)</f>
        <v/>
      </c>
    </row>
    <row r="29" ht="18" customHeight="1" s="14">
      <c r="A29" s="23" t="inlineStr">
        <is>
          <t>S2</t>
        </is>
      </c>
      <c r="B29" s="24">
        <f>COUNTIF('Test cases '!$F$2:$F$332,$A29)</f>
        <v/>
      </c>
    </row>
    <row r="30" ht="18" customHeight="1" s="14">
      <c r="A30" s="23" t="inlineStr">
        <is>
          <t>S3</t>
        </is>
      </c>
      <c r="B30" s="24">
        <f>COUNTIF('Test cases '!$F$2:$F$332,$A30)</f>
        <v/>
      </c>
    </row>
    <row r="31" ht="18" customHeight="1" s="14">
      <c r="A31" s="23" t="inlineStr">
        <is>
          <t>S4 (lowest)</t>
        </is>
      </c>
      <c r="B31" s="24">
        <f>COUNTIF('Test cases '!$F$2:$F$332,$A31)</f>
        <v/>
      </c>
    </row>
    <row r="33" ht="15.75" customHeight="1" s="14">
      <c r="A33" s="22" t="inlineStr">
        <is>
          <t>By Priority</t>
        </is>
      </c>
    </row>
    <row r="34" ht="27.75" customHeight="1" s="14">
      <c r="A34" s="15" t="inlineStr">
        <is>
          <t>Priority</t>
        </is>
      </c>
      <c r="B34" s="15" t="inlineStr">
        <is>
          <t>Count</t>
        </is>
      </c>
    </row>
    <row r="35" ht="18" customHeight="1" s="14">
      <c r="A35" s="23" t="inlineStr">
        <is>
          <t>Critical</t>
        </is>
      </c>
      <c r="B35" s="24">
        <f>COUNTIF('Test cases '!$G$2:$G$332,$A35)</f>
        <v/>
      </c>
    </row>
    <row r="36" ht="18" customHeight="1" s="14">
      <c r="A36" s="23" t="inlineStr">
        <is>
          <t>High</t>
        </is>
      </c>
      <c r="B36" s="24">
        <f>COUNTIF('Test cases '!$G$2:$G$332,$A36)</f>
        <v/>
      </c>
    </row>
    <row r="37" ht="18" customHeight="1" s="14">
      <c r="A37" s="23" t="inlineStr">
        <is>
          <t>Medium</t>
        </is>
      </c>
      <c r="B37" s="24">
        <f>COUNTIF('Test cases '!$G$2:$G$332,$A37)</f>
        <v/>
      </c>
    </row>
    <row r="38" ht="18" customHeight="1" s="14">
      <c r="A38" s="23" t="inlineStr">
        <is>
          <t>Low</t>
        </is>
      </c>
      <c r="B38" s="24">
        <f>COUNTIF('Test cases '!$G$2:$G$332,$A38)</f>
        <v/>
      </c>
    </row>
    <row r="40" ht="15.75" customHeight="1" s="14">
      <c r="A40" s="22" t="inlineStr">
        <is>
          <t>By Test Type</t>
        </is>
      </c>
    </row>
    <row r="41" ht="27.75" customHeight="1" s="14">
      <c r="A41" s="15" t="inlineStr">
        <is>
          <t>Test Type</t>
        </is>
      </c>
      <c r="B41" s="15" t="inlineStr">
        <is>
          <t>Count</t>
        </is>
      </c>
    </row>
    <row r="42" ht="18" customHeight="1" s="14">
      <c r="A42" s="23" t="inlineStr">
        <is>
          <t>Functional</t>
        </is>
      </c>
      <c r="B42" s="24">
        <f>COUNTIF('Test cases '!$I$2:$I$332,$A42)</f>
        <v/>
      </c>
    </row>
    <row r="43" ht="18" customHeight="1" s="14">
      <c r="A43" s="23" t="inlineStr">
        <is>
          <t>Integration</t>
        </is>
      </c>
      <c r="B43" s="24">
        <f>COUNTIF('Test cases '!$I$2:$I$332,$A43)</f>
        <v/>
      </c>
    </row>
    <row r="44" ht="18" customHeight="1" s="14">
      <c r="A44" s="23" t="inlineStr">
        <is>
          <t>API</t>
        </is>
      </c>
      <c r="B44" s="24">
        <f>COUNTIF('Test cases '!$I$2:$I$332,$A44)</f>
        <v/>
      </c>
    </row>
    <row r="45" ht="18" customHeight="1" s="14">
      <c r="A45" s="23" t="inlineStr">
        <is>
          <t>Security</t>
        </is>
      </c>
      <c r="B45" s="24">
        <f>COUNTIF('Test cases '!$I$2:$I$332,$A45)</f>
        <v/>
      </c>
    </row>
    <row r="46" ht="18" customHeight="1" s="14">
      <c r="A46" s="23" t="inlineStr">
        <is>
          <t>UI</t>
        </is>
      </c>
      <c r="B46" s="24">
        <f>COUNTIF('Test cases '!$I$2:$I$332,$A46)</f>
        <v/>
      </c>
    </row>
    <row r="47" ht="18" customHeight="1" s="14">
      <c r="A47" s="23" t="inlineStr">
        <is>
          <t>Non-functional</t>
        </is>
      </c>
      <c r="B47" s="24">
        <f>COUNTIF('Test cases '!$I$2:$I$332,$A47)</f>
        <v/>
      </c>
    </row>
    <row r="49" ht="15.75" customHeight="1" s="14">
      <c r="A49" s="22" t="inlineStr">
        <is>
          <t>By Test Suite</t>
        </is>
      </c>
    </row>
    <row r="50" ht="27.75" customHeight="1" s="14">
      <c r="A50" s="15" t="inlineStr">
        <is>
          <t>Test Suite</t>
        </is>
      </c>
      <c r="B50" s="15" t="inlineStr">
        <is>
          <t>Cases</t>
        </is>
      </c>
      <c r="C50" s="15" t="inlineStr">
        <is>
          <t>Approve</t>
        </is>
      </c>
      <c r="D50" s="15" t="inlineStr">
        <is>
          <t>Draft</t>
        </is>
      </c>
      <c r="E50" s="15" t="inlineStr">
        <is>
          <t>Block</t>
        </is>
      </c>
    </row>
    <row r="51" ht="18" customHeight="1" s="14">
      <c r="A51" s="23" t="inlineStr">
        <is>
          <t>F4.1 Submit routing</t>
        </is>
      </c>
      <c r="B51" s="24">
        <f>COUNTIF('Test cases '!$D$2:$D$332,$A51)</f>
        <v/>
      </c>
      <c r="C51" s="24">
        <f>COUNTIFS('Test cases '!$D$2:$D$332,$A51,'Test cases '!$T$2:$T$332,"Approve")</f>
        <v/>
      </c>
      <c r="D51" s="24">
        <f>COUNTIFS('Test cases '!$D$2:$D$332,$A51,'Test cases '!$T$2:$T$332,"Draft")</f>
        <v/>
      </c>
      <c r="E51" s="24">
        <f>COUNTIFS('Test cases '!$D$2:$D$332,$A51,'Test cases '!$T$2:$T$332,"Block")</f>
        <v/>
      </c>
    </row>
    <row r="52" ht="18" customHeight="1" s="14">
      <c r="A52" s="23" t="inlineStr">
        <is>
          <t>F4.2 MOEFAS ranking and assessment</t>
        </is>
      </c>
      <c r="B52" s="24">
        <f>COUNTIF('Test cases '!$D$2:$D$332,$A52)</f>
        <v/>
      </c>
      <c r="C52" s="24">
        <f>COUNTIFS('Test cases '!$D$2:$D$332,$A52,'Test cases '!$T$2:$T$332,"Approve")</f>
        <v/>
      </c>
      <c r="D52" s="24">
        <f>COUNTIFS('Test cases '!$D$2:$D$332,$A52,'Test cases '!$T$2:$T$332,"Draft")</f>
        <v/>
      </c>
      <c r="E52" s="24">
        <f>COUNTIFS('Test cases '!$D$2:$D$332,$A52,'Test cases '!$T$2:$T$332,"Block")</f>
        <v/>
      </c>
    </row>
    <row r="53" ht="18" customHeight="1" s="14">
      <c r="A53" s="23" t="inlineStr">
        <is>
          <t>F4.3 Applications list, MOE HQ</t>
        </is>
      </c>
      <c r="B53" s="24">
        <f>COUNTIF('Test cases '!$D$2:$D$332,$A53)</f>
        <v/>
      </c>
      <c r="C53" s="24">
        <f>COUNTIFS('Test cases '!$D$2:$D$332,$A53,'Test cases '!$T$2:$T$332,"Approve")</f>
        <v/>
      </c>
      <c r="D53" s="24">
        <f>COUNTIFS('Test cases '!$D$2:$D$332,$A53,'Test cases '!$T$2:$T$332,"Draft")</f>
        <v/>
      </c>
      <c r="E53" s="24">
        <f>COUNTIFS('Test cases '!$D$2:$D$332,$A53,'Test cases '!$T$2:$T$332,"Block")</f>
        <v/>
      </c>
    </row>
    <row r="54" ht="18" customHeight="1" s="14">
      <c r="A54" s="23" t="inlineStr">
        <is>
          <t>F4.4 Applications list, School Admin</t>
        </is>
      </c>
      <c r="B54" s="24">
        <f>COUNTIF('Test cases '!$D$2:$D$332,$A54)</f>
        <v/>
      </c>
      <c r="C54" s="24">
        <f>COUNTIFS('Test cases '!$D$2:$D$332,$A54,'Test cases '!$T$2:$T$332,"Approve")</f>
        <v/>
      </c>
      <c r="D54" s="24">
        <f>COUNTIFS('Test cases '!$D$2:$D$332,$A54,'Test cases '!$T$2:$T$332,"Draft")</f>
        <v/>
      </c>
      <c r="E54" s="24">
        <f>COUNTIFS('Test cases '!$D$2:$D$332,$A54,'Test cases '!$T$2:$T$332,"Block")</f>
        <v/>
      </c>
    </row>
    <row r="55" ht="18" customHeight="1" s="14">
      <c r="A55" s="23" t="inlineStr">
        <is>
          <t>F4.5 Filters and search</t>
        </is>
      </c>
      <c r="B55" s="24">
        <f>COUNTIF('Test cases '!$D$2:$D$332,$A55)</f>
        <v/>
      </c>
      <c r="C55" s="24">
        <f>COUNTIFS('Test cases '!$D$2:$D$332,$A55,'Test cases '!$T$2:$T$332,"Approve")</f>
        <v/>
      </c>
      <c r="D55" s="24">
        <f>COUNTIFS('Test cases '!$D$2:$D$332,$A55,'Test cases '!$T$2:$T$332,"Draft")</f>
        <v/>
      </c>
      <c r="E55" s="24">
        <f>COUNTIFS('Test cases '!$D$2:$D$332,$A55,'Test cases '!$T$2:$T$332,"Block")</f>
        <v/>
      </c>
    </row>
    <row r="56" ht="18" customHeight="1" s="14">
      <c r="A56" s="23" t="inlineStr">
        <is>
          <t>F4.6 Export</t>
        </is>
      </c>
      <c r="B56" s="24">
        <f>COUNTIF('Test cases '!$D$2:$D$332,$A56)</f>
        <v/>
      </c>
      <c r="C56" s="24">
        <f>COUNTIFS('Test cases '!$D$2:$D$332,$A56,'Test cases '!$T$2:$T$332,"Approve")</f>
        <v/>
      </c>
      <c r="D56" s="24">
        <f>COUNTIFS('Test cases '!$D$2:$D$332,$A56,'Test cases '!$T$2:$T$332,"Draft")</f>
        <v/>
      </c>
      <c r="E56" s="24">
        <f>COUNTIFS('Test cases '!$D$2:$D$332,$A56,'Test cases '!$T$2:$T$332,"Block")</f>
        <v/>
      </c>
    </row>
    <row r="57" ht="18" customHeight="1" s="14">
      <c r="A57" s="23" t="inlineStr">
        <is>
          <t>F4.7 Review drawer, MOEFAS</t>
        </is>
      </c>
      <c r="B57" s="24">
        <f>COUNTIF('Test cases '!$D$2:$D$332,$A57)</f>
        <v/>
      </c>
      <c r="C57" s="24">
        <f>COUNTIFS('Test cases '!$D$2:$D$332,$A57,'Test cases '!$T$2:$T$332,"Approve")</f>
        <v/>
      </c>
      <c r="D57" s="24">
        <f>COUNTIFS('Test cases '!$D$2:$D$332,$A57,'Test cases '!$T$2:$T$332,"Draft")</f>
        <v/>
      </c>
      <c r="E57" s="24">
        <f>COUNTIFS('Test cases '!$D$2:$D$332,$A57,'Test cases '!$T$2:$T$332,"Block")</f>
        <v/>
      </c>
    </row>
    <row r="58" ht="18" customHeight="1" s="14">
      <c r="A58" s="23" t="inlineStr">
        <is>
          <t>F4.8 Review drawer, SBFAS</t>
        </is>
      </c>
      <c r="B58" s="24">
        <f>COUNTIF('Test cases '!$D$2:$D$332,$A58)</f>
        <v/>
      </c>
      <c r="C58" s="24">
        <f>COUNTIFS('Test cases '!$D$2:$D$332,$A58,'Test cases '!$T$2:$T$332,"Approve")</f>
        <v/>
      </c>
      <c r="D58" s="24">
        <f>COUNTIFS('Test cases '!$D$2:$D$332,$A58,'Test cases '!$T$2:$T$332,"Draft")</f>
        <v/>
      </c>
      <c r="E58" s="24">
        <f>COUNTIFS('Test cases '!$D$2:$D$332,$A58,'Test cases '!$T$2:$T$332,"Block")</f>
        <v/>
      </c>
    </row>
    <row r="59" ht="18" customHeight="1" s="14">
      <c r="A59" s="23" t="inlineStr">
        <is>
          <t>F4.9 Approve SBFAS</t>
        </is>
      </c>
      <c r="B59" s="24">
        <f>COUNTIF('Test cases '!$D$2:$D$332,$A59)</f>
        <v/>
      </c>
      <c r="C59" s="24">
        <f>COUNTIFS('Test cases '!$D$2:$D$332,$A59,'Test cases '!$T$2:$T$332,"Approve")</f>
        <v/>
      </c>
      <c r="D59" s="24">
        <f>COUNTIFS('Test cases '!$D$2:$D$332,$A59,'Test cases '!$T$2:$T$332,"Draft")</f>
        <v/>
      </c>
      <c r="E59" s="24">
        <f>COUNTIFS('Test cases '!$D$2:$D$332,$A59,'Test cases '!$T$2:$T$332,"Block")</f>
        <v/>
      </c>
    </row>
    <row r="60" ht="18" customHeight="1" s="14">
      <c r="A60" s="23" t="inlineStr">
        <is>
          <t>F4.10 Reject SBFAS</t>
        </is>
      </c>
      <c r="B60" s="24">
        <f>COUNTIF('Test cases '!$D$2:$D$332,$A60)</f>
        <v/>
      </c>
      <c r="C60" s="24">
        <f>COUNTIFS('Test cases '!$D$2:$D$332,$A60,'Test cases '!$T$2:$T$332,"Approve")</f>
        <v/>
      </c>
      <c r="D60" s="24">
        <f>COUNTIFS('Test cases '!$D$2:$D$332,$A60,'Test cases '!$T$2:$T$332,"Draft")</f>
        <v/>
      </c>
      <c r="E60" s="24">
        <f>COUNTIFS('Test cases '!$D$2:$D$332,$A60,'Test cases '!$T$2:$T$332,"Block")</f>
        <v/>
      </c>
    </row>
    <row r="61" ht="18" customHeight="1" s="14">
      <c r="A61" s="23" t="inlineStr">
        <is>
          <t>F4.11 One decision per application</t>
        </is>
      </c>
      <c r="B61" s="24">
        <f>COUNTIF('Test cases '!$D$2:$D$332,$A61)</f>
        <v/>
      </c>
      <c r="C61" s="24">
        <f>COUNTIFS('Test cases '!$D$2:$D$332,$A61,'Test cases '!$T$2:$T$332,"Approve")</f>
        <v/>
      </c>
      <c r="D61" s="24">
        <f>COUNTIFS('Test cases '!$D$2:$D$332,$A61,'Test cases '!$T$2:$T$332,"Draft")</f>
        <v/>
      </c>
      <c r="E61" s="24">
        <f>COUNTIFS('Test cases '!$D$2:$D$332,$A61,'Test cases '!$T$2:$T$332,"Block")</f>
        <v/>
      </c>
    </row>
    <row r="62" ht="18" customHeight="1" s="14">
      <c r="A62" s="23" t="inlineStr">
        <is>
          <t>F4.12 Access and security</t>
        </is>
      </c>
      <c r="B62" s="24">
        <f>COUNTIF('Test cases '!$D$2:$D$332,$A62)</f>
        <v/>
      </c>
      <c r="C62" s="24">
        <f>COUNTIFS('Test cases '!$D$2:$D$332,$A62,'Test cases '!$T$2:$T$332,"Approve")</f>
        <v/>
      </c>
      <c r="D62" s="24">
        <f>COUNTIFS('Test cases '!$D$2:$D$332,$A62,'Test cases '!$T$2:$T$332,"Draft")</f>
        <v/>
      </c>
      <c r="E62" s="24">
        <f>COUNTIFS('Test cases '!$D$2:$D$332,$A62,'Test cases '!$T$2:$T$332,"Block")</f>
        <v/>
      </c>
    </row>
    <row r="63" ht="18" customHeight="1" s="14">
      <c r="A63" s="23" t="inlineStr">
        <is>
          <t>F4.13 FAS schemes list</t>
        </is>
      </c>
      <c r="B63" s="24">
        <f>COUNTIF('Test cases '!$D$2:$D$332,$A63)</f>
        <v/>
      </c>
      <c r="C63" s="24">
        <f>COUNTIFS('Test cases '!$D$2:$D$332,$A63,'Test cases '!$T$2:$T$332,"Approve")</f>
        <v/>
      </c>
      <c r="D63" s="24">
        <f>COUNTIFS('Test cases '!$D$2:$D$332,$A63,'Test cases '!$T$2:$T$332,"Draft")</f>
        <v/>
      </c>
      <c r="E63" s="24">
        <f>COUNTIFS('Test cases '!$D$2:$D$332,$A63,'Test cases '!$T$2:$T$332,"Block")</f>
        <v/>
      </c>
    </row>
    <row r="64" ht="18" customHeight="1" s="14">
      <c r="A64" s="23" t="inlineStr">
        <is>
          <t>F4.14 New scheme wizard</t>
        </is>
      </c>
      <c r="B64" s="24">
        <f>COUNTIF('Test cases '!$D$2:$D$332,$A64)</f>
        <v/>
      </c>
      <c r="C64" s="24">
        <f>COUNTIFS('Test cases '!$D$2:$D$332,$A64,'Test cases '!$T$2:$T$332,"Approve")</f>
        <v/>
      </c>
      <c r="D64" s="24">
        <f>COUNTIFS('Test cases '!$D$2:$D$332,$A64,'Test cases '!$T$2:$T$332,"Draft")</f>
        <v/>
      </c>
      <c r="E64" s="24">
        <f>COUNTIFS('Test cases '!$D$2:$D$332,$A64,'Test cases '!$T$2:$T$332,"Block")</f>
        <v/>
      </c>
    </row>
    <row r="65" ht="18" customHeight="1" s="14">
      <c r="A65" s="23" t="inlineStr">
        <is>
          <t>F4.15 Review and publish</t>
        </is>
      </c>
      <c r="B65" s="24">
        <f>COUNTIF('Test cases '!$D$2:$D$332,$A65)</f>
        <v/>
      </c>
      <c r="C65" s="24">
        <f>COUNTIFS('Test cases '!$D$2:$D$332,$A65,'Test cases '!$T$2:$T$332,"Approve")</f>
        <v/>
      </c>
      <c r="D65" s="24">
        <f>COUNTIFS('Test cases '!$D$2:$D$332,$A65,'Test cases '!$T$2:$T$332,"Draft")</f>
        <v/>
      </c>
      <c r="E65" s="24">
        <f>COUNTIFS('Test cases '!$D$2:$D$332,$A65,'Test cases '!$T$2:$T$332,"Block")</f>
        <v/>
      </c>
    </row>
    <row r="66" ht="18" customHeight="1" s="14">
      <c r="A66" s="23" t="inlineStr">
        <is>
          <t>F4.16 Add fee to a published scheme</t>
        </is>
      </c>
      <c r="B66" s="24">
        <f>COUNTIF('Test cases '!$D$2:$D$332,$A66)</f>
        <v/>
      </c>
      <c r="C66" s="24">
        <f>COUNTIFS('Test cases '!$D$2:$D$332,$A66,'Test cases '!$T$2:$T$332,"Approve")</f>
        <v/>
      </c>
      <c r="D66" s="24">
        <f>COUNTIFS('Test cases '!$D$2:$D$332,$A66,'Test cases '!$T$2:$T$332,"Draft")</f>
        <v/>
      </c>
      <c r="E66" s="24">
        <f>COUNTIFS('Test cases '!$D$2:$D$332,$A66,'Test cases '!$T$2:$T$332,"Block")</f>
        <v/>
      </c>
    </row>
    <row r="67" ht="18" customHeight="1" s="14">
      <c r="A67" s="23" t="inlineStr">
        <is>
          <t>F4.17 Close form now (demo)</t>
        </is>
      </c>
      <c r="B67" s="24">
        <f>COUNTIF('Test cases '!$D$2:$D$332,$A67)</f>
        <v/>
      </c>
      <c r="C67" s="24">
        <f>COUNTIFS('Test cases '!$D$2:$D$332,$A67,'Test cases '!$T$2:$T$332,"Approve")</f>
        <v/>
      </c>
      <c r="D67" s="24">
        <f>COUNTIFS('Test cases '!$D$2:$D$332,$A67,'Test cases '!$T$2:$T$332,"Draft")</f>
        <v/>
      </c>
      <c r="E67" s="24">
        <f>COUNTIFS('Test cases '!$D$2:$D$332,$A67,'Test cases '!$T$2:$T$332,"Block")</f>
        <v/>
      </c>
    </row>
    <row r="68" ht="18" customHeight="1" s="14">
      <c r="A68" s="23" t="inlineStr">
        <is>
          <t>F4.18 Effects after a decision</t>
        </is>
      </c>
      <c r="B68" s="24">
        <f>COUNTIF('Test cases '!$D$2:$D$332,$A68)</f>
        <v/>
      </c>
      <c r="C68" s="24">
        <f>COUNTIFS('Test cases '!$D$2:$D$332,$A68,'Test cases '!$T$2:$T$332,"Approve")</f>
        <v/>
      </c>
      <c r="D68" s="24">
        <f>COUNTIFS('Test cases '!$D$2:$D$332,$A68,'Test cases '!$T$2:$T$332,"Draft")</f>
        <v/>
      </c>
      <c r="E68" s="24">
        <f>COUNTIFS('Test cases '!$D$2:$D$332,$A68,'Test cases '!$T$2:$T$332,"Block")</f>
        <v/>
      </c>
    </row>
    <row r="69" ht="18" customHeight="1" s="14">
      <c r="A69" s="23" t="inlineStr">
        <is>
          <t>F4.19 ML recommendation and risk</t>
        </is>
      </c>
      <c r="B69" s="24">
        <f>COUNTIF('Test cases '!$D$2:$D$332,$A69)</f>
        <v/>
      </c>
      <c r="C69" s="24">
        <f>COUNTIFS('Test cases '!$D$2:$D$332,$A69,'Test cases '!$T$2:$T$332,"Approve")</f>
        <v/>
      </c>
      <c r="D69" s="24">
        <f>COUNTIFS('Test cases '!$D$2:$D$332,$A69,'Test cases '!$T$2:$T$332,"Draft")</f>
        <v/>
      </c>
      <c r="E69" s="24">
        <f>COUNTIFS('Test cases '!$D$2:$D$332,$A69,'Test cases '!$T$2:$T$332,"Block")</f>
        <v/>
      </c>
    </row>
    <row r="70" ht="18" customHeight="1" s="14">
      <c r="A70" s="23" t="inlineStr">
        <is>
          <t>F4.20 Formats</t>
        </is>
      </c>
      <c r="B70" s="24">
        <f>COUNTIF('Test cases '!$D$2:$D$332,$A70)</f>
        <v/>
      </c>
      <c r="C70" s="24">
        <f>COUNTIFS('Test cases '!$D$2:$D$332,$A70,'Test cases '!$T$2:$T$332,"Approve")</f>
        <v/>
      </c>
      <c r="D70" s="24">
        <f>COUNTIFS('Test cases '!$D$2:$D$332,$A70,'Test cases '!$T$2:$T$332,"Draft")</f>
        <v/>
      </c>
      <c r="E70" s="24">
        <f>COUNTIFS('Test cases '!$D$2:$D$332,$A70,'Test cases '!$T$2:$T$332,"Block")</f>
        <v/>
      </c>
    </row>
    <row r="72" ht="15.75" customHeight="1" s="14">
      <c r="A72" s="22" t="inlineStr">
        <is>
          <t>Rules applied</t>
        </is>
      </c>
    </row>
    <row r="73" ht="27.75" customHeight="1" s="14">
      <c r="A73" s="15" t="inlineStr">
        <is>
          <t>Rule</t>
        </is>
      </c>
      <c r="B73" s="15" t="inlineStr">
        <is>
          <t>Source</t>
        </is>
      </c>
      <c r="C73" s="25" t="n"/>
    </row>
    <row r="74" ht="57" customHeight="1" s="14">
      <c r="A74" s="23" t="inlineStr">
        <is>
          <t>Review Status: Approve means no open assumption. Draft means at least one open assumption, named in the Assumption Ref column. Block means no assumption is possible and the case cannot run until the BA answers. Reject is not used.</t>
        </is>
      </c>
      <c r="B74" s="26" t="inlineStr">
        <is>
          <t>User rule, as in the R9 workbook</t>
        </is>
      </c>
      <c r="C74" s="25" t="n"/>
    </row>
    <row r="75" ht="30.75" customHeight="1" s="14">
      <c r="A75" s="23" t="inlineStr">
        <is>
          <t>Assumption Ref lists the open assumptions with their text. A case with no open assumption shows N/A.</t>
        </is>
      </c>
      <c r="B75" s="26" t="inlineStr">
        <is>
          <t>User rule, as in the R9 workbook</t>
        </is>
      </c>
      <c r="C75" s="25" t="n"/>
    </row>
    <row r="76" ht="30.75" customHeight="1" s="14">
      <c r="A76" s="23" t="inlineStr">
        <is>
          <t>Execution Status was updated after the run of 26/10/2026 on the localhost build. Cases that were not run stay Not Run with an empty Actual Result. Defect ID is filled for every Failed case. Run with .\run_r4_automation.cmd to repeat the cases that have a test.</t>
        </is>
      </c>
      <c r="B76" s="26" t="inlineStr">
        <is>
          <t>Template Templates.xlsx</t>
        </is>
      </c>
      <c r="C76" s="25" t="n"/>
    </row>
    <row r="77" ht="43.5" customHeight="1" s="14">
      <c r="A77" s="23" t="inlineStr">
        <is>
          <t>Each case lists the environment items it needs in the Environment column (ENV-R4-01 to ENV-R4-07 in the Assumptions sheet). The build is recorded at execution.</t>
        </is>
      </c>
      <c r="B77" s="26" t="inlineStr">
        <is>
          <t>QA design</t>
        </is>
      </c>
      <c r="C77" s="25" t="n"/>
    </row>
    <row r="78" ht="43.5" customHeight="1" s="14">
      <c r="A78" s="23" t="inlineStr">
        <is>
          <t>Test data comes from the Seed Data sheet. A case that changes data starts from Reset data. A seed named SEED-R4-N followed by a number is new data that the prototype does not hold and the F4 build has to load.</t>
        </is>
      </c>
      <c r="B78" s="26" t="inlineStr">
        <is>
          <t>QA design</t>
        </is>
      </c>
      <c r="C78" s="25" t="n"/>
    </row>
    <row r="79" ht="30.75" customHeight="1" s="14">
      <c r="A79" s="23" t="inlineStr">
        <is>
          <t>Every expected result names its FS source. The earlier FS v1.1 is used only for the engine cases (ASM-R4-14).</t>
        </is>
      </c>
      <c r="B79" s="26" t="inlineStr">
        <is>
          <t>CLAUDE.md evidence rule</t>
        </is>
      </c>
      <c r="C79" s="25" t="n"/>
    </row>
    <row r="80" ht="57" customHeight="1" s="14">
      <c r="A80" s="23" t="inlineStr">
        <is>
          <t>A note that starts with Compare CMP-xx points to a row of R4_UI_vs_FS_Compare.xlsx. A note that says candidate finding marks something the prototype shows differently from the FS. It becomes a defect only when the case fails on the build.</t>
        </is>
      </c>
      <c r="B80" s="26" t="inlineStr">
        <is>
          <t>QA design</t>
        </is>
      </c>
      <c r="C80" s="25" t="n"/>
    </row>
    <row r="82" ht="15.75" customHeight="1" s="14">
      <c r="A82" s="22" t="inlineStr">
        <is>
          <t>Points to know before executing</t>
        </is>
      </c>
    </row>
    <row r="83" ht="30.75" customHeight="1" s="14">
      <c r="A83" s="21" t="inlineStr">
        <is>
          <t>IDs follow the template (TC-### and TS-###). The numbering restarts in each workbook, so the IDs collide with another requirement workbook when the two are merged. Quote the file name with the ID when you log a defect.</t>
        </is>
      </c>
    </row>
    <row r="84" ht="45" customHeight="1" s="14">
      <c r="A84" s="21" t="inlineStr">
        <is>
          <t>The cases follow FS F4 v1.3 (roles/ba, FS04.docx). The validation rules document and the seed file of FS v1.1 are not updated. This workbook reuses only what still holds, which is the engine cases (Seed Data sheet) and the user list. Exception: the rules for the schemes wizard, Add fee, the search box and the comments in R4_FAS_Validation_Rules_EN.docx still hold, and cases TC-268 to TC-331 cover them.</t>
        </is>
      </c>
    </row>
    <row r="85" ht="45" customHeight="1" s="14">
      <c r="A85" s="21" t="inlineStr">
        <is>
          <t>331 cases after the run of 26/10/2026 on the localhost build: 66 Passed, 35 Failed and 230 Not Run. The Not Run cases test the FAS applications list, the review drawer, the approve and reject dialogs, the decision engine, the export and the email, which the localhost build does not contain yet, or need a controllable clock or failing requests (ENV-R4-02 to ENV-R4-04). They run when those items exist.</t>
        </is>
      </c>
    </row>
    <row r="86" ht="30.75" customHeight="1" s="14">
      <c r="A86" s="21" t="inlineStr">
        <is>
          <t>68 cases are Draft because they make at least one of the 24 open assumptions. The assumptions used most are ASM-R4-15 (9 cases), ASM-R4-14 (9 cases), ASM-R4-01 (6 cases). Please read the Questions sheet first, as the BA answers change many expected results at once.</t>
        </is>
      </c>
    </row>
    <row r="87" ht="30.75" customHeight="1" s="14">
      <c r="A87" s="21" t="inlineStr">
        <is>
          <t>The sample data has the same student with two applications under MOEFAS 2026 (00381 Approved and 00328 Rejected). The FS has no rule for a second application, so that case is Block (ASM-R4-19).</t>
        </is>
      </c>
    </row>
    <row r="88" ht="43.5" customHeight="1" s="14">
      <c r="A88" s="21" t="inlineStr">
        <is>
          <t>The prototype shows several things differently from the FS and the cases record them as candidate findings: dates such as 1 Jan 2027 in the scheme list (BR13), PCI shown rounded (1,088.00 for 1,087.50), a Draft school scheme name in the Tier filter of MOE HQ, percentage cells that accept 33.333, S$ amounts with and without decimals, and a typed date that is ignored without a message. They are listed with the other differences in R4_UI_vs_FS_Compare.xlsx.</t>
        </is>
      </c>
    </row>
    <row r="89" ht="30.75" customHeight="1" s="14">
      <c r="A89" s="21" t="inlineStr">
        <is>
          <t>Times, the job at the end of Form closes and Effective from today when the job runs late need a controllable clock (ENV-R4-04). The prototype date is fixed to 18/10/2026.</t>
        </is>
      </c>
    </row>
    <row r="91" ht="15.75" customHeight="1" s="14">
      <c r="A91" s="22" t="inlineStr">
        <is>
          <t>References</t>
        </is>
      </c>
    </row>
    <row r="92" ht="18" customHeight="1" s="14">
      <c r="A92" s="21" t="inlineStr">
        <is>
          <t>FS F4 v1.3 dated 19/10/2026 (roles/ba, file FS04.docx): sections 1 to 10 including the business rules BR1 to BR13 and the test scenarios T1 to T15.</t>
        </is>
      </c>
    </row>
    <row r="93" ht="18" customHeight="1" s="14">
      <c r="A93" s="21" t="inlineStr">
        <is>
          <t>Prototype https://edusave.vercel.app/ read on 19/10/2026 and the compare file roles/qa/R4_UI_vs_FS_Compare.xlsx (rows CMP-01 to CMP-56).</t>
        </is>
      </c>
    </row>
    <row r="94" ht="30.75" customHeight="1" s="14">
      <c r="A94" s="21" t="inlineStr">
        <is>
          <t>Earlier R4 validation rules and seed data for FS v1.1 (roles/qa, R4_FAS_Validation_Rules_EN.docx and R4_FAS_Seed_Data_EN.xlsx), used for the engine cases SD-09 only.</t>
        </is>
      </c>
    </row>
    <row r="95" ht="18" customHeight="1" s="14">
      <c r="A95" s="21" t="inlineStr">
        <is>
          <t>Tender requirement R4 and product backlog PB-19. Test case and defect format: groundtruth/Templates.xlsx.</t>
        </is>
      </c>
    </row>
  </sheetData>
  <mergeCells count="21">
    <mergeCell ref="A92:H92"/>
    <mergeCell ref="A83:H83"/>
    <mergeCell ref="A94:H94"/>
    <mergeCell ref="A88:H88"/>
    <mergeCell ref="B77:C77"/>
    <mergeCell ref="A87:H87"/>
    <mergeCell ref="A84:H84"/>
    <mergeCell ref="A89:H89"/>
    <mergeCell ref="B73:C73"/>
    <mergeCell ref="A3:H3"/>
    <mergeCell ref="B78:C78"/>
    <mergeCell ref="A86:H86"/>
    <mergeCell ref="A95:H95"/>
    <mergeCell ref="A2:H2"/>
    <mergeCell ref="A85:H85"/>
    <mergeCell ref="B74:C74"/>
    <mergeCell ref="B80:C80"/>
    <mergeCell ref="B76:C76"/>
    <mergeCell ref="B79:C79"/>
    <mergeCell ref="A93:H93"/>
    <mergeCell ref="B75:C7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K66"/>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1" customWidth="1" style="13" min="1" max="1"/>
    <col width="30" customWidth="1" style="13" min="2" max="2"/>
    <col width="34" customWidth="1" style="13" min="3" max="3"/>
    <col width="52" customWidth="1" style="13" min="4" max="4"/>
    <col width="20" customWidth="1" style="13" min="5" max="5"/>
    <col width="40" customWidth="1" style="13" min="6" max="6"/>
    <col width="9" customWidth="1" style="13" min="7" max="10"/>
    <col width="15" customWidth="1" style="13" min="11" max="11"/>
  </cols>
  <sheetData>
    <row r="1" ht="31.5" customHeight="1" s="14">
      <c r="A1" s="15" t="inlineStr">
        <is>
          <t>Scenario ID</t>
        </is>
      </c>
      <c r="B1" s="15" t="inlineStr">
        <is>
          <t>Test suite</t>
        </is>
      </c>
      <c r="C1" s="15" t="inlineStr">
        <is>
          <t>Scenario</t>
        </is>
      </c>
      <c r="D1" s="15" t="inlineStr">
        <is>
          <t>Objective</t>
        </is>
      </c>
      <c r="E1" s="15" t="inlineStr">
        <is>
          <t>Technique</t>
        </is>
      </c>
      <c r="F1" s="15" t="inlineStr">
        <is>
          <t>FS source</t>
        </is>
      </c>
      <c r="G1" s="15" t="inlineStr">
        <is>
          <t>Test cases</t>
        </is>
      </c>
      <c r="H1" s="15" t="inlineStr">
        <is>
          <t>Approve</t>
        </is>
      </c>
      <c r="I1" s="15" t="inlineStr">
        <is>
          <t>Draft</t>
        </is>
      </c>
      <c r="J1" s="15" t="inlineStr">
        <is>
          <t>Block</t>
        </is>
      </c>
      <c r="K1" s="15" t="inlineStr">
        <is>
          <t>Status</t>
        </is>
      </c>
    </row>
    <row r="2" ht="30.75" customHeight="1" s="14">
      <c r="A2" s="23" t="inlineStr">
        <is>
          <t>TS-001</t>
        </is>
      </c>
      <c r="B2" s="26" t="inlineStr">
        <is>
          <t>F4.1 Submit routing</t>
        </is>
      </c>
      <c r="C2" s="26" t="inlineStr">
        <is>
          <t>Waiting state after submit</t>
        </is>
      </c>
      <c r="D2" s="26" t="inlineStr">
        <is>
          <t>A Citizen MOEFAS application waits as Pending with System check Waiting and is hidden from the school.</t>
        </is>
      </c>
      <c r="E2" s="26" t="inlineStr">
        <is>
          <t>Use case</t>
        </is>
      </c>
      <c r="F2" s="26" t="inlineStr">
        <is>
          <t>FS 2.1 step 3, BR1, BR12, T1</t>
        </is>
      </c>
      <c r="G2" s="24">
        <f>COUNTIF('Test cases '!$B$2:$B$332,$A2)</f>
        <v/>
      </c>
      <c r="H2" s="24">
        <f>COUNTIFS('Test cases '!$B$2:$B$332,$A2,'Test cases '!$T$2:$T$332,"Approve")</f>
        <v/>
      </c>
      <c r="I2" s="24">
        <f>COUNTIFS('Test cases '!$B$2:$B$332,$A2,'Test cases '!$T$2:$T$332,"Draft")</f>
        <v/>
      </c>
      <c r="J2" s="24">
        <f>COUNTIFS('Test cases '!$B$2:$B$332,$A2,'Test cases '!$T$2:$T$332,"Block")</f>
        <v/>
      </c>
      <c r="K2" s="24">
        <f>IF(J2=G2,"Block",IF(J2&gt;0,"Partly blocked",IF(I2&gt;0,"Draft","Approve")))</f>
        <v/>
      </c>
    </row>
    <row r="3" ht="30.75" customHeight="1" s="14">
      <c r="A3" s="23" t="inlineStr">
        <is>
          <t>TS-002</t>
        </is>
      </c>
      <c r="B3" s="26" t="inlineStr">
        <is>
          <t>F4.1 Submit routing</t>
        </is>
      </c>
      <c r="C3" s="26" t="inlineStr">
        <is>
          <t>Nationality routing</t>
        </is>
      </c>
      <c r="D3" s="26" t="inlineStr">
        <is>
          <t>An application whose nationality the open MOEFAS scheme does not allow becomes SBFAS for the school.</t>
        </is>
      </c>
      <c r="E3" s="26" t="inlineStr">
        <is>
          <t>Decision table</t>
        </is>
      </c>
      <c r="F3" s="26" t="inlineStr">
        <is>
          <t>FS 2.1 step 2, T6</t>
        </is>
      </c>
      <c r="G3" s="24">
        <f>COUNTIF('Test cases '!$B$2:$B$332,$A3)</f>
        <v/>
      </c>
      <c r="H3" s="24">
        <f>COUNTIFS('Test cases '!$B$2:$B$332,$A3,'Test cases '!$T$2:$T$332,"Approve")</f>
        <v/>
      </c>
      <c r="I3" s="24">
        <f>COUNTIFS('Test cases '!$B$2:$B$332,$A3,'Test cases '!$T$2:$T$332,"Draft")</f>
        <v/>
      </c>
      <c r="J3" s="24">
        <f>COUNTIFS('Test cases '!$B$2:$B$332,$A3,'Test cases '!$T$2:$T$332,"Block")</f>
        <v/>
      </c>
      <c r="K3" s="24">
        <f>IF(J3=G3,"Block",IF(J3&gt;0,"Partly blocked",IF(I3&gt;0,"Draft","Approve")))</f>
        <v/>
      </c>
    </row>
    <row r="4" ht="18" customHeight="1" s="14">
      <c r="A4" s="23" t="inlineStr">
        <is>
          <t>TS-003</t>
        </is>
      </c>
      <c r="B4" s="26" t="inlineStr">
        <is>
          <t>F4.1 Submit routing</t>
        </is>
      </c>
      <c r="C4" s="26" t="inlineStr">
        <is>
          <t>Form period blocks submit</t>
        </is>
      </c>
      <c r="D4" s="26" t="inlineStr">
        <is>
          <t>Applications are accepted only while a form is open.</t>
        </is>
      </c>
      <c r="E4" s="26" t="inlineStr">
        <is>
          <t>Use case</t>
        </is>
      </c>
      <c r="F4" s="26" t="inlineStr">
        <is>
          <t>FS 2.1 step 1, BR1, T2</t>
        </is>
      </c>
      <c r="G4" s="24">
        <f>COUNTIF('Test cases '!$B$2:$B$332,$A4)</f>
        <v/>
      </c>
      <c r="H4" s="24">
        <f>COUNTIFS('Test cases '!$B$2:$B$332,$A4,'Test cases '!$T$2:$T$332,"Approve")</f>
        <v/>
      </c>
      <c r="I4" s="24">
        <f>COUNTIFS('Test cases '!$B$2:$B$332,$A4,'Test cases '!$T$2:$T$332,"Draft")</f>
        <v/>
      </c>
      <c r="J4" s="24">
        <f>COUNTIFS('Test cases '!$B$2:$B$332,$A4,'Test cases '!$T$2:$T$332,"Block")</f>
        <v/>
      </c>
      <c r="K4" s="24">
        <f>IF(J4=G4,"Block",IF(J4&gt;0,"Partly blocked",IF(I4&gt;0,"Draft","Approve")))</f>
        <v/>
      </c>
    </row>
    <row r="5" ht="30.75" customHeight="1" s="14">
      <c r="A5" s="23" t="inlineStr">
        <is>
          <t>TS-004</t>
        </is>
      </c>
      <c r="B5" s="26" t="inlineStr">
        <is>
          <t>F4.2 MOEFAS ranking and assessment</t>
        </is>
      </c>
      <c r="C5" s="26" t="inlineStr">
        <is>
          <t>Close form and ranking</t>
        </is>
      </c>
      <c r="D5" s="26" t="inlineStr">
        <is>
          <t>Closing the form ranks the waiting applications by need.</t>
        </is>
      </c>
      <c r="E5" s="26" t="inlineStr">
        <is>
          <t>Use case</t>
        </is>
      </c>
      <c r="F5" s="26" t="inlineStr">
        <is>
          <t>FS 2.2 steps 1 and 2, BR2, T3</t>
        </is>
      </c>
      <c r="G5" s="24">
        <f>COUNTIF('Test cases '!$B$2:$B$332,$A5)</f>
        <v/>
      </c>
      <c r="H5" s="24">
        <f>COUNTIFS('Test cases '!$B$2:$B$332,$A5,'Test cases '!$T$2:$T$332,"Approve")</f>
        <v/>
      </c>
      <c r="I5" s="24">
        <f>COUNTIFS('Test cases '!$B$2:$B$332,$A5,'Test cases '!$T$2:$T$332,"Draft")</f>
        <v/>
      </c>
      <c r="J5" s="24">
        <f>COUNTIFS('Test cases '!$B$2:$B$332,$A5,'Test cases '!$T$2:$T$332,"Block")</f>
        <v/>
      </c>
      <c r="K5" s="24">
        <f>IF(J5=G5,"Block",IF(J5&gt;0,"Partly blocked",IF(I5&gt;0,"Draft","Approve")))</f>
        <v/>
      </c>
    </row>
    <row r="6" ht="30.75" customHeight="1" s="14">
      <c r="A6" s="23" t="inlineStr">
        <is>
          <t>TS-005</t>
        </is>
      </c>
      <c r="B6" s="26" t="inlineStr">
        <is>
          <t>F4.2 MOEFAS ranking and assessment</t>
        </is>
      </c>
      <c r="C6" s="26" t="inlineStr">
        <is>
          <t>Ranking order and ties</t>
        </is>
      </c>
      <c r="D6" s="26" t="inlineStr">
        <is>
          <t>PCI, then GHI, then earliest submitted decide the order.</t>
        </is>
      </c>
      <c r="E6" s="26" t="inlineStr">
        <is>
          <t>Boundary value analysis</t>
        </is>
      </c>
      <c r="F6" s="26" t="inlineStr">
        <is>
          <t>FS 1.3 Priority rank, 2.2 step 2</t>
        </is>
      </c>
      <c r="G6" s="24">
        <f>COUNTIF('Test cases '!$B$2:$B$332,$A6)</f>
        <v/>
      </c>
      <c r="H6" s="24">
        <f>COUNTIFS('Test cases '!$B$2:$B$332,$A6,'Test cases '!$T$2:$T$332,"Approve")</f>
        <v/>
      </c>
      <c r="I6" s="24">
        <f>COUNTIFS('Test cases '!$B$2:$B$332,$A6,'Test cases '!$T$2:$T$332,"Draft")</f>
        <v/>
      </c>
      <c r="J6" s="24">
        <f>COUNTIFS('Test cases '!$B$2:$B$332,$A6,'Test cases '!$T$2:$T$332,"Block")</f>
        <v/>
      </c>
      <c r="K6" s="24">
        <f>IF(J6=G6,"Block",IF(J6&gt;0,"Partly blocked",IF(I6&gt;0,"Draft","Approve")))</f>
        <v/>
      </c>
    </row>
    <row r="7" ht="30.75" customHeight="1" s="14">
      <c r="A7" s="23" t="inlineStr">
        <is>
          <t>TS-006</t>
        </is>
      </c>
      <c r="B7" s="26" t="inlineStr">
        <is>
          <t>F4.2 MOEFAS ranking and assessment</t>
        </is>
      </c>
      <c r="C7" s="26" t="inlineStr">
        <is>
          <t>Automatic approval</t>
        </is>
      </c>
      <c r="D7" s="26" t="inlineStr">
        <is>
          <t>A passing application is approved by the system with the right dates.</t>
        </is>
      </c>
      <c r="E7" s="26" t="inlineStr">
        <is>
          <t>State transition</t>
        </is>
      </c>
      <c r="F7" s="26" t="inlineStr">
        <is>
          <t>FS 2.2 step 3, 8, T4</t>
        </is>
      </c>
      <c r="G7" s="24">
        <f>COUNTIF('Test cases '!$B$2:$B$332,$A7)</f>
        <v/>
      </c>
      <c r="H7" s="24">
        <f>COUNTIFS('Test cases '!$B$2:$B$332,$A7,'Test cases '!$T$2:$T$332,"Approve")</f>
        <v/>
      </c>
      <c r="I7" s="24">
        <f>COUNTIFS('Test cases '!$B$2:$B$332,$A7,'Test cases '!$T$2:$T$332,"Draft")</f>
        <v/>
      </c>
      <c r="J7" s="24">
        <f>COUNTIFS('Test cases '!$B$2:$B$332,$A7,'Test cases '!$T$2:$T$332,"Block")</f>
        <v/>
      </c>
      <c r="K7" s="24">
        <f>IF(J7=G7,"Block",IF(J7&gt;0,"Partly blocked",IF(I7&gt;0,"Draft","Approve")))</f>
        <v/>
      </c>
    </row>
    <row r="8" ht="30.75" customHeight="1" s="14">
      <c r="A8" s="23" t="inlineStr">
        <is>
          <t>TS-007</t>
        </is>
      </c>
      <c r="B8" s="26" t="inlineStr">
        <is>
          <t>F4.2 MOEFAS ranking and assessment</t>
        </is>
      </c>
      <c r="C8" s="26" t="inlineStr">
        <is>
          <t>Eligibility rule and limits</t>
        </is>
      </c>
      <c r="D8" s="26" t="inlineStr">
        <is>
          <t>Pass and Fail follow nationality, GHI, PCI and the match rule of the scheme.</t>
        </is>
      </c>
      <c r="E8" s="26" t="inlineStr">
        <is>
          <t>Boundary value analysis</t>
        </is>
      </c>
      <c r="F8" s="26" t="inlineStr">
        <is>
          <t>FS 2.2 step 3, 7.2 step 2, BR7</t>
        </is>
      </c>
      <c r="G8" s="24">
        <f>COUNTIF('Test cases '!$B$2:$B$332,$A8)</f>
        <v/>
      </c>
      <c r="H8" s="24">
        <f>COUNTIFS('Test cases '!$B$2:$B$332,$A8,'Test cases '!$T$2:$T$332,"Approve")</f>
        <v/>
      </c>
      <c r="I8" s="24">
        <f>COUNTIFS('Test cases '!$B$2:$B$332,$A8,'Test cases '!$T$2:$T$332,"Draft")</f>
        <v/>
      </c>
      <c r="J8" s="24">
        <f>COUNTIFS('Test cases '!$B$2:$B$332,$A8,'Test cases '!$T$2:$T$332,"Block")</f>
        <v/>
      </c>
      <c r="K8" s="24">
        <f>IF(J8=G8,"Block",IF(J8&gt;0,"Partly blocked",IF(I8&gt;0,"Draft","Approve")))</f>
        <v/>
      </c>
    </row>
    <row r="9" ht="30.75" customHeight="1" s="14">
      <c r="A9" s="23" t="inlineStr">
        <is>
          <t>TS-008</t>
        </is>
      </c>
      <c r="B9" s="26" t="inlineStr">
        <is>
          <t>F4.2 MOEFAS ranking and assessment</t>
        </is>
      </c>
      <c r="C9" s="26" t="inlineStr">
        <is>
          <t>Fail: SBFAS or rejection</t>
        </is>
      </c>
      <c r="D9" s="26" t="inlineStr">
        <is>
          <t>A failing application goes to the school SBFAS or is rejected, by the parent choice.</t>
        </is>
      </c>
      <c r="E9" s="26" t="inlineStr">
        <is>
          <t>Decision table</t>
        </is>
      </c>
      <c r="F9" s="26" t="inlineStr">
        <is>
          <t>FS 2.2 step 3, 8, T5</t>
        </is>
      </c>
      <c r="G9" s="24">
        <f>COUNTIF('Test cases '!$B$2:$B$332,$A9)</f>
        <v/>
      </c>
      <c r="H9" s="24">
        <f>COUNTIFS('Test cases '!$B$2:$B$332,$A9,'Test cases '!$T$2:$T$332,"Approve")</f>
        <v/>
      </c>
      <c r="I9" s="24">
        <f>COUNTIFS('Test cases '!$B$2:$B$332,$A9,'Test cases '!$T$2:$T$332,"Draft")</f>
        <v/>
      </c>
      <c r="J9" s="24">
        <f>COUNTIFS('Test cases '!$B$2:$B$332,$A9,'Test cases '!$T$2:$T$332,"Block")</f>
        <v/>
      </c>
      <c r="K9" s="24">
        <f>IF(J9=G9,"Block",IF(J9&gt;0,"Partly blocked",IF(I9&gt;0,"Draft","Approve")))</f>
        <v/>
      </c>
    </row>
    <row r="10" ht="30.75" customHeight="1" s="14">
      <c r="A10" s="23" t="inlineStr">
        <is>
          <t>TS-009</t>
        </is>
      </c>
      <c r="B10" s="26" t="inlineStr">
        <is>
          <t>F4.2 MOEFAS ranking and assessment</t>
        </is>
      </c>
      <c r="C10" s="26" t="inlineStr">
        <is>
          <t>After the form closes</t>
        </is>
      </c>
      <c r="D10" s="26" t="inlineStr">
        <is>
          <t>The scheme shows Assessed and takes no more applications.</t>
        </is>
      </c>
      <c r="E10" s="26" t="inlineStr">
        <is>
          <t>State transition</t>
        </is>
      </c>
      <c r="F10" s="26" t="inlineStr">
        <is>
          <t>FS 2.2 step 4</t>
        </is>
      </c>
      <c r="G10" s="24">
        <f>COUNTIF('Test cases '!$B$2:$B$332,$A10)</f>
        <v/>
      </c>
      <c r="H10" s="24">
        <f>COUNTIFS('Test cases '!$B$2:$B$332,$A10,'Test cases '!$T$2:$T$332,"Approve")</f>
        <v/>
      </c>
      <c r="I10" s="24">
        <f>COUNTIFS('Test cases '!$B$2:$B$332,$A10,'Test cases '!$T$2:$T$332,"Draft")</f>
        <v/>
      </c>
      <c r="J10" s="24">
        <f>COUNTIFS('Test cases '!$B$2:$B$332,$A10,'Test cases '!$T$2:$T$332,"Block")</f>
        <v/>
      </c>
      <c r="K10" s="24">
        <f>IF(J10=G10,"Block",IF(J10&gt;0,"Partly blocked",IF(I10&gt;0,"Draft","Approve")))</f>
        <v/>
      </c>
    </row>
    <row r="11" ht="30.75" customHeight="1" s="14">
      <c r="A11" s="23" t="inlineStr">
        <is>
          <t>TS-010</t>
        </is>
      </c>
      <c r="B11" s="26" t="inlineStr">
        <is>
          <t>F4.2 MOEFAS ranking and assessment</t>
        </is>
      </c>
      <c r="C11" s="26" t="inlineStr">
        <is>
          <t>MOEFAS is never decided by a user</t>
        </is>
      </c>
      <c r="D11" s="26" t="inlineStr">
        <is>
          <t>No role can approve or reject MOEFAS.</t>
        </is>
      </c>
      <c r="E11" s="26" t="inlineStr">
        <is>
          <t>Error guessing</t>
        </is>
      </c>
      <c r="F11" s="26" t="inlineStr">
        <is>
          <t>FS 1.2, BR2</t>
        </is>
      </c>
      <c r="G11" s="24">
        <f>COUNTIF('Test cases '!$B$2:$B$332,$A11)</f>
        <v/>
      </c>
      <c r="H11" s="24">
        <f>COUNTIFS('Test cases '!$B$2:$B$332,$A11,'Test cases '!$T$2:$T$332,"Approve")</f>
        <v/>
      </c>
      <c r="I11" s="24">
        <f>COUNTIFS('Test cases '!$B$2:$B$332,$A11,'Test cases '!$T$2:$T$332,"Draft")</f>
        <v/>
      </c>
      <c r="J11" s="24">
        <f>COUNTIFS('Test cases '!$B$2:$B$332,$A11,'Test cases '!$T$2:$T$332,"Block")</f>
        <v/>
      </c>
      <c r="K11" s="24">
        <f>IF(J11=G11,"Block",IF(J11&gt;0,"Partly blocked",IF(I11&gt;0,"Draft","Approve")))</f>
        <v/>
      </c>
    </row>
    <row r="12" ht="30.75" customHeight="1" s="14">
      <c r="A12" s="23" t="inlineStr">
        <is>
          <t>TS-011</t>
        </is>
      </c>
      <c r="B12" s="26" t="inlineStr">
        <is>
          <t>F4.3 Applications list, MOE HQ</t>
        </is>
      </c>
      <c r="C12" s="26" t="inlineStr">
        <is>
          <t>Layout, cards and tabs</t>
        </is>
      </c>
      <c r="D12" s="26" t="inlineStr">
        <is>
          <t>Subtitle, four cards, four tabs and the note.</t>
        </is>
      </c>
      <c r="E12" s="26" t="inlineStr">
        <is>
          <t>Equivalence partitioning</t>
        </is>
      </c>
      <c r="F12" s="26" t="inlineStr">
        <is>
          <t>FS 3.1</t>
        </is>
      </c>
      <c r="G12" s="24">
        <f>COUNTIF('Test cases '!$B$2:$B$332,$A12)</f>
        <v/>
      </c>
      <c r="H12" s="24">
        <f>COUNTIFS('Test cases '!$B$2:$B$332,$A12,'Test cases '!$T$2:$T$332,"Approve")</f>
        <v/>
      </c>
      <c r="I12" s="24">
        <f>COUNTIFS('Test cases '!$B$2:$B$332,$A12,'Test cases '!$T$2:$T$332,"Draft")</f>
        <v/>
      </c>
      <c r="J12" s="24">
        <f>COUNTIFS('Test cases '!$B$2:$B$332,$A12,'Test cases '!$T$2:$T$332,"Block")</f>
        <v/>
      </c>
      <c r="K12" s="24">
        <f>IF(J12=G12,"Block",IF(J12&gt;0,"Partly blocked",IF(I12&gt;0,"Draft","Approve")))</f>
        <v/>
      </c>
    </row>
    <row r="13" ht="30.75" customHeight="1" s="14">
      <c r="A13" s="23" t="inlineStr">
        <is>
          <t>TS-012</t>
        </is>
      </c>
      <c r="B13" s="26" t="inlineStr">
        <is>
          <t>F4.3 Applications list, MOE HQ</t>
        </is>
      </c>
      <c r="C13" s="26" t="inlineStr">
        <is>
          <t>Table columns and values</t>
        </is>
      </c>
      <c r="D13" s="26" t="inlineStr">
        <is>
          <t>Columns, order and the value rules of each column.</t>
        </is>
      </c>
      <c r="E13" s="26" t="inlineStr">
        <is>
          <t>Equivalence partitioning</t>
        </is>
      </c>
      <c r="F13" s="26" t="inlineStr">
        <is>
          <t>FS 3.1 item 6, 3.4</t>
        </is>
      </c>
      <c r="G13" s="24">
        <f>COUNTIF('Test cases '!$B$2:$B$332,$A13)</f>
        <v/>
      </c>
      <c r="H13" s="24">
        <f>COUNTIFS('Test cases '!$B$2:$B$332,$A13,'Test cases '!$T$2:$T$332,"Approve")</f>
        <v/>
      </c>
      <c r="I13" s="24">
        <f>COUNTIFS('Test cases '!$B$2:$B$332,$A13,'Test cases '!$T$2:$T$332,"Draft")</f>
        <v/>
      </c>
      <c r="J13" s="24">
        <f>COUNTIFS('Test cases '!$B$2:$B$332,$A13,'Test cases '!$T$2:$T$332,"Block")</f>
        <v/>
      </c>
      <c r="K13" s="24">
        <f>IF(J13=G13,"Block",IF(J13&gt;0,"Partly blocked",IF(I13&gt;0,"Draft","Approve")))</f>
        <v/>
      </c>
    </row>
    <row r="14" ht="30.75" customHeight="1" s="14">
      <c r="A14" s="23" t="inlineStr">
        <is>
          <t>TS-013</t>
        </is>
      </c>
      <c r="B14" s="26" t="inlineStr">
        <is>
          <t>F4.3 Applications list, MOE HQ</t>
        </is>
      </c>
      <c r="C14" s="26" t="inlineStr">
        <is>
          <t>Sort, paging and empty state</t>
        </is>
      </c>
      <c r="D14" s="26" t="inlineStr">
        <is>
          <t>Newest first, 10 rows per page, empty message.</t>
        </is>
      </c>
      <c r="E14" s="26" t="inlineStr">
        <is>
          <t>Boundary value analysis</t>
        </is>
      </c>
      <c r="F14" s="26" t="inlineStr">
        <is>
          <t>FS 3.4</t>
        </is>
      </c>
      <c r="G14" s="24">
        <f>COUNTIF('Test cases '!$B$2:$B$332,$A14)</f>
        <v/>
      </c>
      <c r="H14" s="24">
        <f>COUNTIFS('Test cases '!$B$2:$B$332,$A14,'Test cases '!$T$2:$T$332,"Approve")</f>
        <v/>
      </c>
      <c r="I14" s="24">
        <f>COUNTIFS('Test cases '!$B$2:$B$332,$A14,'Test cases '!$T$2:$T$332,"Draft")</f>
        <v/>
      </c>
      <c r="J14" s="24">
        <f>COUNTIFS('Test cases '!$B$2:$B$332,$A14,'Test cases '!$T$2:$T$332,"Block")</f>
        <v/>
      </c>
      <c r="K14" s="24">
        <f>IF(J14=G14,"Block",IF(J14&gt;0,"Partly blocked",IF(I14&gt;0,"Draft","Approve")))</f>
        <v/>
      </c>
    </row>
    <row r="15" ht="30.75" customHeight="1" s="14">
      <c r="A15" s="23" t="inlineStr">
        <is>
          <t>TS-014</t>
        </is>
      </c>
      <c r="B15" s="26" t="inlineStr">
        <is>
          <t>F4.4 Applications list, School Admin</t>
        </is>
      </c>
      <c r="C15" s="26" t="inlineStr">
        <is>
          <t>Scope, cards and tabs</t>
        </is>
      </c>
      <c r="D15" s="26" t="inlineStr">
        <is>
          <t>Only SBFAS of the own school with three cards and four tabs.</t>
        </is>
      </c>
      <c r="E15" s="26" t="inlineStr">
        <is>
          <t>Equivalence partitioning</t>
        </is>
      </c>
      <c r="F15" s="26" t="inlineStr">
        <is>
          <t>FS 3.2, BR12</t>
        </is>
      </c>
      <c r="G15" s="24">
        <f>COUNTIF('Test cases '!$B$2:$B$332,$A15)</f>
        <v/>
      </c>
      <c r="H15" s="24">
        <f>COUNTIFS('Test cases '!$B$2:$B$332,$A15,'Test cases '!$T$2:$T$332,"Approve")</f>
        <v/>
      </c>
      <c r="I15" s="24">
        <f>COUNTIFS('Test cases '!$B$2:$B$332,$A15,'Test cases '!$T$2:$T$332,"Draft")</f>
        <v/>
      </c>
      <c r="J15" s="24">
        <f>COUNTIFS('Test cases '!$B$2:$B$332,$A15,'Test cases '!$T$2:$T$332,"Block")</f>
        <v/>
      </c>
      <c r="K15" s="24">
        <f>IF(J15=G15,"Block",IF(J15&gt;0,"Partly blocked",IF(I15&gt;0,"Draft","Approve")))</f>
        <v/>
      </c>
    </row>
    <row r="16" ht="30.75" customHeight="1" s="14">
      <c r="A16" s="23" t="inlineStr">
        <is>
          <t>TS-015</t>
        </is>
      </c>
      <c r="B16" s="26" t="inlineStr">
        <is>
          <t>F4.4 Applications list, School Admin</t>
        </is>
      </c>
      <c r="C16" s="26" t="inlineStr">
        <is>
          <t>Table values and actions</t>
        </is>
      </c>
      <c r="D16" s="26" t="inlineStr">
        <is>
          <t>Columns, Tier before ML, Review and View.</t>
        </is>
      </c>
      <c r="E16" s="26" t="inlineStr">
        <is>
          <t>Equivalence partitioning</t>
        </is>
      </c>
      <c r="F16" s="26" t="inlineStr">
        <is>
          <t>FS 3.2 items 5 and 6, T7</t>
        </is>
      </c>
      <c r="G16" s="24">
        <f>COUNTIF('Test cases '!$B$2:$B$332,$A16)</f>
        <v/>
      </c>
      <c r="H16" s="24">
        <f>COUNTIFS('Test cases '!$B$2:$B$332,$A16,'Test cases '!$T$2:$T$332,"Approve")</f>
        <v/>
      </c>
      <c r="I16" s="24">
        <f>COUNTIFS('Test cases '!$B$2:$B$332,$A16,'Test cases '!$T$2:$T$332,"Draft")</f>
        <v/>
      </c>
      <c r="J16" s="24">
        <f>COUNTIFS('Test cases '!$B$2:$B$332,$A16,'Test cases '!$T$2:$T$332,"Block")</f>
        <v/>
      </c>
      <c r="K16" s="24">
        <f>IF(J16=G16,"Block",IF(J16&gt;0,"Partly blocked",IF(I16&gt;0,"Draft","Approve")))</f>
        <v/>
      </c>
    </row>
    <row r="17" ht="30.75" customHeight="1" s="14">
      <c r="A17" s="23" t="inlineStr">
        <is>
          <t>TS-016</t>
        </is>
      </c>
      <c r="B17" s="26" t="inlineStr">
        <is>
          <t>F4.5 Filters and search</t>
        </is>
      </c>
      <c r="C17" s="26" t="inlineStr">
        <is>
          <t>Search</t>
        </is>
      </c>
      <c r="D17" s="26" t="inlineStr">
        <is>
          <t>Search by Application ID, name and NRIC/FIN.</t>
        </is>
      </c>
      <c r="E17" s="26" t="inlineStr">
        <is>
          <t>Equivalence partitioning</t>
        </is>
      </c>
      <c r="F17" s="26" t="inlineStr">
        <is>
          <t>FS 3.3 Search</t>
        </is>
      </c>
      <c r="G17" s="24">
        <f>COUNTIF('Test cases '!$B$2:$B$332,$A17)</f>
        <v/>
      </c>
      <c r="H17" s="24">
        <f>COUNTIFS('Test cases '!$B$2:$B$332,$A17,'Test cases '!$T$2:$T$332,"Approve")</f>
        <v/>
      </c>
      <c r="I17" s="24">
        <f>COUNTIFS('Test cases '!$B$2:$B$332,$A17,'Test cases '!$T$2:$T$332,"Draft")</f>
        <v/>
      </c>
      <c r="J17" s="24">
        <f>COUNTIFS('Test cases '!$B$2:$B$332,$A17,'Test cases '!$T$2:$T$332,"Block")</f>
        <v/>
      </c>
      <c r="K17" s="24">
        <f>IF(J17=G17,"Block",IF(J17&gt;0,"Partly blocked",IF(I17&gt;0,"Draft","Approve")))</f>
        <v/>
      </c>
    </row>
    <row r="18" ht="30.75" customHeight="1" s="14">
      <c r="A18" s="23" t="inlineStr">
        <is>
          <t>TS-017</t>
        </is>
      </c>
      <c r="B18" s="26" t="inlineStr">
        <is>
          <t>F4.5 Filters and search</t>
        </is>
      </c>
      <c r="C18" s="26" t="inlineStr">
        <is>
          <t>Filters, MOE HQ</t>
        </is>
      </c>
      <c r="D18" s="26" t="inlineStr">
        <is>
          <t>School, Scheme, Grade, Tier, Status, ML risk and Submitted.</t>
        </is>
      </c>
      <c r="E18" s="26" t="inlineStr">
        <is>
          <t>Equivalence partitioning</t>
        </is>
      </c>
      <c r="F18" s="26" t="inlineStr">
        <is>
          <t>FS 3.3</t>
        </is>
      </c>
      <c r="G18" s="24">
        <f>COUNTIF('Test cases '!$B$2:$B$332,$A18)</f>
        <v/>
      </c>
      <c r="H18" s="24">
        <f>COUNTIFS('Test cases '!$B$2:$B$332,$A18,'Test cases '!$T$2:$T$332,"Approve")</f>
        <v/>
      </c>
      <c r="I18" s="24">
        <f>COUNTIFS('Test cases '!$B$2:$B$332,$A18,'Test cases '!$T$2:$T$332,"Draft")</f>
        <v/>
      </c>
      <c r="J18" s="24">
        <f>COUNTIFS('Test cases '!$B$2:$B$332,$A18,'Test cases '!$T$2:$T$332,"Block")</f>
        <v/>
      </c>
      <c r="K18" s="24">
        <f>IF(J18=G18,"Block",IF(J18&gt;0,"Partly blocked",IF(I18&gt;0,"Draft","Approve")))</f>
        <v/>
      </c>
    </row>
    <row r="19" ht="30.75" customHeight="1" s="14">
      <c r="A19" s="23" t="inlineStr">
        <is>
          <t>TS-018</t>
        </is>
      </c>
      <c r="B19" s="26" t="inlineStr">
        <is>
          <t>F4.5 Filters and search</t>
        </is>
      </c>
      <c r="C19" s="26" t="inlineStr">
        <is>
          <t>Filters, School Admin</t>
        </is>
      </c>
      <c r="D19" s="26" t="inlineStr">
        <is>
          <t>Grade, Tier, Status, ML risk and Submitted.</t>
        </is>
      </c>
      <c r="E19" s="26" t="inlineStr">
        <is>
          <t>Equivalence partitioning</t>
        </is>
      </c>
      <c r="F19" s="26" t="inlineStr">
        <is>
          <t>FS 3.3</t>
        </is>
      </c>
      <c r="G19" s="24">
        <f>COUNTIF('Test cases '!$B$2:$B$332,$A19)</f>
        <v/>
      </c>
      <c r="H19" s="24">
        <f>COUNTIFS('Test cases '!$B$2:$B$332,$A19,'Test cases '!$T$2:$T$332,"Approve")</f>
        <v/>
      </c>
      <c r="I19" s="24">
        <f>COUNTIFS('Test cases '!$B$2:$B$332,$A19,'Test cases '!$T$2:$T$332,"Draft")</f>
        <v/>
      </c>
      <c r="J19" s="24">
        <f>COUNTIFS('Test cases '!$B$2:$B$332,$A19,'Test cases '!$T$2:$T$332,"Block")</f>
        <v/>
      </c>
      <c r="K19" s="24">
        <f>IF(J19=G19,"Block",IF(J19&gt;0,"Partly blocked",IF(I19&gt;0,"Draft","Approve")))</f>
        <v/>
      </c>
    </row>
    <row r="20" ht="30.75" customHeight="1" s="14">
      <c r="A20" s="23" t="inlineStr">
        <is>
          <t>TS-019</t>
        </is>
      </c>
      <c r="B20" s="26" t="inlineStr">
        <is>
          <t>F4.5 Filters and search</t>
        </is>
      </c>
      <c r="C20" s="26" t="inlineStr">
        <is>
          <t>Combined filters and page reset</t>
        </is>
      </c>
      <c r="D20" s="26" t="inlineStr">
        <is>
          <t>Filters combine with AND and a change returns to page 1.</t>
        </is>
      </c>
      <c r="E20" s="26" t="inlineStr">
        <is>
          <t>Pairwise</t>
        </is>
      </c>
      <c r="F20" s="26" t="inlineStr">
        <is>
          <t>FS 3.3</t>
        </is>
      </c>
      <c r="G20" s="24">
        <f>COUNTIF('Test cases '!$B$2:$B$332,$A20)</f>
        <v/>
      </c>
      <c r="H20" s="24">
        <f>COUNTIFS('Test cases '!$B$2:$B$332,$A20,'Test cases '!$T$2:$T$332,"Approve")</f>
        <v/>
      </c>
      <c r="I20" s="24">
        <f>COUNTIFS('Test cases '!$B$2:$B$332,$A20,'Test cases '!$T$2:$T$332,"Draft")</f>
        <v/>
      </c>
      <c r="J20" s="24">
        <f>COUNTIFS('Test cases '!$B$2:$B$332,$A20,'Test cases '!$T$2:$T$332,"Block")</f>
        <v/>
      </c>
      <c r="K20" s="24">
        <f>IF(J20=G20,"Block",IF(J20&gt;0,"Partly blocked",IF(I20&gt;0,"Draft","Approve")))</f>
        <v/>
      </c>
    </row>
    <row r="21" ht="30.75" customHeight="1" s="14">
      <c r="A21" s="23" t="inlineStr">
        <is>
          <t>TS-020</t>
        </is>
      </c>
      <c r="B21" s="26" t="inlineStr">
        <is>
          <t>F4.6 Export</t>
        </is>
      </c>
      <c r="C21" s="26" t="inlineStr">
        <is>
          <t>Export content</t>
        </is>
      </c>
      <c r="D21" s="26" t="inlineStr">
        <is>
          <t>The CSV holds the filtered rows and the columns of 3.4.</t>
        </is>
      </c>
      <c r="E21" s="26" t="inlineStr">
        <is>
          <t>Use case</t>
        </is>
      </c>
      <c r="F21" s="26" t="inlineStr">
        <is>
          <t>FS 3.1 item 2, 3.4, T15</t>
        </is>
      </c>
      <c r="G21" s="24">
        <f>COUNTIF('Test cases '!$B$2:$B$332,$A21)</f>
        <v/>
      </c>
      <c r="H21" s="24">
        <f>COUNTIFS('Test cases '!$B$2:$B$332,$A21,'Test cases '!$T$2:$T$332,"Approve")</f>
        <v/>
      </c>
      <c r="I21" s="24">
        <f>COUNTIFS('Test cases '!$B$2:$B$332,$A21,'Test cases '!$T$2:$T$332,"Draft")</f>
        <v/>
      </c>
      <c r="J21" s="24">
        <f>COUNTIFS('Test cases '!$B$2:$B$332,$A21,'Test cases '!$T$2:$T$332,"Block")</f>
        <v/>
      </c>
      <c r="K21" s="24">
        <f>IF(J21=G21,"Block",IF(J21&gt;0,"Partly blocked",IF(I21&gt;0,"Draft","Approve")))</f>
        <v/>
      </c>
    </row>
    <row r="22" ht="30.75" customHeight="1" s="14">
      <c r="A22" s="23" t="inlineStr">
        <is>
          <t>TS-021</t>
        </is>
      </c>
      <c r="B22" s="26" t="inlineStr">
        <is>
          <t>F4.7 Review drawer, MOEFAS</t>
        </is>
      </c>
      <c r="C22" s="26" t="inlineStr">
        <is>
          <t>Pending MOEFAS drawer</t>
        </is>
      </c>
      <c r="D22" s="26" t="inlineStr">
        <is>
          <t>Waiting note, eligibility rows, household, context, documents, history.</t>
        </is>
      </c>
      <c r="E22" s="26" t="inlineStr">
        <is>
          <t>Equivalence partitioning</t>
        </is>
      </c>
      <c r="F22" s="26" t="inlineStr">
        <is>
          <t>FS 4</t>
        </is>
      </c>
      <c r="G22" s="24">
        <f>COUNTIF('Test cases '!$B$2:$B$332,$A22)</f>
        <v/>
      </c>
      <c r="H22" s="24">
        <f>COUNTIFS('Test cases '!$B$2:$B$332,$A22,'Test cases '!$T$2:$T$332,"Approve")</f>
        <v/>
      </c>
      <c r="I22" s="24">
        <f>COUNTIFS('Test cases '!$B$2:$B$332,$A22,'Test cases '!$T$2:$T$332,"Draft")</f>
        <v/>
      </c>
      <c r="J22" s="24">
        <f>COUNTIFS('Test cases '!$B$2:$B$332,$A22,'Test cases '!$T$2:$T$332,"Block")</f>
        <v/>
      </c>
      <c r="K22" s="24">
        <f>IF(J22=G22,"Block",IF(J22&gt;0,"Partly blocked",IF(I22&gt;0,"Draft","Approve")))</f>
        <v/>
      </c>
    </row>
    <row r="23" ht="30.75" customHeight="1" s="14">
      <c r="A23" s="23" t="inlineStr">
        <is>
          <t>TS-022</t>
        </is>
      </c>
      <c r="B23" s="26" t="inlineStr">
        <is>
          <t>F4.7 Review drawer, MOEFAS</t>
        </is>
      </c>
      <c r="C23" s="26" t="inlineStr">
        <is>
          <t>Decided MOEFAS drawer</t>
        </is>
      </c>
      <c r="D23" s="26" t="inlineStr">
        <is>
          <t>Decision block with priority, reason and actor.</t>
        </is>
      </c>
      <c r="E23" s="26" t="inlineStr">
        <is>
          <t>Equivalence partitioning</t>
        </is>
      </c>
      <c r="F23" s="26" t="inlineStr">
        <is>
          <t>FS 4 Decision, 2.2 step 3</t>
        </is>
      </c>
      <c r="G23" s="24">
        <f>COUNTIF('Test cases '!$B$2:$B$332,$A23)</f>
        <v/>
      </c>
      <c r="H23" s="24">
        <f>COUNTIFS('Test cases '!$B$2:$B$332,$A23,'Test cases '!$T$2:$T$332,"Approve")</f>
        <v/>
      </c>
      <c r="I23" s="24">
        <f>COUNTIFS('Test cases '!$B$2:$B$332,$A23,'Test cases '!$T$2:$T$332,"Draft")</f>
        <v/>
      </c>
      <c r="J23" s="24">
        <f>COUNTIFS('Test cases '!$B$2:$B$332,$A23,'Test cases '!$T$2:$T$332,"Block")</f>
        <v/>
      </c>
      <c r="K23" s="24">
        <f>IF(J23=G23,"Block",IF(J23&gt;0,"Partly blocked",IF(I23&gt;0,"Draft","Approve")))</f>
        <v/>
      </c>
    </row>
    <row r="24" ht="18" customHeight="1" s="14">
      <c r="A24" s="23" t="inlineStr">
        <is>
          <t>TS-023</t>
        </is>
      </c>
      <c r="B24" s="26" t="inlineStr">
        <is>
          <t>F4.7 Review drawer, MOEFAS</t>
        </is>
      </c>
      <c r="C24" s="26" t="inlineStr">
        <is>
          <t>Drawer behaviour</t>
        </is>
      </c>
      <c r="D24" s="26" t="inlineStr">
        <is>
          <t>Open, close and read only.</t>
        </is>
      </c>
      <c r="E24" s="26" t="inlineStr">
        <is>
          <t>Use case</t>
        </is>
      </c>
      <c r="F24" s="26" t="inlineStr">
        <is>
          <t>FS 4</t>
        </is>
      </c>
      <c r="G24" s="24">
        <f>COUNTIF('Test cases '!$B$2:$B$332,$A24)</f>
        <v/>
      </c>
      <c r="H24" s="24">
        <f>COUNTIFS('Test cases '!$B$2:$B$332,$A24,'Test cases '!$T$2:$T$332,"Approve")</f>
        <v/>
      </c>
      <c r="I24" s="24">
        <f>COUNTIFS('Test cases '!$B$2:$B$332,$A24,'Test cases '!$T$2:$T$332,"Draft")</f>
        <v/>
      </c>
      <c r="J24" s="24">
        <f>COUNTIFS('Test cases '!$B$2:$B$332,$A24,'Test cases '!$T$2:$T$332,"Block")</f>
        <v/>
      </c>
      <c r="K24" s="24">
        <f>IF(J24=G24,"Block",IF(J24&gt;0,"Partly blocked",IF(I24&gt;0,"Draft","Approve")))</f>
        <v/>
      </c>
    </row>
    <row r="25" ht="30.75" customHeight="1" s="14">
      <c r="A25" s="23" t="inlineStr">
        <is>
          <t>TS-024</t>
        </is>
      </c>
      <c r="B25" s="26" t="inlineStr">
        <is>
          <t>F4.8 Review drawer, SBFAS</t>
        </is>
      </c>
      <c r="C25" s="26" t="inlineStr">
        <is>
          <t>SBFAS drawer content</t>
        </is>
      </c>
      <c r="D25" s="26" t="inlineStr">
        <is>
          <t>Header, student, parent, household, context, documents, history, decision.</t>
        </is>
      </c>
      <c r="E25" s="26" t="inlineStr">
        <is>
          <t>Equivalence partitioning</t>
        </is>
      </c>
      <c r="F25" s="26" t="inlineStr">
        <is>
          <t>FS 4</t>
        </is>
      </c>
      <c r="G25" s="24">
        <f>COUNTIF('Test cases '!$B$2:$B$332,$A25)</f>
        <v/>
      </c>
      <c r="H25" s="24">
        <f>COUNTIFS('Test cases '!$B$2:$B$332,$A25,'Test cases '!$T$2:$T$332,"Approve")</f>
        <v/>
      </c>
      <c r="I25" s="24">
        <f>COUNTIFS('Test cases '!$B$2:$B$332,$A25,'Test cases '!$T$2:$T$332,"Draft")</f>
        <v/>
      </c>
      <c r="J25" s="24">
        <f>COUNTIFS('Test cases '!$B$2:$B$332,$A25,'Test cases '!$T$2:$T$332,"Block")</f>
        <v/>
      </c>
      <c r="K25" s="24">
        <f>IF(J25=G25,"Block",IF(J25&gt;0,"Partly blocked",IF(I25&gt;0,"Draft","Approve")))</f>
        <v/>
      </c>
    </row>
    <row r="26" ht="30.75" customHeight="1" s="14">
      <c r="A26" s="23" t="inlineStr">
        <is>
          <t>TS-025</t>
        </is>
      </c>
      <c r="B26" s="26" t="inlineStr">
        <is>
          <t>F4.8 Review drawer, SBFAS</t>
        </is>
      </c>
      <c r="C26" s="26" t="inlineStr">
        <is>
          <t>ML recommendation block</t>
        </is>
      </c>
      <c r="D26" s="26" t="inlineStr">
        <is>
          <t>Tier only, no score, red note without a scheme.</t>
        </is>
      </c>
      <c r="E26" s="26" t="inlineStr">
        <is>
          <t>Equivalence partitioning</t>
        </is>
      </c>
      <c r="F26" s="26" t="inlineStr">
        <is>
          <t>FS 4 ML recommendation, 5</t>
        </is>
      </c>
      <c r="G26" s="24">
        <f>COUNTIF('Test cases '!$B$2:$B$332,$A26)</f>
        <v/>
      </c>
      <c r="H26" s="24">
        <f>COUNTIFS('Test cases '!$B$2:$B$332,$A26,'Test cases '!$T$2:$T$332,"Approve")</f>
        <v/>
      </c>
      <c r="I26" s="24">
        <f>COUNTIFS('Test cases '!$B$2:$B$332,$A26,'Test cases '!$T$2:$T$332,"Draft")</f>
        <v/>
      </c>
      <c r="J26" s="24">
        <f>COUNTIFS('Test cases '!$B$2:$B$332,$A26,'Test cases '!$T$2:$T$332,"Block")</f>
        <v/>
      </c>
      <c r="K26" s="24">
        <f>IF(J26=G26,"Block",IF(J26&gt;0,"Partly blocked",IF(I26&gt;0,"Draft","Approve")))</f>
        <v/>
      </c>
    </row>
    <row r="27" ht="30.75" customHeight="1" s="14">
      <c r="A27" s="23" t="inlineStr">
        <is>
          <t>TS-026</t>
        </is>
      </c>
      <c r="B27" s="26" t="inlineStr">
        <is>
          <t>F4.8 Review drawer, SBFAS</t>
        </is>
      </c>
      <c r="C27" s="26" t="inlineStr">
        <is>
          <t>Drawer buttons by role</t>
        </is>
      </c>
      <c r="D27" s="26" t="inlineStr">
        <is>
          <t>Reject and Approve only for the School Admin on a Pending SBFAS.</t>
        </is>
      </c>
      <c r="E27" s="26" t="inlineStr">
        <is>
          <t>Decision table</t>
        </is>
      </c>
      <c r="F27" s="26" t="inlineStr">
        <is>
          <t>FS 4 Buttons, BR5</t>
        </is>
      </c>
      <c r="G27" s="24">
        <f>COUNTIF('Test cases '!$B$2:$B$332,$A27)</f>
        <v/>
      </c>
      <c r="H27" s="24">
        <f>COUNTIFS('Test cases '!$B$2:$B$332,$A27,'Test cases '!$T$2:$T$332,"Approve")</f>
        <v/>
      </c>
      <c r="I27" s="24">
        <f>COUNTIFS('Test cases '!$B$2:$B$332,$A27,'Test cases '!$T$2:$T$332,"Draft")</f>
        <v/>
      </c>
      <c r="J27" s="24">
        <f>COUNTIFS('Test cases '!$B$2:$B$332,$A27,'Test cases '!$T$2:$T$332,"Block")</f>
        <v/>
      </c>
      <c r="K27" s="24">
        <f>IF(J27=G27,"Block",IF(J27&gt;0,"Partly blocked",IF(I27&gt;0,"Draft","Approve")))</f>
        <v/>
      </c>
    </row>
    <row r="28" ht="30.75" customHeight="1" s="14">
      <c r="A28" s="23" t="inlineStr">
        <is>
          <t>TS-027</t>
        </is>
      </c>
      <c r="B28" s="26" t="inlineStr">
        <is>
          <t>F4.9 Approve SBFAS</t>
        </is>
      </c>
      <c r="C28" s="26" t="inlineStr">
        <is>
          <t>Approve dialog and tier list</t>
        </is>
      </c>
      <c r="D28" s="26" t="inlineStr">
        <is>
          <t>Dialog content and candidate schemes.</t>
        </is>
      </c>
      <c r="E28" s="26" t="inlineStr">
        <is>
          <t>Equivalence partitioning</t>
        </is>
      </c>
      <c r="F28" s="26" t="inlineStr">
        <is>
          <t>FS 5, 6.1, T8</t>
        </is>
      </c>
      <c r="G28" s="24">
        <f>COUNTIF('Test cases '!$B$2:$B$332,$A28)</f>
        <v/>
      </c>
      <c r="H28" s="24">
        <f>COUNTIFS('Test cases '!$B$2:$B$332,$A28,'Test cases '!$T$2:$T$332,"Approve")</f>
        <v/>
      </c>
      <c r="I28" s="24">
        <f>COUNTIFS('Test cases '!$B$2:$B$332,$A28,'Test cases '!$T$2:$T$332,"Draft")</f>
        <v/>
      </c>
      <c r="J28" s="24">
        <f>COUNTIFS('Test cases '!$B$2:$B$332,$A28,'Test cases '!$T$2:$T$332,"Block")</f>
        <v/>
      </c>
      <c r="K28" s="24">
        <f>IF(J28=G28,"Block",IF(J28&gt;0,"Partly blocked",IF(I28&gt;0,"Draft","Approve")))</f>
        <v/>
      </c>
    </row>
    <row r="29" ht="30.75" customHeight="1" s="14">
      <c r="A29" s="23" t="inlineStr">
        <is>
          <t>TS-028</t>
        </is>
      </c>
      <c r="B29" s="26" t="inlineStr">
        <is>
          <t>F4.9 Approve SBFAS</t>
        </is>
      </c>
      <c r="C29" s="26" t="inlineStr">
        <is>
          <t>Tier pre-selection and choice</t>
        </is>
      </c>
      <c r="D29" s="26" t="inlineStr">
        <is>
          <t>ML tier is pre-selected, otherwise the last, and the user may change it.</t>
        </is>
      </c>
      <c r="E29" s="26" t="inlineStr">
        <is>
          <t>Decision table</t>
        </is>
      </c>
      <c r="F29" s="26" t="inlineStr">
        <is>
          <t>FS 6.1 Tier, BR10</t>
        </is>
      </c>
      <c r="G29" s="24">
        <f>COUNTIF('Test cases '!$B$2:$B$332,$A29)</f>
        <v/>
      </c>
      <c r="H29" s="24">
        <f>COUNTIFS('Test cases '!$B$2:$B$332,$A29,'Test cases '!$T$2:$T$332,"Approve")</f>
        <v/>
      </c>
      <c r="I29" s="24">
        <f>COUNTIFS('Test cases '!$B$2:$B$332,$A29,'Test cases '!$T$2:$T$332,"Draft")</f>
        <v/>
      </c>
      <c r="J29" s="24">
        <f>COUNTIFS('Test cases '!$B$2:$B$332,$A29,'Test cases '!$T$2:$T$332,"Block")</f>
        <v/>
      </c>
      <c r="K29" s="24">
        <f>IF(J29=G29,"Block",IF(J29&gt;0,"Partly blocked",IF(I29&gt;0,"Draft","Approve")))</f>
        <v/>
      </c>
    </row>
    <row r="30" ht="30.75" customHeight="1" s="14">
      <c r="A30" s="23" t="inlineStr">
        <is>
          <t>TS-029</t>
        </is>
      </c>
      <c r="B30" s="26" t="inlineStr">
        <is>
          <t>F4.9 Approve SBFAS</t>
        </is>
      </c>
      <c r="C30" s="26" t="inlineStr">
        <is>
          <t>Comment rules</t>
        </is>
      </c>
      <c r="D30" s="26" t="inlineStr">
        <is>
          <t>Optional comment up to 500 characters.</t>
        </is>
      </c>
      <c r="E30" s="26" t="inlineStr">
        <is>
          <t>Boundary value analysis</t>
        </is>
      </c>
      <c r="F30" s="26" t="inlineStr">
        <is>
          <t>FS 6.1 Comment</t>
        </is>
      </c>
      <c r="G30" s="24">
        <f>COUNTIF('Test cases '!$B$2:$B$332,$A30)</f>
        <v/>
      </c>
      <c r="H30" s="24">
        <f>COUNTIFS('Test cases '!$B$2:$B$332,$A30,'Test cases '!$T$2:$T$332,"Approve")</f>
        <v/>
      </c>
      <c r="I30" s="24">
        <f>COUNTIFS('Test cases '!$B$2:$B$332,$A30,'Test cases '!$T$2:$T$332,"Draft")</f>
        <v/>
      </c>
      <c r="J30" s="24">
        <f>COUNTIFS('Test cases '!$B$2:$B$332,$A30,'Test cases '!$T$2:$T$332,"Block")</f>
        <v/>
      </c>
      <c r="K30" s="24">
        <f>IF(J30=G30,"Block",IF(J30&gt;0,"Partly blocked",IF(I30&gt;0,"Draft","Approve")))</f>
        <v/>
      </c>
    </row>
    <row r="31" ht="18" customHeight="1" s="14">
      <c r="A31" s="23" t="inlineStr">
        <is>
          <t>TS-030</t>
        </is>
      </c>
      <c r="B31" s="26" t="inlineStr">
        <is>
          <t>F4.9 Approve SBFAS</t>
        </is>
      </c>
      <c r="C31" s="26" t="inlineStr">
        <is>
          <t>Confirm approval result</t>
        </is>
      </c>
      <c r="D31" s="26" t="inlineStr">
        <is>
          <t>Status, tier, Effective from, History, toast, counts.</t>
        </is>
      </c>
      <c r="E31" s="26" t="inlineStr">
        <is>
          <t>State transition</t>
        </is>
      </c>
      <c r="F31" s="26" t="inlineStr">
        <is>
          <t>FS 2.3, 6.1 Confirm, 8, T8</t>
        </is>
      </c>
      <c r="G31" s="24">
        <f>COUNTIF('Test cases '!$B$2:$B$332,$A31)</f>
        <v/>
      </c>
      <c r="H31" s="24">
        <f>COUNTIFS('Test cases '!$B$2:$B$332,$A31,'Test cases '!$T$2:$T$332,"Approve")</f>
        <v/>
      </c>
      <c r="I31" s="24">
        <f>COUNTIFS('Test cases '!$B$2:$B$332,$A31,'Test cases '!$T$2:$T$332,"Draft")</f>
        <v/>
      </c>
      <c r="J31" s="24">
        <f>COUNTIFS('Test cases '!$B$2:$B$332,$A31,'Test cases '!$T$2:$T$332,"Block")</f>
        <v/>
      </c>
      <c r="K31" s="24">
        <f>IF(J31=G31,"Block",IF(J31&gt;0,"Partly blocked",IF(I31&gt;0,"Draft","Approve")))</f>
        <v/>
      </c>
    </row>
    <row r="32" ht="30.75" customHeight="1" s="14">
      <c r="A32" s="23" t="inlineStr">
        <is>
          <t>TS-031</t>
        </is>
      </c>
      <c r="B32" s="26" t="inlineStr">
        <is>
          <t>F4.10 Reject SBFAS</t>
        </is>
      </c>
      <c r="C32" s="26" t="inlineStr">
        <is>
          <t>Reject dialog rules</t>
        </is>
      </c>
      <c r="D32" s="26" t="inlineStr">
        <is>
          <t>Reason and comment are required.</t>
        </is>
      </c>
      <c r="E32" s="26" t="inlineStr">
        <is>
          <t>Boundary value analysis</t>
        </is>
      </c>
      <c r="F32" s="26" t="inlineStr">
        <is>
          <t>FS 6.2, BR11</t>
        </is>
      </c>
      <c r="G32" s="24">
        <f>COUNTIF('Test cases '!$B$2:$B$332,$A32)</f>
        <v/>
      </c>
      <c r="H32" s="24">
        <f>COUNTIFS('Test cases '!$B$2:$B$332,$A32,'Test cases '!$T$2:$T$332,"Approve")</f>
        <v/>
      </c>
      <c r="I32" s="24">
        <f>COUNTIFS('Test cases '!$B$2:$B$332,$A32,'Test cases '!$T$2:$T$332,"Draft")</f>
        <v/>
      </c>
      <c r="J32" s="24">
        <f>COUNTIFS('Test cases '!$B$2:$B$332,$A32,'Test cases '!$T$2:$T$332,"Block")</f>
        <v/>
      </c>
      <c r="K32" s="24">
        <f>IF(J32=G32,"Block",IF(J32&gt;0,"Partly blocked",IF(I32&gt;0,"Draft","Approve")))</f>
        <v/>
      </c>
    </row>
    <row r="33" ht="18" customHeight="1" s="14">
      <c r="A33" s="23" t="inlineStr">
        <is>
          <t>TS-032</t>
        </is>
      </c>
      <c r="B33" s="26" t="inlineStr">
        <is>
          <t>F4.10 Reject SBFAS</t>
        </is>
      </c>
      <c r="C33" s="26" t="inlineStr">
        <is>
          <t>Reject result</t>
        </is>
      </c>
      <c r="D33" s="26" t="inlineStr">
        <is>
          <t>Status, reason, comment, email and counts.</t>
        </is>
      </c>
      <c r="E33" s="26" t="inlineStr">
        <is>
          <t>State transition</t>
        </is>
      </c>
      <c r="F33" s="26" t="inlineStr">
        <is>
          <t>FS 6.2, 8, BR11</t>
        </is>
      </c>
      <c r="G33" s="24">
        <f>COUNTIF('Test cases '!$B$2:$B$332,$A33)</f>
        <v/>
      </c>
      <c r="H33" s="24">
        <f>COUNTIFS('Test cases '!$B$2:$B$332,$A33,'Test cases '!$T$2:$T$332,"Approve")</f>
        <v/>
      </c>
      <c r="I33" s="24">
        <f>COUNTIFS('Test cases '!$B$2:$B$332,$A33,'Test cases '!$T$2:$T$332,"Draft")</f>
        <v/>
      </c>
      <c r="J33" s="24">
        <f>COUNTIFS('Test cases '!$B$2:$B$332,$A33,'Test cases '!$T$2:$T$332,"Block")</f>
        <v/>
      </c>
      <c r="K33" s="24">
        <f>IF(J33=G33,"Block",IF(J33&gt;0,"Partly blocked",IF(I33&gt;0,"Draft","Approve")))</f>
        <v/>
      </c>
    </row>
    <row r="34" ht="30.75" customHeight="1" s="14">
      <c r="A34" s="23" t="inlineStr">
        <is>
          <t>TS-033</t>
        </is>
      </c>
      <c r="B34" s="26" t="inlineStr">
        <is>
          <t>F4.11 One decision per application</t>
        </is>
      </c>
      <c r="C34" s="26" t="inlineStr">
        <is>
          <t>Concurrency and repeat</t>
        </is>
      </c>
      <c r="D34" s="26" t="inlineStr">
        <is>
          <t>Only one decision is saved.</t>
        </is>
      </c>
      <c r="E34" s="26" t="inlineStr">
        <is>
          <t>Error guessing</t>
        </is>
      </c>
      <c r="F34" s="26" t="inlineStr">
        <is>
          <t>FS BR6</t>
        </is>
      </c>
      <c r="G34" s="24">
        <f>COUNTIF('Test cases '!$B$2:$B$332,$A34)</f>
        <v/>
      </c>
      <c r="H34" s="24">
        <f>COUNTIFS('Test cases '!$B$2:$B$332,$A34,'Test cases '!$T$2:$T$332,"Approve")</f>
        <v/>
      </c>
      <c r="I34" s="24">
        <f>COUNTIFS('Test cases '!$B$2:$B$332,$A34,'Test cases '!$T$2:$T$332,"Draft")</f>
        <v/>
      </c>
      <c r="J34" s="24">
        <f>COUNTIFS('Test cases '!$B$2:$B$332,$A34,'Test cases '!$T$2:$T$332,"Block")</f>
        <v/>
      </c>
      <c r="K34" s="24">
        <f>IF(J34=G34,"Block",IF(J34&gt;0,"Partly blocked",IF(I34&gt;0,"Draft","Approve")))</f>
        <v/>
      </c>
    </row>
    <row r="35" ht="18" customHeight="1" s="14">
      <c r="A35" s="23" t="inlineStr">
        <is>
          <t>TS-034</t>
        </is>
      </c>
      <c r="B35" s="26" t="inlineStr">
        <is>
          <t>F4.12 Access and security</t>
        </is>
      </c>
      <c r="C35" s="26" t="inlineStr">
        <is>
          <t>Role scope</t>
        </is>
      </c>
      <c r="D35" s="26" t="inlineStr">
        <is>
          <t>Each role sees and does only what FS 1.2 allows.</t>
        </is>
      </c>
      <c r="E35" s="26" t="inlineStr">
        <is>
          <t>Decision table</t>
        </is>
      </c>
      <c r="F35" s="26" t="inlineStr">
        <is>
          <t>FS 1.2, BR5, BR9, BR12</t>
        </is>
      </c>
      <c r="G35" s="24">
        <f>COUNTIF('Test cases '!$B$2:$B$332,$A35)</f>
        <v/>
      </c>
      <c r="H35" s="24">
        <f>COUNTIFS('Test cases '!$B$2:$B$332,$A35,'Test cases '!$T$2:$T$332,"Approve")</f>
        <v/>
      </c>
      <c r="I35" s="24">
        <f>COUNTIFS('Test cases '!$B$2:$B$332,$A35,'Test cases '!$T$2:$T$332,"Draft")</f>
        <v/>
      </c>
      <c r="J35" s="24">
        <f>COUNTIFS('Test cases '!$B$2:$B$332,$A35,'Test cases '!$T$2:$T$332,"Block")</f>
        <v/>
      </c>
      <c r="K35" s="24">
        <f>IF(J35=G35,"Block",IF(J35&gt;0,"Partly blocked",IF(I35&gt;0,"Draft","Approve")))</f>
        <v/>
      </c>
    </row>
    <row r="36" ht="18" customHeight="1" s="14">
      <c r="A36" s="23" t="inlineStr">
        <is>
          <t>TS-035</t>
        </is>
      </c>
      <c r="B36" s="26" t="inlineStr">
        <is>
          <t>F4.12 Access and security</t>
        </is>
      </c>
      <c r="C36" s="26" t="inlineStr">
        <is>
          <t>Other school and direct access</t>
        </is>
      </c>
      <c r="D36" s="26" t="inlineStr">
        <is>
          <t>Server side checks on school and role.</t>
        </is>
      </c>
      <c r="E36" s="26" t="inlineStr">
        <is>
          <t>Error guessing</t>
        </is>
      </c>
      <c r="F36" s="26" t="inlineStr">
        <is>
          <t>FS 1.2, BR5, BR12</t>
        </is>
      </c>
      <c r="G36" s="24">
        <f>COUNTIF('Test cases '!$B$2:$B$332,$A36)</f>
        <v/>
      </c>
      <c r="H36" s="24">
        <f>COUNTIFS('Test cases '!$B$2:$B$332,$A36,'Test cases '!$T$2:$T$332,"Approve")</f>
        <v/>
      </c>
      <c r="I36" s="24">
        <f>COUNTIFS('Test cases '!$B$2:$B$332,$A36,'Test cases '!$T$2:$T$332,"Draft")</f>
        <v/>
      </c>
      <c r="J36" s="24">
        <f>COUNTIFS('Test cases '!$B$2:$B$332,$A36,'Test cases '!$T$2:$T$332,"Block")</f>
        <v/>
      </c>
      <c r="K36" s="24">
        <f>IF(J36=G36,"Block",IF(J36&gt;0,"Partly blocked",IF(I36&gt;0,"Draft","Approve")))</f>
        <v/>
      </c>
    </row>
    <row r="37" ht="18" customHeight="1" s="14">
      <c r="A37" s="23" t="inlineStr">
        <is>
          <t>TS-036</t>
        </is>
      </c>
      <c r="B37" s="26" t="inlineStr">
        <is>
          <t>F4.12 Access and security</t>
        </is>
      </c>
      <c r="C37" s="26" t="inlineStr">
        <is>
          <t>Input handling</t>
        </is>
      </c>
      <c r="D37" s="26" t="inlineStr">
        <is>
          <t>Free text and CSV values are treated as text.</t>
        </is>
      </c>
      <c r="E37" s="26" t="inlineStr">
        <is>
          <t>Error guessing</t>
        </is>
      </c>
      <c r="F37" s="26" t="inlineStr">
        <is>
          <t>FS 3.3, 6.1, 6.2</t>
        </is>
      </c>
      <c r="G37" s="24">
        <f>COUNTIF('Test cases '!$B$2:$B$332,$A37)</f>
        <v/>
      </c>
      <c r="H37" s="24">
        <f>COUNTIFS('Test cases '!$B$2:$B$332,$A37,'Test cases '!$T$2:$T$332,"Approve")</f>
        <v/>
      </c>
      <c r="I37" s="24">
        <f>COUNTIFS('Test cases '!$B$2:$B$332,$A37,'Test cases '!$T$2:$T$332,"Draft")</f>
        <v/>
      </c>
      <c r="J37" s="24">
        <f>COUNTIFS('Test cases '!$B$2:$B$332,$A37,'Test cases '!$T$2:$T$332,"Block")</f>
        <v/>
      </c>
      <c r="K37" s="24">
        <f>IF(J37=G37,"Block",IF(J37&gt;0,"Partly blocked",IF(I37&gt;0,"Draft","Approve")))</f>
        <v/>
      </c>
    </row>
    <row r="38" ht="30.75" customHeight="1" s="14">
      <c r="A38" s="23" t="inlineStr">
        <is>
          <t>TS-037</t>
        </is>
      </c>
      <c r="B38" s="26" t="inlineStr">
        <is>
          <t>F4.13 FAS schemes list</t>
        </is>
      </c>
      <c r="C38" s="26" t="inlineStr">
        <is>
          <t>Who sees which schemes</t>
        </is>
      </c>
      <c r="D38" s="26" t="inlineStr">
        <is>
          <t>MOE HQ sees MOEFAS only and each school sees its own SBFAS.</t>
        </is>
      </c>
      <c r="E38" s="26" t="inlineStr">
        <is>
          <t>Decision table</t>
        </is>
      </c>
      <c r="F38" s="26" t="inlineStr">
        <is>
          <t>FS 7.1 item 1, BR9</t>
        </is>
      </c>
      <c r="G38" s="24">
        <f>COUNTIF('Test cases '!$B$2:$B$332,$A38)</f>
        <v/>
      </c>
      <c r="H38" s="24">
        <f>COUNTIFS('Test cases '!$B$2:$B$332,$A38,'Test cases '!$T$2:$T$332,"Approve")</f>
        <v/>
      </c>
      <c r="I38" s="24">
        <f>COUNTIFS('Test cases '!$B$2:$B$332,$A38,'Test cases '!$T$2:$T$332,"Draft")</f>
        <v/>
      </c>
      <c r="J38" s="24">
        <f>COUNTIFS('Test cases '!$B$2:$B$332,$A38,'Test cases '!$T$2:$T$332,"Block")</f>
        <v/>
      </c>
      <c r="K38" s="24">
        <f>IF(J38=G38,"Block",IF(J38&gt;0,"Partly blocked",IF(I38&gt;0,"Draft","Approve")))</f>
        <v/>
      </c>
    </row>
    <row r="39" ht="30.75" customHeight="1" s="14">
      <c r="A39" s="23" t="inlineStr">
        <is>
          <t>TS-038</t>
        </is>
      </c>
      <c r="B39" s="26" t="inlineStr">
        <is>
          <t>F4.13 FAS schemes list</t>
        </is>
      </c>
      <c r="C39" s="26" t="inlineStr">
        <is>
          <t>Cards and table</t>
        </is>
      </c>
      <c r="D39" s="26" t="inlineStr">
        <is>
          <t>Cards, columns, badges, sort and status by date.</t>
        </is>
      </c>
      <c r="E39" s="26" t="inlineStr">
        <is>
          <t>Equivalence partitioning</t>
        </is>
      </c>
      <c r="F39" s="26" t="inlineStr">
        <is>
          <t>FS 7.1 items 2, 3 and 5</t>
        </is>
      </c>
      <c r="G39" s="24">
        <f>COUNTIF('Test cases '!$B$2:$B$332,$A39)</f>
        <v/>
      </c>
      <c r="H39" s="24">
        <f>COUNTIFS('Test cases '!$B$2:$B$332,$A39,'Test cases '!$T$2:$T$332,"Approve")</f>
        <v/>
      </c>
      <c r="I39" s="24">
        <f>COUNTIFS('Test cases '!$B$2:$B$332,$A39,'Test cases '!$T$2:$T$332,"Draft")</f>
        <v/>
      </c>
      <c r="J39" s="24">
        <f>COUNTIFS('Test cases '!$B$2:$B$332,$A39,'Test cases '!$T$2:$T$332,"Block")</f>
        <v/>
      </c>
      <c r="K39" s="24">
        <f>IF(J39=G39,"Block",IF(J39&gt;0,"Partly blocked",IF(I39&gt;0,"Draft","Approve")))</f>
        <v/>
      </c>
    </row>
    <row r="40" ht="30.75" customHeight="1" s="14">
      <c r="A40" s="23" t="inlineStr">
        <is>
          <t>TS-039</t>
        </is>
      </c>
      <c r="B40" s="26" t="inlineStr">
        <is>
          <t>F4.13 FAS schemes list</t>
        </is>
      </c>
      <c r="C40" s="26" t="inlineStr">
        <is>
          <t>Actions by status</t>
        </is>
      </c>
      <c r="D40" s="26" t="inlineStr">
        <is>
          <t>Edit, View, Add fee and Close form now by status and role.</t>
        </is>
      </c>
      <c r="E40" s="26" t="inlineStr">
        <is>
          <t>Decision table</t>
        </is>
      </c>
      <c r="F40" s="26" t="inlineStr">
        <is>
          <t>FS 7.1 item 4, T14</t>
        </is>
      </c>
      <c r="G40" s="24">
        <f>COUNTIF('Test cases '!$B$2:$B$332,$A40)</f>
        <v/>
      </c>
      <c r="H40" s="24">
        <f>COUNTIFS('Test cases '!$B$2:$B$332,$A40,'Test cases '!$T$2:$T$332,"Approve")</f>
        <v/>
      </c>
      <c r="I40" s="24">
        <f>COUNTIFS('Test cases '!$B$2:$B$332,$A40,'Test cases '!$T$2:$T$332,"Draft")</f>
        <v/>
      </c>
      <c r="J40" s="24">
        <f>COUNTIFS('Test cases '!$B$2:$B$332,$A40,'Test cases '!$T$2:$T$332,"Block")</f>
        <v/>
      </c>
      <c r="K40" s="24">
        <f>IF(J40=G40,"Block",IF(J40&gt;0,"Partly blocked",IF(I40&gt;0,"Draft","Approve")))</f>
        <v/>
      </c>
    </row>
    <row r="41" ht="30.75" customHeight="1" s="14">
      <c r="A41" s="23" t="inlineStr">
        <is>
          <t>TS-040</t>
        </is>
      </c>
      <c r="B41" s="26" t="inlineStr">
        <is>
          <t>F4.14 New scheme wizard</t>
        </is>
      </c>
      <c r="C41" s="26" t="inlineStr">
        <is>
          <t>General step</t>
        </is>
      </c>
      <c r="D41" s="26" t="inlineStr">
        <is>
          <t>Name, form period and effective period with their messages.</t>
        </is>
      </c>
      <c r="E41" s="26" t="inlineStr">
        <is>
          <t>Boundary value analysis</t>
        </is>
      </c>
      <c r="F41" s="26" t="inlineStr">
        <is>
          <t>FS 7.2 step 1, 7.3, T9</t>
        </is>
      </c>
      <c r="G41" s="24">
        <f>COUNTIF('Test cases '!$B$2:$B$332,$A41)</f>
        <v/>
      </c>
      <c r="H41" s="24">
        <f>COUNTIFS('Test cases '!$B$2:$B$332,$A41,'Test cases '!$T$2:$T$332,"Approve")</f>
        <v/>
      </c>
      <c r="I41" s="24">
        <f>COUNTIFS('Test cases '!$B$2:$B$332,$A41,'Test cases '!$T$2:$T$332,"Draft")</f>
        <v/>
      </c>
      <c r="J41" s="24">
        <f>COUNTIFS('Test cases '!$B$2:$B$332,$A41,'Test cases '!$T$2:$T$332,"Block")</f>
        <v/>
      </c>
      <c r="K41" s="24">
        <f>IF(J41=G41,"Block",IF(J41&gt;0,"Partly blocked",IF(I41&gt;0,"Draft","Approve")))</f>
        <v/>
      </c>
    </row>
    <row r="42" ht="30.75" customHeight="1" s="14">
      <c r="A42" s="23" t="inlineStr">
        <is>
          <t>TS-041</t>
        </is>
      </c>
      <c r="B42" s="26" t="inlineStr">
        <is>
          <t>F4.14 New scheme wizard</t>
        </is>
      </c>
      <c r="C42" s="26" t="inlineStr">
        <is>
          <t>Eligibility step</t>
        </is>
      </c>
      <c r="D42" s="26" t="inlineStr">
        <is>
          <t>Nationality, bands and match rule.</t>
        </is>
      </c>
      <c r="E42" s="26" t="inlineStr">
        <is>
          <t>Equivalence partitioning</t>
        </is>
      </c>
      <c r="F42" s="26" t="inlineStr">
        <is>
          <t>FS 7.2 step 2, 7.3</t>
        </is>
      </c>
      <c r="G42" s="24">
        <f>COUNTIF('Test cases '!$B$2:$B$332,$A42)</f>
        <v/>
      </c>
      <c r="H42" s="24">
        <f>COUNTIFS('Test cases '!$B$2:$B$332,$A42,'Test cases '!$T$2:$T$332,"Approve")</f>
        <v/>
      </c>
      <c r="I42" s="24">
        <f>COUNTIFS('Test cases '!$B$2:$B$332,$A42,'Test cases '!$T$2:$T$332,"Draft")</f>
        <v/>
      </c>
      <c r="J42" s="24">
        <f>COUNTIFS('Test cases '!$B$2:$B$332,$A42,'Test cases '!$T$2:$T$332,"Block")</f>
        <v/>
      </c>
      <c r="K42" s="24">
        <f>IF(J42=G42,"Block",IF(J42&gt;0,"Partly blocked",IF(I42&gt;0,"Draft","Approve")))</f>
        <v/>
      </c>
    </row>
    <row r="43" ht="30.75" customHeight="1" s="14">
      <c r="A43" s="23" t="inlineStr">
        <is>
          <t>TS-042</t>
        </is>
      </c>
      <c r="B43" s="26" t="inlineStr">
        <is>
          <t>F4.14 New scheme wizard</t>
        </is>
      </c>
      <c r="C43" s="26" t="inlineStr">
        <is>
          <t>Subsidy step, MOEFAS</t>
        </is>
      </c>
      <c r="D43" s="26" t="inlineStr">
        <is>
          <t>Rows by level, columns by fee component.</t>
        </is>
      </c>
      <c r="E43" s="26" t="inlineStr">
        <is>
          <t>Equivalence partitioning</t>
        </is>
      </c>
      <c r="F43" s="26" t="inlineStr">
        <is>
          <t>FS 7.2 step 3, T10</t>
        </is>
      </c>
      <c r="G43" s="24">
        <f>COUNTIF('Test cases '!$B$2:$B$332,$A43)</f>
        <v/>
      </c>
      <c r="H43" s="24">
        <f>COUNTIFS('Test cases '!$B$2:$B$332,$A43,'Test cases '!$T$2:$T$332,"Approve")</f>
        <v/>
      </c>
      <c r="I43" s="24">
        <f>COUNTIFS('Test cases '!$B$2:$B$332,$A43,'Test cases '!$T$2:$T$332,"Draft")</f>
        <v/>
      </c>
      <c r="J43" s="24">
        <f>COUNTIFS('Test cases '!$B$2:$B$332,$A43,'Test cases '!$T$2:$T$332,"Block")</f>
        <v/>
      </c>
      <c r="K43" s="24">
        <f>IF(J43=G43,"Block",IF(J43&gt;0,"Partly blocked",IF(I43&gt;0,"Draft","Approve")))</f>
        <v/>
      </c>
    </row>
    <row r="44" ht="30.75" customHeight="1" s="14">
      <c r="A44" s="23" t="inlineStr">
        <is>
          <t>TS-043</t>
        </is>
      </c>
      <c r="B44" s="26" t="inlineStr">
        <is>
          <t>F4.14 New scheme wizard</t>
        </is>
      </c>
      <c r="C44" s="26" t="inlineStr">
        <is>
          <t>Subsidy step, SBFAS</t>
        </is>
      </c>
      <c r="D44" s="26" t="inlineStr">
        <is>
          <t>Rows by grade the school offers.</t>
        </is>
      </c>
      <c r="E44" s="26" t="inlineStr">
        <is>
          <t>Equivalence partitioning</t>
        </is>
      </c>
      <c r="F44" s="26" t="inlineStr">
        <is>
          <t>FS 7.2 step 3, T11</t>
        </is>
      </c>
      <c r="G44" s="24">
        <f>COUNTIF('Test cases '!$B$2:$B$332,$A44)</f>
        <v/>
      </c>
      <c r="H44" s="24">
        <f>COUNTIFS('Test cases '!$B$2:$B$332,$A44,'Test cases '!$T$2:$T$332,"Approve")</f>
        <v/>
      </c>
      <c r="I44" s="24">
        <f>COUNTIFS('Test cases '!$B$2:$B$332,$A44,'Test cases '!$T$2:$T$332,"Draft")</f>
        <v/>
      </c>
      <c r="J44" s="24">
        <f>COUNTIFS('Test cases '!$B$2:$B$332,$A44,'Test cases '!$T$2:$T$332,"Block")</f>
        <v/>
      </c>
      <c r="K44" s="24">
        <f>IF(J44=G44,"Block",IF(J44&gt;0,"Partly blocked",IF(I44&gt;0,"Draft","Approve")))</f>
        <v/>
      </c>
    </row>
    <row r="45" ht="30.75" customHeight="1" s="14">
      <c r="A45" s="23" t="inlineStr">
        <is>
          <t>TS-044</t>
        </is>
      </c>
      <c r="B45" s="26" t="inlineStr">
        <is>
          <t>F4.14 New scheme wizard</t>
        </is>
      </c>
      <c r="C45" s="26" t="inlineStr">
        <is>
          <t>Subsidy cell validation</t>
        </is>
      </c>
      <c r="D45" s="26" t="inlineStr">
        <is>
          <t>Percentage and fixed amount limits.</t>
        </is>
      </c>
      <c r="E45" s="26" t="inlineStr">
        <is>
          <t>Boundary value analysis</t>
        </is>
      </c>
      <c r="F45" s="26" t="inlineStr">
        <is>
          <t>FS 7.2 step 3, 7.3</t>
        </is>
      </c>
      <c r="G45" s="24">
        <f>COUNTIF('Test cases '!$B$2:$B$332,$A45)</f>
        <v/>
      </c>
      <c r="H45" s="24">
        <f>COUNTIFS('Test cases '!$B$2:$B$332,$A45,'Test cases '!$T$2:$T$332,"Approve")</f>
        <v/>
      </c>
      <c r="I45" s="24">
        <f>COUNTIFS('Test cases '!$B$2:$B$332,$A45,'Test cases '!$T$2:$T$332,"Draft")</f>
        <v/>
      </c>
      <c r="J45" s="24">
        <f>COUNTIFS('Test cases '!$B$2:$B$332,$A45,'Test cases '!$T$2:$T$332,"Block")</f>
        <v/>
      </c>
      <c r="K45" s="24">
        <f>IF(J45=G45,"Block",IF(J45&gt;0,"Partly blocked",IF(I45&gt;0,"Draft","Approve")))</f>
        <v/>
      </c>
    </row>
    <row r="46" ht="18" customHeight="1" s="14">
      <c r="A46" s="23" t="inlineStr">
        <is>
          <t>TS-045</t>
        </is>
      </c>
      <c r="B46" s="26" t="inlineStr">
        <is>
          <t>F4.14 New scheme wizard</t>
        </is>
      </c>
      <c r="C46" s="26" t="inlineStr">
        <is>
          <t>Navigation, Draft and Discard</t>
        </is>
      </c>
      <c r="D46" s="26" t="inlineStr">
        <is>
          <t>Steps, Draft at any time, Discard and Cancel.</t>
        </is>
      </c>
      <c r="E46" s="26" t="inlineStr">
        <is>
          <t>State transition</t>
        </is>
      </c>
      <c r="F46" s="26" t="inlineStr">
        <is>
          <t>FS 7.3 last line</t>
        </is>
      </c>
      <c r="G46" s="24">
        <f>COUNTIF('Test cases '!$B$2:$B$332,$A46)</f>
        <v/>
      </c>
      <c r="H46" s="24">
        <f>COUNTIFS('Test cases '!$B$2:$B$332,$A46,'Test cases '!$T$2:$T$332,"Approve")</f>
        <v/>
      </c>
      <c r="I46" s="24">
        <f>COUNTIFS('Test cases '!$B$2:$B$332,$A46,'Test cases '!$T$2:$T$332,"Draft")</f>
        <v/>
      </c>
      <c r="J46" s="24">
        <f>COUNTIFS('Test cases '!$B$2:$B$332,$A46,'Test cases '!$T$2:$T$332,"Block")</f>
        <v/>
      </c>
      <c r="K46" s="24">
        <f>IF(J46=G46,"Block",IF(J46&gt;0,"Partly blocked",IF(I46&gt;0,"Draft","Approve")))</f>
        <v/>
      </c>
    </row>
    <row r="47" ht="18" customHeight="1" s="14">
      <c r="A47" s="23" t="inlineStr">
        <is>
          <t>TS-046</t>
        </is>
      </c>
      <c r="B47" s="26" t="inlineStr">
        <is>
          <t>F4.15 Review and publish</t>
        </is>
      </c>
      <c r="C47" s="26" t="inlineStr">
        <is>
          <t>Review dialog and Publish</t>
        </is>
      </c>
      <c r="D47" s="26" t="inlineStr">
        <is>
          <t>Review content, Publish and view-only result.</t>
        </is>
      </c>
      <c r="E47" s="26" t="inlineStr">
        <is>
          <t>State transition</t>
        </is>
      </c>
      <c r="F47" s="26" t="inlineStr">
        <is>
          <t>FS 7.3, BR8</t>
        </is>
      </c>
      <c r="G47" s="24">
        <f>COUNTIF('Test cases '!$B$2:$B$332,$A47)</f>
        <v/>
      </c>
      <c r="H47" s="24">
        <f>COUNTIFS('Test cases '!$B$2:$B$332,$A47,'Test cases '!$T$2:$T$332,"Approve")</f>
        <v/>
      </c>
      <c r="I47" s="24">
        <f>COUNTIFS('Test cases '!$B$2:$B$332,$A47,'Test cases '!$T$2:$T$332,"Draft")</f>
        <v/>
      </c>
      <c r="J47" s="24">
        <f>COUNTIFS('Test cases '!$B$2:$B$332,$A47,'Test cases '!$T$2:$T$332,"Block")</f>
        <v/>
      </c>
      <c r="K47" s="24">
        <f>IF(J47=G47,"Block",IF(J47&gt;0,"Partly blocked",IF(I47&gt;0,"Draft","Approve")))</f>
        <v/>
      </c>
    </row>
    <row r="48" ht="30.75" customHeight="1" s="14">
      <c r="A48" s="23" t="inlineStr">
        <is>
          <t>TS-047</t>
        </is>
      </c>
      <c r="B48" s="26" t="inlineStr">
        <is>
          <t>F4.15 Review and publish</t>
        </is>
      </c>
      <c r="C48" s="26" t="inlineStr">
        <is>
          <t>Overlap rules</t>
        </is>
      </c>
      <c r="D48" s="26" t="inlineStr">
        <is>
          <t>Same slot periods must not overlap.</t>
        </is>
      </c>
      <c r="E48" s="26" t="inlineStr">
        <is>
          <t>Boundary value analysis</t>
        </is>
      </c>
      <c r="F48" s="26" t="inlineStr">
        <is>
          <t>FS 7.3, T12</t>
        </is>
      </c>
      <c r="G48" s="24">
        <f>COUNTIF('Test cases '!$B$2:$B$332,$A48)</f>
        <v/>
      </c>
      <c r="H48" s="24">
        <f>COUNTIFS('Test cases '!$B$2:$B$332,$A48,'Test cases '!$T$2:$T$332,"Approve")</f>
        <v/>
      </c>
      <c r="I48" s="24">
        <f>COUNTIFS('Test cases '!$B$2:$B$332,$A48,'Test cases '!$T$2:$T$332,"Draft")</f>
        <v/>
      </c>
      <c r="J48" s="24">
        <f>COUNTIFS('Test cases '!$B$2:$B$332,$A48,'Test cases '!$T$2:$T$332,"Block")</f>
        <v/>
      </c>
      <c r="K48" s="24">
        <f>IF(J48=G48,"Block",IF(J48&gt;0,"Partly blocked",IF(I48&gt;0,"Draft","Approve")))</f>
        <v/>
      </c>
    </row>
    <row r="49" ht="30.75" customHeight="1" s="14">
      <c r="A49" s="23" t="inlineStr">
        <is>
          <t>TS-048</t>
        </is>
      </c>
      <c r="B49" s="26" t="inlineStr">
        <is>
          <t>F4.15 Review and publish</t>
        </is>
      </c>
      <c r="C49" s="26" t="inlineStr">
        <is>
          <t>Earlier scheme with no end date</t>
        </is>
      </c>
      <c r="D49" s="26" t="inlineStr">
        <is>
          <t>Its Effective to is set the day before the new start.</t>
        </is>
      </c>
      <c r="E49" s="26" t="inlineStr">
        <is>
          <t>Boundary value analysis</t>
        </is>
      </c>
      <c r="F49" s="26" t="inlineStr">
        <is>
          <t>FS 7.3</t>
        </is>
      </c>
      <c r="G49" s="24">
        <f>COUNTIF('Test cases '!$B$2:$B$332,$A49)</f>
        <v/>
      </c>
      <c r="H49" s="24">
        <f>COUNTIFS('Test cases '!$B$2:$B$332,$A49,'Test cases '!$T$2:$T$332,"Approve")</f>
        <v/>
      </c>
      <c r="I49" s="24">
        <f>COUNTIFS('Test cases '!$B$2:$B$332,$A49,'Test cases '!$T$2:$T$332,"Draft")</f>
        <v/>
      </c>
      <c r="J49" s="24">
        <f>COUNTIFS('Test cases '!$B$2:$B$332,$A49,'Test cases '!$T$2:$T$332,"Block")</f>
        <v/>
      </c>
      <c r="K49" s="24">
        <f>IF(J49=G49,"Block",IF(J49&gt;0,"Partly blocked",IF(I49&gt;0,"Draft","Approve")))</f>
        <v/>
      </c>
    </row>
    <row r="50" ht="18" customHeight="1" s="14">
      <c r="A50" s="23" t="inlineStr">
        <is>
          <t>TS-049</t>
        </is>
      </c>
      <c r="B50" s="26" t="inlineStr">
        <is>
          <t>F4.15 Review and publish</t>
        </is>
      </c>
      <c r="C50" s="26" t="inlineStr">
        <is>
          <t>Published scheme is view only</t>
        </is>
      </c>
      <c r="D50" s="26" t="inlineStr">
        <is>
          <t>No edit after publish.</t>
        </is>
      </c>
      <c r="E50" s="26" t="inlineStr">
        <is>
          <t>Error guessing</t>
        </is>
      </c>
      <c r="F50" s="26" t="inlineStr">
        <is>
          <t>FS BR8, 7.3</t>
        </is>
      </c>
      <c r="G50" s="24">
        <f>COUNTIF('Test cases '!$B$2:$B$332,$A50)</f>
        <v/>
      </c>
      <c r="H50" s="24">
        <f>COUNTIFS('Test cases '!$B$2:$B$332,$A50,'Test cases '!$T$2:$T$332,"Approve")</f>
        <v/>
      </c>
      <c r="I50" s="24">
        <f>COUNTIFS('Test cases '!$B$2:$B$332,$A50,'Test cases '!$T$2:$T$332,"Draft")</f>
        <v/>
      </c>
      <c r="J50" s="24">
        <f>COUNTIFS('Test cases '!$B$2:$B$332,$A50,'Test cases '!$T$2:$T$332,"Block")</f>
        <v/>
      </c>
      <c r="K50" s="24">
        <f>IF(J50=G50,"Block",IF(J50&gt;0,"Partly blocked",IF(I50&gt;0,"Draft","Approve")))</f>
        <v/>
      </c>
    </row>
    <row r="51" ht="30.75" customHeight="1" s="14">
      <c r="A51" s="23" t="inlineStr">
        <is>
          <t>TS-050</t>
        </is>
      </c>
      <c r="B51" s="26" t="inlineStr">
        <is>
          <t>F4.16 Add fee to a published scheme</t>
        </is>
      </c>
      <c r="C51" s="26" t="inlineStr">
        <is>
          <t>Add fee dialog</t>
        </is>
      </c>
      <c r="D51" s="26" t="inlineStr">
        <is>
          <t>Who can open it and what it shows.</t>
        </is>
      </c>
      <c r="E51" s="26" t="inlineStr">
        <is>
          <t>Equivalence partitioning</t>
        </is>
      </c>
      <c r="F51" s="26" t="inlineStr">
        <is>
          <t>FS 7.4, T13, T14</t>
        </is>
      </c>
      <c r="G51" s="24">
        <f>COUNTIF('Test cases '!$B$2:$B$332,$A51)</f>
        <v/>
      </c>
      <c r="H51" s="24">
        <f>COUNTIFS('Test cases '!$B$2:$B$332,$A51,'Test cases '!$T$2:$T$332,"Approve")</f>
        <v/>
      </c>
      <c r="I51" s="24">
        <f>COUNTIFS('Test cases '!$B$2:$B$332,$A51,'Test cases '!$T$2:$T$332,"Draft")</f>
        <v/>
      </c>
      <c r="J51" s="24">
        <f>COUNTIFS('Test cases '!$B$2:$B$332,$A51,'Test cases '!$T$2:$T$332,"Block")</f>
        <v/>
      </c>
      <c r="K51" s="24">
        <f>IF(J51=G51,"Block",IF(J51&gt;0,"Partly blocked",IF(I51&gt;0,"Draft","Approve")))</f>
        <v/>
      </c>
    </row>
    <row r="52" ht="30.75" customHeight="1" s="14">
      <c r="A52" s="23" t="inlineStr">
        <is>
          <t>TS-051</t>
        </is>
      </c>
      <c r="B52" s="26" t="inlineStr">
        <is>
          <t>F4.16 Add fee to a published scheme</t>
        </is>
      </c>
      <c r="C52" s="26" t="inlineStr">
        <is>
          <t>Add fee save and effect</t>
        </is>
      </c>
      <c r="D52" s="26" t="inlineStr">
        <is>
          <t>Save, record and effect on fees.</t>
        </is>
      </c>
      <c r="E52" s="26" t="inlineStr">
        <is>
          <t>State transition</t>
        </is>
      </c>
      <c r="F52" s="26" t="inlineStr">
        <is>
          <t>FS 7.4, BR8, T13</t>
        </is>
      </c>
      <c r="G52" s="24">
        <f>COUNTIF('Test cases '!$B$2:$B$332,$A52)</f>
        <v/>
      </c>
      <c r="H52" s="24">
        <f>COUNTIFS('Test cases '!$B$2:$B$332,$A52,'Test cases '!$T$2:$T$332,"Approve")</f>
        <v/>
      </c>
      <c r="I52" s="24">
        <f>COUNTIFS('Test cases '!$B$2:$B$332,$A52,'Test cases '!$T$2:$T$332,"Draft")</f>
        <v/>
      </c>
      <c r="J52" s="24">
        <f>COUNTIFS('Test cases '!$B$2:$B$332,$A52,'Test cases '!$T$2:$T$332,"Block")</f>
        <v/>
      </c>
      <c r="K52" s="24">
        <f>IF(J52=G52,"Block",IF(J52&gt;0,"Partly blocked",IF(I52&gt;0,"Draft","Approve")))</f>
        <v/>
      </c>
    </row>
    <row r="53" ht="18" customHeight="1" s="14">
      <c r="A53" s="23" t="inlineStr">
        <is>
          <t>TS-052</t>
        </is>
      </c>
      <c r="B53" s="26" t="inlineStr">
        <is>
          <t>F4.17 Close form now (demo)</t>
        </is>
      </c>
      <c r="C53" s="26" t="inlineStr">
        <is>
          <t>Close form now (demo)</t>
        </is>
      </c>
      <c r="D53" s="26" t="inlineStr">
        <is>
          <t>Prototype button that runs the form-close job.</t>
        </is>
      </c>
      <c r="E53" s="26" t="inlineStr">
        <is>
          <t>Use case</t>
        </is>
      </c>
      <c r="F53" s="26" t="inlineStr">
        <is>
          <t>FS 7.5</t>
        </is>
      </c>
      <c r="G53" s="24">
        <f>COUNTIF('Test cases '!$B$2:$B$332,$A53)</f>
        <v/>
      </c>
      <c r="H53" s="24">
        <f>COUNTIFS('Test cases '!$B$2:$B$332,$A53,'Test cases '!$T$2:$T$332,"Approve")</f>
        <v/>
      </c>
      <c r="I53" s="24">
        <f>COUNTIFS('Test cases '!$B$2:$B$332,$A53,'Test cases '!$T$2:$T$332,"Draft")</f>
        <v/>
      </c>
      <c r="J53" s="24">
        <f>COUNTIFS('Test cases '!$B$2:$B$332,$A53,'Test cases '!$T$2:$T$332,"Block")</f>
        <v/>
      </c>
      <c r="K53" s="24">
        <f>IF(J53=G53,"Block",IF(J53&gt;0,"Partly blocked",IF(I53&gt;0,"Draft","Approve")))</f>
        <v/>
      </c>
    </row>
    <row r="54" ht="18" customHeight="1" s="14">
      <c r="A54" s="23" t="inlineStr">
        <is>
          <t>TS-053</t>
        </is>
      </c>
      <c r="B54" s="26" t="inlineStr">
        <is>
          <t>F4.18 Effects after a decision</t>
        </is>
      </c>
      <c r="C54" s="26" t="inlineStr">
        <is>
          <t>Subsidy, fees and emails</t>
        </is>
      </c>
      <c r="D54" s="26" t="inlineStr">
        <is>
          <t>What other functions receive after a decision.</t>
        </is>
      </c>
      <c r="E54" s="26" t="inlineStr">
        <is>
          <t>Integration</t>
        </is>
      </c>
      <c r="F54" s="26" t="inlineStr">
        <is>
          <t>FS 8, BR11</t>
        </is>
      </c>
      <c r="G54" s="24">
        <f>COUNTIF('Test cases '!$B$2:$B$332,$A54)</f>
        <v/>
      </c>
      <c r="H54" s="24">
        <f>COUNTIFS('Test cases '!$B$2:$B$332,$A54,'Test cases '!$T$2:$T$332,"Approve")</f>
        <v/>
      </c>
      <c r="I54" s="24">
        <f>COUNTIFS('Test cases '!$B$2:$B$332,$A54,'Test cases '!$T$2:$T$332,"Draft")</f>
        <v/>
      </c>
      <c r="J54" s="24">
        <f>COUNTIFS('Test cases '!$B$2:$B$332,$A54,'Test cases '!$T$2:$T$332,"Block")</f>
        <v/>
      </c>
      <c r="K54" s="24">
        <f>IF(J54=G54,"Block",IF(J54&gt;0,"Partly blocked",IF(I54&gt;0,"Draft","Approve")))</f>
        <v/>
      </c>
    </row>
    <row r="55" ht="30.75" customHeight="1" s="14">
      <c r="A55" s="23" t="inlineStr">
        <is>
          <t>TS-054</t>
        </is>
      </c>
      <c r="B55" s="26" t="inlineStr">
        <is>
          <t>F4.19 ML recommendation and risk</t>
        </is>
      </c>
      <c r="C55" s="26" t="inlineStr">
        <is>
          <t>Recommended tier</t>
        </is>
      </c>
      <c r="D55" s="26" t="inlineStr">
        <is>
          <t>Candidate schemes and the recommended tier rule.</t>
        </is>
      </c>
      <c r="E55" s="26" t="inlineStr">
        <is>
          <t>Decision table</t>
        </is>
      </c>
      <c r="F55" s="26" t="inlineStr">
        <is>
          <t>FS 5, BR10</t>
        </is>
      </c>
      <c r="G55" s="24">
        <f>COUNTIF('Test cases '!$B$2:$B$332,$A55)</f>
        <v/>
      </c>
      <c r="H55" s="24">
        <f>COUNTIFS('Test cases '!$B$2:$B$332,$A55,'Test cases '!$T$2:$T$332,"Approve")</f>
        <v/>
      </c>
      <c r="I55" s="24">
        <f>COUNTIFS('Test cases '!$B$2:$B$332,$A55,'Test cases '!$T$2:$T$332,"Draft")</f>
        <v/>
      </c>
      <c r="J55" s="24">
        <f>COUNTIFS('Test cases '!$B$2:$B$332,$A55,'Test cases '!$T$2:$T$332,"Block")</f>
        <v/>
      </c>
      <c r="K55" s="24">
        <f>IF(J55=G55,"Block",IF(J55&gt;0,"Partly blocked",IF(I55&gt;0,"Draft","Approve")))</f>
        <v/>
      </c>
    </row>
    <row r="56" ht="30.75" customHeight="1" s="14">
      <c r="A56" s="23" t="inlineStr">
        <is>
          <t>TS-055</t>
        </is>
      </c>
      <c r="B56" s="26" t="inlineStr">
        <is>
          <t>F4.19 ML recommendation and risk</t>
        </is>
      </c>
      <c r="C56" s="26" t="inlineStr">
        <is>
          <t>Need Score and ML risk</t>
        </is>
      </c>
      <c r="D56" s="26" t="inlineStr">
        <is>
          <t>Risk thresholds and deny rules of the engine.</t>
        </is>
      </c>
      <c r="E56" s="26" t="inlineStr">
        <is>
          <t>Boundary value analysis</t>
        </is>
      </c>
      <c r="F56" s="26" t="inlineStr">
        <is>
          <t>FS 5</t>
        </is>
      </c>
      <c r="G56" s="24">
        <f>COUNTIF('Test cases '!$B$2:$B$332,$A56)</f>
        <v/>
      </c>
      <c r="H56" s="24">
        <f>COUNTIFS('Test cases '!$B$2:$B$332,$A56,'Test cases '!$T$2:$T$332,"Approve")</f>
        <v/>
      </c>
      <c r="I56" s="24">
        <f>COUNTIFS('Test cases '!$B$2:$B$332,$A56,'Test cases '!$T$2:$T$332,"Draft")</f>
        <v/>
      </c>
      <c r="J56" s="24">
        <f>COUNTIFS('Test cases '!$B$2:$B$332,$A56,'Test cases '!$T$2:$T$332,"Block")</f>
        <v/>
      </c>
      <c r="K56" s="24">
        <f>IF(J56=G56,"Block",IF(J56&gt;0,"Partly blocked",IF(I56&gt;0,"Draft","Approve")))</f>
        <v/>
      </c>
    </row>
    <row r="57" ht="30.75" customHeight="1" s="14">
      <c r="A57" s="23" t="inlineStr">
        <is>
          <t>TS-056</t>
        </is>
      </c>
      <c r="B57" s="26" t="inlineStr">
        <is>
          <t>F4.20 Formats</t>
        </is>
      </c>
      <c r="C57" s="26" t="inlineStr">
        <is>
          <t>Formats</t>
        </is>
      </c>
      <c r="D57" s="26" t="inlineStr">
        <is>
          <t>Currency, date and time formats.</t>
        </is>
      </c>
      <c r="E57" s="26" t="inlineStr">
        <is>
          <t>Equivalence partitioning</t>
        </is>
      </c>
      <c r="F57" s="26" t="inlineStr">
        <is>
          <t>FS BR13</t>
        </is>
      </c>
      <c r="G57" s="24">
        <f>COUNTIF('Test cases '!$B$2:$B$332,$A57)</f>
        <v/>
      </c>
      <c r="H57" s="24">
        <f>COUNTIFS('Test cases '!$B$2:$B$332,$A57,'Test cases '!$T$2:$T$332,"Approve")</f>
        <v/>
      </c>
      <c r="I57" s="24">
        <f>COUNTIFS('Test cases '!$B$2:$B$332,$A57,'Test cases '!$T$2:$T$332,"Draft")</f>
        <v/>
      </c>
      <c r="J57" s="24">
        <f>COUNTIFS('Test cases '!$B$2:$B$332,$A57,'Test cases '!$T$2:$T$332,"Block")</f>
        <v/>
      </c>
      <c r="K57" s="24">
        <f>IF(J57=G57,"Block",IF(J57&gt;0,"Partly blocked",IF(I57&gt;0,"Draft","Approve")))</f>
        <v/>
      </c>
    </row>
    <row r="58" ht="30.75" customHeight="1" s="14">
      <c r="A58" s="23" t="inlineStr">
        <is>
          <t>TS-057</t>
        </is>
      </c>
      <c r="B58" s="26" t="inlineStr">
        <is>
          <t>F4.14 New scheme wizard</t>
        </is>
      </c>
      <c r="C58" s="26" t="inlineStr">
        <is>
          <t>SBFAS general step: name, dates and budget</t>
        </is>
      </c>
      <c r="D58" s="26" t="inlineStr">
        <is>
          <t>The SBFAS name, the four dates and the budget follow the validation rules, in the API and in the wizard.</t>
        </is>
      </c>
      <c r="E58" s="26" t="inlineStr">
        <is>
          <t>Boundary value analysis</t>
        </is>
      </c>
      <c r="F58" s="26" t="inlineStr">
        <is>
          <t>Rules document VR-WIZ-01 to 08, FS 7.3</t>
        </is>
      </c>
      <c r="G58" s="24">
        <f>COUNTIF('Test cases '!$B$2:$B$332,$A58)</f>
        <v/>
      </c>
      <c r="H58" s="24">
        <f>COUNTIFS('Test cases '!$B$2:$B$332,$A58,'Test cases '!$T$2:$T$332,"Approve")</f>
        <v/>
      </c>
      <c r="I58" s="24">
        <f>COUNTIFS('Test cases '!$B$2:$B$332,$A58,'Test cases '!$T$2:$T$332,"Draft")</f>
        <v/>
      </c>
      <c r="J58" s="24">
        <f>COUNTIFS('Test cases '!$B$2:$B$332,$A58,'Test cases '!$T$2:$T$332,"Block")</f>
        <v/>
      </c>
      <c r="K58" s="24">
        <f>IF(J58=G58,"Block",IF(J58&gt;0,"Partly blocked",IF(I58&gt;0,"Draft","Approve")))</f>
        <v/>
      </c>
    </row>
    <row r="59" ht="30.75" customHeight="1" s="14">
      <c r="A59" s="23" t="inlineStr">
        <is>
          <t>TS-058</t>
        </is>
      </c>
      <c r="B59" s="26" t="inlineStr">
        <is>
          <t>F4.14 New scheme wizard</t>
        </is>
      </c>
      <c r="C59" s="26" t="inlineStr">
        <is>
          <t>SBFAS eligibility: nationality and income bands</t>
        </is>
      </c>
      <c r="D59" s="26" t="inlineStr">
        <is>
          <t>Nationality, GHI and PCI bands, the match rule and the scheme context follow the validation rules.</t>
        </is>
      </c>
      <c r="E59" s="26" t="inlineStr">
        <is>
          <t>Boundary value analysis</t>
        </is>
      </c>
      <c r="F59" s="26" t="inlineStr">
        <is>
          <t>Rules document VR-WIZ-09 to 13, FS 7.2 step 2</t>
        </is>
      </c>
      <c r="G59" s="24">
        <f>COUNTIF('Test cases '!$B$2:$B$332,$A59)</f>
        <v/>
      </c>
      <c r="H59" s="24">
        <f>COUNTIFS('Test cases '!$B$2:$B$332,$A59,'Test cases '!$T$2:$T$332,"Approve")</f>
        <v/>
      </c>
      <c r="I59" s="24">
        <f>COUNTIFS('Test cases '!$B$2:$B$332,$A59,'Test cases '!$T$2:$T$332,"Draft")</f>
        <v/>
      </c>
      <c r="J59" s="24">
        <f>COUNTIFS('Test cases '!$B$2:$B$332,$A59,'Test cases '!$T$2:$T$332,"Block")</f>
        <v/>
      </c>
      <c r="K59" s="24">
        <f>IF(J59=G59,"Block",IF(J59&gt;0,"Partly blocked",IF(I59&gt;0,"Draft","Approve")))</f>
        <v/>
      </c>
    </row>
    <row r="60" ht="30.75" customHeight="1" s="14">
      <c r="A60" s="23" t="inlineStr">
        <is>
          <t>TS-059</t>
        </is>
      </c>
      <c r="B60" s="26" t="inlineStr">
        <is>
          <t>F4.14 New scheme wizard</t>
        </is>
      </c>
      <c r="C60" s="26" t="inlineStr">
        <is>
          <t>SBFAS subsidy: fee components, grades and percentages</t>
        </is>
      </c>
      <c r="D60" s="26" t="inlineStr">
        <is>
          <t>Fee components, grades and percentages (0 to 100, two decimals) are checked in the API and in the wizard.</t>
        </is>
      </c>
      <c r="E60" s="26" t="inlineStr">
        <is>
          <t>Boundary value analysis</t>
        </is>
      </c>
      <c r="F60" s="26" t="inlineStr">
        <is>
          <t>Rules document VR-WIZ-14, 15, 17, FS 7.2 step 3</t>
        </is>
      </c>
      <c r="G60" s="24">
        <f>COUNTIF('Test cases '!$B$2:$B$332,$A60)</f>
        <v/>
      </c>
      <c r="H60" s="24">
        <f>COUNTIFS('Test cases '!$B$2:$B$332,$A60,'Test cases '!$T$2:$T$332,"Approve")</f>
        <v/>
      </c>
      <c r="I60" s="24">
        <f>COUNTIFS('Test cases '!$B$2:$B$332,$A60,'Test cases '!$T$2:$T$332,"Draft")</f>
        <v/>
      </c>
      <c r="J60" s="24">
        <f>COUNTIFS('Test cases '!$B$2:$B$332,$A60,'Test cases '!$T$2:$T$332,"Block")</f>
        <v/>
      </c>
      <c r="K60" s="24">
        <f>IF(J60=G60,"Block",IF(J60&gt;0,"Partly blocked",IF(I60&gt;0,"Draft","Approve")))</f>
        <v/>
      </c>
    </row>
    <row r="61" ht="30.75" customHeight="1" s="14">
      <c r="A61" s="23" t="inlineStr">
        <is>
          <t>TS-060</t>
        </is>
      </c>
      <c r="B61" s="26" t="inlineStr">
        <is>
          <t>F4.14 New scheme wizard</t>
        </is>
      </c>
      <c r="C61" s="26" t="inlineStr">
        <is>
          <t>MOEFAS wizard validation</t>
        </is>
      </c>
      <c r="D61" s="26" t="inlineStr">
        <is>
          <t>The MOEFAS API and wizard apply the name, date, eligibility, subsidy and budget rules.</t>
        </is>
      </c>
      <c r="E61" s="26" t="inlineStr">
        <is>
          <t>Boundary value analysis</t>
        </is>
      </c>
      <c r="F61" s="26" t="inlineStr">
        <is>
          <t>Rules document VR-WIZ-01 to 15, FS 7.3</t>
        </is>
      </c>
      <c r="G61" s="24">
        <f>COUNTIF('Test cases '!$B$2:$B$332,$A61)</f>
        <v/>
      </c>
      <c r="H61" s="24">
        <f>COUNTIFS('Test cases '!$B$2:$B$332,$A61,'Test cases '!$T$2:$T$332,"Approve")</f>
        <v/>
      </c>
      <c r="I61" s="24">
        <f>COUNTIFS('Test cases '!$B$2:$B$332,$A61,'Test cases '!$T$2:$T$332,"Draft")</f>
        <v/>
      </c>
      <c r="J61" s="24">
        <f>COUNTIFS('Test cases '!$B$2:$B$332,$A61,'Test cases '!$T$2:$T$332,"Block")</f>
        <v/>
      </c>
      <c r="K61" s="24">
        <f>IF(J61=G61,"Block",IF(J61&gt;0,"Partly blocked",IF(I61&gt;0,"Draft","Approve")))</f>
        <v/>
      </c>
    </row>
    <row r="62" ht="30.75" customHeight="1" s="14">
      <c r="A62" s="23" t="inlineStr">
        <is>
          <t>TS-061</t>
        </is>
      </c>
      <c r="B62" s="26" t="inlineStr">
        <is>
          <t>F4.16 Add fee to a published scheme</t>
        </is>
      </c>
      <c r="C62" s="26" t="inlineStr">
        <is>
          <t>Add fee validation</t>
        </is>
      </c>
      <c r="D62" s="26" t="inlineStr">
        <is>
          <t>The Add fee request and dialog refuse wrong percentages, repeated grades and fees already in the scheme.</t>
        </is>
      </c>
      <c r="E62" s="26" t="inlineStr">
        <is>
          <t>Boundary value analysis</t>
        </is>
      </c>
      <c r="F62" s="26" t="inlineStr">
        <is>
          <t>Rules document VR-FEE-03, VR-FEE-04, FS 7.4</t>
        </is>
      </c>
      <c r="G62" s="24">
        <f>COUNTIF('Test cases '!$B$2:$B$332,$A62)</f>
        <v/>
      </c>
      <c r="H62" s="24">
        <f>COUNTIFS('Test cases '!$B$2:$B$332,$A62,'Test cases '!$T$2:$T$332,"Approve")</f>
        <v/>
      </c>
      <c r="I62" s="24">
        <f>COUNTIFS('Test cases '!$B$2:$B$332,$A62,'Test cases '!$T$2:$T$332,"Draft")</f>
        <v/>
      </c>
      <c r="J62" s="24">
        <f>COUNTIFS('Test cases '!$B$2:$B$332,$A62,'Test cases '!$T$2:$T$332,"Block")</f>
        <v/>
      </c>
      <c r="K62" s="24">
        <f>IF(J62=G62,"Block",IF(J62&gt;0,"Partly blocked",IF(I62&gt;0,"Draft","Approve")))</f>
        <v/>
      </c>
    </row>
    <row r="63" ht="30.75" customHeight="1" s="14">
      <c r="A63" s="23" t="inlineStr">
        <is>
          <t>TS-062</t>
        </is>
      </c>
      <c r="B63" s="26" t="inlineStr">
        <is>
          <t>F4.5 Filters and search</t>
        </is>
      </c>
      <c r="C63" s="26" t="inlineStr">
        <is>
          <t>Search box text handling</t>
        </is>
      </c>
      <c r="D63" s="26" t="inlineStr">
        <is>
          <t>The search box trims spaces, removes control characters and treats special text as plain text.</t>
        </is>
      </c>
      <c r="E63" s="26" t="inlineStr">
        <is>
          <t>Error guessing</t>
        </is>
      </c>
      <c r="F63" s="26" t="inlineStr">
        <is>
          <t>Rules document, search box (A4, B4)</t>
        </is>
      </c>
      <c r="G63" s="24">
        <f>COUNTIF('Test cases '!$B$2:$B$332,$A63)</f>
        <v/>
      </c>
      <c r="H63" s="24">
        <f>COUNTIFS('Test cases '!$B$2:$B$332,$A63,'Test cases '!$T$2:$T$332,"Approve")</f>
        <v/>
      </c>
      <c r="I63" s="24">
        <f>COUNTIFS('Test cases '!$B$2:$B$332,$A63,'Test cases '!$T$2:$T$332,"Draft")</f>
        <v/>
      </c>
      <c r="J63" s="24">
        <f>COUNTIFS('Test cases '!$B$2:$B$332,$A63,'Test cases '!$T$2:$T$332,"Block")</f>
        <v/>
      </c>
      <c r="K63" s="24">
        <f>IF(J63=G63,"Block",IF(J63&gt;0,"Partly blocked",IF(I63&gt;0,"Draft","Approve")))</f>
        <v/>
      </c>
    </row>
    <row r="64" ht="30.75" customHeight="1" s="14">
      <c r="A64" s="23" t="inlineStr">
        <is>
          <t>TS-063</t>
        </is>
      </c>
      <c r="B64" s="26" t="inlineStr">
        <is>
          <t>F4.9 Approve SBFAS</t>
        </is>
      </c>
      <c r="C64" s="26" t="inlineStr">
        <is>
          <t>Approve comment text handling</t>
        </is>
      </c>
      <c r="D64" s="26" t="inlineStr">
        <is>
          <t>The approve comment is limited to 500 characters, trimmed, cleaned and kept as plain text.</t>
        </is>
      </c>
      <c r="E64" s="26" t="inlineStr">
        <is>
          <t>Error guessing</t>
        </is>
      </c>
      <c r="F64" s="26" t="inlineStr">
        <is>
          <t>Rules document, approve comment (E2, F2)</t>
        </is>
      </c>
      <c r="G64" s="24">
        <f>COUNTIF('Test cases '!$B$2:$B$332,$A64)</f>
        <v/>
      </c>
      <c r="H64" s="24">
        <f>COUNTIFS('Test cases '!$B$2:$B$332,$A64,'Test cases '!$T$2:$T$332,"Approve")</f>
        <v/>
      </c>
      <c r="I64" s="24">
        <f>COUNTIFS('Test cases '!$B$2:$B$332,$A64,'Test cases '!$T$2:$T$332,"Draft")</f>
        <v/>
      </c>
      <c r="J64" s="24">
        <f>COUNTIFS('Test cases '!$B$2:$B$332,$A64,'Test cases '!$T$2:$T$332,"Block")</f>
        <v/>
      </c>
      <c r="K64" s="24">
        <f>IF(J64=G64,"Block",IF(J64&gt;0,"Partly blocked",IF(I64&gt;0,"Draft","Approve")))</f>
        <v/>
      </c>
    </row>
    <row r="65" ht="30.75" customHeight="1" s="14">
      <c r="A65" s="23" t="inlineStr">
        <is>
          <t>TS-064</t>
        </is>
      </c>
      <c r="B65" s="26" t="inlineStr">
        <is>
          <t>F4.10 Reject SBFAS</t>
        </is>
      </c>
      <c r="C65" s="26" t="inlineStr">
        <is>
          <t>Reject comment text handling</t>
        </is>
      </c>
      <c r="D65" s="26" t="inlineStr">
        <is>
          <t>The reject comment is required, limited to 500 characters, cleaned and safe in the export.</t>
        </is>
      </c>
      <c r="E65" s="26" t="inlineStr">
        <is>
          <t>Error guessing</t>
        </is>
      </c>
      <c r="F65" s="26" t="inlineStr">
        <is>
          <t>Rules document, reject comment (G2)</t>
        </is>
      </c>
      <c r="G65" s="24">
        <f>COUNTIF('Test cases '!$B$2:$B$332,$A65)</f>
        <v/>
      </c>
      <c r="H65" s="24">
        <f>COUNTIFS('Test cases '!$B$2:$B$332,$A65,'Test cases '!$T$2:$T$332,"Approve")</f>
        <v/>
      </c>
      <c r="I65" s="24">
        <f>COUNTIFS('Test cases '!$B$2:$B$332,$A65,'Test cases '!$T$2:$T$332,"Draft")</f>
        <v/>
      </c>
      <c r="J65" s="24">
        <f>COUNTIFS('Test cases '!$B$2:$B$332,$A65,'Test cases '!$T$2:$T$332,"Block")</f>
        <v/>
      </c>
      <c r="K65" s="24">
        <f>IF(J65=G65,"Block",IF(J65&gt;0,"Partly blocked",IF(I65&gt;0,"Draft","Approve")))</f>
        <v/>
      </c>
    </row>
    <row r="66" ht="30.75" customHeight="1" s="14">
      <c r="A66" s="23" t="inlineStr">
        <is>
          <t>TS-065</t>
        </is>
      </c>
      <c r="B66" s="26" t="inlineStr">
        <is>
          <t>F4.9 Approve SBFAS</t>
        </is>
      </c>
      <c r="C66" s="26" t="inlineStr">
        <is>
          <t>Shared messages</t>
        </is>
      </c>
      <c r="D66" s="26" t="inlineStr">
        <is>
          <t>The shared messages of the approve and reject dialogs and of failures appear with the specified wording.</t>
        </is>
      </c>
      <c r="E66" s="26" t="inlineStr">
        <is>
          <t>Equivalence partitioning</t>
        </is>
      </c>
      <c r="F66" s="26" t="inlineStr">
        <is>
          <t>Rules document, shared messages (section 15)</t>
        </is>
      </c>
      <c r="G66" s="24">
        <f>COUNTIF('Test cases '!$B$2:$B$332,$A66)</f>
        <v/>
      </c>
      <c r="H66" s="24">
        <f>COUNTIFS('Test cases '!$B$2:$B$332,$A66,'Test cases '!$T$2:$T$332,"Approve")</f>
        <v/>
      </c>
      <c r="I66" s="24">
        <f>COUNTIFS('Test cases '!$B$2:$B$332,$A66,'Test cases '!$T$2:$T$332,"Draft")</f>
        <v/>
      </c>
      <c r="J66" s="24">
        <f>COUNTIFS('Test cases '!$B$2:$B$332,$A66,'Test cases '!$T$2:$T$332,"Block")</f>
        <v/>
      </c>
      <c r="K66" s="24">
        <f>IF(J66=G66,"Block",IF(J66&gt;0,"Partly blocked",IF(I66&gt;0,"Draft","Approve")))</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L32"/>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3" customWidth="1" style="13" min="1" max="2"/>
    <col width="26" customWidth="1" style="13" min="3" max="3"/>
    <col width="52" customWidth="1" style="13" min="4" max="5"/>
    <col width="36" customWidth="1" style="13" min="6" max="6"/>
    <col width="40" customWidth="1" style="13" min="7" max="7"/>
    <col width="36" customWidth="1" style="13" min="8" max="8"/>
    <col width="11" customWidth="1" style="13" min="9" max="9"/>
    <col width="28" customWidth="1" style="13" min="10" max="10"/>
    <col width="40" customWidth="1" style="13" min="11" max="11"/>
    <col width="9" customWidth="1" style="13" min="12" max="12"/>
  </cols>
  <sheetData>
    <row r="1" ht="31.5" customHeight="1" s="14">
      <c r="A1" s="15" t="inlineStr">
        <is>
          <t>ID</t>
        </is>
      </c>
      <c r="B1" s="15" t="inlineStr">
        <is>
          <t>Type</t>
        </is>
      </c>
      <c r="C1" s="15" t="inlineStr">
        <is>
          <t>Scope</t>
        </is>
      </c>
      <c r="D1" s="15" t="inlineStr">
        <is>
          <t>Original gap</t>
        </is>
      </c>
      <c r="E1" s="15" t="inlineStr">
        <is>
          <t>Assumption</t>
        </is>
      </c>
      <c r="F1" s="15" t="inlineStr">
        <is>
          <t>FS source</t>
        </is>
      </c>
      <c r="G1" s="15" t="inlineStr">
        <is>
          <t>Reason</t>
        </is>
      </c>
      <c r="H1" s="15" t="inlineStr">
        <is>
          <t>If the answer differs</t>
        </is>
      </c>
      <c r="I1" s="15" t="inlineStr">
        <is>
          <t>State</t>
        </is>
      </c>
      <c r="J1" s="15" t="inlineStr">
        <is>
          <t>Resolution</t>
        </is>
      </c>
      <c r="K1" s="15" t="inlineStr">
        <is>
          <t>Cases that make this assumption</t>
        </is>
      </c>
      <c r="L1" s="15" t="inlineStr">
        <is>
          <t>Owner</t>
        </is>
      </c>
    </row>
    <row r="2" ht="69.75" customHeight="1" s="14">
      <c r="A2" s="23" t="inlineStr">
        <is>
          <t>ASM-R4-01</t>
        </is>
      </c>
      <c r="B2" s="26" t="inlineStr">
        <is>
          <t>Rule</t>
        </is>
      </c>
      <c r="C2" s="26" t="inlineStr">
        <is>
          <t>Last day of the form and the demo button</t>
        </is>
      </c>
      <c r="D2" s="26" t="inlineStr">
        <is>
          <t>FS 2.1 lets a parent submit while the form is open today. FS 2.2 runs the assessment at the end of Form closes. The FS does not say whether the form is still open on the Form closes date, or whether Close form now (demo) is offered again after the assessment.</t>
        </is>
      </c>
      <c r="E2" s="26" t="inlineStr">
        <is>
          <t>The form is open through the whole Form closes date and the assessment runs at the end of that date. When the scheme shows Assessed, no more MOEFAS applications are accepted and Close form now (demo) is no longer offered.</t>
        </is>
      </c>
      <c r="F2" s="26" t="inlineStr">
        <is>
          <t>FS 2.1 step 1, 2.2 step 4, 7.1 item 4, 7.5</t>
        </is>
      </c>
      <c r="G2" s="26" t="inlineStr">
        <is>
          <t>2.2 step 4 says no more applications are accepted once assessed. 7.5 offers the button on a scheme whose form is Open.</t>
        </is>
      </c>
      <c r="H2" s="26" t="inlineStr">
        <is>
          <t>The last day case and the demo button case change.</t>
        </is>
      </c>
      <c r="I2" s="26" t="inlineStr">
        <is>
          <t>Open</t>
        </is>
      </c>
      <c r="J2" s="26" t="inlineStr">
        <is>
          <t>None yet</t>
        </is>
      </c>
      <c r="K2" s="26" t="inlineStr">
        <is>
          <t>TC-014, TC-015, TC-039, TC-040, TC-176, TC-244</t>
        </is>
      </c>
      <c r="L2" s="26" t="inlineStr">
        <is>
          <t>BA</t>
        </is>
      </c>
    </row>
    <row r="3" ht="57" customHeight="1" s="14">
      <c r="A3" s="23" t="inlineStr">
        <is>
          <t>ASM-R4-02</t>
        </is>
      </c>
      <c r="B3" s="26" t="inlineStr">
        <is>
          <t>Rule</t>
        </is>
      </c>
      <c r="C3" s="26" t="inlineStr">
        <is>
          <t>Ranking precision and ties</t>
        </is>
      </c>
      <c r="D3" s="26" t="inlineStr">
        <is>
          <t>FS 2.2 step 2 ranks by lowest PCI, then lowest GHI, then earliest submitted. It does not say whether PCI is exact or rounded, or what happens when all three are equal.</t>
        </is>
      </c>
      <c r="E3" s="26" t="inlineStr">
        <is>
          <t>Ranking uses the exact PCI (GHI divided by household size). Earliest submitted uses date and time. When all three are equal the lower Application ID ranks first.</t>
        </is>
      </c>
      <c r="F3" s="26" t="inlineStr">
        <is>
          <t>FS 1.3 Priority rank, 2.2 step 2</t>
        </is>
      </c>
      <c r="G3" s="26" t="inlineStr">
        <is>
          <t>1.3 defines PCI as GHI divided by household size without rounding.</t>
        </is>
      </c>
      <c r="H3" s="26" t="inlineStr">
        <is>
          <t>The tie cases and the rounding case change.</t>
        </is>
      </c>
      <c r="I3" s="26" t="inlineStr">
        <is>
          <t>Open</t>
        </is>
      </c>
      <c r="J3" s="26" t="inlineStr">
        <is>
          <t>None yet</t>
        </is>
      </c>
      <c r="K3" s="26" t="inlineStr">
        <is>
          <t>TC-019, TC-020</t>
        </is>
      </c>
      <c r="L3" s="26" t="inlineStr">
        <is>
          <t>BA</t>
        </is>
      </c>
    </row>
    <row r="4" ht="43.5" customHeight="1" s="14">
      <c r="A4" s="23" t="inlineStr">
        <is>
          <t>ASM-R4-03</t>
        </is>
      </c>
      <c r="B4" s="26" t="inlineStr">
        <is>
          <t>Rule</t>
        </is>
      </c>
      <c r="C4" s="26" t="inlineStr">
        <is>
          <t>School may approve any candidate scheme</t>
        </is>
      </c>
      <c r="D4" s="26" t="inlineStr">
        <is>
          <t>BR10 says ML is information only and 6.1 lists the candidate schemes. Nothing says the household must meet the chosen scheme.</t>
        </is>
      </c>
      <c r="E4" s="26" t="inlineStr">
        <is>
          <t>The School Admin may choose any candidate scheme, also one the household does not meet, and the chosen scheme is saved.</t>
        </is>
      </c>
      <c r="F4" s="26" t="inlineStr">
        <is>
          <t>FS BR10, 6.1 Tier, 2.3</t>
        </is>
      </c>
      <c r="G4" s="26" t="inlineStr">
        <is>
          <t>2.3 says the school decides and BR10 says ML never decides.</t>
        </is>
      </c>
      <c r="H4" s="26" t="inlineStr">
        <is>
          <t>Approval of a household that meets no scheme would be blocked and the cases change.</t>
        </is>
      </c>
      <c r="I4" s="26" t="inlineStr">
        <is>
          <t>Open</t>
        </is>
      </c>
      <c r="J4" s="26" t="inlineStr">
        <is>
          <t>None yet</t>
        </is>
      </c>
      <c r="K4" s="26" t="inlineStr">
        <is>
          <t>TC-120, TC-131, TC-132</t>
        </is>
      </c>
      <c r="L4" s="26" t="inlineStr">
        <is>
          <t>BA</t>
        </is>
      </c>
    </row>
    <row r="5" ht="43.5" customHeight="1" s="14">
      <c r="A5" s="23" t="inlineStr">
        <is>
          <t>ASM-R4-04</t>
        </is>
      </c>
      <c r="B5" s="26" t="inlineStr">
        <is>
          <t>Rule</t>
        </is>
      </c>
      <c r="C5" s="26" t="inlineStr">
        <is>
          <t>No candidate scheme</t>
        </is>
      </c>
      <c r="D5" s="26" t="inlineStr">
        <is>
          <t>6.1 disables Confirm approval when there is no candidate scheme and section 4 gives a red note. The FS does not say what else the School Admin can do.</t>
        </is>
      </c>
      <c r="E5" s="26" t="inlineStr">
        <is>
          <t>The application stays Pending, Reject stays available and Approve cannot be confirmed.</t>
        </is>
      </c>
      <c r="F5" s="26" t="inlineStr">
        <is>
          <t>FS 4 ML recommendation, 6.1 Confirm approval</t>
        </is>
      </c>
      <c r="G5" s="26" t="inlineStr">
        <is>
          <t>Disabled Confirm is the only rule stated.</t>
        </is>
      </c>
      <c r="H5" s="26" t="inlineStr">
        <is>
          <t>The red note cases change if Reject is also blocked.</t>
        </is>
      </c>
      <c r="I5" s="26" t="inlineStr">
        <is>
          <t>Open</t>
        </is>
      </c>
      <c r="J5" s="26" t="inlineStr">
        <is>
          <t>None yet</t>
        </is>
      </c>
      <c r="K5" s="26" t="inlineStr">
        <is>
          <t>TC-119, TC-133, TC-254</t>
        </is>
      </c>
      <c r="L5" s="26" t="inlineStr">
        <is>
          <t>BA</t>
        </is>
      </c>
    </row>
    <row r="6" ht="43.5" customHeight="1" s="14">
      <c r="A6" s="23" t="inlineStr">
        <is>
          <t>ASM-R4-05</t>
        </is>
      </c>
      <c r="B6" s="26" t="inlineStr">
        <is>
          <t>Rule</t>
        </is>
      </c>
      <c r="C6" s="26" t="inlineStr">
        <is>
          <t>Tier filter content for MOE HQ</t>
        </is>
      </c>
      <c r="D6" s="26" t="inlineStr">
        <is>
          <t>3.3 lists MOEFAS and SBFAS plus scheme name for MOE HQ. It does not say whether unpublished (Draft) school schemes appear.</t>
        </is>
      </c>
      <c r="E6" s="26" t="inlineStr">
        <is>
          <t>Only published SBFAS scheme names appear in the HQ Tier filter. A Draft name never appears.</t>
        </is>
      </c>
      <c r="F6" s="26" t="inlineStr">
        <is>
          <t>FS 3.3 Tier, BR9</t>
        </is>
      </c>
      <c r="G6" s="26" t="inlineStr">
        <is>
          <t>BR9 says MOE HQ cannot see SBFAS schemes.</t>
        </is>
      </c>
      <c r="H6" s="26" t="inlineStr">
        <is>
          <t>The filter cases change.</t>
        </is>
      </c>
      <c r="I6" s="26" t="inlineStr">
        <is>
          <t>Open</t>
        </is>
      </c>
      <c r="J6" s="26" t="inlineStr">
        <is>
          <t>None yet</t>
        </is>
      </c>
      <c r="K6" s="26" t="inlineStr">
        <is>
          <t>TC-082</t>
        </is>
      </c>
      <c r="L6" s="26" t="inlineStr">
        <is>
          <t>BA</t>
        </is>
      </c>
    </row>
    <row r="7" ht="57" customHeight="1" s="14">
      <c r="A7" s="23" t="inlineStr">
        <is>
          <t>ASM-R4-06</t>
        </is>
      </c>
      <c r="B7" s="26" t="inlineStr">
        <is>
          <t>Rule</t>
        </is>
      </c>
      <c r="C7" s="26" t="inlineStr">
        <is>
          <t>Tab counts and filters</t>
        </is>
      </c>
      <c r="D7" s="26" t="inlineStr">
        <is>
          <t>3.1 item 4 and 3.2 item 3 show counts on the tabs. The FS does not say whether counts follow filters and search, or what the Pending tab shows when the Status filter is Approved.</t>
        </is>
      </c>
      <c r="E7" s="26" t="inlineStr">
        <is>
          <t>Tab counts are not affected by filters or search, like the cards. A tab and the Status filter combine with AND, so Pending with Approved shows No applications found.</t>
        </is>
      </c>
      <c r="F7" s="26" t="inlineStr">
        <is>
          <t>FS 3.1 item 4, 3.2 item 3, 3.3</t>
        </is>
      </c>
      <c r="G7" s="26" t="inlineStr">
        <is>
          <t>3.3 says filters combine with AND.</t>
        </is>
      </c>
      <c r="H7" s="26" t="inlineStr">
        <is>
          <t>Tab count and combination cases change.</t>
        </is>
      </c>
      <c r="I7" s="26" t="inlineStr">
        <is>
          <t>Open</t>
        </is>
      </c>
      <c r="J7" s="26" t="inlineStr">
        <is>
          <t>None yet</t>
        </is>
      </c>
      <c r="K7" s="26" t="inlineStr">
        <is>
          <t>TC-048, TC-093</t>
        </is>
      </c>
      <c r="L7" s="26" t="inlineStr">
        <is>
          <t>BA</t>
        </is>
      </c>
    </row>
    <row r="8" ht="57" customHeight="1" s="14">
      <c r="A8" s="23" t="inlineStr">
        <is>
          <t>ASM-R4-07</t>
        </is>
      </c>
      <c r="B8" s="26" t="inlineStr">
        <is>
          <t>Rule</t>
        </is>
      </c>
      <c r="C8" s="26" t="inlineStr">
        <is>
          <t>Search input rules</t>
        </is>
      </c>
      <c r="D8" s="26" t="inlineStr">
        <is>
          <t>3.3 gives the search fields and the contains rule but no length, whitespace or special character rule.</t>
        </is>
      </c>
      <c r="E8" s="26" t="inlineStr">
        <is>
          <t>Leading and trailing spaces are trimmed. The search accepts up to 100 characters with a helper text above that. Special characters are literal, so % and _ are not wildcards.</t>
        </is>
      </c>
      <c r="F8" s="26" t="inlineStr">
        <is>
          <t>FS 3.3 Search (validation document O2 and O21 are QA proposals)</t>
        </is>
      </c>
      <c r="G8" s="26" t="inlineStr">
        <is>
          <t>Safe default for a text search.</t>
        </is>
      </c>
      <c r="H8" s="26" t="inlineStr">
        <is>
          <t>The search input cases change.</t>
        </is>
      </c>
      <c r="I8" s="26" t="inlineStr">
        <is>
          <t>Open</t>
        </is>
      </c>
      <c r="J8" s="26" t="inlineStr">
        <is>
          <t>None yet</t>
        </is>
      </c>
      <c r="K8" s="26" t="inlineStr">
        <is>
          <t>TC-073, TC-074, TC-075</t>
        </is>
      </c>
      <c r="L8" s="26" t="inlineStr">
        <is>
          <t>BA</t>
        </is>
      </c>
    </row>
    <row r="9" ht="96" customHeight="1" s="14">
      <c r="A9" s="23" t="inlineStr">
        <is>
          <t>ASM-R4-08</t>
        </is>
      </c>
      <c r="B9" s="26" t="inlineStr">
        <is>
          <t>Rule</t>
        </is>
      </c>
      <c r="C9" s="26" t="inlineStr">
        <is>
          <t>Export scope and columns</t>
        </is>
      </c>
      <c r="D9" s="26" t="inlineStr">
        <is>
          <t>3.4 lists the CSV columns and the sort. It does not say whether tab, search and all pages are included, the file name, what is written for empty values, or the columns for a School Admin (Scheme and System check are marked MOE HQ only).</t>
        </is>
      </c>
      <c r="E9" s="26" t="inlineStr">
        <is>
          <t>The file holds every row of the filtered list across all pages, with tab, search and filters applied, sorted newest first. The file name is fas-applications.csv. Values are written as on screen. The School Admin file omits School, Scheme and System check. A cell that starts with = + - or @ is written with a leading apostrophe. An empty list exports the header only.</t>
        </is>
      </c>
      <c r="F9" s="26" t="inlineStr">
        <is>
          <t>FS 3.1 item 2, 3.4, T15</t>
        </is>
      </c>
      <c r="G9" s="26" t="inlineStr">
        <is>
          <t>T15 says only the filtered rows and the columns of 3.4.</t>
        </is>
      </c>
      <c r="H9" s="26" t="inlineStr">
        <is>
          <t>The export cases change.</t>
        </is>
      </c>
      <c r="I9" s="26" t="inlineStr">
        <is>
          <t>Open</t>
        </is>
      </c>
      <c r="J9" s="26" t="inlineStr">
        <is>
          <t>None yet</t>
        </is>
      </c>
      <c r="K9" s="26" t="inlineStr">
        <is>
          <t>TC-096, TC-097, TC-098, TC-099, TC-100, TC-101</t>
        </is>
      </c>
      <c r="L9" s="26" t="inlineStr">
        <is>
          <t>BA</t>
        </is>
      </c>
    </row>
    <row r="10" ht="43.5" customHeight="1" s="14">
      <c r="A10" s="23" t="inlineStr">
        <is>
          <t>ASM-R4-09</t>
        </is>
      </c>
      <c r="B10" s="26" t="inlineStr">
        <is>
          <t>Rule</t>
        </is>
      </c>
      <c r="C10" s="26" t="inlineStr">
        <is>
          <t>Invalid typed date</t>
        </is>
      </c>
      <c r="D10" s="26" t="inlineStr">
        <is>
          <t>7.2 gives DD/MM/YYYY date fields. 7.3 has no message for text that is not a real date.</t>
        </is>
      </c>
      <c r="E10" s="26" t="inlineStr">
        <is>
          <t>Text that is not a real DD/MM/YYYY date shows "Enter a valid date (DD/MM/YYYY)." and is not stored. The message wording is a QA proposal.</t>
        </is>
      </c>
      <c r="F10" s="26" t="inlineStr">
        <is>
          <t>FS 7.2 step 1, 7.3, BR13</t>
        </is>
      </c>
      <c r="G10" s="26" t="inlineStr">
        <is>
          <t>A silent ignore would let the saved date differ from the typed text.</t>
        </is>
      </c>
      <c r="H10" s="26" t="inlineStr">
        <is>
          <t>The invalid date cases change.</t>
        </is>
      </c>
      <c r="I10" s="26" t="inlineStr">
        <is>
          <t>Open</t>
        </is>
      </c>
      <c r="J10" s="26" t="inlineStr">
        <is>
          <t>None yet</t>
        </is>
      </c>
      <c r="K10" s="26" t="inlineStr">
        <is>
          <t>TC-188</t>
        </is>
      </c>
      <c r="L10" s="26" t="inlineStr">
        <is>
          <t>BA</t>
        </is>
      </c>
    </row>
    <row r="11" ht="43.5" customHeight="1" s="14">
      <c r="A11" s="23" t="inlineStr">
        <is>
          <t>ASM-R4-10</t>
        </is>
      </c>
      <c r="B11" s="26" t="inlineStr">
        <is>
          <t>Rule</t>
        </is>
      </c>
      <c r="C11" s="26" t="inlineStr">
        <is>
          <t>Parent block and citizenship label</t>
        </is>
      </c>
      <c r="D11" s="26" t="inlineStr">
        <is>
          <t>Section 4 asks for parent name and relationship, mobile and citizenship. It gives no label list and no masking rule.</t>
        </is>
      </c>
      <c r="E11" s="26" t="inlineStr">
        <is>
          <t>The relationship (for example Mother) and the mobile number are shown as stored, not masked. Citizenship uses the labels of the nationality options in 7.2.</t>
        </is>
      </c>
      <c r="F11" s="26" t="inlineStr">
        <is>
          <t>FS 4 Student / Parent, 7.2 step 2</t>
        </is>
      </c>
      <c r="G11" s="26" t="inlineStr">
        <is>
          <t>The FS lists these fields for the School Admin to contact the parent.</t>
        </is>
      </c>
      <c r="H11" s="26" t="inlineStr">
        <is>
          <t>If the mobile is masked on purpose, the parent block case changes.</t>
        </is>
      </c>
      <c r="I11" s="26" t="inlineStr">
        <is>
          <t>Open</t>
        </is>
      </c>
      <c r="J11" s="26" t="inlineStr">
        <is>
          <t>None yet</t>
        </is>
      </c>
      <c r="K11" s="26" t="inlineStr">
        <is>
          <t>TC-114, TC-117</t>
        </is>
      </c>
      <c r="L11" s="26" t="inlineStr">
        <is>
          <t>BA</t>
        </is>
      </c>
    </row>
    <row r="12" ht="30.75" customHeight="1" s="14">
      <c r="A12" s="23" t="inlineStr">
        <is>
          <t>ASM-R4-11</t>
        </is>
      </c>
      <c r="B12" s="26" t="inlineStr">
        <is>
          <t>Rule</t>
        </is>
      </c>
      <c r="C12" s="26" t="inlineStr">
        <is>
          <t>Decided by for a system rejection</t>
        </is>
      </c>
      <c r="D12" s="26" t="inlineStr">
        <is>
          <t>2.2 names "System (auto-approved)" for approvals only.</t>
        </is>
      </c>
      <c r="E12" s="26" t="inlineStr">
        <is>
          <t>A rejection by the system shows Decided by "System".</t>
        </is>
      </c>
      <c r="F12" s="26" t="inlineStr">
        <is>
          <t>FS 2.2 step 3, 4 Decision</t>
        </is>
      </c>
      <c r="G12" s="26" t="inlineStr">
        <is>
          <t>Same actor, no approval word.</t>
        </is>
      </c>
      <c r="H12" s="26" t="inlineStr">
        <is>
          <t>The wording in the rejected MOEFAS case changes.</t>
        </is>
      </c>
      <c r="I12" s="26" t="inlineStr">
        <is>
          <t>Open</t>
        </is>
      </c>
      <c r="J12" s="26" t="inlineStr">
        <is>
          <t>None yet</t>
        </is>
      </c>
      <c r="K12" s="26" t="inlineStr">
        <is>
          <t>TC-037, TC-107</t>
        </is>
      </c>
      <c r="L12" s="26" t="inlineStr">
        <is>
          <t>BA</t>
        </is>
      </c>
    </row>
    <row r="13" ht="43.5" customHeight="1" s="14">
      <c r="A13" s="23" t="inlineStr">
        <is>
          <t>ASM-R4-12</t>
        </is>
      </c>
      <c r="B13" s="26" t="inlineStr">
        <is>
          <t>Rule</t>
        </is>
      </c>
      <c r="C13" s="26" t="inlineStr">
        <is>
          <t>Subsidy cell format</t>
        </is>
      </c>
      <c r="D13" s="26" t="inlineStr">
        <is>
          <t>7.2 and 7.3 give 0 to 100 % or S$ 0 or more. They give no decimal rule and no upper limit for a fixed amount.</t>
        </is>
      </c>
      <c r="E13" s="26" t="inlineStr">
        <is>
          <t>Percentage cells accept values from 0 to 100 with up to two decimals. Fixed amounts accept up to two decimals from 0 with no upper limit.</t>
        </is>
      </c>
      <c r="F13" s="26" t="inlineStr">
        <is>
          <t>FS 7.2 step 3, 7.3</t>
        </is>
      </c>
      <c r="G13" s="26" t="inlineStr">
        <is>
          <t>Money has two decimals (BR13).</t>
        </is>
      </c>
      <c r="H13" s="26" t="inlineStr">
        <is>
          <t>The decimal case changes.</t>
        </is>
      </c>
      <c r="I13" s="26" t="inlineStr">
        <is>
          <t>Open</t>
        </is>
      </c>
      <c r="J13" s="26" t="inlineStr">
        <is>
          <t>None yet</t>
        </is>
      </c>
      <c r="K13" s="26" t="inlineStr">
        <is>
          <t>TC-206, TC-207, TC-208</t>
        </is>
      </c>
      <c r="L13" s="26" t="inlineStr">
        <is>
          <t>BA</t>
        </is>
      </c>
    </row>
    <row r="14" ht="43.5" customHeight="1" s="14">
      <c r="A14" s="23" t="inlineStr">
        <is>
          <t>ASM-R4-13</t>
        </is>
      </c>
      <c r="B14" s="26" t="inlineStr">
        <is>
          <t>Rule</t>
        </is>
      </c>
      <c r="C14" s="26" t="inlineStr">
        <is>
          <t>Email to the parent</t>
        </is>
      </c>
      <c r="D14" s="26" t="inlineStr">
        <is>
          <t>BR11 says the parent gets an email after every decision. Section 8 gives History texts but not the email content.</t>
        </is>
      </c>
      <c r="E14" s="26" t="inlineStr">
        <is>
          <t>After an approval the email states the result and the effective date. After a rejection it states the reason. One email is sent per decision.</t>
        </is>
      </c>
      <c r="F14" s="26" t="inlineStr">
        <is>
          <t>FS BR11, 6.2, 8</t>
        </is>
      </c>
      <c r="G14" s="26" t="inlineStr">
        <is>
          <t>6.2 says the parent receives the reason by email.</t>
        </is>
      </c>
      <c r="H14" s="26" t="inlineStr">
        <is>
          <t>The email cases change.</t>
        </is>
      </c>
      <c r="I14" s="26" t="inlineStr">
        <is>
          <t>Open</t>
        </is>
      </c>
      <c r="J14" s="26" t="inlineStr">
        <is>
          <t>None yet</t>
        </is>
      </c>
      <c r="K14" s="26" t="inlineStr">
        <is>
          <t>TC-139, TC-149, TC-151, TC-247, TC-248</t>
        </is>
      </c>
      <c r="L14" s="26" t="inlineStr">
        <is>
          <t>BA</t>
        </is>
      </c>
    </row>
    <row r="15" ht="30.75" customHeight="1" s="14">
      <c r="A15" s="23" t="inlineStr">
        <is>
          <t>ASM-R4-14</t>
        </is>
      </c>
      <c r="B15" s="26" t="inlineStr">
        <is>
          <t>Rule</t>
        </is>
      </c>
      <c r="C15" s="26" t="inlineStr">
        <is>
          <t>Need Score features</t>
        </is>
      </c>
      <c r="D15" s="26" t="inlineStr">
        <is>
          <t>Section 5 gives the weights and the risk thresholds but not how each feature is computed.</t>
        </is>
      </c>
      <c r="E15" s="26" t="inlineStr">
        <is>
          <t>The features follow FS F4 v1.1 section 5.2 and the engine cases of the seed sheet SD-09.</t>
        </is>
      </c>
      <c r="F15" s="26" t="inlineStr">
        <is>
          <t>FS 5</t>
        </is>
      </c>
      <c r="G15" s="26" t="inlineStr">
        <is>
          <t>FS v1.3 repeats only the weights.</t>
        </is>
      </c>
      <c r="H15" s="26" t="inlineStr">
        <is>
          <t>The engine cases change.</t>
        </is>
      </c>
      <c r="I15" s="26" t="inlineStr">
        <is>
          <t>Open</t>
        </is>
      </c>
      <c r="J15" s="26" t="inlineStr">
        <is>
          <t>None yet</t>
        </is>
      </c>
      <c r="K15" s="26" t="inlineStr">
        <is>
          <t>TC-255, TC-256, TC-257, TC-258, TC-259, TC-260, TC-261, TC-262, TC-263</t>
        </is>
      </c>
      <c r="L15" s="26" t="inlineStr">
        <is>
          <t>BA</t>
        </is>
      </c>
    </row>
    <row r="16" ht="57" customHeight="1" s="14">
      <c r="A16" s="23" t="inlineStr">
        <is>
          <t>ASM-R4-15</t>
        </is>
      </c>
      <c r="B16" s="26" t="inlineStr">
        <is>
          <t>Rule</t>
        </is>
      </c>
      <c r="C16" s="26" t="inlineStr">
        <is>
          <t>Forbidden requests and other school links</t>
        </is>
      </c>
      <c r="D16" s="26" t="inlineStr">
        <is>
          <t>The FS has no API section and no message for an application of another school.</t>
        </is>
      </c>
      <c r="E16" s="26" t="inlineStr">
        <is>
          <t>A request that the role may not make returns HTTP 403, changes nothing and returns no data. A link to an application of another school shows "You do not have access." (wording of FS v1.1).</t>
        </is>
      </c>
      <c r="F16" s="26" t="inlineStr">
        <is>
          <t>FS 1.2, BR5, BR9, BR12</t>
        </is>
      </c>
      <c r="G16" s="26" t="inlineStr">
        <is>
          <t>Access control must be enforced on the server.</t>
        </is>
      </c>
      <c r="H16" s="26" t="inlineStr">
        <is>
          <t>The status code or message in the security cases changes.</t>
        </is>
      </c>
      <c r="I16" s="26" t="inlineStr">
        <is>
          <t>Open</t>
        </is>
      </c>
      <c r="J16" s="26" t="inlineStr">
        <is>
          <t>None yet</t>
        </is>
      </c>
      <c r="K16" s="26" t="inlineStr">
        <is>
          <t>TC-044, TC-123, TC-160, TC-162, TC-163, TC-164, TC-165, TC-230, TC-235</t>
        </is>
      </c>
      <c r="L16" s="26" t="inlineStr">
        <is>
          <t>Dev</t>
        </is>
      </c>
    </row>
    <row r="17" ht="30.75" customHeight="1" s="14">
      <c r="A17" s="23" t="inlineStr">
        <is>
          <t>ASM-R4-16</t>
        </is>
      </c>
      <c r="B17" s="26" t="inlineStr">
        <is>
          <t>Rule</t>
        </is>
      </c>
      <c r="C17" s="26" t="inlineStr">
        <is>
          <t>This year</t>
        </is>
      </c>
      <c r="D17" s="26" t="inlineStr">
        <is>
          <t>3.2 item 2 says SBFAS approved and rejected (this year) without defining the year.</t>
        </is>
      </c>
      <c r="E17" s="26" t="inlineStr">
        <is>
          <t>The calendar year of the decision date in Singapore time.</t>
        </is>
      </c>
      <c r="F17" s="26" t="inlineStr">
        <is>
          <t>FS 3.2 item 2</t>
        </is>
      </c>
      <c r="G17" s="26" t="inlineStr">
        <is>
          <t>Same rule as the date format (BR13).</t>
        </is>
      </c>
      <c r="H17" s="26" t="inlineStr">
        <is>
          <t>The card counts change at the year end.</t>
        </is>
      </c>
      <c r="I17" s="26" t="inlineStr">
        <is>
          <t>Open</t>
        </is>
      </c>
      <c r="J17" s="26" t="inlineStr">
        <is>
          <t>None yet</t>
        </is>
      </c>
      <c r="K17" s="26" t="inlineStr">
        <is>
          <t>TC-061, TC-062</t>
        </is>
      </c>
      <c r="L17" s="26" t="inlineStr">
        <is>
          <t>BA</t>
        </is>
      </c>
    </row>
    <row r="18" ht="30.75" customHeight="1" s="14">
      <c r="A18" s="23" t="inlineStr">
        <is>
          <t>ASM-R4-17</t>
        </is>
      </c>
      <c r="B18" s="26" t="inlineStr">
        <is>
          <t>Rule</t>
        </is>
      </c>
      <c r="C18" s="26" t="inlineStr">
        <is>
          <t>PCI display</t>
        </is>
      </c>
      <c r="D18" s="26" t="inlineStr">
        <is>
          <t>Section 1.3 defines PCI as GHI divided by household size. The display precision is not stated.</t>
        </is>
      </c>
      <c r="E18" s="26" t="inlineStr">
        <is>
          <t>PCI is shown in S$ with two decimals (4,350 divided by 4 shows S$ 1,087.50).</t>
        </is>
      </c>
      <c r="F18" s="26" t="inlineStr">
        <is>
          <t>FS 1.3, BR13</t>
        </is>
      </c>
      <c r="G18" s="26" t="inlineStr">
        <is>
          <t>Money has two decimals.</t>
        </is>
      </c>
      <c r="H18" s="26" t="inlineStr">
        <is>
          <t>The PCI display cases change.</t>
        </is>
      </c>
      <c r="I18" s="26" t="inlineStr">
        <is>
          <t>Open</t>
        </is>
      </c>
      <c r="J18" s="26" t="inlineStr">
        <is>
          <t>None yet</t>
        </is>
      </c>
      <c r="K18" s="26" t="inlineStr">
        <is>
          <t>TC-103</t>
        </is>
      </c>
      <c r="L18" s="26" t="inlineStr">
        <is>
          <t>BA</t>
        </is>
      </c>
    </row>
    <row r="19" ht="30.75" customHeight="1" s="14">
      <c r="A19" s="23" t="inlineStr">
        <is>
          <t>ASM-R4-18</t>
        </is>
      </c>
      <c r="B19" s="26" t="inlineStr">
        <is>
          <t>Rule</t>
        </is>
      </c>
      <c r="C19" s="26" t="inlineStr">
        <is>
          <t>Free text is literal</t>
        </is>
      </c>
      <c r="D19" s="26" t="inlineStr">
        <is>
          <t>Comment, Context, names and the search term are free text. The FS does not say how markup is handled.</t>
        </is>
      </c>
      <c r="E19" s="26" t="inlineStr">
        <is>
          <t>Free text is stored and shown as plain text. HTML and script tags are not interpreted.</t>
        </is>
      </c>
      <c r="F19" s="26" t="inlineStr">
        <is>
          <t>FS 6.1, 6.2, BR11</t>
        </is>
      </c>
      <c r="G19" s="26" t="inlineStr">
        <is>
          <t>Basic security expectation.</t>
        </is>
      </c>
      <c r="H19" s="26" t="inlineStr">
        <is>
          <t>The security text cases change.</t>
        </is>
      </c>
      <c r="I19" s="26" t="inlineStr">
        <is>
          <t>Open</t>
        </is>
      </c>
      <c r="J19" s="26" t="inlineStr">
        <is>
          <t>None yet</t>
        </is>
      </c>
      <c r="K19" s="26" t="inlineStr">
        <is>
          <t>TC-075, TC-101, TC-136, TC-166, TC-167</t>
        </is>
      </c>
      <c r="L19" s="26" t="inlineStr">
        <is>
          <t>Dev</t>
        </is>
      </c>
    </row>
    <row r="20" ht="57" customHeight="1" s="14">
      <c r="A20" s="23" t="inlineStr">
        <is>
          <t>ASM-R4-19</t>
        </is>
      </c>
      <c r="B20" s="26" t="inlineStr">
        <is>
          <t>Rule</t>
        </is>
      </c>
      <c r="C20" s="26" t="inlineStr">
        <is>
          <t>Duplicate application</t>
        </is>
      </c>
      <c r="D20" s="26" t="inlineStr">
        <is>
          <t>The sample has the same student with two applications under MOEFAS 2026 (00381 Approved and 00328 Rejected). The FS has no rule for a second application of the same student and scheme.</t>
        </is>
      </c>
      <c r="E20" s="26" t="inlineStr">
        <is>
          <t>No assumption is possible.</t>
        </is>
      </c>
      <c r="F20" s="26" t="inlineStr">
        <is>
          <t>FS 2.1, 2.2, BR2</t>
        </is>
      </c>
      <c r="G20" s="26" t="inlineStr">
        <is>
          <t>None.</t>
        </is>
      </c>
      <c r="H20" s="26" t="inlineStr">
        <is>
          <t>The expected result depends on the BA decision.</t>
        </is>
      </c>
      <c r="I20" s="26" t="inlineStr">
        <is>
          <t>Open</t>
        </is>
      </c>
      <c r="J20" s="26" t="inlineStr">
        <is>
          <t>None yet</t>
        </is>
      </c>
      <c r="K20" s="26" t="inlineStr">
        <is>
          <t>TC-108</t>
        </is>
      </c>
      <c r="L20" s="26" t="inlineStr">
        <is>
          <t>BA</t>
        </is>
      </c>
    </row>
    <row r="21" ht="30.75" customHeight="1" s="14">
      <c r="A21" s="23" t="inlineStr">
        <is>
          <t>ASM-R4-20</t>
        </is>
      </c>
      <c r="B21" s="26" t="inlineStr">
        <is>
          <t>Rule</t>
        </is>
      </c>
      <c r="C21" s="26" t="inlineStr">
        <is>
          <t>Income band order</t>
        </is>
      </c>
      <c r="D21" s="26" t="inlineStr">
        <is>
          <t>7.3 does not say what happens when From is greater than To in a band.</t>
        </is>
      </c>
      <c r="E21" s="26" t="inlineStr">
        <is>
          <t>Publish is blocked when From is greater than To. The message is not specified.</t>
        </is>
      </c>
      <c r="F21" s="26" t="inlineStr">
        <is>
          <t>FS 7.2 step 2, 7.3</t>
        </is>
      </c>
      <c r="G21" s="26" t="inlineStr">
        <is>
          <t>A band with From above To can never match.</t>
        </is>
      </c>
      <c r="H21" s="26" t="inlineStr">
        <is>
          <t>The band order case changes.</t>
        </is>
      </c>
      <c r="I21" s="26" t="inlineStr">
        <is>
          <t>Open</t>
        </is>
      </c>
      <c r="J21" s="26" t="inlineStr">
        <is>
          <t>None yet</t>
        </is>
      </c>
      <c r="K21" s="26" t="inlineStr">
        <is>
          <t>TC-194</t>
        </is>
      </c>
      <c r="L21" s="26" t="inlineStr">
        <is>
          <t>BA</t>
        </is>
      </c>
    </row>
    <row r="22" ht="30.75" customHeight="1" s="14">
      <c r="A22" s="23" t="inlineStr">
        <is>
          <t>ASM-R4-21</t>
        </is>
      </c>
      <c r="B22" s="26" t="inlineStr">
        <is>
          <t>Rule</t>
        </is>
      </c>
      <c r="C22" s="26" t="inlineStr">
        <is>
          <t>Where "added at / by" is visible</t>
        </is>
      </c>
      <c r="D22" s="26" t="inlineStr">
        <is>
          <t>7.4 says Add to scheme records "added at / by" without saying where it can be read.</t>
        </is>
      </c>
      <c r="E22" s="26" t="inlineStr">
        <is>
          <t>The record is visible in the Audit log menu with the date, the user and the fee components added.</t>
        </is>
      </c>
      <c r="F22" s="26" t="inlineStr">
        <is>
          <t>FS 7.4</t>
        </is>
      </c>
      <c r="G22" s="26" t="inlineStr">
        <is>
          <t>The prototype has an Audit log menu.</t>
        </is>
      </c>
      <c r="H22" s="26" t="inlineStr">
        <is>
          <t>The record case changes.</t>
        </is>
      </c>
      <c r="I22" s="26" t="inlineStr">
        <is>
          <t>Open</t>
        </is>
      </c>
      <c r="J22" s="26" t="inlineStr">
        <is>
          <t>None yet</t>
        </is>
      </c>
      <c r="K22" s="26" t="inlineStr">
        <is>
          <t>TC-237</t>
        </is>
      </c>
      <c r="L22" s="26" t="inlineStr">
        <is>
          <t>BA</t>
        </is>
      </c>
    </row>
    <row r="23" ht="30.75" customHeight="1" s="14">
      <c r="A23" s="23" t="inlineStr">
        <is>
          <t>ASM-R4-22</t>
        </is>
      </c>
      <c r="B23" s="26" t="inlineStr">
        <is>
          <t>Rule</t>
        </is>
      </c>
      <c r="C23" s="26" t="inlineStr">
        <is>
          <t>Save error</t>
        </is>
      </c>
      <c r="D23" s="26" t="inlineStr">
        <is>
          <t>No T scenario or message covers a failed save.</t>
        </is>
      </c>
      <c r="E23" s="26" t="inlineStr">
        <is>
          <t>A failed decision shows an error message, leaves the application Pending and writes no History row.</t>
        </is>
      </c>
      <c r="F23" s="26" t="inlineStr">
        <is>
          <t>FS 6.1, 6.2, BR6</t>
        </is>
      </c>
      <c r="G23" s="26" t="inlineStr">
        <is>
          <t>Standard behaviour for a failed save.</t>
        </is>
      </c>
      <c r="H23" s="26" t="inlineStr">
        <is>
          <t>The save error case changes.</t>
        </is>
      </c>
      <c r="I23" s="26" t="inlineStr">
        <is>
          <t>Open</t>
        </is>
      </c>
      <c r="J23" s="26" t="inlineStr">
        <is>
          <t>None yet</t>
        </is>
      </c>
      <c r="K23" s="26" t="inlineStr">
        <is>
          <t>TC-156</t>
        </is>
      </c>
      <c r="L23" s="26" t="inlineStr">
        <is>
          <t>BA</t>
        </is>
      </c>
    </row>
    <row r="24" ht="57" customHeight="1" s="14">
      <c r="A24" s="23" t="inlineStr">
        <is>
          <t>ASM-R4-23</t>
        </is>
      </c>
      <c r="B24" s="26" t="inlineStr">
        <is>
          <t>Rule</t>
        </is>
      </c>
      <c r="C24" s="26" t="inlineStr">
        <is>
          <t>Submitted filter range</t>
        </is>
      </c>
      <c r="D24" s="26" t="inlineStr">
        <is>
          <t>3.3 lists Last 7 days and Last 30 days. It does not say whether the day 7 or 30 days ago is included.</t>
        </is>
      </c>
      <c r="E24" s="26" t="inlineStr">
        <is>
          <t>Last 7 days shows applications submitted on or after today minus 7 days, and Last 30 days on or after today minus 30 days, by Singapore date. The day 7 or 30 days ago is included.</t>
        </is>
      </c>
      <c r="F24" s="26" t="inlineStr">
        <is>
          <t>FS 3.3 Submitted</t>
        </is>
      </c>
      <c r="G24" s="26" t="inlineStr">
        <is>
          <t>Most common reading of the label.</t>
        </is>
      </c>
      <c r="H24" s="26" t="inlineStr">
        <is>
          <t>The Submitted boundary cases change.</t>
        </is>
      </c>
      <c r="I24" s="26" t="inlineStr">
        <is>
          <t>Open</t>
        </is>
      </c>
      <c r="J24" s="26" t="inlineStr">
        <is>
          <t>None yet</t>
        </is>
      </c>
      <c r="K24" s="26" t="inlineStr">
        <is>
          <t>TC-086</t>
        </is>
      </c>
      <c r="L24" s="26" t="inlineStr">
        <is>
          <t>BA</t>
        </is>
      </c>
    </row>
    <row r="25" ht="43.5" customHeight="1" s="14">
      <c r="A25" s="23" t="inlineStr">
        <is>
          <t>ASM-R4-24</t>
        </is>
      </c>
      <c r="B25" s="26" t="inlineStr">
        <is>
          <t>Rule</t>
        </is>
      </c>
      <c r="C25" s="26" t="inlineStr">
        <is>
          <t>Income band From and To</t>
        </is>
      </c>
      <c r="D25" s="26" t="inlineStr">
        <is>
          <t>7.2 step 2 says each band is from-to and optional. It does not say which of From and To is required when a band is used.</t>
        </is>
      </c>
      <c r="E25" s="26" t="inlineStr">
        <is>
          <t>When a band is used, From is required and To may be empty, which means no upper limit (the screen hint says "Empty = no upper limit"). Zero is a valid From.</t>
        </is>
      </c>
      <c r="F25" s="26" t="inlineStr">
        <is>
          <t>FS 7.2 step 2</t>
        </is>
      </c>
      <c r="G25" s="26" t="inlineStr">
        <is>
          <t>The hint on the prototype says so.</t>
        </is>
      </c>
      <c r="H25" s="26" t="inlineStr">
        <is>
          <t>The band boundary cases change.</t>
        </is>
      </c>
      <c r="I25" s="26" t="inlineStr">
        <is>
          <t>Open</t>
        </is>
      </c>
      <c r="J25" s="26" t="inlineStr">
        <is>
          <t>None yet</t>
        </is>
      </c>
      <c r="K25" s="26" t="inlineStr">
        <is>
          <t>TC-193</t>
        </is>
      </c>
      <c r="L25" s="26" t="inlineStr">
        <is>
          <t>BA</t>
        </is>
      </c>
    </row>
    <row r="26" ht="82.5" customHeight="1" s="14">
      <c r="A26" s="23" t="inlineStr">
        <is>
          <t>ENV-R4-01</t>
        </is>
      </c>
      <c r="B26" s="26" t="inlineStr">
        <is>
          <t>Environment</t>
        </is>
      </c>
      <c r="C26" s="26" t="inlineStr">
        <is>
          <t>Prototype</t>
        </is>
      </c>
      <c r="D26" s="26" t="inlineStr">
        <is>
          <t>QA can open https://edusave.vercel.app/ and use Reset data. MOE HQ signs in with one click (Mei Lin Tan). School users sign in with a School ID (BVP-0012 Lan Nguyen, MRS-0012 Meridian Secondary). Data lives in the page, the date is fixed to 18/10/2026 SGT and Close form now (demo) runs the form-close job.</t>
        </is>
      </c>
      <c r="E26" s="26" t="inlineStr">
        <is>
          <t>Not an assumption. The cases listed need this environment item.</t>
        </is>
      </c>
      <c r="F26" s="26" t="inlineStr">
        <is>
          <t>None</t>
        </is>
      </c>
      <c r="G26" s="26" t="inlineStr">
        <is>
          <t>It is the only F4 screen that exists today. deploy/qa has the backend only.</t>
        </is>
      </c>
      <c r="H26" s="26" t="inlineStr">
        <is>
          <t>N/A</t>
        </is>
      </c>
      <c r="I26" s="26" t="inlineStr">
        <is>
          <t>Available</t>
        </is>
      </c>
      <c r="J26" s="26" t="inlineStr">
        <is>
          <t>Prototype in use</t>
        </is>
      </c>
      <c r="K26" s="26" t="inlineStr">
        <is>
          <t>All cases whose Environment column says Prototype (216 cases)</t>
        </is>
      </c>
      <c r="L26" s="26" t="inlineStr">
        <is>
          <t>Dev</t>
        </is>
      </c>
    </row>
    <row r="27" ht="135" customHeight="1" s="14">
      <c r="A27" s="23" t="inlineStr">
        <is>
          <t>ENV-R4-02</t>
        </is>
      </c>
      <c r="B27" s="26" t="inlineStr">
        <is>
          <t>Environment</t>
        </is>
      </c>
      <c r="C27" s="26" t="inlineStr">
        <is>
          <t>F4 build with API</t>
        </is>
      </c>
      <c r="D27" s="26" t="inlineStr">
        <is>
          <t>A real F4 front end with the FAS API, a database, one account per role, one URL per application and the F5 or F10 screens that create applications.</t>
        </is>
      </c>
      <c r="E27" s="26" t="inlineStr">
        <is>
          <t>Not an assumption. The cases listed need this environment item.</t>
        </is>
      </c>
      <c r="F27" s="26" t="inlineStr">
        <is>
          <t>None</t>
        </is>
      </c>
      <c r="G27" s="26" t="inlineStr">
        <is>
          <t>Access control, concurrency, export file, save errors, integration and time-zone cases cannot run on the prototype.</t>
        </is>
      </c>
      <c r="H27" s="26" t="inlineStr">
        <is>
          <t>The cases that need it stay Not Run.</t>
        </is>
      </c>
      <c r="I27" s="26" t="inlineStr">
        <is>
          <t>Open</t>
        </is>
      </c>
      <c r="J27" s="26" t="inlineStr">
        <is>
          <t>None yet</t>
        </is>
      </c>
      <c r="K27" s="26" t="inlineStr">
        <is>
          <t>TC-007, TC-008, TC-009, TC-015, TC-024, TC-040, TC-044, TC-062, TC-064, TC-101, TC-119, TC-123, TC-125, TC-126, TC-133, TC-138, TC-151, TC-153, TC-154, TC-156, TC-160, TC-161, TC-162, TC-163, TC-164, TC-165, TC-175, TC-176, TC-195, TC-199, TC-218, TC-230, TC-235, TC-239, TC-240, TC-245, TC-246, TC-247, TC-248, TC-252, TC-253, TC-254, TC-256, TC-257, TC-258, TC-259, TC-260, TC-261, TC-262, TC-263, TC-267</t>
        </is>
      </c>
      <c r="L27" s="26" t="inlineStr">
        <is>
          <t>Dev</t>
        </is>
      </c>
    </row>
    <row r="28" ht="30.75" customHeight="1" s="14">
      <c r="A28" s="23" t="inlineStr">
        <is>
          <t>ENV-R4-03</t>
        </is>
      </c>
      <c r="B28" s="26" t="inlineStr">
        <is>
          <t>Environment</t>
        </is>
      </c>
      <c r="C28" s="26" t="inlineStr">
        <is>
          <t>Two sessions</t>
        </is>
      </c>
      <c r="D28" s="26" t="inlineStr">
        <is>
          <t>Two School Admin sessions of the same school at the same time, and a way to delay one request.</t>
        </is>
      </c>
      <c r="E28" s="26" t="inlineStr">
        <is>
          <t>Not an assumption. The cases listed need this environment item.</t>
        </is>
      </c>
      <c r="F28" s="26" t="inlineStr">
        <is>
          <t>None</t>
        </is>
      </c>
      <c r="G28" s="26" t="inlineStr">
        <is>
          <t>BR6 (second decision) and the double click case.</t>
        </is>
      </c>
      <c r="H28" s="26" t="inlineStr">
        <is>
          <t>The cases that need it stay Not Run.</t>
        </is>
      </c>
      <c r="I28" s="26" t="inlineStr">
        <is>
          <t>Open</t>
        </is>
      </c>
      <c r="J28" s="26" t="inlineStr">
        <is>
          <t>None yet</t>
        </is>
      </c>
      <c r="K28" s="26" t="inlineStr">
        <is>
          <t>TC-153, TC-154</t>
        </is>
      </c>
      <c r="L28" s="26" t="inlineStr">
        <is>
          <t>Dev</t>
        </is>
      </c>
    </row>
    <row r="29" ht="43.5" customHeight="1" s="14">
      <c r="A29" s="23" t="inlineStr">
        <is>
          <t>ENV-R4-04</t>
        </is>
      </c>
      <c r="B29" s="26" t="inlineStr">
        <is>
          <t>Environment</t>
        </is>
      </c>
      <c r="C29" s="26" t="inlineStr">
        <is>
          <t>Clock control</t>
        </is>
      </c>
      <c r="D29" s="26" t="inlineStr">
        <is>
          <t>QA can set today's date and time (Singapore) and run the form-close job at the end of Form closes, or run it late.</t>
        </is>
      </c>
      <c r="E29" s="26" t="inlineStr">
        <is>
          <t>Not an assumption. The cases listed need this environment item.</t>
        </is>
      </c>
      <c r="F29" s="26" t="inlineStr">
        <is>
          <t>None</t>
        </is>
      </c>
      <c r="G29" s="26" t="inlineStr">
        <is>
          <t>Last day of the form, automatic job, Effective from today if later, Open / Not open yet / Closed badges and time format.</t>
        </is>
      </c>
      <c r="H29" s="26" t="inlineStr">
        <is>
          <t>The cases that need it stay Not Run.</t>
        </is>
      </c>
      <c r="I29" s="26" t="inlineStr">
        <is>
          <t>Open</t>
        </is>
      </c>
      <c r="J29" s="26" t="inlineStr">
        <is>
          <t>None yet</t>
        </is>
      </c>
      <c r="K29" s="26" t="inlineStr">
        <is>
          <t>TC-007, TC-008, TC-015, TC-024, TC-040, TC-062, TC-138, TC-175, TC-176, TC-195, TC-218, TC-245, TC-267</t>
        </is>
      </c>
      <c r="L29" s="26" t="inlineStr">
        <is>
          <t>Dev</t>
        </is>
      </c>
    </row>
    <row r="30" ht="43.5" customHeight="1" s="14">
      <c r="A30" s="23" t="inlineStr">
        <is>
          <t>ENV-R4-05</t>
        </is>
      </c>
      <c r="B30" s="26" t="inlineStr">
        <is>
          <t>Environment</t>
        </is>
      </c>
      <c r="C30" s="26" t="inlineStr">
        <is>
          <t>Email inbox</t>
        </is>
      </c>
      <c r="D30" s="26" t="inlineStr">
        <is>
          <t>The Email inbox simulation of deploy/qa (localhost:5289) or any test mailbox that shows the emails sent to parents.</t>
        </is>
      </c>
      <c r="E30" s="26" t="inlineStr">
        <is>
          <t>Not an assumption. The cases listed need this environment item.</t>
        </is>
      </c>
      <c r="F30" s="26" t="inlineStr">
        <is>
          <t>None</t>
        </is>
      </c>
      <c r="G30" s="26" t="inlineStr">
        <is>
          <t>BR11: the email after every decision.</t>
        </is>
      </c>
      <c r="H30" s="26" t="inlineStr">
        <is>
          <t>The cases that need it stay Not Run.</t>
        </is>
      </c>
      <c r="I30" s="26" t="inlineStr">
        <is>
          <t>Open</t>
        </is>
      </c>
      <c r="J30" s="26" t="inlineStr">
        <is>
          <t>None yet</t>
        </is>
      </c>
      <c r="K30" s="26" t="inlineStr">
        <is>
          <t>TC-151, TC-247, TC-248</t>
        </is>
      </c>
      <c r="L30" s="26" t="inlineStr">
        <is>
          <t>Dev</t>
        </is>
      </c>
    </row>
    <row r="31" ht="43.5" customHeight="1" s="14">
      <c r="A31" s="23" t="inlineStr">
        <is>
          <t>ENV-R4-06</t>
        </is>
      </c>
      <c r="B31" s="26" t="inlineStr">
        <is>
          <t>Environment</t>
        </is>
      </c>
      <c r="C31" s="26" t="inlineStr">
        <is>
          <t>Scoring engine access</t>
        </is>
      </c>
      <c r="D31" s="26" t="inlineStr">
        <is>
          <t>The FAS Scoring and Decision Engine can be called by API or unit test with the inputs of the seed sheet SD-09.</t>
        </is>
      </c>
      <c r="E31" s="26" t="inlineStr">
        <is>
          <t>Not an assumption. The cases listed need this environment item.</t>
        </is>
      </c>
      <c r="F31" s="26" t="inlineStr">
        <is>
          <t>None</t>
        </is>
      </c>
      <c r="G31" s="26" t="inlineStr">
        <is>
          <t>Need Score and ML risk cases. The F4 screens do not show the inputs or the score.</t>
        </is>
      </c>
      <c r="H31" s="26" t="inlineStr">
        <is>
          <t>The cases that need it stay Not Run.</t>
        </is>
      </c>
      <c r="I31" s="26" t="inlineStr">
        <is>
          <t>Open</t>
        </is>
      </c>
      <c r="J31" s="26" t="inlineStr">
        <is>
          <t>None yet</t>
        </is>
      </c>
      <c r="K31" s="26" t="inlineStr">
        <is>
          <t>TC-256, TC-257, TC-258, TC-259, TC-260, TC-261, TC-262, TC-263</t>
        </is>
      </c>
      <c r="L31" s="26" t="inlineStr">
        <is>
          <t>Dev</t>
        </is>
      </c>
    </row>
    <row r="32" ht="43.5" customHeight="1" s="14">
      <c r="A32" s="23" t="inlineStr">
        <is>
          <t>ENV-R4-07</t>
        </is>
      </c>
      <c r="B32" s="26" t="inlineStr">
        <is>
          <t>Environment</t>
        </is>
      </c>
      <c r="C32" s="26" t="inlineStr">
        <is>
          <t>Billing data</t>
        </is>
      </c>
      <c r="D32" s="26" t="inlineStr">
        <is>
          <t>F3 fee invoices (and F9 payments) for the students in the seed, so the subsidy on outstanding and future fees can be read.</t>
        </is>
      </c>
      <c r="E32" s="26" t="inlineStr">
        <is>
          <t>Not an assumption. The cases listed need this environment item.</t>
        </is>
      </c>
      <c r="F32" s="26" t="inlineStr">
        <is>
          <t>None</t>
        </is>
      </c>
      <c r="G32" s="26" t="inlineStr">
        <is>
          <t>Section 8 and Add fee effects.</t>
        </is>
      </c>
      <c r="H32" s="26" t="inlineStr">
        <is>
          <t>The cases that need it stay Not Run.</t>
        </is>
      </c>
      <c r="I32" s="26" t="inlineStr">
        <is>
          <t>Open</t>
        </is>
      </c>
      <c r="J32" s="26" t="inlineStr">
        <is>
          <t>None yet</t>
        </is>
      </c>
      <c r="K32" s="26" t="inlineStr">
        <is>
          <t>TC-239, TC-240, TC-245, TC-246</t>
        </is>
      </c>
      <c r="L32" s="26" t="inlineStr">
        <is>
          <t>Dev</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C31"/>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6" customWidth="1" style="13" min="1" max="1"/>
    <col width="110" customWidth="1" style="13" min="2" max="2"/>
    <col width="50" customWidth="1" style="13" min="3" max="3"/>
  </cols>
  <sheetData>
    <row r="1" ht="31.5" customHeight="1" s="14">
      <c r="A1" s="15" t="inlineStr">
        <is>
          <t>Assumption Ref</t>
        </is>
      </c>
      <c r="B1" s="15" t="inlineStr">
        <is>
          <t>Question</t>
        </is>
      </c>
      <c r="C1" s="15" t="inlineStr">
        <is>
          <t>Answer</t>
        </is>
      </c>
    </row>
    <row r="2" ht="43.5" customHeight="1" s="14">
      <c r="A2" s="23" t="inlineStr">
        <is>
          <t>ASM-R4-01</t>
        </is>
      </c>
      <c r="B2" s="26" t="inlineStr">
        <is>
          <t>BA: Is the MOEFAS form still open on the Form closes date, and does the assessment run at the end of that date? After the scheme shows Assessed, should Close form now (demo) disappear and should a new submit be refused? (FS 2.1, 2.2, 7.5)</t>
        </is>
      </c>
      <c r="C2" s="26" t="n"/>
    </row>
    <row r="3" ht="30.75" customHeight="1" s="14">
      <c r="A3" s="23" t="inlineStr">
        <is>
          <t>ASM-R4-02</t>
        </is>
      </c>
      <c r="B3" s="26" t="inlineStr">
        <is>
          <t>BA: Are the ranking and the limit check done on the exact PCI (GHI divided by household size) or on the rounded display? When PCI, GHI and submit time are all equal, which application ranks first?</t>
        </is>
      </c>
      <c r="C3" s="26" t="n"/>
    </row>
    <row r="4" ht="30.75" customHeight="1" s="14">
      <c r="A4" s="23" t="inlineStr">
        <is>
          <t>ASM-R4-03</t>
        </is>
      </c>
      <c r="B4" s="26" t="inlineStr">
        <is>
          <t>BA: May the School Admin approve with a scheme the household does not meet (BR10 says ML is information only)? Should the dialog warn in that case?</t>
        </is>
      </c>
      <c r="C4" s="26" t="n"/>
    </row>
    <row r="5" ht="30.75" customHeight="1" s="14">
      <c r="A5" s="23" t="inlineStr">
        <is>
          <t>ASM-R4-04</t>
        </is>
      </c>
      <c r="B5" s="26" t="inlineStr">
        <is>
          <t>BA: A failed MOEFAS application whose parent agreed to SBFAS reaches a school with no SBFAS scheme for the period. Does it stay Pending, is it rejected, or is MOE HQ told? May the school still reject it?</t>
        </is>
      </c>
      <c r="C5" s="26" t="n"/>
    </row>
    <row r="6" ht="30.75" customHeight="1" s="14">
      <c r="A6" s="23" t="inlineStr">
        <is>
          <t>ASM-R4-05</t>
        </is>
      </c>
      <c r="B6" s="26" t="inlineStr">
        <is>
          <t>BA: Must the name of a Draft school scheme stay out of the Tier filter of MOE HQ? Please also confirm that Pending MOEFAS rows have no tier match.</t>
        </is>
      </c>
      <c r="C6" s="26" t="n"/>
    </row>
    <row r="7" ht="30.75" customHeight="1" s="14">
      <c r="A7" s="23" t="inlineStr">
        <is>
          <t>ASM-R4-06</t>
        </is>
      </c>
      <c r="B7" s="26" t="inlineStr">
        <is>
          <t>BA: Do the tab counts follow the filters and the search? What does the Pending tab show when the Status filter is Approved?</t>
        </is>
      </c>
      <c r="C7" s="26" t="n"/>
    </row>
    <row r="8" ht="18" customHeight="1" s="14">
      <c r="A8" s="23" t="inlineStr">
        <is>
          <t>ASM-R4-07</t>
        </is>
      </c>
      <c r="B8" s="26" t="inlineStr">
        <is>
          <t>BA: What are the rules of the Search box (maximum length, spaces, special characters such as % and _)?</t>
        </is>
      </c>
      <c r="C8" s="26" t="n"/>
    </row>
    <row r="9" ht="43.5" customHeight="1" s="14">
      <c r="A9" s="23" t="inlineStr">
        <is>
          <t>ASM-R4-08</t>
        </is>
      </c>
      <c r="B9" s="26" t="inlineStr">
        <is>
          <t>BA: For the CSV export, please confirm the file name (fas-applications.csv), that every page is exported with tab, search and filters applied, what is written for empty values and which columns a School Admin gets (Scheme and System check are marked MOE HQ only). Must a cell that starts with = + - or @ be protected?</t>
        </is>
      </c>
      <c r="C9" s="26" t="n"/>
    </row>
    <row r="10" ht="18" customHeight="1" s="14">
      <c r="A10" s="23" t="inlineStr">
        <is>
          <t>ASM-R4-09</t>
        </is>
      </c>
      <c r="B10" s="26" t="inlineStr">
        <is>
          <t>BA: Which message does the wizard show for text that is not a real DD/MM/YYYY date, and should Next be blocked?</t>
        </is>
      </c>
      <c r="C10" s="26" t="n"/>
    </row>
    <row r="11" ht="30.75" customHeight="1" s="14">
      <c r="A11" s="23" t="inlineStr">
        <is>
          <t>ASM-R4-10</t>
        </is>
      </c>
      <c r="B11" s="26" t="inlineStr">
        <is>
          <t>BA: Is the mobile number in the SBFAS drawer masked on purpose (the prototype shows +65 9xxx xxxx)? Where does the parent relationship come from? Which labels does the citizenship use?</t>
        </is>
      </c>
      <c r="C11" s="26" t="n"/>
    </row>
    <row r="12" ht="30.75" customHeight="1" s="14">
      <c r="A12" s="23" t="inlineStr">
        <is>
          <t>ASM-R4-11</t>
        </is>
      </c>
      <c r="B12" s="26" t="inlineStr">
        <is>
          <t>BA: Which wording shows in Decided by for a system rejection (the prototype shows System)? Please confirm the wording of the email as well.</t>
        </is>
      </c>
      <c r="C12" s="26" t="n"/>
    </row>
    <row r="13" ht="18" customHeight="1" s="14">
      <c r="A13" s="23" t="inlineStr">
        <is>
          <t>ASM-R4-12</t>
        </is>
      </c>
      <c r="B13" s="26" t="inlineStr">
        <is>
          <t>BA: What are the limits of a subsidy cell (decimals for a percentage, decimals and a maximum for a fixed amount)?</t>
        </is>
      </c>
      <c r="C13" s="26" t="n"/>
    </row>
    <row r="14" ht="18" customHeight="1" s="14">
      <c r="A14" s="23" t="inlineStr">
        <is>
          <t>ASM-R4-13</t>
        </is>
      </c>
      <c r="B14" s="26" t="inlineStr">
        <is>
          <t>BA: What does the parent email say after an approval and after a rejection (subject, content, sender)?</t>
        </is>
      </c>
      <c r="C14" s="26" t="n"/>
    </row>
    <row r="15" ht="30.75" customHeight="1" s="14">
      <c r="A15" s="23" t="inlineStr">
        <is>
          <t>ASM-R4-14</t>
        </is>
      </c>
      <c r="B15" s="26" t="inlineStr">
        <is>
          <t>BA: Are the Need Score features computed as in FS F4 v1.1 section 5.2 and the engine cases of the seed sheet SD-09? Please confirm that section 5 of v1.3 keeps them.</t>
        </is>
      </c>
      <c r="C15" s="26" t="n"/>
    </row>
    <row r="16" ht="30.75" customHeight="1" s="14">
      <c r="A16" s="23" t="inlineStr">
        <is>
          <t>ASM-R4-15</t>
        </is>
      </c>
      <c r="B16" s="26" t="inlineStr">
        <is>
          <t>Dev: What does the API return for a request that the role may not make (403?) and which message shows when a School Admin opens the link of an application of another school?</t>
        </is>
      </c>
      <c r="C16" s="26" t="n"/>
    </row>
    <row r="17" ht="30.75" customHeight="1" s="14">
      <c r="A17" s="23" t="inlineStr">
        <is>
          <t>ASM-R4-16</t>
        </is>
      </c>
      <c r="B17" s="26" t="inlineStr">
        <is>
          <t>BA: What does "this year" mean for the cards: the calendar year of the decision date in Singapore time or a school year?</t>
        </is>
      </c>
      <c r="C17" s="26" t="n"/>
    </row>
    <row r="18" ht="30.75" customHeight="1" s="14">
      <c r="A18" s="23" t="inlineStr">
        <is>
          <t>ASM-R4-17</t>
        </is>
      </c>
      <c r="B18" s="26" t="inlineStr">
        <is>
          <t>BA: In which precision is PCI shown, two decimals (1,087.50) or rounded to the dollar? The prototype shows 1,088.00 for 1,087.50.</t>
        </is>
      </c>
      <c r="C18" s="26" t="n"/>
    </row>
    <row r="19" ht="30.75" customHeight="1" s="14">
      <c r="A19" s="23" t="inlineStr">
        <is>
          <t>ASM-R4-18</t>
        </is>
      </c>
      <c r="B19" s="26" t="inlineStr">
        <is>
          <t>Dev: Please confirm that comments, context, names and search text are stored and shown as plain text and that HTML or script is never interpreted.</t>
        </is>
      </c>
      <c r="C19" s="26" t="n"/>
    </row>
    <row r="20" ht="30.75" customHeight="1" s="14">
      <c r="A20" s="23" t="inlineStr">
        <is>
          <t>ASM-R4-19</t>
        </is>
      </c>
      <c r="B20" s="26" t="inlineStr">
        <is>
          <t>BA: May one student have two applications under the same MOEFAS scheme (00381 Approved and 00328 Rejected are the same student)? Which one counts and what should the system do on a second submit?</t>
        </is>
      </c>
      <c r="C20" s="26" t="n"/>
    </row>
    <row r="21" ht="18" customHeight="1" s="14">
      <c r="A21" s="23" t="inlineStr">
        <is>
          <t>ASM-R4-20</t>
        </is>
      </c>
      <c r="B21" s="26" t="inlineStr">
        <is>
          <t>BA: What happens when From is greater than To in an income band? Is publish blocked and with which message?</t>
        </is>
      </c>
      <c r="C21" s="26" t="n"/>
    </row>
    <row r="22" ht="18" customHeight="1" s="14">
      <c r="A22" s="23" t="inlineStr">
        <is>
          <t>ASM-R4-21</t>
        </is>
      </c>
      <c r="B22" s="26" t="inlineStr">
        <is>
          <t>BA: Where can a user read the record "added at / by" of Add fee (Audit log, scheme view or elsewhere)?</t>
        </is>
      </c>
      <c r="C22" s="26" t="n"/>
    </row>
    <row r="23" ht="18" customHeight="1" s="14">
      <c r="A23" s="23" t="inlineStr">
        <is>
          <t>ASM-R4-22</t>
        </is>
      </c>
      <c r="B23" s="26" t="inlineStr">
        <is>
          <t>Dev: What does the screen show when saving a decision fails (message, status stays Pending, no History row)?</t>
        </is>
      </c>
      <c r="C23" s="26" t="n"/>
    </row>
    <row r="24" ht="18" customHeight="1" s="14">
      <c r="A24" s="23" t="inlineStr">
        <is>
          <t>ASM-R4-23</t>
        </is>
      </c>
      <c r="B24" s="26" t="inlineStr">
        <is>
          <t>BA: Do Last 7 days and Last 30 days include the day that is exactly 7 or 30 days ago?</t>
        </is>
      </c>
      <c r="C24" s="26" t="n"/>
    </row>
    <row r="25" ht="18" customHeight="1" s="14">
      <c r="A25" s="23" t="inlineStr">
        <is>
          <t>ASM-R4-24</t>
        </is>
      </c>
      <c r="B25" s="26" t="inlineStr">
        <is>
          <t>BA: In an income band, is From required and To optional (empty means no upper limit)? Is 0 a valid From?</t>
        </is>
      </c>
      <c r="C25" s="26" t="n"/>
    </row>
    <row r="26" ht="30.75" customHeight="1" s="14">
      <c r="A26" s="23" t="inlineStr">
        <is>
          <t>ENV-R4-02</t>
        </is>
      </c>
      <c r="B26" s="26" t="inlineStr">
        <is>
          <t>Dev: When will the F4 build with the API be available to QA (front end, database, one account per role, one URL per application and the F5 or F10 screens that create applications)?</t>
        </is>
      </c>
      <c r="C26" s="26" t="n"/>
    </row>
    <row r="27" ht="18" customHeight="1" s="14">
      <c r="A27" s="23" t="inlineStr">
        <is>
          <t>ENV-R4-03</t>
        </is>
      </c>
      <c r="B27" s="26" t="inlineStr">
        <is>
          <t>Dev: Can QA run two School Admin sessions of the same school at the same time and delay one request?</t>
        </is>
      </c>
      <c r="C27" s="26" t="n"/>
    </row>
    <row r="28" ht="30.75" customHeight="1" s="14">
      <c r="A28" s="23" t="inlineStr">
        <is>
          <t>ENV-R4-04</t>
        </is>
      </c>
      <c r="B28" s="26" t="inlineStr">
        <is>
          <t>Dev: How does QA set today's date and time (Singapore) and run the form-close job at the end of Form closes or late?</t>
        </is>
      </c>
      <c r="C28" s="26" t="n"/>
    </row>
    <row r="29" ht="18" customHeight="1" s="14">
      <c r="A29" s="23" t="inlineStr">
        <is>
          <t>ENV-R4-05</t>
        </is>
      </c>
      <c r="B29" s="26" t="inlineStr">
        <is>
          <t>Dev: Which test mailbox shows the emails sent to parents (the Email inbox simulation of deploy/qa or another one)?</t>
        </is>
      </c>
      <c r="C29" s="26" t="n"/>
    </row>
    <row r="30" ht="18" customHeight="1" s="14">
      <c r="A30" s="23" t="inlineStr">
        <is>
          <t>ENV-R4-06</t>
        </is>
      </c>
      <c r="B30" s="26" t="inlineStr">
        <is>
          <t>Dev: Can QA call the FAS Scoring and Decision Engine by API or unit test with the inputs of the seed sheet SD-09?</t>
        </is>
      </c>
      <c r="C30" s="26" t="n"/>
    </row>
    <row r="31" ht="30.75" customHeight="1" s="14">
      <c r="A31" s="23" t="inlineStr">
        <is>
          <t>ENV-R4-07</t>
        </is>
      </c>
      <c r="B31" s="26" t="inlineStr">
        <is>
          <t>Dev: Can the F3 fee invoices (and F9 payments) of the seed students be created so that the subsidy on outstanding and future fees can be read?</t>
        </is>
      </c>
      <c r="C31" s="26"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F168"/>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8" customWidth="1" style="13" min="1" max="1"/>
    <col width="22" customWidth="1" style="13" min="2" max="2"/>
    <col width="90" customWidth="1" style="13" min="3" max="3"/>
    <col width="60" customWidth="1" style="13" min="4" max="4"/>
    <col width="8" customWidth="1" style="13" min="5" max="5"/>
    <col width="9" customWidth="1" style="13" min="6" max="6"/>
  </cols>
  <sheetData>
    <row r="1" ht="31.5" customHeight="1" s="14">
      <c r="A1" s="15" t="inlineStr">
        <is>
          <t>FS item</t>
        </is>
      </c>
      <c r="B1" s="15" t="inlineStr">
        <is>
          <t>Kind</t>
        </is>
      </c>
      <c r="C1" s="15" t="inlineStr">
        <is>
          <t>Statement</t>
        </is>
      </c>
      <c r="D1" s="15" t="inlineStr">
        <is>
          <t>Test cases that cite it</t>
        </is>
      </c>
      <c r="E1" s="15" t="inlineStr">
        <is>
          <t>Count</t>
        </is>
      </c>
      <c r="F1" s="15" t="inlineStr">
        <is>
          <t>Covered</t>
        </is>
      </c>
    </row>
    <row r="2" ht="30.75" customHeight="1" s="14">
      <c r="A2" s="23" t="inlineStr">
        <is>
          <t>BR1</t>
        </is>
      </c>
      <c r="B2" s="26" t="inlineStr">
        <is>
          <t>Business rule</t>
        </is>
      </c>
      <c r="C2" s="26" t="inlineStr">
        <is>
          <t>Applications can be submitted only while a FAS application form (MOEFAS or the school SBFAS of the child) is open.</t>
        </is>
      </c>
      <c r="D2" s="26" t="inlineStr">
        <is>
          <t>TC-007, TC-008, TC-009, TC-040</t>
        </is>
      </c>
      <c r="E2" s="24">
        <f>IF(D2="None",0,(LEN(D2)-LEN(SUBSTITUTE(D2,"TC-","")))/3)</f>
        <v/>
      </c>
      <c r="F2" s="24">
        <f>IF(E2&gt;0,"Yes","No")</f>
        <v/>
      </c>
    </row>
    <row r="3" ht="30.75" customHeight="1" s="14">
      <c r="A3" s="23" t="inlineStr">
        <is>
          <t>BR2</t>
        </is>
      </c>
      <c r="B3" s="26" t="inlineStr">
        <is>
          <t>Business rule</t>
        </is>
      </c>
      <c r="C3" s="26" t="inlineStr">
        <is>
          <t>MOEFAS is decided only by the system, after the MOEFAS form closes, in priority order (lowest PCI, then lowest GHI, then earliest submitted). No user can approve or reject MOEFAS.</t>
        </is>
      </c>
      <c r="D3" s="26" t="inlineStr">
        <is>
          <t>TC-010, TC-012, TC-016, TC-026, TC-042, TC-043, TC-044, TC-108, TC-159</t>
        </is>
      </c>
      <c r="E3" s="24">
        <f>IF(D3="None",0,(LEN(D3)-LEN(SUBSTITUTE(D3,"TC-","")))/3)</f>
        <v/>
      </c>
      <c r="F3" s="24">
        <f>IF(E3&gt;0,"Yes","No")</f>
        <v/>
      </c>
    </row>
    <row r="4" ht="30.75" customHeight="1" s="14">
      <c r="A4" s="23" t="inlineStr">
        <is>
          <t>BR3</t>
        </is>
      </c>
      <c r="B4" s="26" t="inlineStr">
        <is>
          <t>Business rule</t>
        </is>
      </c>
      <c r="C4" s="26" t="inlineStr">
        <is>
          <t>The form of a scheme must close before the scheme takes effect (Effective from is after Form closes).</t>
        </is>
      </c>
      <c r="D4" s="26" t="inlineStr">
        <is>
          <t>TC-181, TC-185, TC-186</t>
        </is>
      </c>
      <c r="E4" s="24">
        <f>IF(D4="None",0,(LEN(D4)-LEN(SUBSTITUTE(D4,"TC-","")))/3)</f>
        <v/>
      </c>
      <c r="F4" s="24">
        <f>IF(E4&gt;0,"Yes","No")</f>
        <v/>
      </c>
    </row>
    <row r="5" ht="30.75" customHeight="1" s="14">
      <c r="A5" s="23" t="inlineStr">
        <is>
          <t>BR4</t>
        </is>
      </c>
      <c r="B5" s="26" t="inlineStr">
        <is>
          <t>Business rule</t>
        </is>
      </c>
      <c r="C5" s="26" t="inlineStr">
        <is>
          <t>Schemes have no tiers inside. MOEFAS has one scheme for all levels with a subsidy per level. SBFAS has one scheme per tier with a subsidy per grade the school offers.</t>
        </is>
      </c>
      <c r="D5" s="26" t="inlineStr">
        <is>
          <t>TC-170, TC-180, TC-196, TC-201, TC-203, TC-223</t>
        </is>
      </c>
      <c r="E5" s="24">
        <f>IF(D5="None",0,(LEN(D5)-LEN(SUBSTITUTE(D5,"TC-","")))/3)</f>
        <v/>
      </c>
      <c r="F5" s="24">
        <f>IF(E5&gt;0,"Yes","No")</f>
        <v/>
      </c>
    </row>
    <row r="6" ht="30.75" customHeight="1" s="14">
      <c r="A6" s="23" t="inlineStr">
        <is>
          <t>BR5</t>
        </is>
      </c>
      <c r="B6" s="26" t="inlineStr">
        <is>
          <t>Business rule</t>
        </is>
      </c>
      <c r="C6" s="26" t="inlineStr">
        <is>
          <t>Only the School Admin of the current school of the student decides SBFAS, by choosing one of the SBFAS schemes of the school. MOE HQ is view only.</t>
        </is>
      </c>
      <c r="D6" s="26" t="inlineStr">
        <is>
          <t>TC-038, TC-042, TC-121, TC-122, TC-123, TC-159</t>
        </is>
      </c>
      <c r="E6" s="24">
        <f>IF(D6="None",0,(LEN(D6)-LEN(SUBSTITUTE(D6,"TC-","")))/3)</f>
        <v/>
      </c>
      <c r="F6" s="24">
        <f>IF(E6&gt;0,"Yes","No")</f>
        <v/>
      </c>
    </row>
    <row r="7" ht="30.75" customHeight="1" s="14">
      <c r="A7" s="23" t="inlineStr">
        <is>
          <t>BR6</t>
        </is>
      </c>
      <c r="B7" s="26" t="inlineStr">
        <is>
          <t>Business rule</t>
        </is>
      </c>
      <c r="C7" s="26" t="inlineStr">
        <is>
          <t>One decision per application and a decided application is read-only. A second user gets "This application was already decided by {user} on {date}."</t>
        </is>
      </c>
      <c r="D7" s="26" t="inlineStr">
        <is>
          <t>TC-142, TC-152, TC-153, TC-154, TC-155, TC-156</t>
        </is>
      </c>
      <c r="E7" s="24">
        <f>IF(D7="None",0,(LEN(D7)-LEN(SUBSTITUTE(D7,"TC-","")))/3)</f>
        <v/>
      </c>
      <c r="F7" s="24">
        <f>IF(E7&gt;0,"Yes","No")</f>
        <v/>
      </c>
    </row>
    <row r="8" ht="18" customHeight="1" s="14">
      <c r="A8" s="23" t="inlineStr">
        <is>
          <t>BR7</t>
        </is>
      </c>
      <c r="B8" s="26" t="inlineStr">
        <is>
          <t>Business rule</t>
        </is>
      </c>
      <c r="C8" s="26" t="inlineStr">
        <is>
          <t>Eligibility limits and subsidy values come from the scheme and never from the screen.</t>
        </is>
      </c>
      <c r="D8" s="26" t="inlineStr">
        <is>
          <t>TC-028, TC-029, TC-030, TC-031, TC-034, TC-103, TC-218</t>
        </is>
      </c>
      <c r="E8" s="24">
        <f>IF(D8="None",0,(LEN(D8)-LEN(SUBSTITUTE(D8,"TC-","")))/3)</f>
        <v/>
      </c>
      <c r="F8" s="24">
        <f>IF(E8&gt;0,"Yes","No")</f>
        <v/>
      </c>
    </row>
    <row r="9" ht="30.75" customHeight="1" s="14">
      <c r="A9" s="23" t="inlineStr">
        <is>
          <t>BR8</t>
        </is>
      </c>
      <c r="B9" s="26" t="inlineStr">
        <is>
          <t>Business rule</t>
        </is>
      </c>
      <c r="C9" s="26" t="inlineStr">
        <is>
          <t>Published schemes are view-only. Fee components can be added to Active or Upcoming schemes and existing components can never be removed or changed.</t>
        </is>
      </c>
      <c r="D9" s="26" t="inlineStr">
        <is>
          <t>TC-178, TC-215, TC-217, TC-229, TC-230, TC-235, TC-236, TC-238, TC-241</t>
        </is>
      </c>
      <c r="E9" s="24">
        <f>IF(D9="None",0,(LEN(D9)-LEN(SUBSTITUTE(D9,"TC-","")))/3)</f>
        <v/>
      </c>
      <c r="F9" s="24">
        <f>IF(E9&gt;0,"Yes","No")</f>
        <v/>
      </c>
    </row>
    <row r="10" ht="30.75" customHeight="1" s="14">
      <c r="A10" s="23" t="inlineStr">
        <is>
          <t>BR9</t>
        </is>
      </c>
      <c r="B10" s="26" t="inlineStr">
        <is>
          <t>Business rule</t>
        </is>
      </c>
      <c r="C10" s="26" t="inlineStr">
        <is>
          <t>MOE HQ manages MOEFAS schemes only and cannot see SBFAS schemes. Each school manages its own SBFAS schemes.</t>
        </is>
      </c>
      <c r="D10" s="26" t="inlineStr">
        <is>
          <t>TC-080, TC-082, TC-157, TC-158, TC-165, TC-168, TC-169, TC-219, TC-222, TC-224</t>
        </is>
      </c>
      <c r="E10" s="24">
        <f>IF(D10="None",0,(LEN(D10)-LEN(SUBSTITUTE(D10,"TC-","")))/3)</f>
        <v/>
      </c>
      <c r="F10" s="24">
        <f>IF(E10&gt;0,"Yes","No")</f>
        <v/>
      </c>
    </row>
    <row r="11" ht="18" customHeight="1" s="14">
      <c r="A11" s="23" t="inlineStr">
        <is>
          <t>BR10</t>
        </is>
      </c>
      <c r="B11" s="26" t="inlineStr">
        <is>
          <t>Business rule</t>
        </is>
      </c>
      <c r="C11" s="26" t="inlineStr">
        <is>
          <t>ML (tier and risk) is information only.</t>
        </is>
      </c>
      <c r="D11" s="26" t="inlineStr">
        <is>
          <t>TC-118, TC-120, TC-131, TC-132, TC-249</t>
        </is>
      </c>
      <c r="E11" s="24">
        <f>IF(D11="None",0,(LEN(D11)-LEN(SUBSTITUTE(D11,"TC-","")))/3)</f>
        <v/>
      </c>
      <c r="F11" s="24">
        <f>IF(E11&gt;0,"Yes","No")</f>
        <v/>
      </c>
    </row>
    <row r="12" ht="30.75" customHeight="1" s="14">
      <c r="A12" s="23" t="inlineStr">
        <is>
          <t>BR11</t>
        </is>
      </c>
      <c r="B12" s="26" t="inlineStr">
        <is>
          <t>Business rule</t>
        </is>
      </c>
      <c r="C12" s="26" t="inlineStr">
        <is>
          <t>Reject needs a reason and a comment of up to 500 characters. The parent gets an email after every decision.</t>
        </is>
      </c>
      <c r="D12" s="26" t="inlineStr">
        <is>
          <t>TC-037, TC-139, TC-143, TC-144, TC-145, TC-148, TC-149, TC-151, TC-166, TC-247, TC-248</t>
        </is>
      </c>
      <c r="E12" s="24">
        <f>IF(D12="None",0,(LEN(D12)-LEN(SUBSTITUTE(D12,"TC-","")))/3)</f>
        <v/>
      </c>
      <c r="F12" s="24">
        <f>IF(E12&gt;0,"Yes","No")</f>
        <v/>
      </c>
    </row>
    <row r="13" ht="30.75" customHeight="1" s="14">
      <c r="A13" s="23" t="inlineStr">
        <is>
          <t>BR12</t>
        </is>
      </c>
      <c r="B13" s="26" t="inlineStr">
        <is>
          <t>Business rule</t>
        </is>
      </c>
      <c r="C13" s="26" t="inlineStr">
        <is>
          <t>The School Admin never sees MOEFAS applications.</t>
        </is>
      </c>
      <c r="D13" s="26" t="inlineStr">
        <is>
          <t>TC-003, TC-038, TC-043, TC-044, TC-059, TC-060, TC-064, TC-076, TC-099, TC-123, TC-159, TC-162, TC-163, TC-164</t>
        </is>
      </c>
      <c r="E13" s="24">
        <f>IF(D13="None",0,(LEN(D13)-LEN(SUBSTITUTE(D13,"TC-","")))/3)</f>
        <v/>
      </c>
      <c r="F13" s="24">
        <f>IF(E13&gt;0,"Yes","No")</f>
        <v/>
      </c>
    </row>
    <row r="14" ht="18" customHeight="1" s="14">
      <c r="A14" s="23" t="inlineStr">
        <is>
          <t>BR13</t>
        </is>
      </c>
      <c r="B14" s="26" t="inlineStr">
        <is>
          <t>Business rule</t>
        </is>
      </c>
      <c r="C14" s="26" t="inlineStr">
        <is>
          <t>Currency is S$, dates are DD/MM/YYYY and times are HH:mm Singapore time.</t>
        </is>
      </c>
      <c r="D14" s="26" t="inlineStr">
        <is>
          <t>TC-172, TC-173, TC-188, TC-264, TC-265, TC-266, TC-267</t>
        </is>
      </c>
      <c r="E14" s="24">
        <f>IF(D14="None",0,(LEN(D14)-LEN(SUBSTITUTE(D14,"TC-","")))/3)</f>
        <v/>
      </c>
      <c r="F14" s="24">
        <f>IF(E14&gt;0,"Yes","No")</f>
        <v/>
      </c>
    </row>
    <row r="15" ht="30.75" customHeight="1" s="14">
      <c r="A15" s="23" t="inlineStr">
        <is>
          <t>T1</t>
        </is>
      </c>
      <c r="B15" s="26" t="inlineStr">
        <is>
          <t>Test scenario</t>
        </is>
      </c>
      <c r="C15" s="26" t="inlineStr">
        <is>
          <t>A citizen submits while the MOEFAS form is open. The application is MOEFAS Pending with System check Waiting and the History row "Waiting for the MOEFAS form to close on ...".</t>
        </is>
      </c>
      <c r="D15" s="26" t="inlineStr">
        <is>
          <t>TC-001, TC-002, TC-003, TC-006, TC-009, TC-102</t>
        </is>
      </c>
      <c r="E15" s="24">
        <f>IF(D15="None",0,(LEN(D15)-LEN(SUBSTITUTE(D15,"TC-","")))/3)</f>
        <v/>
      </c>
      <c r="F15" s="24">
        <f>IF(E15&gt;0,"Yes","No")</f>
        <v/>
      </c>
    </row>
    <row r="16" ht="30.75" customHeight="1" s="14">
      <c r="A16" s="23" t="inlineStr">
        <is>
          <t>T2</t>
        </is>
      </c>
      <c r="B16" s="26" t="inlineStr">
        <is>
          <t>Test scenario</t>
        </is>
      </c>
      <c r="C16" s="26" t="inlineStr">
        <is>
          <t>Submit when no form is open is blocked by F5 or F10 with "the FAS application form is closed (next opens ...)".</t>
        </is>
      </c>
      <c r="D16" s="26" t="inlineStr">
        <is>
          <t>TC-007</t>
        </is>
      </c>
      <c r="E16" s="24">
        <f>IF(D16="None",0,(LEN(D16)-LEN(SUBSTITUTE(D16,"TC-","")))/3)</f>
        <v/>
      </c>
      <c r="F16" s="24">
        <f>IF(E16&gt;0,"Yes","No")</f>
        <v/>
      </c>
    </row>
    <row r="17" ht="30.75" customHeight="1" s="14">
      <c r="A17" s="23" t="inlineStr">
        <is>
          <t>T3</t>
        </is>
      </c>
      <c r="B17" s="26" t="inlineStr">
        <is>
          <t>Test scenario</t>
        </is>
      </c>
      <c r="C17" s="26" t="inlineStr">
        <is>
          <t>The form closes with 3 waiting applications. They are ranked 1 to 3 by PCI, assessed in order and the History shows "priority n of 3".</t>
        </is>
      </c>
      <c r="D17" s="26" t="inlineStr">
        <is>
          <t>TC-010, TC-011, TC-013, TC-015, TC-016</t>
        </is>
      </c>
      <c r="E17" s="24">
        <f>IF(D17="None",0,(LEN(D17)-LEN(SUBSTITUTE(D17,"TC-","")))/3)</f>
        <v/>
      </c>
      <c r="F17" s="24">
        <f>IF(E17&gt;0,"Yes","No")</f>
        <v/>
      </c>
    </row>
    <row r="18" ht="30.75" customHeight="1" s="14">
      <c r="A18" s="23" t="inlineStr">
        <is>
          <t>T4</t>
        </is>
      </c>
      <c r="B18" s="26" t="inlineStr">
        <is>
          <t>Test scenario</t>
        </is>
      </c>
      <c r="C18" s="26" t="inlineStr">
        <is>
          <t>A waiting application within the MOEFAS limits is Approved from the Effective from of the scheme with the subsidy of the level of the student.</t>
        </is>
      </c>
      <c r="D18" s="26" t="inlineStr">
        <is>
          <t>TC-021, TC-022, TC-023, TC-245</t>
        </is>
      </c>
      <c r="E18" s="24">
        <f>IF(D18="None",0,(LEN(D18)-LEN(SUBSTITUTE(D18,"TC-","")))/3)</f>
        <v/>
      </c>
      <c r="F18" s="24">
        <f>IF(E18&gt;0,"Yes","No")</f>
        <v/>
      </c>
    </row>
    <row r="19" ht="30.75" customHeight="1" s="14">
      <c r="A19" s="23" t="inlineStr">
        <is>
          <t>T5</t>
        </is>
      </c>
      <c r="B19" s="26" t="inlineStr">
        <is>
          <t>Test scenario</t>
        </is>
      </c>
      <c r="C19" s="26" t="inlineStr">
        <is>
          <t>Above the limits, Also consider for SBFAS = Yes gives SBFAS Pending at the school and No gives Rejected with an email.</t>
        </is>
      </c>
      <c r="D19" s="26" t="inlineStr">
        <is>
          <t>TC-032, TC-035, TC-037</t>
        </is>
      </c>
      <c r="E19" s="24">
        <f>IF(D19="None",0,(LEN(D19)-LEN(SUBSTITUTE(D19,"TC-","")))/3)</f>
        <v/>
      </c>
      <c r="F19" s="24">
        <f>IF(E19&gt;0,"Yes","No")</f>
        <v/>
      </c>
    </row>
    <row r="20" ht="18" customHeight="1" s="14">
      <c r="A20" s="23" t="inlineStr">
        <is>
          <t>T6</t>
        </is>
      </c>
      <c r="B20" s="26" t="inlineStr">
        <is>
          <t>Test scenario</t>
        </is>
      </c>
      <c r="C20" s="26" t="inlineStr">
        <is>
          <t>A PR or International student who submits gets SBFAS Pending directly.</t>
        </is>
      </c>
      <c r="D20" s="26" t="inlineStr">
        <is>
          <t>TC-004, TC-005, TC-195</t>
        </is>
      </c>
      <c r="E20" s="24">
        <f>IF(D20="None",0,(LEN(D20)-LEN(SUBSTITUTE(D20,"TC-","")))/3)</f>
        <v/>
      </c>
      <c r="F20" s="24">
        <f>IF(E20&gt;0,"Yes","No")</f>
        <v/>
      </c>
    </row>
    <row r="21" ht="30.75" customHeight="1" s="14">
      <c r="A21" s="23" t="inlineStr">
        <is>
          <t>T7</t>
        </is>
      </c>
      <c r="B21" s="26" t="inlineStr">
        <is>
          <t>Test scenario</t>
        </is>
      </c>
      <c r="C21" s="26" t="inlineStr">
        <is>
          <t>School list columns show Grade instead of Class, and Tier before ML recommendation and ML risk.</t>
        </is>
      </c>
      <c r="D21" s="26" t="inlineStr">
        <is>
          <t>TC-065, TC-067</t>
        </is>
      </c>
      <c r="E21" s="24">
        <f>IF(D21="None",0,(LEN(D21)-LEN(SUBSTITUTE(D21,"TC-","")))/3)</f>
        <v/>
      </c>
      <c r="F21" s="24">
        <f>IF(E21&gt;0,"Yes","No")</f>
        <v/>
      </c>
    </row>
    <row r="22" ht="30.75" customHeight="1" s="14">
      <c r="A22" s="23" t="inlineStr">
        <is>
          <t>T8</t>
        </is>
      </c>
      <c r="B22" s="26" t="inlineStr">
        <is>
          <t>Test scenario</t>
        </is>
      </c>
      <c r="C22" s="26" t="inlineStr">
        <is>
          <t>Approve SBFAS lists the SBFAS schemes of the school, pre-selects the ML tier and sets Effective from to the scheme start or today.</t>
        </is>
      </c>
      <c r="D22" s="26" t="inlineStr">
        <is>
          <t>TC-124, TC-129, TC-130, TC-137, TC-138, TC-246</t>
        </is>
      </c>
      <c r="E22" s="24">
        <f>IF(D22="None",0,(LEN(D22)-LEN(SUBSTITUTE(D22,"TC-","")))/3)</f>
        <v/>
      </c>
      <c r="F22" s="24">
        <f>IF(E22&gt;0,"Yes","No")</f>
        <v/>
      </c>
    </row>
    <row r="23" ht="30.75" customHeight="1" s="14">
      <c r="A23" s="23" t="inlineStr">
        <is>
          <t>T9</t>
        </is>
      </c>
      <c r="B23" s="26" t="inlineStr">
        <is>
          <t>Test scenario</t>
        </is>
      </c>
      <c r="C23" s="26" t="inlineStr">
        <is>
          <t>A new scheme with Effective from on or before Form closes shows "Effective from must be after Form closes ...".</t>
        </is>
      </c>
      <c r="D23" s="26" t="inlineStr">
        <is>
          <t>TC-186</t>
        </is>
      </c>
      <c r="E23" s="24">
        <f>IF(D23="None",0,(LEN(D23)-LEN(SUBSTITUTE(D23,"TC-","")))/3)</f>
        <v/>
      </c>
      <c r="F23" s="24">
        <f>IF(E23&gt;0,"Yes","No")</f>
        <v/>
      </c>
    </row>
    <row r="24" ht="30.75" customHeight="1" s="14">
      <c r="A24" s="23" t="inlineStr">
        <is>
          <t>T10</t>
        </is>
      </c>
      <c r="B24" s="26" t="inlineStr">
        <is>
          <t>Test scenario</t>
        </is>
      </c>
      <c r="C24" s="26" t="inlineStr">
        <is>
          <t>MOEFAS Step 3 shows the rows Primary, Secondary and Pre-University. Choosing a fee adds a column at once.</t>
        </is>
      </c>
      <c r="D24" s="26" t="inlineStr">
        <is>
          <t>TC-196, TC-197, TC-198</t>
        </is>
      </c>
      <c r="E24" s="24">
        <f>IF(D24="None",0,(LEN(D24)-LEN(SUBSTITUTE(D24,"TC-","")))/3)</f>
        <v/>
      </c>
      <c r="F24" s="24">
        <f>IF(E24&gt;0,"Yes","No")</f>
        <v/>
      </c>
    </row>
    <row r="25" ht="18" customHeight="1" s="14">
      <c r="A25" s="23" t="inlineStr">
        <is>
          <t>T11</t>
        </is>
      </c>
      <c r="B25" s="26" t="inlineStr">
        <is>
          <t>Test scenario</t>
        </is>
      </c>
      <c r="C25" s="26" t="inlineStr">
        <is>
          <t>SBFAS Step 3 shows the rows of the grades the school offers (P1 to P6).</t>
        </is>
      </c>
      <c r="D25" s="26" t="inlineStr">
        <is>
          <t>TC-201, TC-202</t>
        </is>
      </c>
      <c r="E25" s="24">
        <f>IF(D25="None",0,(LEN(D25)-LEN(SUBSTITUTE(D25,"TC-","")))/3)</f>
        <v/>
      </c>
      <c r="F25" s="24">
        <f>IF(E25&gt;0,"Yes","No")</f>
        <v/>
      </c>
    </row>
    <row r="26" ht="30.75" customHeight="1" s="14">
      <c r="A26" s="23" t="inlineStr">
        <is>
          <t>T12</t>
        </is>
      </c>
      <c r="B26" s="26" t="inlineStr">
        <is>
          <t>Test scenario</t>
        </is>
      </c>
      <c r="C26" s="26" t="inlineStr">
        <is>
          <t>Publishing SBFAS "Tier 1" that overlaps another "Tier 1" gives the overlap error. A different name (Tier 2) is allowed.</t>
        </is>
      </c>
      <c r="D26" s="26" t="inlineStr">
        <is>
          <t>TC-219, TC-220, TC-221, TC-222, TC-223, TC-228</t>
        </is>
      </c>
      <c r="E26" s="24">
        <f>IF(D26="None",0,(LEN(D26)-LEN(SUBSTITUTE(D26,"TC-","")))/3)</f>
        <v/>
      </c>
      <c r="F26" s="24">
        <f>IF(E26&gt;0,"Yes","No")</f>
        <v/>
      </c>
    </row>
    <row r="27" ht="30.75" customHeight="1" s="14">
      <c r="A27" s="23" t="inlineStr">
        <is>
          <t>T13</t>
        </is>
      </c>
      <c r="B27" s="26" t="inlineStr">
        <is>
          <t>Test scenario</t>
        </is>
      </c>
      <c r="C27" s="26" t="inlineStr">
        <is>
          <t>Add fee to an Active scheme gives a new editable column and read-only existing columns. After save the new fee is reduced for granted students.</t>
        </is>
      </c>
      <c r="D27" s="26" t="inlineStr">
        <is>
          <t>TC-232, TC-233, TC-236, TC-239</t>
        </is>
      </c>
      <c r="E27" s="24">
        <f>IF(D27="None",0,(LEN(D27)-LEN(SUBSTITUTE(D27,"TC-","")))/3)</f>
        <v/>
      </c>
      <c r="F27" s="24">
        <f>IF(E27&gt;0,"Yes","No")</f>
        <v/>
      </c>
    </row>
    <row r="28" ht="18" customHeight="1" s="14">
      <c r="A28" s="23" t="inlineStr">
        <is>
          <t>T14</t>
        </is>
      </c>
      <c r="B28" s="26" t="inlineStr">
        <is>
          <t>Test scenario</t>
        </is>
      </c>
      <c r="C28" s="26" t="inlineStr">
        <is>
          <t>Add fee on a Closed scheme: the button is not shown.</t>
        </is>
      </c>
      <c r="D28" s="26" t="inlineStr">
        <is>
          <t>TC-178, TC-231, TC-235</t>
        </is>
      </c>
      <c r="E28" s="24">
        <f>IF(D28="None",0,(LEN(D28)-LEN(SUBSTITUTE(D28,"TC-","")))/3)</f>
        <v/>
      </c>
      <c r="F28" s="24">
        <f>IF(E28&gt;0,"Yes","No")</f>
        <v/>
      </c>
    </row>
    <row r="29" ht="18" customHeight="1" s="14">
      <c r="A29" s="23" t="inlineStr">
        <is>
          <t>T15</t>
        </is>
      </c>
      <c r="B29" s="26" t="inlineStr">
        <is>
          <t>Test scenario</t>
        </is>
      </c>
      <c r="C29" s="26" t="inlineStr">
        <is>
          <t>Export with filters gives a CSV with only the filtered rows and the columns of 3.4.</t>
        </is>
      </c>
      <c r="D29" s="26" t="inlineStr">
        <is>
          <t>TC-096, TC-097, TC-098, TC-099</t>
        </is>
      </c>
      <c r="E29" s="24">
        <f>IF(D29="None",0,(LEN(D29)-LEN(SUBSTITUTE(D29,"TC-","")))/3)</f>
        <v/>
      </c>
      <c r="F29" s="24">
        <f>IF(E29&gt;0,"Yes","No")</f>
        <v/>
      </c>
    </row>
    <row r="30" ht="43.5" customHeight="1" s="14">
      <c r="A30" s="23" t="inlineStr">
        <is>
          <t>1.2</t>
        </is>
      </c>
      <c r="B30" s="26" t="inlineStr">
        <is>
          <t>Access</t>
        </is>
      </c>
      <c r="C30" s="26" t="inlineStr">
        <is>
          <t>School Admin sees SBFAS applications of the school and decides them. MOE HQ sees all applications, view only. The system routes and ranks. Schemes are managed per role (MOEFAS for MOE HQ, SBFAS for the school).</t>
        </is>
      </c>
      <c r="D30" s="26" t="inlineStr">
        <is>
          <t>TC-042, TC-043, TC-044, TC-059, TC-123, TC-157, TC-158, TC-159, TC-160, TC-161, TC-162, TC-163, TC-164</t>
        </is>
      </c>
      <c r="E30" s="24">
        <f>IF(D30="None",0,(LEN(D30)-LEN(SUBSTITUTE(D30,"TC-","")))/3)</f>
        <v/>
      </c>
      <c r="F30" s="24">
        <f>IF(E30&gt;0,"Yes","No")</f>
        <v/>
      </c>
    </row>
    <row r="31" ht="30.75" customHeight="1" s="14">
      <c r="A31" s="23" t="inlineStr">
        <is>
          <t>1.3 Priority rank</t>
        </is>
      </c>
      <c r="B31" s="26" t="inlineStr">
        <is>
          <t>Term</t>
        </is>
      </c>
      <c r="C31" s="26" t="inlineStr">
        <is>
          <t>Priority rank is the order of the MOEFAS assessment after the form closes: lowest PCI first, then lowest GHI, then earliest submitted.</t>
        </is>
      </c>
      <c r="D31" s="26" t="inlineStr">
        <is>
          <t>TC-016, TC-017, TC-018, TC-020</t>
        </is>
      </c>
      <c r="E31" s="24">
        <f>IF(D31="None",0,(LEN(D31)-LEN(SUBSTITUTE(D31,"TC-","")))/3)</f>
        <v/>
      </c>
      <c r="F31" s="24">
        <f>IF(E31&gt;0,"Yes","No")</f>
        <v/>
      </c>
    </row>
    <row r="32" ht="30.75" customHeight="1" s="14">
      <c r="A32" s="23" t="inlineStr">
        <is>
          <t>2.1 step 1</t>
        </is>
      </c>
      <c r="B32" s="26" t="inlineStr">
        <is>
          <t>Process step</t>
        </is>
      </c>
      <c r="C32" s="26" t="inlineStr">
        <is>
          <t>Submit is allowed only when the MOEFAS form or the school SBFAS form of the child is open today. Otherwise the screen blocks submit with the next opening date. History "Submitted".</t>
        </is>
      </c>
      <c r="D32" s="26" t="inlineStr">
        <is>
          <t>TC-007, TC-008, TC-009</t>
        </is>
      </c>
      <c r="E32" s="24">
        <f>IF(D32="None",0,(LEN(D32)-LEN(SUBSTITUTE(D32,"TC-","")))/3)</f>
        <v/>
      </c>
      <c r="F32" s="24">
        <f>IF(E32&gt;0,"Yes","No")</f>
        <v/>
      </c>
    </row>
    <row r="33" ht="43.5" customHeight="1" s="14">
      <c r="A33" s="23" t="inlineStr">
        <is>
          <t>2.1 step 2</t>
        </is>
      </c>
      <c r="B33" s="26" t="inlineStr">
        <is>
          <t>Process step</t>
        </is>
      </c>
      <c r="C33" s="26" t="inlineStr">
        <is>
          <t>A nationality not allowed by the open MOEFAS scheme (PR, International) makes the application SBFAS Pending for the school with the History row "SBFAS application (not eligible for MOEFAS by nationality)".</t>
        </is>
      </c>
      <c r="D33" s="26" t="inlineStr">
        <is>
          <t>TC-004, TC-005, TC-195</t>
        </is>
      </c>
      <c r="E33" s="24">
        <f>IF(D33="None",0,(LEN(D33)-LEN(SUBSTITUTE(D33,"TC-","")))/3)</f>
        <v/>
      </c>
      <c r="F33" s="24">
        <f>IF(E33&gt;0,"Yes","No")</f>
        <v/>
      </c>
    </row>
    <row r="34" ht="30.75" customHeight="1" s="14">
      <c r="A34" s="23" t="inlineStr">
        <is>
          <t>2.1 step 3</t>
        </is>
      </c>
      <c r="B34" s="26" t="inlineStr">
        <is>
          <t>Process step</t>
        </is>
      </c>
      <c r="C34" s="26" t="inlineStr">
        <is>
          <t>Otherwise the application is MOEFAS, linked to the open MOEFAS scheme, Pending, with System check Waiting and the History row "Waiting for the MOEFAS form to close on DD/MM/YYYY".</t>
        </is>
      </c>
      <c r="D34" s="26" t="inlineStr">
        <is>
          <t>TC-001, TC-002, TC-006, TC-009, TC-108</t>
        </is>
      </c>
      <c r="E34" s="24">
        <f>IF(D34="None",0,(LEN(D34)-LEN(SUBSTITUTE(D34,"TC-","")))/3)</f>
        <v/>
      </c>
      <c r="F34" s="24">
        <f>IF(E34&gt;0,"Yes","No")</f>
        <v/>
      </c>
    </row>
    <row r="35" ht="18" customHeight="1" s="14">
      <c r="A35" s="23" t="inlineStr">
        <is>
          <t>2.2 step 1</t>
        </is>
      </c>
      <c r="B35" s="26" t="inlineStr">
        <is>
          <t>Process step</t>
        </is>
      </c>
      <c r="C35" s="26" t="inlineStr">
        <is>
          <t>When the MOEFAS form closes the system takes every Pending MOEFAS application of the scheme.</t>
        </is>
      </c>
      <c r="D35" s="26" t="inlineStr">
        <is>
          <t>TC-010, TC-012, TC-014, TC-015, TC-243</t>
        </is>
      </c>
      <c r="E35" s="24">
        <f>IF(D35="None",0,(LEN(D35)-LEN(SUBSTITUTE(D35,"TC-","")))/3)</f>
        <v/>
      </c>
      <c r="F35" s="24">
        <f>IF(E35&gt;0,"Yes","No")</f>
        <v/>
      </c>
    </row>
    <row r="36" ht="30.75" customHeight="1" s="14">
      <c r="A36" s="23" t="inlineStr">
        <is>
          <t>2.2 step 2</t>
        </is>
      </c>
      <c r="B36" s="26" t="inlineStr">
        <is>
          <t>Process step</t>
        </is>
      </c>
      <c r="C36" s="26" t="inlineStr">
        <is>
          <t>The system ranks by lowest PCI, then lowest GHI, then earliest submitted. It saves rank "n of N" and the History row "Form closed, priority n of N (lowest per capita income first)".</t>
        </is>
      </c>
      <c r="D36" s="26" t="inlineStr">
        <is>
          <t>TC-010, TC-011, TC-012, TC-013, TC-015, TC-016, TC-017, TC-018, TC-019, TC-020, TC-108</t>
        </is>
      </c>
      <c r="E36" s="24">
        <f>IF(D36="None",0,(LEN(D36)-LEN(SUBSTITUTE(D36,"TC-","")))/3)</f>
        <v/>
      </c>
      <c r="F36" s="24">
        <f>IF(E36&gt;0,"Yes","No")</f>
        <v/>
      </c>
    </row>
    <row r="37" ht="57" customHeight="1" s="14">
      <c r="A37" s="23" t="inlineStr">
        <is>
          <t>2.2 step 3</t>
        </is>
      </c>
      <c r="B37" s="26" t="inlineStr">
        <is>
          <t>Process step</t>
        </is>
      </c>
      <c r="C37" s="26" t="inlineStr">
        <is>
          <t>Assessment in rank order against nationality, GHI, PCI and the match rule. Pass gives Approved by "System (auto-approved)" from Effective from (or today if later) with the level subsidy and an email. Fail with Also consider for SBFAS Yes gives SBFAS Pending for the school. Fail with No gives Rejected with the reason "Not eligible for MOEFAS" and an email.</t>
        </is>
      </c>
      <c r="D37" s="26" t="inlineStr">
        <is>
          <t>TC-015, TC-021, TC-022, TC-023, TC-024, TC-027, TC-028, TC-029, TC-030, TC-031, TC-032, TC-033, TC-035, TC-036, TC-037, TC-106, TC-107, TC-218, TC-245</t>
        </is>
      </c>
      <c r="E37" s="24">
        <f>IF(D37="None",0,(LEN(D37)-LEN(SUBSTITUTE(D37,"TC-","")))/3)</f>
        <v/>
      </c>
      <c r="F37" s="24">
        <f>IF(E37&gt;0,"Yes","No")</f>
        <v/>
      </c>
    </row>
    <row r="38" ht="18" customHeight="1" s="14">
      <c r="A38" s="23" t="inlineStr">
        <is>
          <t>2.2 step 4</t>
        </is>
      </c>
      <c r="B38" s="26" t="inlineStr">
        <is>
          <t>Process step</t>
        </is>
      </c>
      <c r="C38" s="26" t="inlineStr">
        <is>
          <t>The scheme shows "Assessed DD/MM/YYYY" and no more MOEFAS applications are accepted for it.</t>
        </is>
      </c>
      <c r="D38" s="26" t="inlineStr">
        <is>
          <t>TC-014, TC-015, TC-039, TC-040, TC-041, TC-243</t>
        </is>
      </c>
      <c r="E38" s="24">
        <f>IF(D38="None",0,(LEN(D38)-LEN(SUBSTITUTE(D38,"TC-","")))/3)</f>
        <v/>
      </c>
      <c r="F38" s="24">
        <f>IF(E38&gt;0,"Yes","No")</f>
        <v/>
      </c>
    </row>
    <row r="39" ht="43.5" customHeight="1" s="14">
      <c r="A39" s="23" t="inlineStr">
        <is>
          <t>2.3</t>
        </is>
      </c>
      <c r="B39" s="26" t="inlineStr">
        <is>
          <t>Process step</t>
        </is>
      </c>
      <c r="C39" s="26" t="inlineStr">
        <is>
          <t>The School Admin of the school approves by picking a tier or rejects with a reason and a comment. The subsidy applies from Effective from of the scheme or from today if the scheme is already in effect. The first decision is final.</t>
        </is>
      </c>
      <c r="D39" s="26" t="inlineStr">
        <is>
          <t>TC-137, TC-138</t>
        </is>
      </c>
      <c r="E39" s="24">
        <f>IF(D39="None",0,(LEN(D39)-LEN(SUBSTITUTE(D39,"TC-","")))/3)</f>
        <v/>
      </c>
      <c r="F39" s="24">
        <f>IF(E39&gt;0,"Yes","No")</f>
        <v/>
      </c>
    </row>
    <row r="40" ht="30.75" customHeight="1" s="14">
      <c r="A40" s="23" t="inlineStr">
        <is>
          <t>2.4</t>
        </is>
      </c>
      <c r="B40" s="26" t="inlineStr">
        <is>
          <t>Statuses</t>
        </is>
      </c>
      <c r="C40" s="26" t="inlineStr">
        <is>
          <t>Pending (MOEFAS waiting for the form to close or SBFAS waiting for the school), Approved and Rejected. Approved and Rejected are final. Draft applications are not shown in F4.</t>
        </is>
      </c>
      <c r="D40" s="26" t="inlineStr">
        <is>
          <t>TC-026, TC-047, TC-051, TC-054, TC-083, TC-109</t>
        </is>
      </c>
      <c r="E40" s="24">
        <f>IF(D40="None",0,(LEN(D40)-LEN(SUBSTITUTE(D40,"TC-","")))/3)</f>
        <v/>
      </c>
      <c r="F40" s="24">
        <f>IF(E40&gt;0,"Yes","No")</f>
        <v/>
      </c>
    </row>
    <row r="41" ht="30.75" customHeight="1" s="14">
      <c r="A41" s="23" t="inlineStr">
        <is>
          <t>3.1 item 1</t>
        </is>
      </c>
      <c r="B41" s="26" t="inlineStr">
        <is>
          <t>MOE HQ list</t>
        </is>
      </c>
      <c r="C41" s="26" t="inlineStr">
        <is>
          <t>Subtitle: "All schools. MOEFAS is assessed automatically by the system after its application form closes. SBFAS is decided by each school."</t>
        </is>
      </c>
      <c r="D41" s="26" t="inlineStr">
        <is>
          <t>TC-045</t>
        </is>
      </c>
      <c r="E41" s="24">
        <f>IF(D41="None",0,(LEN(D41)-LEN(SUBSTITUTE(D41,"TC-","")))/3)</f>
        <v/>
      </c>
      <c r="F41" s="24">
        <f>IF(E41&gt;0,"Yes","No")</f>
        <v/>
      </c>
    </row>
    <row r="42" ht="18" customHeight="1" s="14">
      <c r="A42" s="23" t="inlineStr">
        <is>
          <t>3.1 item 2</t>
        </is>
      </c>
      <c r="B42" s="26" t="inlineStr">
        <is>
          <t>MOE HQ list</t>
        </is>
      </c>
      <c r="C42" s="26" t="inlineStr">
        <is>
          <t>Export gives a CSV of the filtered list (3.4).</t>
        </is>
      </c>
      <c r="D42" s="26" t="inlineStr">
        <is>
          <t>TC-045, TC-096, TC-097</t>
        </is>
      </c>
      <c r="E42" s="24">
        <f>IF(D42="None",0,(LEN(D42)-LEN(SUBSTITUTE(D42,"TC-","")))/3)</f>
        <v/>
      </c>
      <c r="F42" s="24">
        <f>IF(E42&gt;0,"Yes","No")</f>
        <v/>
      </c>
    </row>
    <row r="43" ht="30.75" customHeight="1" s="14">
      <c r="A43" s="23" t="inlineStr">
        <is>
          <t>3.1 item 3</t>
        </is>
      </c>
      <c r="B43" s="26" t="inlineStr">
        <is>
          <t>MOE HQ list</t>
        </is>
      </c>
      <c r="C43" s="26" t="inlineStr">
        <is>
          <t>Cards: Total applications, MOEFAS approved, Approved (MOEFAS and SBFAS), Rejected (MOEFAS and SBFAS). They are not affected by filters.</t>
        </is>
      </c>
      <c r="D43" s="26" t="inlineStr">
        <is>
          <t>TC-025, TC-046, TC-141</t>
        </is>
      </c>
      <c r="E43" s="24">
        <f>IF(D43="None",0,(LEN(D43)-LEN(SUBSTITUTE(D43,"TC-","")))/3)</f>
        <v/>
      </c>
      <c r="F43" s="24">
        <f>IF(E43&gt;0,"Yes","No")</f>
        <v/>
      </c>
    </row>
    <row r="44" ht="18" customHeight="1" s="14">
      <c r="A44" s="23" t="inlineStr">
        <is>
          <t>3.1 item 4</t>
        </is>
      </c>
      <c r="B44" s="26" t="inlineStr">
        <is>
          <t>MOE HQ list</t>
        </is>
      </c>
      <c r="C44" s="26" t="inlineStr">
        <is>
          <t>Tabs Pending, All (default), Approved and Rejected, with counts.</t>
        </is>
      </c>
      <c r="D44" s="26" t="inlineStr">
        <is>
          <t>TC-025, TC-047, TC-048, TC-093</t>
        </is>
      </c>
      <c r="E44" s="24">
        <f>IF(D44="None",0,(LEN(D44)-LEN(SUBSTITUTE(D44,"TC-","")))/3)</f>
        <v/>
      </c>
      <c r="F44" s="24">
        <f>IF(E44&gt;0,"Yes","No")</f>
        <v/>
      </c>
    </row>
    <row r="45" ht="18" customHeight="1" s="14">
      <c r="A45" s="23" t="inlineStr">
        <is>
          <t>3.1 item 5</t>
        </is>
      </c>
      <c r="B45" s="26" t="inlineStr">
        <is>
          <t>MOE HQ list</t>
        </is>
      </c>
      <c r="C45" s="26" t="inlineStr">
        <is>
          <t>Filters: Search, School, Scheme, Grade, Tier, Status, ML risk and Submitted.</t>
        </is>
      </c>
      <c r="D45" s="26" t="inlineStr">
        <is>
          <t>TC-077</t>
        </is>
      </c>
      <c r="E45" s="24">
        <f>IF(D45="None",0,(LEN(D45)-LEN(SUBSTITUTE(D45,"TC-","")))/3)</f>
        <v/>
      </c>
      <c r="F45" s="24">
        <f>IF(E45&gt;0,"Yes","No")</f>
        <v/>
      </c>
    </row>
    <row r="46" ht="30.75" customHeight="1" s="14">
      <c r="A46" s="23" t="inlineStr">
        <is>
          <t>3.1 item 6</t>
        </is>
      </c>
      <c r="B46" s="26" t="inlineStr">
        <is>
          <t>MOE HQ list</t>
        </is>
      </c>
      <c r="C46" s="26" t="inlineStr">
        <is>
          <t>Table columns: Application, Student, School, Grade, Scheme, Submitted, System check, Tier, ML recommendation, ML risk, Status and View.</t>
        </is>
      </c>
      <c r="D46" s="26" t="inlineStr">
        <is>
          <t>TC-049</t>
        </is>
      </c>
      <c r="E46" s="24">
        <f>IF(D46="None",0,(LEN(D46)-LEN(SUBSTITUTE(D46,"TC-","")))/3)</f>
        <v/>
      </c>
      <c r="F46" s="24">
        <f>IF(E46&gt;0,"Yes","No")</f>
        <v/>
      </c>
    </row>
    <row r="47" ht="18" customHeight="1" s="14">
      <c r="A47" s="23" t="inlineStr">
        <is>
          <t>3.1 item 7</t>
        </is>
      </c>
      <c r="B47" s="26" t="inlineStr">
        <is>
          <t>MOE HQ list</t>
        </is>
      </c>
      <c r="C47" s="26" t="inlineStr">
        <is>
          <t>View opens the drawer read-only. MOE HQ has no Approve or Reject.</t>
        </is>
      </c>
      <c r="D47" s="26" t="inlineStr">
        <is>
          <t>TC-042, TC-122</t>
        </is>
      </c>
      <c r="E47" s="24">
        <f>IF(D47="None",0,(LEN(D47)-LEN(SUBSTITUTE(D47,"TC-","")))/3)</f>
        <v/>
      </c>
      <c r="F47" s="24">
        <f>IF(E47&gt;0,"Yes","No")</f>
        <v/>
      </c>
    </row>
    <row r="48" ht="30.75" customHeight="1" s="14">
      <c r="A48" s="23" t="inlineStr">
        <is>
          <t>3.1 item 8</t>
        </is>
      </c>
      <c r="B48" s="26" t="inlineStr">
        <is>
          <t>MOE HQ list</t>
        </is>
      </c>
      <c r="C48" s="26" t="inlineStr">
        <is>
          <t>Note under the table about MOEFAS (no tiers, assessed after the form closes) and SBFAS (decided by each school, view only here).</t>
        </is>
      </c>
      <c r="D48" s="26" t="inlineStr">
        <is>
          <t>TC-045</t>
        </is>
      </c>
      <c r="E48" s="24">
        <f>IF(D48="None",0,(LEN(D48)-LEN(SUBSTITUTE(D48,"TC-","")))/3)</f>
        <v/>
      </c>
      <c r="F48" s="24">
        <f>IF(E48&gt;0,"Yes","No")</f>
        <v/>
      </c>
    </row>
    <row r="49" ht="18" customHeight="1" s="14">
      <c r="A49" s="23" t="inlineStr">
        <is>
          <t>3.2 item 1</t>
        </is>
      </c>
      <c r="B49" s="26" t="inlineStr">
        <is>
          <t>School Admin list</t>
        </is>
      </c>
      <c r="C49" s="26" t="inlineStr">
        <is>
          <t>Rows are the SBFAS applications of students currently enrolled in the school only.</t>
        </is>
      </c>
      <c r="D49" s="26" t="inlineStr">
        <is>
          <t>TC-003, TC-036, TC-038, TC-059, TC-060, TC-064, TC-076</t>
        </is>
      </c>
      <c r="E49" s="24">
        <f>IF(D49="None",0,(LEN(D49)-LEN(SUBSTITUTE(D49,"TC-","")))/3)</f>
        <v/>
      </c>
      <c r="F49" s="24">
        <f>IF(E49&gt;0,"Yes","No")</f>
        <v/>
      </c>
    </row>
    <row r="50" ht="18" customHeight="1" s="14">
      <c r="A50" s="23" t="inlineStr">
        <is>
          <t>3.2 item 2</t>
        </is>
      </c>
      <c r="B50" s="26" t="inlineStr">
        <is>
          <t>School Admin list</t>
        </is>
      </c>
      <c r="C50" s="26" t="inlineStr">
        <is>
          <t>Cards: Pending (pending SBFAS), SBFAS approved (this year) and SBFAS rejected (this year).</t>
        </is>
      </c>
      <c r="D50" s="26" t="inlineStr">
        <is>
          <t>TC-036, TC-060, TC-061, TC-062, TC-140, TC-150</t>
        </is>
      </c>
      <c r="E50" s="24">
        <f>IF(D50="None",0,(LEN(D50)-LEN(SUBSTITUTE(D50,"TC-","")))/3)</f>
        <v/>
      </c>
      <c r="F50" s="24">
        <f>IF(E50&gt;0,"Yes","No")</f>
        <v/>
      </c>
    </row>
    <row r="51" ht="18" customHeight="1" s="14">
      <c r="A51" s="23" t="inlineStr">
        <is>
          <t>3.2 item 3</t>
        </is>
      </c>
      <c r="B51" s="26" t="inlineStr">
        <is>
          <t>School Admin list</t>
        </is>
      </c>
      <c r="C51" s="26" t="inlineStr">
        <is>
          <t>Tabs Pending (default), All, Approved and Rejected.</t>
        </is>
      </c>
      <c r="D51" s="26" t="inlineStr">
        <is>
          <t>TC-063, TC-140</t>
        </is>
      </c>
      <c r="E51" s="24">
        <f>IF(D51="None",0,(LEN(D51)-LEN(SUBSTITUTE(D51,"TC-","")))/3)</f>
        <v/>
      </c>
      <c r="F51" s="24">
        <f>IF(E51&gt;0,"Yes","No")</f>
        <v/>
      </c>
    </row>
    <row r="52" ht="18" customHeight="1" s="14">
      <c r="A52" s="23" t="inlineStr">
        <is>
          <t>3.2 item 4</t>
        </is>
      </c>
      <c r="B52" s="26" t="inlineStr">
        <is>
          <t>School Admin list</t>
        </is>
      </c>
      <c r="C52" s="26" t="inlineStr">
        <is>
          <t>Filters: Search, Grade, Tier, Status, ML risk and Submitted.</t>
        </is>
      </c>
      <c r="D52" s="26" t="inlineStr">
        <is>
          <t>TC-087</t>
        </is>
      </c>
      <c r="E52" s="24">
        <f>IF(D52="None",0,(LEN(D52)-LEN(SUBSTITUTE(D52,"TC-","")))/3)</f>
        <v/>
      </c>
      <c r="F52" s="24">
        <f>IF(E52&gt;0,"Yes","No")</f>
        <v/>
      </c>
    </row>
    <row r="53" ht="30.75" customHeight="1" s="14">
      <c r="A53" s="23" t="inlineStr">
        <is>
          <t>3.2 item 5</t>
        </is>
      </c>
      <c r="B53" s="26" t="inlineStr">
        <is>
          <t>School Admin list</t>
        </is>
      </c>
      <c r="C53" s="26" t="inlineStr">
        <is>
          <t>Table columns: Application, Student, Grade, Submitted, Tier, ML recommendation, ML risk, Status and Review or View.</t>
        </is>
      </c>
      <c r="D53" s="26" t="inlineStr">
        <is>
          <t>TC-065</t>
        </is>
      </c>
      <c r="E53" s="24">
        <f>IF(D53="None",0,(LEN(D53)-LEN(SUBSTITUTE(D53,"TC-","")))/3)</f>
        <v/>
      </c>
      <c r="F53" s="24">
        <f>IF(E53&gt;0,"Yes","No")</f>
        <v/>
      </c>
    </row>
    <row r="54" ht="18" customHeight="1" s="14">
      <c r="A54" s="23" t="inlineStr">
        <is>
          <t>3.2 item 6</t>
        </is>
      </c>
      <c r="B54" s="26" t="inlineStr">
        <is>
          <t>School Admin list</t>
        </is>
      </c>
      <c r="C54" s="26" t="inlineStr">
        <is>
          <t>Review (primary) for Pending SBFAS of the school and View for decided ones.</t>
        </is>
      </c>
      <c r="D54" s="26" t="inlineStr">
        <is>
          <t>TC-066</t>
        </is>
      </c>
      <c r="E54" s="24">
        <f>IF(D54="None",0,(LEN(D54)-LEN(SUBSTITUTE(D54,"TC-","")))/3)</f>
        <v/>
      </c>
      <c r="F54" s="24">
        <f>IF(E54&gt;0,"Yes","No")</f>
        <v/>
      </c>
    </row>
    <row r="55" ht="30.75" customHeight="1" s="14">
      <c r="A55" s="23" t="inlineStr">
        <is>
          <t>3.2 item 7</t>
        </is>
      </c>
      <c r="B55" s="26" t="inlineStr">
        <is>
          <t>School Admin list</t>
        </is>
      </c>
      <c r="C55" s="26" t="inlineStr">
        <is>
          <t>Note: "Tier is the SBFAS scheme your school grants. MOEFAS applications and income details are visible to MOE HQ only."</t>
        </is>
      </c>
      <c r="D55" s="26" t="inlineStr">
        <is>
          <t>TC-068</t>
        </is>
      </c>
      <c r="E55" s="24">
        <f>IF(D55="None",0,(LEN(D55)-LEN(SUBSTITUTE(D55,"TC-","")))/3)</f>
        <v/>
      </c>
      <c r="F55" s="24">
        <f>IF(E55&gt;0,"Yes","No")</f>
        <v/>
      </c>
    </row>
    <row r="56" ht="18" customHeight="1" s="14">
      <c r="A56" s="23" t="inlineStr">
        <is>
          <t>3.3</t>
        </is>
      </c>
      <c r="B56" s="26" t="inlineStr">
        <is>
          <t>Filters</t>
        </is>
      </c>
      <c r="C56" s="26" t="inlineStr">
        <is>
          <t>Filters combine with AND. Changing a filter returns to page 1.</t>
        </is>
      </c>
      <c r="D56" s="26" t="inlineStr">
        <is>
          <t>TC-048, TC-092, TC-093, TC-094, TC-095, TC-113</t>
        </is>
      </c>
      <c r="E56" s="24">
        <f>IF(D56="None",0,(LEN(D56)-LEN(SUBSTITUTE(D56,"TC-","")))/3)</f>
        <v/>
      </c>
      <c r="F56" s="24">
        <f>IF(E56&gt;0,"Yes","No")</f>
        <v/>
      </c>
    </row>
    <row r="57" ht="30.75" customHeight="1" s="14">
      <c r="A57" s="23" t="inlineStr">
        <is>
          <t>3.3 Search</t>
        </is>
      </c>
      <c r="B57" s="26" t="inlineStr">
        <is>
          <t>Filters</t>
        </is>
      </c>
      <c r="C57" s="26" t="inlineStr">
        <is>
          <t>Search matches Application ID, student name or NRIC/FIN with contains and no case sensitivity.</t>
        </is>
      </c>
      <c r="D57" s="26" t="inlineStr">
        <is>
          <t>TC-058, TC-069, TC-070, TC-071, TC-072, TC-073, TC-074, TC-075, TC-076</t>
        </is>
      </c>
      <c r="E57" s="24">
        <f>IF(D57="None",0,(LEN(D57)-LEN(SUBSTITUTE(D57,"TC-","")))/3)</f>
        <v/>
      </c>
      <c r="F57" s="24">
        <f>IF(E57&gt;0,"Yes","No")</f>
        <v/>
      </c>
    </row>
    <row r="58" ht="18" customHeight="1" s="14">
      <c r="A58" s="23" t="inlineStr">
        <is>
          <t>3.3 School</t>
        </is>
      </c>
      <c r="B58" s="26" t="inlineStr">
        <is>
          <t>Filters</t>
        </is>
      </c>
      <c r="C58" s="26" t="inlineStr">
        <is>
          <t>School filter lists All schools. MOE HQ only.</t>
        </is>
      </c>
      <c r="D58" s="26" t="inlineStr">
        <is>
          <t>TC-077, TC-087</t>
        </is>
      </c>
      <c r="E58" s="24">
        <f>IF(D58="None",0,(LEN(D58)-LEN(SUBSTITUTE(D58,"TC-","")))/3)</f>
        <v/>
      </c>
      <c r="F58" s="24">
        <f>IF(E58&gt;0,"Yes","No")</f>
        <v/>
      </c>
    </row>
    <row r="59" ht="18" customHeight="1" s="14">
      <c r="A59" s="23" t="inlineStr">
        <is>
          <t>3.3 Scheme</t>
        </is>
      </c>
      <c r="B59" s="26" t="inlineStr">
        <is>
          <t>Filters</t>
        </is>
      </c>
      <c r="C59" s="26" t="inlineStr">
        <is>
          <t>Scheme filter lists MOEFAS and SBFAS. MOE HQ only.</t>
        </is>
      </c>
      <c r="D59" s="26" t="inlineStr">
        <is>
          <t>TC-006, TC-078, TC-087</t>
        </is>
      </c>
      <c r="E59" s="24">
        <f>IF(D59="None",0,(LEN(D59)-LEN(SUBSTITUTE(D59,"TC-","")))/3)</f>
        <v/>
      </c>
      <c r="F59" s="24">
        <f>IF(E59&gt;0,"Yes","No")</f>
        <v/>
      </c>
    </row>
    <row r="60" ht="18" customHeight="1" s="14">
      <c r="A60" s="23" t="inlineStr">
        <is>
          <t>3.3 Grade</t>
        </is>
      </c>
      <c r="B60" s="26" t="inlineStr">
        <is>
          <t>Filters</t>
        </is>
      </c>
      <c r="C60" s="26" t="inlineStr">
        <is>
          <t>Grade lists the grades offered by the schools in scope (P1 to P6, S1 to S4 and so on).</t>
        </is>
      </c>
      <c r="D60" s="26" t="inlineStr">
        <is>
          <t>TC-079, TC-088</t>
        </is>
      </c>
      <c r="E60" s="24">
        <f>IF(D60="None",0,(LEN(D60)-LEN(SUBSTITUTE(D60,"TC-","")))/3)</f>
        <v/>
      </c>
      <c r="F60" s="24">
        <f>IF(E60&gt;0,"Yes","No")</f>
        <v/>
      </c>
    </row>
    <row r="61" ht="30.75" customHeight="1" s="14">
      <c r="A61" s="23" t="inlineStr">
        <is>
          <t>3.3 Tier</t>
        </is>
      </c>
      <c r="B61" s="26" t="inlineStr">
        <is>
          <t>Filters</t>
        </is>
      </c>
      <c r="C61" s="26" t="inlineStr">
        <is>
          <t>Tier lists MOEFAS and "SBFAS - {scheme name}" for MOE HQ and the SBFAS scheme names of the school for a School Admin. Pending rows match on the ML recommended tier.</t>
        </is>
      </c>
      <c r="D61" s="26" t="inlineStr">
        <is>
          <t>TC-080, TC-081, TC-082, TC-089, TC-090</t>
        </is>
      </c>
      <c r="E61" s="24">
        <f>IF(D61="None",0,(LEN(D61)-LEN(SUBSTITUTE(D61,"TC-","")))/3)</f>
        <v/>
      </c>
      <c r="F61" s="24">
        <f>IF(E61&gt;0,"Yes","No")</f>
        <v/>
      </c>
    </row>
    <row r="62" ht="18" customHeight="1" s="14">
      <c r="A62" s="23" t="inlineStr">
        <is>
          <t>3.3 Status</t>
        </is>
      </c>
      <c r="B62" s="26" t="inlineStr">
        <is>
          <t>Filters</t>
        </is>
      </c>
      <c r="C62" s="26" t="inlineStr">
        <is>
          <t>Status lists Pending, Approved and Rejected.</t>
        </is>
      </c>
      <c r="D62" s="26" t="inlineStr">
        <is>
          <t>TC-083, TC-091</t>
        </is>
      </c>
      <c r="E62" s="24">
        <f>IF(D62="None",0,(LEN(D62)-LEN(SUBSTITUTE(D62,"TC-","")))/3)</f>
        <v/>
      </c>
      <c r="F62" s="24">
        <f>IF(E62&gt;0,"Yes","No")</f>
        <v/>
      </c>
    </row>
    <row r="63" ht="18" customHeight="1" s="14">
      <c r="A63" s="23" t="inlineStr">
        <is>
          <t>3.3 ML risk</t>
        </is>
      </c>
      <c r="B63" s="26" t="inlineStr">
        <is>
          <t>Filters</t>
        </is>
      </c>
      <c r="C63" s="26" t="inlineStr">
        <is>
          <t>ML risk lists Low, Medium and High.</t>
        </is>
      </c>
      <c r="D63" s="26" t="inlineStr">
        <is>
          <t>TC-084, TC-091</t>
        </is>
      </c>
      <c r="E63" s="24">
        <f>IF(D63="None",0,(LEN(D63)-LEN(SUBSTITUTE(D63,"TC-","")))/3)</f>
        <v/>
      </c>
      <c r="F63" s="24">
        <f>IF(E63&gt;0,"Yes","No")</f>
        <v/>
      </c>
    </row>
    <row r="64" ht="18" customHeight="1" s="14">
      <c r="A64" s="23" t="inlineStr">
        <is>
          <t>3.3 Submitted</t>
        </is>
      </c>
      <c r="B64" s="26" t="inlineStr">
        <is>
          <t>Filters</t>
        </is>
      </c>
      <c r="C64" s="26" t="inlineStr">
        <is>
          <t>Submitted lists Last 7 days, Last 30 days and Any time (default).</t>
        </is>
      </c>
      <c r="D64" s="26" t="inlineStr">
        <is>
          <t>TC-085, TC-086, TC-091</t>
        </is>
      </c>
      <c r="E64" s="24">
        <f>IF(D64="None",0,(LEN(D64)-LEN(SUBSTITUTE(D64,"TC-","")))/3)</f>
        <v/>
      </c>
      <c r="F64" s="24">
        <f>IF(E64&gt;0,"Yes","No")</f>
        <v/>
      </c>
    </row>
    <row r="65" ht="18" customHeight="1" s="14">
      <c r="A65" s="23" t="inlineStr">
        <is>
          <t>3.4 Application</t>
        </is>
      </c>
      <c r="B65" s="26" t="inlineStr">
        <is>
          <t>Columns</t>
        </is>
      </c>
      <c r="C65" s="26" t="inlineStr">
        <is>
          <t>Application ID format is APP-YYYY-NNNNN.</t>
        </is>
      </c>
      <c r="D65" s="26" t="inlineStr">
        <is>
          <t>TC-049, TC-050</t>
        </is>
      </c>
      <c r="E65" s="24">
        <f>IF(D65="None",0,(LEN(D65)-LEN(SUBSTITUTE(D65,"TC-","")))/3)</f>
        <v/>
      </c>
      <c r="F65" s="24">
        <f>IF(E65&gt;0,"Yes","No")</f>
        <v/>
      </c>
    </row>
    <row r="66" ht="18" customHeight="1" s="14">
      <c r="A66" s="23" t="inlineStr">
        <is>
          <t>3.4 Student</t>
        </is>
      </c>
      <c r="B66" s="26" t="inlineStr">
        <is>
          <t>Columns</t>
        </is>
      </c>
      <c r="C66" s="26" t="inlineStr">
        <is>
          <t>Name with the NRIC/FIN under it.</t>
        </is>
      </c>
      <c r="D66" s="26" t="inlineStr">
        <is>
          <t>TC-050</t>
        </is>
      </c>
      <c r="E66" s="24">
        <f>IF(D66="None",0,(LEN(D66)-LEN(SUBSTITUTE(D66,"TC-","")))/3)</f>
        <v/>
      </c>
      <c r="F66" s="24">
        <f>IF(E66&gt;0,"Yes","No")</f>
        <v/>
      </c>
    </row>
    <row r="67" ht="18" customHeight="1" s="14">
      <c r="A67" s="23" t="inlineStr">
        <is>
          <t>3.4 School</t>
        </is>
      </c>
      <c r="B67" s="26" t="inlineStr">
        <is>
          <t>Columns</t>
        </is>
      </c>
      <c r="C67" s="26" t="inlineStr">
        <is>
          <t>School column. MOE HQ only.</t>
        </is>
      </c>
      <c r="D67" s="26" t="inlineStr">
        <is>
          <t>TC-049, TC-065</t>
        </is>
      </c>
      <c r="E67" s="24">
        <f>IF(D67="None",0,(LEN(D67)-LEN(SUBSTITUTE(D67,"TC-","")))/3)</f>
        <v/>
      </c>
      <c r="F67" s="24">
        <f>IF(E67&gt;0,"Yes","No")</f>
        <v/>
      </c>
    </row>
    <row r="68" ht="30.75" customHeight="1" s="14">
      <c r="A68" s="23" t="inlineStr">
        <is>
          <t>3.4 Grade</t>
        </is>
      </c>
      <c r="B68" s="26" t="inlineStr">
        <is>
          <t>Columns</t>
        </is>
      </c>
      <c r="C68" s="26" t="inlineStr">
        <is>
          <t>Grade of the current class of the student (P3, S1 and so on) or a dash when the student has no class.</t>
        </is>
      </c>
      <c r="D68" s="26" t="inlineStr">
        <is>
          <t>TC-053, TC-067, TC-079</t>
        </is>
      </c>
      <c r="E68" s="24">
        <f>IF(D68="None",0,(LEN(D68)-LEN(SUBSTITUTE(D68,"TC-","")))/3)</f>
        <v/>
      </c>
      <c r="F68" s="24">
        <f>IF(E68&gt;0,"Yes","No")</f>
        <v/>
      </c>
    </row>
    <row r="69" ht="18" customHeight="1" s="14">
      <c r="A69" s="23" t="inlineStr">
        <is>
          <t>3.4 Scheme</t>
        </is>
      </c>
      <c r="B69" s="26" t="inlineStr">
        <is>
          <t>Columns</t>
        </is>
      </c>
      <c r="C69" s="26" t="inlineStr">
        <is>
          <t>Scheme column (MOEFAS or SBFAS). MOE HQ only.</t>
        </is>
      </c>
      <c r="D69" s="26" t="inlineStr">
        <is>
          <t>TC-049</t>
        </is>
      </c>
      <c r="E69" s="24">
        <f>IF(D69="None",0,(LEN(D69)-LEN(SUBSTITUTE(D69,"TC-","")))/3)</f>
        <v/>
      </c>
      <c r="F69" s="24">
        <f>IF(E69&gt;0,"Yes","No")</f>
        <v/>
      </c>
    </row>
    <row r="70" ht="18" customHeight="1" s="14">
      <c r="A70" s="23" t="inlineStr">
        <is>
          <t>3.4 Submitted</t>
        </is>
      </c>
      <c r="B70" s="26" t="inlineStr">
        <is>
          <t>Columns</t>
        </is>
      </c>
      <c r="C70" s="26" t="inlineStr">
        <is>
          <t>Submitted date in DD/MM/YYYY.</t>
        </is>
      </c>
      <c r="D70" s="26" t="inlineStr">
        <is>
          <t>TC-265</t>
        </is>
      </c>
      <c r="E70" s="24">
        <f>IF(D70="None",0,(LEN(D70)-LEN(SUBSTITUTE(D70,"TC-","")))/3)</f>
        <v/>
      </c>
      <c r="F70" s="24">
        <f>IF(E70&gt;0,"Yes","No")</f>
        <v/>
      </c>
    </row>
    <row r="71" ht="30.75" customHeight="1" s="14">
      <c r="A71" s="23" t="inlineStr">
        <is>
          <t>3.4 System check</t>
        </is>
      </c>
      <c r="B71" s="26" t="inlineStr">
        <is>
          <t>Columns</t>
        </is>
      </c>
      <c r="C71" s="26" t="inlineStr">
        <is>
          <t>System check for MOE HQ only: MOEFAS Waiting (Pending), Pass (Approved) or Fail (Rejected). SBFAS shows a dash.</t>
        </is>
      </c>
      <c r="D71" s="26" t="inlineStr">
        <is>
          <t>TC-001, TC-021, TC-051, TC-065</t>
        </is>
      </c>
      <c r="E71" s="24">
        <f>IF(D71="None",0,(LEN(D71)-LEN(SUBSTITUTE(D71,"TC-","")))/3)</f>
        <v/>
      </c>
      <c r="F71" s="24">
        <f>IF(E71&gt;0,"Yes","No")</f>
        <v/>
      </c>
    </row>
    <row r="72" ht="18" customHeight="1" s="14">
      <c r="A72" s="23" t="inlineStr">
        <is>
          <t>3.4 Tier</t>
        </is>
      </c>
      <c r="B72" s="26" t="inlineStr">
        <is>
          <t>Columns</t>
        </is>
      </c>
      <c r="C72" s="26" t="inlineStr">
        <is>
          <t>SBFAS: name of the granted SBFAS scheme when Approved, otherwise empty. MOEFAS shows a dash.</t>
        </is>
      </c>
      <c r="D72" s="26" t="inlineStr">
        <is>
          <t>TC-001, TC-021, TC-052, TC-067</t>
        </is>
      </c>
      <c r="E72" s="24">
        <f>IF(D72="None",0,(LEN(D72)-LEN(SUBSTITUTE(D72,"TC-","")))/3)</f>
        <v/>
      </c>
      <c r="F72" s="24">
        <f>IF(E72&gt;0,"Yes","No")</f>
        <v/>
      </c>
    </row>
    <row r="73" ht="30.75" customHeight="1" s="14">
      <c r="A73" s="23" t="inlineStr">
        <is>
          <t>3.4 ML recommendation</t>
        </is>
      </c>
      <c r="B73" s="26" t="inlineStr">
        <is>
          <t>Columns</t>
        </is>
      </c>
      <c r="C73" s="26" t="inlineStr">
        <is>
          <t>Suggested tier only (for example "Tier 3"). A dash for MOEFAS or when no tier fits.</t>
        </is>
      </c>
      <c r="D73" s="26" t="inlineStr">
        <is>
          <t>TC-052, TC-067, TC-251</t>
        </is>
      </c>
      <c r="E73" s="24">
        <f>IF(D73="None",0,(LEN(D73)-LEN(SUBSTITUTE(D73,"TC-","")))/3)</f>
        <v/>
      </c>
      <c r="F73" s="24">
        <f>IF(E73&gt;0,"Yes","No")</f>
        <v/>
      </c>
    </row>
    <row r="74" ht="18" customHeight="1" s="14">
      <c r="A74" s="23" t="inlineStr">
        <is>
          <t>3.4 ML risk</t>
        </is>
      </c>
      <c r="B74" s="26" t="inlineStr">
        <is>
          <t>Columns</t>
        </is>
      </c>
      <c r="C74" s="26" t="inlineStr">
        <is>
          <t>ML risk is Low, Medium or High.</t>
        </is>
      </c>
      <c r="D74" s="26" t="inlineStr">
        <is>
          <t>TC-054</t>
        </is>
      </c>
      <c r="E74" s="24">
        <f>IF(D74="None",0,(LEN(D74)-LEN(SUBSTITUTE(D74,"TC-","")))/3)</f>
        <v/>
      </c>
      <c r="F74" s="24">
        <f>IF(E74&gt;0,"Yes","No")</f>
        <v/>
      </c>
    </row>
    <row r="75" ht="18" customHeight="1" s="14">
      <c r="A75" s="23" t="inlineStr">
        <is>
          <t>3.4 Status</t>
        </is>
      </c>
      <c r="B75" s="26" t="inlineStr">
        <is>
          <t>Columns</t>
        </is>
      </c>
      <c r="C75" s="26" t="inlineStr">
        <is>
          <t>Status is Pending, Approved or Rejected.</t>
        </is>
      </c>
      <c r="D75" s="26" t="inlineStr">
        <is>
          <t>TC-054</t>
        </is>
      </c>
      <c r="E75" s="24">
        <f>IF(D75="None",0,(LEN(D75)-LEN(SUBSTITUTE(D75,"TC-","")))/3)</f>
        <v/>
      </c>
      <c r="F75" s="24">
        <f>IF(E75&gt;0,"Yes","No")</f>
        <v/>
      </c>
    </row>
    <row r="76" ht="30.75" customHeight="1" s="14">
      <c r="A76" s="23" t="inlineStr">
        <is>
          <t>3.4 CSV</t>
        </is>
      </c>
      <c r="B76" s="26" t="inlineStr">
        <is>
          <t>Export</t>
        </is>
      </c>
      <c r="C76" s="26" t="inlineStr">
        <is>
          <t>CSV columns: Application, Student, NRIC, School (MOE HQ only), Grade, Scheme, Submitted, System check, Tier, ML recommendation, ML risk, Status.</t>
        </is>
      </c>
      <c r="D76" s="26" t="inlineStr">
        <is>
          <t>TC-096, TC-097, TC-098, TC-099, TC-100, TC-101</t>
        </is>
      </c>
      <c r="E76" s="24">
        <f>IF(D76="None",0,(LEN(D76)-LEN(SUBSTITUTE(D76,"TC-","")))/3)</f>
        <v/>
      </c>
      <c r="F76" s="24">
        <f>IF(E76&gt;0,"Yes","No")</f>
        <v/>
      </c>
    </row>
    <row r="77" ht="18" customHeight="1" s="14">
      <c r="A77" s="23" t="inlineStr">
        <is>
          <t>3.4 sort</t>
        </is>
      </c>
      <c r="B77" s="26" t="inlineStr">
        <is>
          <t>List</t>
        </is>
      </c>
      <c r="C77" s="26" t="inlineStr">
        <is>
          <t>Sort by Submitted, newest first.</t>
        </is>
      </c>
      <c r="D77" s="26" t="inlineStr">
        <is>
          <t>TC-055</t>
        </is>
      </c>
      <c r="E77" s="24">
        <f>IF(D77="None",0,(LEN(D77)-LEN(SUBSTITUTE(D77,"TC-","")))/3)</f>
        <v/>
      </c>
      <c r="F77" s="24">
        <f>IF(E77&gt;0,"Yes","No")</f>
        <v/>
      </c>
    </row>
    <row r="78" ht="18" customHeight="1" s="14">
      <c r="A78" s="23" t="inlineStr">
        <is>
          <t>3.4 paging</t>
        </is>
      </c>
      <c r="B78" s="26" t="inlineStr">
        <is>
          <t>List</t>
        </is>
      </c>
      <c r="C78" s="26" t="inlineStr">
        <is>
          <t>10 rows per page.</t>
        </is>
      </c>
      <c r="D78" s="26" t="inlineStr">
        <is>
          <t>TC-056, TC-057</t>
        </is>
      </c>
      <c r="E78" s="24">
        <f>IF(D78="None",0,(LEN(D78)-LEN(SUBSTITUTE(D78,"TC-","")))/3)</f>
        <v/>
      </c>
      <c r="F78" s="24">
        <f>IF(E78&gt;0,"Yes","No")</f>
        <v/>
      </c>
    </row>
    <row r="79" ht="18" customHeight="1" s="14">
      <c r="A79" s="23" t="inlineStr">
        <is>
          <t>3.4 empty</t>
        </is>
      </c>
      <c r="B79" s="26" t="inlineStr">
        <is>
          <t>List</t>
        </is>
      </c>
      <c r="C79" s="26" t="inlineStr">
        <is>
          <t>An empty result shows "No applications found."</t>
        </is>
      </c>
      <c r="D79" s="26" t="inlineStr">
        <is>
          <t>TC-058, TC-072</t>
        </is>
      </c>
      <c r="E79" s="24">
        <f>IF(D79="None",0,(LEN(D79)-LEN(SUBSTITUTE(D79,"TC-","")))/3)</f>
        <v/>
      </c>
      <c r="F79" s="24">
        <f>IF(E79&gt;0,"Yes","No")</f>
        <v/>
      </c>
    </row>
    <row r="80" ht="30.75" customHeight="1" s="14">
      <c r="A80" s="23" t="inlineStr">
        <is>
          <t>4 Header</t>
        </is>
      </c>
      <c r="B80" s="26" t="inlineStr">
        <is>
          <t>Drawer</t>
        </is>
      </c>
      <c r="C80" s="26" t="inlineStr">
        <is>
          <t>Header "MOEFAS REVIEW" or "SBFAS REVIEW", Application ID, student and school (MOE HQ) or grade (School Admin).</t>
        </is>
      </c>
      <c r="D80" s="26" t="inlineStr">
        <is>
          <t>TC-102, TC-105, TC-110, TC-111, TC-112, TC-113, TC-114, TC-115</t>
        </is>
      </c>
      <c r="E80" s="24">
        <f>IF(D80="None",0,(LEN(D80)-LEN(SUBSTITUTE(D80,"TC-","")))/3)</f>
        <v/>
      </c>
      <c r="F80" s="24">
        <f>IF(E80&gt;0,"Yes","No")</f>
        <v/>
      </c>
    </row>
    <row r="81" ht="43.5" customHeight="1" s="14">
      <c r="A81" s="23" t="inlineStr">
        <is>
          <t>4 Decision</t>
        </is>
      </c>
      <c r="B81" s="26" t="inlineStr">
        <is>
          <t>Drawer</t>
        </is>
      </c>
      <c r="C81" s="26" t="inlineStr">
        <is>
          <t>Decision block when decided: result, for MOEFAS "Granted - MOEFAS ({scheme name}) - from DD/MM/YYYY" and "Priority - n of N", for SBFAS the tier and from date, reason, comment, Decided by and date time.</t>
        </is>
      </c>
      <c r="D81" s="26" t="inlineStr">
        <is>
          <t>TC-011, TC-021, TC-106, TC-107, TC-109, TC-116</t>
        </is>
      </c>
      <c r="E81" s="24">
        <f>IF(D81="None",0,(LEN(D81)-LEN(SUBSTITUTE(D81,"TC-","")))/3)</f>
        <v/>
      </c>
      <c r="F81" s="24">
        <f>IF(E81&gt;0,"Yes","No")</f>
        <v/>
      </c>
    </row>
    <row r="82" ht="30.75" customHeight="1" s="14">
      <c r="A82" s="23" t="inlineStr">
        <is>
          <t>4 Eligibility check</t>
        </is>
      </c>
      <c r="B82" s="26" t="inlineStr">
        <is>
          <t>Drawer</t>
        </is>
      </c>
      <c r="C82" s="26" t="inlineStr">
        <is>
          <t>MOEFAS only. Blue note while Pending ("Waiting for the {scheme} form to close on DD/MM/YYYY ..."). Rows Scheme, Level, Nationality, GHI and PCI with Pass or Fail, and the closing note.</t>
        </is>
      </c>
      <c r="D82" s="26" t="inlineStr">
        <is>
          <t>TC-002, TC-027, TC-030, TC-031, TC-034, TC-102, TC-103</t>
        </is>
      </c>
      <c r="E82" s="24">
        <f>IF(D82="None",0,(LEN(D82)-LEN(SUBSTITUTE(D82,"TC-","")))/3)</f>
        <v/>
      </c>
      <c r="F82" s="24">
        <f>IF(E82&gt;0,"Yes","No")</f>
        <v/>
      </c>
    </row>
    <row r="83" ht="30.75" customHeight="1" s="14">
      <c r="A83" s="23" t="inlineStr">
        <is>
          <t>4 Student/Parent</t>
        </is>
      </c>
      <c r="B83" s="26" t="inlineStr">
        <is>
          <t>Drawer</t>
        </is>
      </c>
      <c r="C83" s="26" t="inlineStr">
        <is>
          <t>SBFAS only. Name, NRIC/FIN, Grade, Class, school (MOE HQ), citizenship, parent name and relationship, NRIC/FIN, mobile and email.</t>
        </is>
      </c>
      <c r="D83" s="26" t="inlineStr">
        <is>
          <t>TC-105, TC-114, TC-115, TC-117</t>
        </is>
      </c>
      <c r="E83" s="24">
        <f>IF(D83="None",0,(LEN(D83)-LEN(SUBSTITUTE(D83,"TC-","")))/3)</f>
        <v/>
      </c>
      <c r="F83" s="24">
        <f>IF(E83&gt;0,"Yes","No")</f>
        <v/>
      </c>
    </row>
    <row r="84" ht="30.75" customHeight="1" s="14">
      <c r="A84" s="23" t="inlineStr">
        <is>
          <t>4 Household and income</t>
        </is>
      </c>
      <c r="B84" s="26" t="inlineStr">
        <is>
          <t>Drawer</t>
        </is>
      </c>
      <c r="C84" s="26" t="inlineStr">
        <is>
          <t>GHI, household size, PCI and income source for MOEFAS and SBFAS.</t>
        </is>
      </c>
      <c r="D84" s="26" t="inlineStr">
        <is>
          <t>TC-104, TC-114</t>
        </is>
      </c>
      <c r="E84" s="24">
        <f>IF(D84="None",0,(LEN(D84)-LEN(SUBSTITUTE(D84,"TC-","")))/3)</f>
        <v/>
      </c>
      <c r="F84" s="24">
        <f>IF(E84&gt;0,"Yes","No")</f>
        <v/>
      </c>
    </row>
    <row r="85" ht="18" customHeight="1" s="14">
      <c r="A85" s="23" t="inlineStr">
        <is>
          <t>4 Context</t>
        </is>
      </c>
      <c r="B85" s="26" t="inlineStr">
        <is>
          <t>Drawer</t>
        </is>
      </c>
      <c r="C85" s="26" t="inlineStr">
        <is>
          <t>Text from F5 or F10 or "No context given."</t>
        </is>
      </c>
      <c r="D85" s="26" t="inlineStr">
        <is>
          <t>TC-104, TC-114</t>
        </is>
      </c>
      <c r="E85" s="24">
        <f>IF(D85="None",0,(LEN(D85)-LEN(SUBSTITUTE(D85,"TC-","")))/3)</f>
        <v/>
      </c>
      <c r="F85" s="24">
        <f>IF(E85&gt;0,"Yes","No")</f>
        <v/>
      </c>
    </row>
    <row r="86" ht="30.75" customHeight="1" s="14">
      <c r="A86" s="23" t="inlineStr">
        <is>
          <t>4 ML recommendation</t>
        </is>
      </c>
      <c r="B86" s="26" t="inlineStr">
        <is>
          <t>Drawer</t>
        </is>
      </c>
      <c r="C86" s="26" t="inlineStr">
        <is>
          <t>SBFAS only. The tier only with the tag "Recommendation only". Red note when the school has no SBFAS scheme for the application period.</t>
        </is>
      </c>
      <c r="D86" s="26" t="inlineStr">
        <is>
          <t>TC-105, TC-118, TC-119, TC-133, TC-254</t>
        </is>
      </c>
      <c r="E86" s="24">
        <f>IF(D86="None",0,(LEN(D86)-LEN(SUBSTITUTE(D86,"TC-","")))/3)</f>
        <v/>
      </c>
      <c r="F86" s="24">
        <f>IF(E86&gt;0,"Yes","No")</f>
        <v/>
      </c>
    </row>
    <row r="87" ht="30.75" customHeight="1" s="14">
      <c r="A87" s="23" t="inlineStr">
        <is>
          <t>4 Documents/History</t>
        </is>
      </c>
      <c r="B87" s="26" t="inlineStr">
        <is>
          <t>Drawer</t>
        </is>
      </c>
      <c r="C87" s="26" t="inlineStr">
        <is>
          <t>Files with a View link and the history oldest first.</t>
        </is>
      </c>
      <c r="D87" s="26" t="inlineStr">
        <is>
          <t>TC-002, TC-022, TC-104, TC-114</t>
        </is>
      </c>
      <c r="E87" s="24">
        <f>IF(D87="None",0,(LEN(D87)-LEN(SUBSTITUTE(D87,"TC-","")))/3)</f>
        <v/>
      </c>
      <c r="F87" s="24">
        <f>IF(E87&gt;0,"Yes","No")</f>
        <v/>
      </c>
    </row>
    <row r="88" ht="30.75" customHeight="1" s="14">
      <c r="A88" s="23" t="inlineStr">
        <is>
          <t>4 Buttons</t>
        </is>
      </c>
      <c r="B88" s="26" t="inlineStr">
        <is>
          <t>Drawer</t>
        </is>
      </c>
      <c r="C88" s="26" t="inlineStr">
        <is>
          <t>No buttons for MOEFAS. SBFAS shows Reject and Approve to the School Admin of the school for Pending only.</t>
        </is>
      </c>
      <c r="D88" s="26" t="inlineStr">
        <is>
          <t>TC-026, TC-042, TC-066, TC-121, TC-122</t>
        </is>
      </c>
      <c r="E88" s="24">
        <f>IF(D88="None",0,(LEN(D88)-LEN(SUBSTITUTE(D88,"TC-","")))/3)</f>
        <v/>
      </c>
      <c r="F88" s="24">
        <f>IF(E88&gt;0,"Yes","No")</f>
        <v/>
      </c>
    </row>
    <row r="89" ht="30.75" customHeight="1" s="14">
      <c r="A89" s="23" t="inlineStr">
        <is>
          <t>5</t>
        </is>
      </c>
      <c r="B89" s="26" t="inlineStr">
        <is>
          <t>ML</t>
        </is>
      </c>
      <c r="C89" s="26" t="inlineStr">
        <is>
          <t>The rule-based engine runs for every application. Screens show only the recommended SBFAS tier and ML risk. The engine never decides.</t>
        </is>
      </c>
      <c r="D89" s="26" t="inlineStr">
        <is>
          <t>TC-052, TC-054, TC-118</t>
        </is>
      </c>
      <c r="E89" s="24">
        <f>IF(D89="None",0,(LEN(D89)-LEN(SUBSTITUTE(D89,"TC-","")))/3)</f>
        <v/>
      </c>
      <c r="F89" s="24">
        <f>IF(E89&gt;0,"Yes","No")</f>
        <v/>
      </c>
    </row>
    <row r="90" ht="30.75" customHeight="1" s="14">
      <c r="A90" s="23" t="inlineStr">
        <is>
          <t>5 Candidate tiers</t>
        </is>
      </c>
      <c r="B90" s="26" t="inlineStr">
        <is>
          <t>ML</t>
        </is>
      </c>
      <c r="C90" s="26" t="inlineStr">
        <is>
          <t>Candidate tiers are the published SBFAS schemes of the school whose form period contains the submit date (if none, those in effect today), sorted by name.</t>
        </is>
      </c>
      <c r="D90" s="26" t="inlineStr">
        <is>
          <t>TC-124, TC-125, TC-126, TC-127, TC-249, TC-250, TC-253, TC-254</t>
        </is>
      </c>
      <c r="E90" s="24">
        <f>IF(D90="None",0,(LEN(D90)-LEN(SUBSTITUTE(D90,"TC-","")))/3)</f>
        <v/>
      </c>
      <c r="F90" s="24">
        <f>IF(E90&gt;0,"Yes","No")</f>
        <v/>
      </c>
    </row>
    <row r="91" ht="30.75" customHeight="1" s="14">
      <c r="A91" s="23" t="inlineStr">
        <is>
          <t>5 Recommended tier</t>
        </is>
      </c>
      <c r="B91" s="26" t="inlineStr">
        <is>
          <t>ML</t>
        </is>
      </c>
      <c r="C91" s="26" t="inlineStr">
        <is>
          <t>The first candidate whose eligibility the household meets. If none, the last candidate within 5 % of its limit. Otherwise a dash.</t>
        </is>
      </c>
      <c r="D91" s="26" t="inlineStr">
        <is>
          <t>TC-036, TC-081, TC-090, TC-129, TC-249, TC-250, TC-251, TC-252</t>
        </is>
      </c>
      <c r="E91" s="24">
        <f>IF(D91="None",0,(LEN(D91)-LEN(SUBSTITUTE(D91,"TC-","")))/3)</f>
        <v/>
      </c>
      <c r="F91" s="24">
        <f>IF(E91&gt;0,"Yes","No")</f>
        <v/>
      </c>
    </row>
    <row r="92" ht="18" customHeight="1" s="14">
      <c r="A92" s="23" t="inlineStr">
        <is>
          <t>5 ML risk</t>
        </is>
      </c>
      <c r="B92" s="26" t="inlineStr">
        <is>
          <t>ML</t>
        </is>
      </c>
      <c r="C92" s="26" t="inlineStr">
        <is>
          <t>Need Score 75 or more is High, 50 to 74.99 is Medium, otherwise Low.</t>
        </is>
      </c>
      <c r="D92" s="26" t="inlineStr">
        <is>
          <t>TC-255, TC-256, TC-257, TC-258, TC-259, TC-260, TC-261, TC-262</t>
        </is>
      </c>
      <c r="E92" s="24">
        <f>IF(D92="None",0,(LEN(D92)-LEN(SUBSTITUTE(D92,"TC-","")))/3)</f>
        <v/>
      </c>
      <c r="F92" s="24">
        <f>IF(E92&gt;0,"Yes","No")</f>
        <v/>
      </c>
    </row>
    <row r="93" ht="30.75" customHeight="1" s="14">
      <c r="A93" s="23" t="inlineStr">
        <is>
          <t>5 Need Score</t>
        </is>
      </c>
      <c r="B93" s="26" t="inlineStr">
        <is>
          <t>ML</t>
        </is>
      </c>
      <c r="C93" s="26" t="inlineStr">
        <is>
          <t>Need Score = 100 x sum of weight x feature: income 0.70, dependency 0.05, stability 0.10, recency of support 0.10, vulnerability 0.05. Deny rules give 0.</t>
        </is>
      </c>
      <c r="D93" s="26" t="inlineStr">
        <is>
          <t>TC-255, TC-256, TC-257, TC-258, TC-259, TC-260, TC-261, TC-262, TC-263</t>
        </is>
      </c>
      <c r="E93" s="24">
        <f>IF(D93="None",0,(LEN(D93)-LEN(SUBSTITUTE(D93,"TC-","")))/3)</f>
        <v/>
      </c>
      <c r="F93" s="24">
        <f>IF(E93&gt;0,"Yes","No")</f>
        <v/>
      </c>
    </row>
    <row r="94" ht="18" customHeight="1" s="14">
      <c r="A94" s="23" t="inlineStr">
        <is>
          <t>6.1 Subtitle</t>
        </is>
      </c>
      <c r="B94" s="26" t="inlineStr">
        <is>
          <t>Approve dialog</t>
        </is>
      </c>
      <c r="C94" s="26" t="inlineStr">
        <is>
          <t>Subtitle "FUNCTION 4 - SBFAS - {application} - {student} - {grade}".</t>
        </is>
      </c>
      <c r="D94" s="26" t="inlineStr">
        <is>
          <t>TC-124</t>
        </is>
      </c>
      <c r="E94" s="24">
        <f>IF(D94="None",0,(LEN(D94)-LEN(SUBSTITUTE(D94,"TC-","")))/3)</f>
        <v/>
      </c>
      <c r="F94" s="24">
        <f>IF(E94&gt;0,"Yes","No")</f>
        <v/>
      </c>
    </row>
    <row r="95" ht="30.75" customHeight="1" s="14">
      <c r="A95" s="23" t="inlineStr">
        <is>
          <t>6.1 Tier</t>
        </is>
      </c>
      <c r="B95" s="26" t="inlineStr">
        <is>
          <t>Approve dialog</t>
        </is>
      </c>
      <c r="C95" s="26" t="inlineStr">
        <is>
          <t>Tier lists the candidate SBFAS schemes by name. Pre-selected with the ML recommended tier (hint "ML suggests Tier n"), otherwise the last one.</t>
        </is>
      </c>
      <c r="D95" s="26" t="inlineStr">
        <is>
          <t>TC-120, TC-124, TC-125, TC-129, TC-130, TC-131, TC-132</t>
        </is>
      </c>
      <c r="E95" s="24">
        <f>IF(D95="None",0,(LEN(D95)-LEN(SUBSTITUTE(D95,"TC-","")))/3)</f>
        <v/>
      </c>
      <c r="F95" s="24">
        <f>IF(E95&gt;0,"Yes","No")</f>
        <v/>
      </c>
    </row>
    <row r="96" ht="18" customHeight="1" s="14">
      <c r="A96" s="23" t="inlineStr">
        <is>
          <t>6.1 Comment</t>
        </is>
      </c>
      <c r="B96" s="26" t="inlineStr">
        <is>
          <t>Approve dialog</t>
        </is>
      </c>
      <c r="C96" s="26" t="inlineStr">
        <is>
          <t>Comment is optional, up to 500 characters, counter n/500.</t>
        </is>
      </c>
      <c r="D96" s="26" t="inlineStr">
        <is>
          <t>TC-134, TC-135, TC-136</t>
        </is>
      </c>
      <c r="E96" s="24">
        <f>IF(D96="None",0,(LEN(D96)-LEN(SUBSTITUTE(D96,"TC-","")))/3)</f>
        <v/>
      </c>
      <c r="F96" s="24">
        <f>IF(E96&gt;0,"Yes","No")</f>
        <v/>
      </c>
    </row>
    <row r="97" ht="43.5" customHeight="1" s="14">
      <c r="A97" s="23" t="inlineStr">
        <is>
          <t>6.1 Confirm</t>
        </is>
      </c>
      <c r="B97" s="26" t="inlineStr">
        <is>
          <t>Approve dialog</t>
        </is>
      </c>
      <c r="C97" s="26" t="inlineStr">
        <is>
          <t>Confirm approval is disabled when there is no candidate scheme or the comment is over 500. Effective from is the scheme start or today. History "Approved - {tier} - from DD/MM/YYYY". Toast "Subsidy applied to the student's EA fees."</t>
        </is>
      </c>
      <c r="D97" s="26" t="inlineStr">
        <is>
          <t>TC-116, TC-119, TC-128, TC-133, TC-135, TC-137, TC-138, TC-139, TC-156, TC-246</t>
        </is>
      </c>
      <c r="E97" s="24">
        <f>IF(D97="None",0,(LEN(D97)-LEN(SUBSTITUTE(D97,"TC-","")))/3)</f>
        <v/>
      </c>
      <c r="F97" s="24">
        <f>IF(E97&gt;0,"Yes","No")</f>
        <v/>
      </c>
    </row>
    <row r="98" ht="43.5" customHeight="1" s="14">
      <c r="A98" s="23" t="inlineStr">
        <is>
          <t>6.2</t>
        </is>
      </c>
      <c r="B98" s="26" t="inlineStr">
        <is>
          <t>Reject dialog</t>
        </is>
      </c>
      <c r="C98" s="26" t="inlineStr">
        <is>
          <t>Reason (Income above limit, Not eligible nationality, Incomplete documents, Other) and Comment up to 500. Reject application is disabled until both are filled. Toast "Application rejected. Parent notified by email."</t>
        </is>
      </c>
      <c r="D98" s="26" t="inlineStr">
        <is>
          <t>TC-143, TC-144, TC-145, TC-146, TC-147, TC-148, TC-166</t>
        </is>
      </c>
      <c r="E98" s="24">
        <f>IF(D98="None",0,(LEN(D98)-LEN(SUBSTITUTE(D98,"TC-","")))/3)</f>
        <v/>
      </c>
      <c r="F98" s="24">
        <f>IF(E98&gt;0,"Yes","No")</f>
        <v/>
      </c>
    </row>
    <row r="99" ht="18" customHeight="1" s="14">
      <c r="A99" s="23" t="inlineStr">
        <is>
          <t>7.1 item 1</t>
        </is>
      </c>
      <c r="B99" s="26" t="inlineStr">
        <is>
          <t>Scheme list</t>
        </is>
      </c>
      <c r="C99" s="26" t="inlineStr">
        <is>
          <t>MOE HQ sees MOEFAS schemes only. A School Admin sees only the SBFAS schemes of the own school.</t>
        </is>
      </c>
      <c r="D99" s="26" t="inlineStr">
        <is>
          <t>TC-157, TC-158, TC-165, TC-168, TC-169, TC-170</t>
        </is>
      </c>
      <c r="E99" s="24">
        <f>IF(D99="None",0,(LEN(D99)-LEN(SUBSTITUTE(D99,"TC-","")))/3)</f>
        <v/>
      </c>
      <c r="F99" s="24">
        <f>IF(E99&gt;0,"Yes","No")</f>
        <v/>
      </c>
    </row>
    <row r="100" ht="30.75" customHeight="1" s="14">
      <c r="A100" s="23" t="inlineStr">
        <is>
          <t>7.1 item 2</t>
        </is>
      </c>
      <c r="B100" s="26" t="inlineStr">
        <is>
          <t>Scheme list</t>
        </is>
      </c>
      <c r="C100" s="26" t="inlineStr">
        <is>
          <t>Cards: Active (in effect today), Upcoming (published, not yet in effect), Closed (Effective to has passed) and Draft.</t>
        </is>
      </c>
      <c r="D100" s="26" t="inlineStr">
        <is>
          <t>TC-171, TC-175, TC-210, TC-215</t>
        </is>
      </c>
      <c r="E100" s="24">
        <f>IF(D100="None",0,(LEN(D100)-LEN(SUBSTITUTE(D100,"TC-","")))/3)</f>
        <v/>
      </c>
      <c r="F100" s="24">
        <f>IF(E100&gt;0,"Yes","No")</f>
        <v/>
      </c>
    </row>
    <row r="101" ht="43.5" customHeight="1" s="14">
      <c r="A101" s="23" t="inlineStr">
        <is>
          <t>7.1 item 3</t>
        </is>
      </c>
      <c r="B101" s="26" t="inlineStr">
        <is>
          <t>Scheme list</t>
        </is>
      </c>
      <c r="C101" s="26" t="inlineStr">
        <is>
          <t>Table: Scheme (name and "Approved automatically" or "Approved by school"), Eligibility, Application form with the badge Open, Not open yet or Closed (MOEFAS also "n waiting" or "Assessed DD/MM/YYYY"), Effective from, Effective to ("No end date"), Status and actions.</t>
        </is>
      </c>
      <c r="D101" s="26" t="inlineStr">
        <is>
          <t>TC-039, TC-041, TC-172, TC-173, TC-176, TC-177, TC-215</t>
        </is>
      </c>
      <c r="E101" s="24">
        <f>IF(D101="None",0,(LEN(D101)-LEN(SUBSTITUTE(D101,"TC-","")))/3)</f>
        <v/>
      </c>
      <c r="F101" s="24">
        <f>IF(E101&gt;0,"Yes","No")</f>
        <v/>
      </c>
    </row>
    <row r="102" ht="30.75" customHeight="1" s="14">
      <c r="A102" s="23" t="inlineStr">
        <is>
          <t>7.1 item 4</t>
        </is>
      </c>
      <c r="B102" s="26" t="inlineStr">
        <is>
          <t>Scheme list</t>
        </is>
      </c>
      <c r="C102" s="26" t="inlineStr">
        <is>
          <t>Actions: Edit for Draft, View for Published, Add fee for Active or Upcoming, and "Close form now (demo)" for MOE HQ on a MOEFAS scheme with the form Open.</t>
        </is>
      </c>
      <c r="D102" s="26" t="inlineStr">
        <is>
          <t>TC-178, TC-179, TC-210, TC-212, TC-231, TC-242, TC-244</t>
        </is>
      </c>
      <c r="E102" s="24">
        <f>IF(D102="None",0,(LEN(D102)-LEN(SUBSTITUTE(D102,"TC-","")))/3)</f>
        <v/>
      </c>
      <c r="F102" s="24">
        <f>IF(E102&gt;0,"Yes","No")</f>
        <v/>
      </c>
    </row>
    <row r="103" ht="18" customHeight="1" s="14">
      <c r="A103" s="23" t="inlineStr">
        <is>
          <t>7.1 item 5</t>
        </is>
      </c>
      <c r="B103" s="26" t="inlineStr">
        <is>
          <t>Scheme list</t>
        </is>
      </c>
      <c r="C103" s="26" t="inlineStr">
        <is>
          <t>Sort by Effective from newest first, then by name.</t>
        </is>
      </c>
      <c r="D103" s="26" t="inlineStr">
        <is>
          <t>TC-174</t>
        </is>
      </c>
      <c r="E103" s="24">
        <f>IF(D103="None",0,(LEN(D103)-LEN(SUBSTITUTE(D103,"TC-","")))/3)</f>
        <v/>
      </c>
      <c r="F103" s="24">
        <f>IF(E103&gt;0,"Yes","No")</f>
        <v/>
      </c>
    </row>
    <row r="104" ht="43.5" customHeight="1" s="14">
      <c r="A104" s="23" t="inlineStr">
        <is>
          <t>7.2 step 1</t>
        </is>
      </c>
      <c r="B104" s="26" t="inlineStr">
        <is>
          <t>Wizard</t>
        </is>
      </c>
      <c r="C104" s="26" t="inlineStr">
        <is>
          <t>General: Scheme name, Form opens, Form closes, Effective from and Effective to (empty means no end date). The scheme type comes from the role and is not shown. A blue note summarises form open, assessment and subsidy start.</t>
        </is>
      </c>
      <c r="D104" s="26" t="inlineStr">
        <is>
          <t>TC-167, TC-180, TC-181, TC-182, TC-183, TC-184, TC-187, TC-188, TC-203, TC-209, TC-214</t>
        </is>
      </c>
      <c r="E104" s="24">
        <f>IF(D104="None",0,(LEN(D104)-LEN(SUBSTITUTE(D104,"TC-","")))/3)</f>
        <v/>
      </c>
      <c r="F104" s="24">
        <f>IF(E104&gt;0,"Yes","No")</f>
        <v/>
      </c>
    </row>
    <row r="105" ht="30.75" customHeight="1" s="14">
      <c r="A105" s="23" t="inlineStr">
        <is>
          <t>7.2 step 2</t>
        </is>
      </c>
      <c r="B105" s="26" t="inlineStr">
        <is>
          <t>Wizard</t>
        </is>
      </c>
      <c r="C105" s="26" t="inlineStr">
        <is>
          <t>Eligibility: nationality (Singapore Citizen, Singapore PR, International ASEAN, International non-ASEAN), GHI band, PCI band (from and to, optional) and the match rule any or all.</t>
        </is>
      </c>
      <c r="D105" s="26" t="inlineStr">
        <is>
          <t>TC-027, TC-028, TC-029, TC-033, TC-034, TC-190, TC-193, TC-194, TC-195, TC-209, TC-214</t>
        </is>
      </c>
      <c r="E105" s="24">
        <f>IF(D105="None",0,(LEN(D105)-LEN(SUBSTITUTE(D105,"TC-","")))/3)</f>
        <v/>
      </c>
      <c r="F105" s="24">
        <f>IF(E105&gt;0,"Yes","No")</f>
        <v/>
      </c>
    </row>
    <row r="106" ht="43.5" customHeight="1" s="14">
      <c r="A106" s="23" t="inlineStr">
        <is>
          <t>7.2 step 3</t>
        </is>
      </c>
      <c r="B106" s="26" t="inlineStr">
        <is>
          <t>Wizard</t>
        </is>
      </c>
      <c r="C106" s="26" t="inlineStr">
        <is>
          <t>Subsidy: value type (Percentage of fee or Fixed amount S$), fee component select that adds a column with 0 for every row, a remove button while drafting, and rows by level (MOEFAS) or by grade (SBFAS). Each cell 0 to 100 % or S$ 0 or more.</t>
        </is>
      </c>
      <c r="D106" s="26" t="inlineStr">
        <is>
          <t>TC-196, TC-197, TC-198, TC-199, TC-200, TC-201, TC-202, TC-204, TC-205, TC-207, TC-209, TC-214</t>
        </is>
      </c>
      <c r="E106" s="24">
        <f>IF(D106="None",0,(LEN(D106)-LEN(SUBSTITUTE(D106,"TC-","")))/3)</f>
        <v/>
      </c>
      <c r="F106" s="24">
        <f>IF(E106&gt;0,"Yes","No")</f>
        <v/>
      </c>
    </row>
    <row r="107" ht="18" customHeight="1" s="14">
      <c r="A107" s="23" t="inlineStr">
        <is>
          <t>7.3</t>
        </is>
      </c>
      <c r="B107" s="26" t="inlineStr">
        <is>
          <t>Validation</t>
        </is>
      </c>
      <c r="C107" s="26" t="inlineStr">
        <is>
          <t>Draft can be saved at any time (name required).</t>
        </is>
      </c>
      <c r="D107" s="26" t="inlineStr">
        <is>
          <t>TC-167, TC-194</t>
        </is>
      </c>
      <c r="E107" s="24">
        <f>IF(D107="None",0,(LEN(D107)-LEN(SUBSTITUTE(D107,"TC-","")))/3)</f>
        <v/>
      </c>
      <c r="F107" s="24">
        <f>IF(E107&gt;0,"Yes","No")</f>
        <v/>
      </c>
    </row>
    <row r="108" ht="18" customHeight="1" s="14">
      <c r="A108" s="23" t="inlineStr">
        <is>
          <t>7.3 Name</t>
        </is>
      </c>
      <c r="B108" s="26" t="inlineStr">
        <is>
          <t>Validation</t>
        </is>
      </c>
      <c r="C108" s="26" t="inlineStr">
        <is>
          <t>"Enter a scheme name." when the name is empty.</t>
        </is>
      </c>
      <c r="D108" s="26" t="inlineStr">
        <is>
          <t>TC-183, TC-189, TC-211, TC-217</t>
        </is>
      </c>
      <c r="E108" s="24">
        <f>IF(D108="None",0,(LEN(D108)-LEN(SUBSTITUTE(D108,"TC-","")))/3)</f>
        <v/>
      </c>
      <c r="F108" s="24">
        <f>IF(E108&gt;0,"Yes","No")</f>
        <v/>
      </c>
    </row>
    <row r="109" ht="18" customHeight="1" s="14">
      <c r="A109" s="23" t="inlineStr">
        <is>
          <t>7.3 Form dates</t>
        </is>
      </c>
      <c r="B109" s="26" t="inlineStr">
        <is>
          <t>Validation</t>
        </is>
      </c>
      <c r="C109" s="26" t="inlineStr">
        <is>
          <t>"Enter Form opens and Form closes." and "Form closes must be on or after Form opens."</t>
        </is>
      </c>
      <c r="D109" s="26" t="inlineStr">
        <is>
          <t>TC-184, TC-185</t>
        </is>
      </c>
      <c r="E109" s="24">
        <f>IF(D109="None",0,(LEN(D109)-LEN(SUBSTITUTE(D109,"TC-","")))/3)</f>
        <v/>
      </c>
      <c r="F109" s="24">
        <f>IF(E109&gt;0,"Yes","No")</f>
        <v/>
      </c>
    </row>
    <row r="110" ht="30.75" customHeight="1" s="14">
      <c r="A110" s="23" t="inlineStr">
        <is>
          <t>7.3 Effective from</t>
        </is>
      </c>
      <c r="B110" s="26" t="inlineStr">
        <is>
          <t>Validation</t>
        </is>
      </c>
      <c r="C110" s="26" t="inlineStr">
        <is>
          <t>Effective from is required and after Form closes: "Effective from must be after Form closes (applications are assessed after the form closes)."</t>
        </is>
      </c>
      <c r="D110" s="26" t="inlineStr">
        <is>
          <t>TC-186</t>
        </is>
      </c>
      <c r="E110" s="24">
        <f>IF(D110="None",0,(LEN(D110)-LEN(SUBSTITUTE(D110,"TC-","")))/3)</f>
        <v/>
      </c>
      <c r="F110" s="24">
        <f>IF(E110&gt;0,"Yes","No")</f>
        <v/>
      </c>
    </row>
    <row r="111" ht="18" customHeight="1" s="14">
      <c r="A111" s="23" t="inlineStr">
        <is>
          <t>7.3 Effective to</t>
        </is>
      </c>
      <c r="B111" s="26" t="inlineStr">
        <is>
          <t>Validation</t>
        </is>
      </c>
      <c r="C111" s="26" t="inlineStr">
        <is>
          <t>"Effective to must be after Effective from."</t>
        </is>
      </c>
      <c r="D111" s="26" t="inlineStr">
        <is>
          <t>TC-187</t>
        </is>
      </c>
      <c r="E111" s="24">
        <f>IF(D111="None",0,(LEN(D111)-LEN(SUBSTITUTE(D111,"TC-","")))/3)</f>
        <v/>
      </c>
      <c r="F111" s="24">
        <f>IF(E111&gt;0,"Yes","No")</f>
        <v/>
      </c>
    </row>
    <row r="112" ht="30.75" customHeight="1" s="14">
      <c r="A112" s="23" t="inlineStr">
        <is>
          <t>7.3 Nationality and band</t>
        </is>
      </c>
      <c r="B112" s="26" t="inlineStr">
        <is>
          <t>Validation</t>
        </is>
      </c>
      <c r="C112" s="26" t="inlineStr">
        <is>
          <t>"Select at least one nationality." and "Use at least one income band (GHI or PCI)."</t>
        </is>
      </c>
      <c r="D112" s="26" t="inlineStr">
        <is>
          <t>TC-191, TC-192</t>
        </is>
      </c>
      <c r="E112" s="24">
        <f>IF(D112="None",0,(LEN(D112)-LEN(SUBSTITUTE(D112,"TC-","")))/3)</f>
        <v/>
      </c>
      <c r="F112" s="24">
        <f>IF(E112&gt;0,"Yes","No")</f>
        <v/>
      </c>
    </row>
    <row r="113" ht="18" customHeight="1" s="14">
      <c r="A113" s="23" t="inlineStr">
        <is>
          <t>7.3 Fee components</t>
        </is>
      </c>
      <c r="B113" s="26" t="inlineStr">
        <is>
          <t>Validation</t>
        </is>
      </c>
      <c r="C113" s="26" t="inlineStr">
        <is>
          <t>"Add at least one fee component." and "{row} - {fee}: enter 0-100 %." for an invalid cell.</t>
        </is>
      </c>
      <c r="D113" s="26" t="inlineStr">
        <is>
          <t>TC-204, TC-205, TC-206, TC-207, TC-208, TC-217, TC-234</t>
        </is>
      </c>
      <c r="E113" s="24">
        <f>IF(D113="None",0,(LEN(D113)-LEN(SUBSTITUTE(D113,"TC-","")))/3)</f>
        <v/>
      </c>
      <c r="F113" s="24">
        <f>IF(E113&gt;0,"Yes","No")</f>
        <v/>
      </c>
    </row>
    <row r="114" ht="30.75" customHeight="1" s="14">
      <c r="A114" s="23" t="inlineStr">
        <is>
          <t>7.3 Overlap</t>
        </is>
      </c>
      <c r="B114" s="26" t="inlineStr">
        <is>
          <t>Validation</t>
        </is>
      </c>
      <c r="C114" s="26" t="inlineStr">
        <is>
          <t>On publish the same slot must not overlap (MOEFAS: any MOEFAS, SBFAS: same school and same name). Messages for the effective period and for the form period.</t>
        </is>
      </c>
      <c r="D114" s="26" t="inlineStr">
        <is>
          <t>TC-219, TC-220, TC-221, TC-222, TC-223, TC-224, TC-225</t>
        </is>
      </c>
      <c r="E114" s="24">
        <f>IF(D114="None",0,(LEN(D114)-LEN(SUBSTITUTE(D114,"TC-","")))/3)</f>
        <v/>
      </c>
      <c r="F114" s="24">
        <f>IF(E114&gt;0,"Yes","No")</f>
        <v/>
      </c>
    </row>
    <row r="115" ht="30.75" customHeight="1" s="14">
      <c r="A115" s="23" t="inlineStr">
        <is>
          <t>7.3 Earlier scheme</t>
        </is>
      </c>
      <c r="B115" s="26" t="inlineStr">
        <is>
          <t>Validation</t>
        </is>
      </c>
      <c r="C115" s="26" t="inlineStr">
        <is>
          <t>On publish an earlier scheme of the same slot with no end date gets its Effective to set to the day before the new Effective from, with a blue note in the review.</t>
        </is>
      </c>
      <c r="D115" s="26" t="inlineStr">
        <is>
          <t>TC-226, TC-227, TC-228</t>
        </is>
      </c>
      <c r="E115" s="24">
        <f>IF(D115="None",0,(LEN(D115)-LEN(SUBSTITUTE(D115,"TC-","")))/3)</f>
        <v/>
      </c>
      <c r="F115" s="24">
        <f>IF(E115&gt;0,"Yes","No")</f>
        <v/>
      </c>
    </row>
    <row r="116" ht="30.75" customHeight="1" s="14">
      <c r="A116" s="23" t="inlineStr">
        <is>
          <t>7.3 View</t>
        </is>
      </c>
      <c r="B116" s="26" t="inlineStr">
        <is>
          <t>Validation</t>
        </is>
      </c>
      <c r="C116" s="26" t="inlineStr">
        <is>
          <t>View opens "Review scheme before publishing" with General, Eligibility and Subsidy. Publish makes the scheme view-only.</t>
        </is>
      </c>
      <c r="D116" s="26" t="inlineStr">
        <is>
          <t>TC-214, TC-215, TC-216</t>
        </is>
      </c>
      <c r="E116" s="24">
        <f>IF(D116="None",0,(LEN(D116)-LEN(SUBSTITUTE(D116,"TC-","")))/3)</f>
        <v/>
      </c>
      <c r="F116" s="24">
        <f>IF(E116&gt;0,"Yes","No")</f>
        <v/>
      </c>
    </row>
    <row r="117" ht="18" customHeight="1" s="14">
      <c r="A117" s="23" t="inlineStr">
        <is>
          <t>7.3 last line</t>
        </is>
      </c>
      <c r="B117" s="26" t="inlineStr">
        <is>
          <t>Validation</t>
        </is>
      </c>
      <c r="C117" s="26" t="inlineStr">
        <is>
          <t>Draft can be saved at any time, and publish makes the scheme view-only.</t>
        </is>
      </c>
      <c r="D117" s="26" t="inlineStr">
        <is>
          <t>TC-189, TC-210, TC-211, TC-212, TC-213, TC-225, TC-229</t>
        </is>
      </c>
      <c r="E117" s="24">
        <f>IF(D117="None",0,(LEN(D117)-LEN(SUBSTITUTE(D117,"TC-","")))/3)</f>
        <v/>
      </c>
      <c r="F117" s="24">
        <f>IF(E117&gt;0,"Yes","No")</f>
        <v/>
      </c>
    </row>
    <row r="118" ht="18" customHeight="1" s="14">
      <c r="A118" s="23" t="inlineStr">
        <is>
          <t>7.4 When</t>
        </is>
      </c>
      <c r="B118" s="26" t="inlineStr">
        <is>
          <t>Add fee</t>
        </is>
      </c>
      <c r="C118" s="26" t="inlineStr">
        <is>
          <t>The scheme is Active or Upcoming. Not for Closed or Draft schemes.</t>
        </is>
      </c>
      <c r="D118" s="26" t="inlineStr">
        <is>
          <t>TC-231, TC-235</t>
        </is>
      </c>
      <c r="E118" s="24">
        <f>IF(D118="None",0,(LEN(D118)-LEN(SUBSTITUTE(D118,"TC-","")))/3)</f>
        <v/>
      </c>
      <c r="F118" s="24">
        <f>IF(E118&gt;0,"Yes","No")</f>
        <v/>
      </c>
    </row>
    <row r="119" ht="30.75" customHeight="1" s="14">
      <c r="A119" s="23" t="inlineStr">
        <is>
          <t>7.4 Fee component</t>
        </is>
      </c>
      <c r="B119" s="26" t="inlineStr">
        <is>
          <t>Add fee</t>
        </is>
      </c>
      <c r="C119" s="26" t="inlineStr">
        <is>
          <t>Active fee components not yet in the scheme. Choosing one adds an editable column (0 for every row). A new column can be removed before saving.</t>
        </is>
      </c>
      <c r="D119" s="26" t="inlineStr">
        <is>
          <t>TC-232, TC-233</t>
        </is>
      </c>
      <c r="E119" s="24">
        <f>IF(D119="None",0,(LEN(D119)-LEN(SUBSTITUTE(D119,"TC-","")))/3)</f>
        <v/>
      </c>
      <c r="F119" s="24">
        <f>IF(E119&gt;0,"Yes","No")</f>
        <v/>
      </c>
    </row>
    <row r="120" ht="30.75" customHeight="1" s="14">
      <c r="A120" s="23" t="inlineStr">
        <is>
          <t>7.4 Existing components</t>
        </is>
      </c>
      <c r="B120" s="26" t="inlineStr">
        <is>
          <t>Add fee</t>
        </is>
      </c>
      <c r="C120" s="26" t="inlineStr">
        <is>
          <t>Existing components are read-only and cannot be removed or changed.</t>
        </is>
      </c>
      <c r="D120" s="26" t="inlineStr">
        <is>
          <t>TC-232, TC-238</t>
        </is>
      </c>
      <c r="E120" s="24">
        <f>IF(D120="None",0,(LEN(D120)-LEN(SUBSTITUTE(D120,"TC-","")))/3)</f>
        <v/>
      </c>
      <c r="F120" s="24">
        <f>IF(E120&gt;0,"Yes","No")</f>
        <v/>
      </c>
    </row>
    <row r="121" ht="43.5" customHeight="1" s="14">
      <c r="A121" s="23" t="inlineStr">
        <is>
          <t>7.4 Add to scheme</t>
        </is>
      </c>
      <c r="B121" s="26" t="inlineStr">
        <is>
          <t>Add fee</t>
        </is>
      </c>
      <c r="C121" s="26" t="inlineStr">
        <is>
          <t>Disabled until a component is added and every new cell is valid. Saves the values, records "added at / by", applies the subsidy to open fees of those components for students already granted the scheme, and future fees follow. Toast "Fee components added to the scheme."</t>
        </is>
      </c>
      <c r="D121" s="26" t="inlineStr">
        <is>
          <t>TC-234, TC-236, TC-237, TC-239, TC-240, TC-241</t>
        </is>
      </c>
      <c r="E121" s="24">
        <f>IF(D121="None",0,(LEN(D121)-LEN(SUBSTITUTE(D121,"TC-","")))/3)</f>
        <v/>
      </c>
      <c r="F121" s="24">
        <f>IF(E121&gt;0,"Yes","No")</f>
        <v/>
      </c>
    </row>
    <row r="122" ht="30.75" customHeight="1" s="14">
      <c r="A122" s="23" t="inlineStr">
        <is>
          <t>7.5</t>
        </is>
      </c>
      <c r="B122" s="26" t="inlineStr">
        <is>
          <t>Demo</t>
        </is>
      </c>
      <c r="C122" s="26" t="inlineStr">
        <is>
          <t>Close form now (demo) is for MOE HQ on a MOEFAS scheme whose form is Open. It sets Form closes to today and runs section 2.2.</t>
        </is>
      </c>
      <c r="D122" s="26" t="inlineStr">
        <is>
          <t>TC-010, TC-179, TC-242, TC-243, TC-244</t>
        </is>
      </c>
      <c r="E122" s="24">
        <f>IF(D122="None",0,(LEN(D122)-LEN(SUBSTITUTE(D122,"TC-","")))/3)</f>
        <v/>
      </c>
      <c r="F122" s="24">
        <f>IF(E122&gt;0,"Yes","No")</f>
        <v/>
      </c>
    </row>
    <row r="123" ht="43.5" customHeight="1" s="14">
      <c r="A123" s="23" t="inlineStr">
        <is>
          <t>8 MOEFAS approved</t>
        </is>
      </c>
      <c r="B123" s="26" t="inlineStr">
        <is>
          <t>After a decision</t>
        </is>
      </c>
      <c r="C123" s="26" t="inlineStr">
        <is>
          <t>Subsidy of the level applied to outstanding fees due inside the effective period and to fees published later. History "Form closed, priority n of N", "MOEFAS rules met, approved automatically" and "Email with result sent to parent".</t>
        </is>
      </c>
      <c r="D123" s="26" t="inlineStr">
        <is>
          <t>TC-021, TC-022, TC-239, TC-240, TC-245, TC-247</t>
        </is>
      </c>
      <c r="E123" s="24">
        <f>IF(D123="None",0,(LEN(D123)-LEN(SUBSTITUTE(D123,"TC-","")))/3)</f>
        <v/>
      </c>
      <c r="F123" s="24">
        <f>IF(E123&gt;0,"Yes","No")</f>
        <v/>
      </c>
    </row>
    <row r="124" ht="30.75" customHeight="1" s="14">
      <c r="A124" s="23" t="inlineStr">
        <is>
          <t>8 MOEFAS not eligible</t>
        </is>
      </c>
      <c r="B124" s="26" t="inlineStr">
        <is>
          <t>After a decision</t>
        </is>
      </c>
      <c r="C124" s="26" t="inlineStr">
        <is>
          <t>SBFAS Pending for the school (parent agreed) or Rejected with an email (parent did not agree).</t>
        </is>
      </c>
      <c r="D124" s="26" t="inlineStr">
        <is>
          <t>TC-032, TC-035, TC-036, TC-037, TC-038, TC-107, TC-247, TC-248</t>
        </is>
      </c>
      <c r="E124" s="24">
        <f>IF(D124="None",0,(LEN(D124)-LEN(SUBSTITUTE(D124,"TC-","")))/3)</f>
        <v/>
      </c>
      <c r="F124" s="24">
        <f>IF(E124&gt;0,"Yes","No")</f>
        <v/>
      </c>
    </row>
    <row r="125" ht="30.75" customHeight="1" s="14">
      <c r="A125" s="23" t="inlineStr">
        <is>
          <t>8 SBFAS approved</t>
        </is>
      </c>
      <c r="B125" s="26" t="inlineStr">
        <is>
          <t>After a decision</t>
        </is>
      </c>
      <c r="C125" s="26" t="inlineStr">
        <is>
          <t>Tier (scheme), Effective from, Comment and decided by saved. Subsidy of the grade applied to outstanding and future fees inside the effective period. Email to the parent.</t>
        </is>
      </c>
      <c r="D125" s="26" t="inlineStr">
        <is>
          <t>TC-137, TC-139, TC-246, TC-247</t>
        </is>
      </c>
      <c r="E125" s="24">
        <f>IF(D125="None",0,(LEN(D125)-LEN(SUBSTITUTE(D125,"TC-","")))/3)</f>
        <v/>
      </c>
      <c r="F125" s="24">
        <f>IF(E125&gt;0,"Yes","No")</f>
        <v/>
      </c>
    </row>
    <row r="126" ht="18" customHeight="1" s="14">
      <c r="A126" s="23" t="inlineStr">
        <is>
          <t>8 SBFAS rejected</t>
        </is>
      </c>
      <c r="B126" s="26" t="inlineStr">
        <is>
          <t>After a decision</t>
        </is>
      </c>
      <c r="C126" s="26" t="inlineStr">
        <is>
          <t>Reason and Comment saved. Email with the reason to the parent.</t>
        </is>
      </c>
      <c r="D126" s="26" t="inlineStr">
        <is>
          <t>TC-148, TC-149, TC-151, TC-247</t>
        </is>
      </c>
      <c r="E126" s="24">
        <f>IF(D126="None",0,(LEN(D126)-LEN(SUBSTITUTE(D126,"TC-","")))/3)</f>
        <v/>
      </c>
      <c r="F126" s="24">
        <f>IF(E126&gt;0,"Yes","No")</f>
        <v/>
      </c>
    </row>
    <row r="127" ht="18" customHeight="1" s="14">
      <c r="A127" s="23" t="inlineStr">
        <is>
          <t>8 Any decision</t>
        </is>
      </c>
      <c r="B127" s="26" t="inlineStr">
        <is>
          <t>After a decision</t>
        </is>
      </c>
      <c r="C127" s="26" t="inlineStr">
        <is>
          <t>Cards and tab counts update and the application becomes read-only.</t>
        </is>
      </c>
      <c r="D127" s="26" t="inlineStr">
        <is>
          <t>TC-025, TC-026, TC-140, TC-141, TC-142, TC-150, TC-152, TC-153</t>
        </is>
      </c>
      <c r="E127" s="24">
        <f>IF(D127="None",0,(LEN(D127)-LEN(SUBSTITUTE(D127,"TC-","")))/3)</f>
        <v/>
      </c>
      <c r="F127" s="24">
        <f>IF(E127&gt;0,"Yes","No")</f>
        <v/>
      </c>
    </row>
    <row r="128" ht="18" customHeight="1" s="14">
      <c r="A128" s="23" t="inlineStr">
        <is>
          <t>VR-SCH-01</t>
        </is>
      </c>
      <c r="B128" s="26" t="inlineStr">
        <is>
          <t>Validation rule</t>
        </is>
      </c>
      <c r="C128" s="26" t="inlineStr">
        <is>
          <t>Role data isolation: MOE HQ sees MOEFAS schemes only.</t>
        </is>
      </c>
      <c r="D128" s="26" t="inlineStr">
        <is>
          <t>TC-168, TC-165</t>
        </is>
      </c>
      <c r="E128" s="24">
        <f>IF(D128="None",0,(LEN(D128)-LEN(SUBSTITUTE(D128,"TC-","")))/3)</f>
        <v/>
      </c>
      <c r="F128" s="24">
        <f>IF(E128&gt;0,"Yes","No")</f>
        <v/>
      </c>
    </row>
    <row r="129" ht="18" customHeight="1" s="14">
      <c r="A129" s="23" t="inlineStr">
        <is>
          <t>VR-SCH-02</t>
        </is>
      </c>
      <c r="B129" s="26" t="inlineStr">
        <is>
          <t>Validation rule</t>
        </is>
      </c>
      <c r="C129" s="26" t="inlineStr">
        <is>
          <t>Role data isolation: School Admin sees the SBFAS schemes of the own school only.</t>
        </is>
      </c>
      <c r="D129" s="26" t="inlineStr">
        <is>
          <t>TC-169, TC-165</t>
        </is>
      </c>
      <c r="E129" s="24">
        <f>IF(D129="None",0,(LEN(D129)-LEN(SUBSTITUTE(D129,"TC-","")))/3)</f>
        <v/>
      </c>
      <c r="F129" s="24">
        <f>IF(E129&gt;0,"Yes","No")</f>
        <v/>
      </c>
    </row>
    <row r="130" ht="18" customHeight="1" s="14">
      <c r="A130" s="23" t="inlineStr">
        <is>
          <t>VR-SCH-03</t>
        </is>
      </c>
      <c r="B130" s="26" t="inlineStr">
        <is>
          <t>Validation rule</t>
        </is>
      </c>
      <c r="C130" s="26" t="inlineStr">
        <is>
          <t>Summary cards count the schemes by phase.</t>
        </is>
      </c>
      <c r="D130" s="26" t="inlineStr">
        <is>
          <t>TC-171</t>
        </is>
      </c>
      <c r="E130" s="24">
        <f>IF(D130="None",0,(LEN(D130)-LEN(SUBSTITUTE(D130,"TC-","")))/3)</f>
        <v/>
      </c>
      <c r="F130" s="24">
        <f>IF(E130&gt;0,"Yes","No")</f>
        <v/>
      </c>
    </row>
    <row r="131" ht="18" customHeight="1" s="14">
      <c r="A131" s="23" t="inlineStr">
        <is>
          <t>VR-SCH-04</t>
        </is>
      </c>
      <c r="B131" s="26" t="inlineStr">
        <is>
          <t>Validation rule</t>
        </is>
      </c>
      <c r="C131" s="26" t="inlineStr">
        <is>
          <t>Upcoming scheme definition.</t>
        </is>
      </c>
      <c r="D131" s="26" t="inlineStr">
        <is>
          <t>TC-171, TC-175</t>
        </is>
      </c>
      <c r="E131" s="24">
        <f>IF(D131="None",0,(LEN(D131)-LEN(SUBSTITUTE(D131,"TC-","")))/3)</f>
        <v/>
      </c>
      <c r="F131" s="24">
        <f>IF(E131&gt;0,"Yes","No")</f>
        <v/>
      </c>
    </row>
    <row r="132" ht="18" customHeight="1" s="14">
      <c r="A132" s="23" t="inlineStr">
        <is>
          <t>VR-SCH-05</t>
        </is>
      </c>
      <c r="B132" s="26" t="inlineStr">
        <is>
          <t>Validation rule</t>
        </is>
      </c>
      <c r="C132" s="26" t="inlineStr">
        <is>
          <t>Table column structure of the schemes list.</t>
        </is>
      </c>
      <c r="D132" s="26" t="inlineStr">
        <is>
          <t>TC-172, TC-173</t>
        </is>
      </c>
      <c r="E132" s="24">
        <f>IF(D132="None",0,(LEN(D132)-LEN(SUBSTITUTE(D132,"TC-","")))/3)</f>
        <v/>
      </c>
      <c r="F132" s="24">
        <f>IF(E132&gt;0,"Yes","No")</f>
        <v/>
      </c>
    </row>
    <row r="133" ht="18" customHeight="1" s="14">
      <c r="A133" s="23" t="inlineStr">
        <is>
          <t>VR-SCH-06</t>
        </is>
      </c>
      <c r="B133" s="26" t="inlineStr">
        <is>
          <t>Validation rule</t>
        </is>
      </c>
      <c r="C133" s="26" t="inlineStr">
        <is>
          <t>Row actions by scheme status.</t>
        </is>
      </c>
      <c r="D133" s="26" t="inlineStr">
        <is>
          <t>TC-178, TC-229, TC-231, TC-235</t>
        </is>
      </c>
      <c r="E133" s="24">
        <f>IF(D133="None",0,(LEN(D133)-LEN(SUBSTITUTE(D133,"TC-","")))/3)</f>
        <v/>
      </c>
      <c r="F133" s="24">
        <f>IF(E133&gt;0,"Yes","No")</f>
        <v/>
      </c>
    </row>
    <row r="134" ht="18" customHeight="1" s="14">
      <c r="A134" s="23" t="inlineStr">
        <is>
          <t>VR-WIZ-01</t>
        </is>
      </c>
      <c r="B134" s="26" t="inlineStr">
        <is>
          <t>Validation rule</t>
        </is>
      </c>
      <c r="C134" s="26" t="inlineStr">
        <is>
          <t>Scheme name is required.</t>
        </is>
      </c>
      <c r="D134" s="26" t="inlineStr">
        <is>
          <t>TC-183, TC-268, TC-293, TC-304</t>
        </is>
      </c>
      <c r="E134" s="24">
        <f>IF(D134="None",0,(LEN(D134)-LEN(SUBSTITUTE(D134,"TC-","")))/3)</f>
        <v/>
      </c>
      <c r="F134" s="24">
        <f>IF(E134&gt;0,"Yes","No")</f>
        <v/>
      </c>
    </row>
    <row r="135" ht="18" customHeight="1" s="14">
      <c r="A135" s="23" t="inlineStr">
        <is>
          <t>VR-WIZ-02</t>
        </is>
      </c>
      <c r="B135" s="26" t="inlineStr">
        <is>
          <t>Validation rule</t>
        </is>
      </c>
      <c r="C135" s="26" t="inlineStr">
        <is>
          <t>Scheme name length (rules document says 3 to 100, build allows 150).</t>
        </is>
      </c>
      <c r="D135" s="26" t="inlineStr">
        <is>
          <t>TC-269, TC-293, TC-306, TC-312</t>
        </is>
      </c>
      <c r="E135" s="24">
        <f>IF(D135="None",0,(LEN(D135)-LEN(SUBSTITUTE(D135,"TC-","")))/3)</f>
        <v/>
      </c>
      <c r="F135" s="24">
        <f>IF(E135&gt;0,"Yes","No")</f>
        <v/>
      </c>
    </row>
    <row r="136" ht="18" customHeight="1" s="14">
      <c r="A136" s="23" t="inlineStr">
        <is>
          <t>VR-WIZ-03</t>
        </is>
      </c>
      <c r="B136" s="26" t="inlineStr">
        <is>
          <t>Validation rule</t>
        </is>
      </c>
      <c r="C136" s="26" t="inlineStr">
        <is>
          <t>Scheme name is unique in its scope.</t>
        </is>
      </c>
      <c r="D136" s="26" t="inlineStr">
        <is>
          <t>TC-222, TC-303, TC-310, TC-314</t>
        </is>
      </c>
      <c r="E136" s="24">
        <f>IF(D136="None",0,(LEN(D136)-LEN(SUBSTITUTE(D136,"TC-","")))/3)</f>
        <v/>
      </c>
      <c r="F136" s="24">
        <f>IF(E136&gt;0,"Yes","No")</f>
        <v/>
      </c>
    </row>
    <row r="137" ht="18" customHeight="1" s="14">
      <c r="A137" s="23" t="inlineStr">
        <is>
          <t>VR-WIZ-04</t>
        </is>
      </c>
      <c r="B137" s="26" t="inlineStr">
        <is>
          <t>Validation rule</t>
        </is>
      </c>
      <c r="C137" s="26" t="inlineStr">
        <is>
          <t>Academic year is required (field not in the build, open point).</t>
        </is>
      </c>
      <c r="D137" s="26" t="inlineStr">
        <is>
          <t>None</t>
        </is>
      </c>
      <c r="E137" s="24">
        <f>IF(D137="None",0,(LEN(D137)-LEN(SUBSTITUTE(D137,"TC-","")))/3)</f>
        <v/>
      </c>
      <c r="F137" s="24">
        <f>IF(E137&gt;0,"Yes","No")</f>
        <v/>
      </c>
    </row>
    <row r="138" ht="18" customHeight="1" s="14">
      <c r="A138" s="23" t="inlineStr">
        <is>
          <t>VR-WIZ-05</t>
        </is>
      </c>
      <c r="B138" s="26" t="inlineStr">
        <is>
          <t>Validation rule</t>
        </is>
      </c>
      <c r="C138" s="26" t="inlineStr">
        <is>
          <t>Form closes is not before Form opens.</t>
        </is>
      </c>
      <c r="D138" s="26" t="inlineStr">
        <is>
          <t>TC-185, TC-271, TC-294, TC-305</t>
        </is>
      </c>
      <c r="E138" s="24">
        <f>IF(D138="None",0,(LEN(D138)-LEN(SUBSTITUTE(D138,"TC-","")))/3)</f>
        <v/>
      </c>
      <c r="F138" s="24">
        <f>IF(E138&gt;0,"Yes","No")</f>
        <v/>
      </c>
    </row>
    <row r="139" ht="18" customHeight="1" s="14">
      <c r="A139" s="23" t="inlineStr">
        <is>
          <t>VR-WIZ-06</t>
        </is>
      </c>
      <c r="B139" s="26" t="inlineStr">
        <is>
          <t>Validation rule</t>
        </is>
      </c>
      <c r="C139" s="26" t="inlineStr">
        <is>
          <t>Effective to is after Effective from.</t>
        </is>
      </c>
      <c r="D139" s="26" t="inlineStr">
        <is>
          <t>TC-187, TC-273, TC-294, TC-305</t>
        </is>
      </c>
      <c r="E139" s="24">
        <f>IF(D139="None",0,(LEN(D139)-LEN(SUBSTITUTE(D139,"TC-","")))/3)</f>
        <v/>
      </c>
      <c r="F139" s="24">
        <f>IF(E139&gt;0,"Yes","No")</f>
        <v/>
      </c>
    </row>
    <row r="140" ht="18" customHeight="1" s="14">
      <c r="A140" s="23" t="inlineStr">
        <is>
          <t>VR-WIZ-07</t>
        </is>
      </c>
      <c r="B140" s="26" t="inlineStr">
        <is>
          <t>Validation rule</t>
        </is>
      </c>
      <c r="C140" s="26" t="inlineStr">
        <is>
          <t>Effective from is after Form closes.</t>
        </is>
      </c>
      <c r="D140" s="26" t="inlineStr">
        <is>
          <t>TC-186, TC-272, TC-294, TC-305</t>
        </is>
      </c>
      <c r="E140" s="24">
        <f>IF(D140="None",0,(LEN(D140)-LEN(SUBSTITUTE(D140,"TC-","")))/3)</f>
        <v/>
      </c>
      <c r="F140" s="24">
        <f>IF(E140&gt;0,"Yes","No")</f>
        <v/>
      </c>
    </row>
    <row r="141" ht="18" customHeight="1" s="14">
      <c r="A141" s="23" t="inlineStr">
        <is>
          <t>VR-WIZ-08</t>
        </is>
      </c>
      <c r="B141" s="26" t="inlineStr">
        <is>
          <t>Validation rule</t>
        </is>
      </c>
      <c r="C141" s="26" t="inlineStr">
        <is>
          <t>Effective from is not in the past for a new scheme.</t>
        </is>
      </c>
      <c r="D141" s="26" t="inlineStr">
        <is>
          <t>TC-270, TC-295, TC-305</t>
        </is>
      </c>
      <c r="E141" s="24">
        <f>IF(D141="None",0,(LEN(D141)-LEN(SUBSTITUTE(D141,"TC-","")))/3)</f>
        <v/>
      </c>
      <c r="F141" s="24">
        <f>IF(E141&gt;0,"Yes","No")</f>
        <v/>
      </c>
    </row>
    <row r="142" ht="18" customHeight="1" s="14">
      <c r="A142" s="23" t="inlineStr">
        <is>
          <t>VR-WIZ-09</t>
        </is>
      </c>
      <c r="B142" s="26" t="inlineStr">
        <is>
          <t>Validation rule</t>
        </is>
      </c>
      <c r="C142" s="26" t="inlineStr">
        <is>
          <t>At least one eligible nationality.</t>
        </is>
      </c>
      <c r="D142" s="26" t="inlineStr">
        <is>
          <t>TC-191, TC-275, TC-298, TC-308</t>
        </is>
      </c>
      <c r="E142" s="24">
        <f>IF(D142="None",0,(LEN(D142)-LEN(SUBSTITUTE(D142,"TC-","")))/3)</f>
        <v/>
      </c>
      <c r="F142" s="24">
        <f>IF(E142&gt;0,"Yes","No")</f>
        <v/>
      </c>
    </row>
    <row r="143" ht="18" customHeight="1" s="14">
      <c r="A143" s="23" t="inlineStr">
        <is>
          <t>VR-WIZ-10</t>
        </is>
      </c>
      <c r="B143" s="26" t="inlineStr">
        <is>
          <t>Validation rule</t>
        </is>
      </c>
      <c r="C143" s="26" t="inlineStr">
        <is>
          <t>GHI limits are numbers of 0 or more.</t>
        </is>
      </c>
      <c r="D143" s="26" t="inlineStr">
        <is>
          <t>TC-194, TC-278, TC-279, TC-297, TC-313</t>
        </is>
      </c>
      <c r="E143" s="24">
        <f>IF(D143="None",0,(LEN(D143)-LEN(SUBSTITUTE(D143,"TC-","")))/3)</f>
        <v/>
      </c>
      <c r="F143" s="24">
        <f>IF(E143&gt;0,"Yes","No")</f>
        <v/>
      </c>
    </row>
    <row r="144" ht="18" customHeight="1" s="14">
      <c r="A144" s="23" t="inlineStr">
        <is>
          <t>VR-WIZ-11</t>
        </is>
      </c>
      <c r="B144" s="26" t="inlineStr">
        <is>
          <t>Validation rule</t>
        </is>
      </c>
      <c r="C144" s="26" t="inlineStr">
        <is>
          <t>PCI limits are numbers of 0 or more.</t>
        </is>
      </c>
      <c r="D144" s="26" t="inlineStr">
        <is>
          <t>TC-194, TC-277, TC-279, TC-297, TC-313</t>
        </is>
      </c>
      <c r="E144" s="24">
        <f>IF(D144="None",0,(LEN(D144)-LEN(SUBSTITUTE(D144,"TC-","")))/3)</f>
        <v/>
      </c>
      <c r="F144" s="24">
        <f>IF(E144&gt;0,"Yes","No")</f>
        <v/>
      </c>
    </row>
    <row r="145" ht="18" customHeight="1" s="14">
      <c r="A145" s="23" t="inlineStr">
        <is>
          <t>VR-WIZ-12</t>
        </is>
      </c>
      <c r="B145" s="26" t="inlineStr">
        <is>
          <t>Validation rule</t>
        </is>
      </c>
      <c r="C145" s="26" t="inlineStr">
        <is>
          <t>Income match rule.</t>
        </is>
      </c>
      <c r="D145" s="26" t="inlineStr">
        <is>
          <t>TC-190, TC-280, TC-297</t>
        </is>
      </c>
      <c r="E145" s="24">
        <f>IF(D145="None",0,(LEN(D145)-LEN(SUBSTITUTE(D145,"TC-","")))/3)</f>
        <v/>
      </c>
      <c r="F145" s="24">
        <f>IF(E145&gt;0,"Yes","No")</f>
        <v/>
      </c>
    </row>
    <row r="146" ht="18" customHeight="1" s="14">
      <c r="A146" s="23" t="inlineStr">
        <is>
          <t>VR-WIZ-13</t>
        </is>
      </c>
      <c r="B146" s="26" t="inlineStr">
        <is>
          <t>Validation rule</t>
        </is>
      </c>
      <c r="C146" s="26" t="inlineStr">
        <is>
          <t>At least one income band.</t>
        </is>
      </c>
      <c r="D146" s="26" t="inlineStr">
        <is>
          <t>TC-192, TC-276, TC-297, TC-308</t>
        </is>
      </c>
      <c r="E146" s="24">
        <f>IF(D146="None",0,(LEN(D146)-LEN(SUBSTITUTE(D146,"TC-","")))/3)</f>
        <v/>
      </c>
      <c r="F146" s="24">
        <f>IF(E146&gt;0,"Yes","No")</f>
        <v/>
      </c>
    </row>
    <row r="147" ht="18" customHeight="1" s="14">
      <c r="A147" s="23" t="inlineStr">
        <is>
          <t>VR-WIZ-14</t>
        </is>
      </c>
      <c r="B147" s="26" t="inlineStr">
        <is>
          <t>Validation rule</t>
        </is>
      </c>
      <c r="C147" s="26" t="inlineStr">
        <is>
          <t>At least one fee component.</t>
        </is>
      </c>
      <c r="D147" s="26" t="inlineStr">
        <is>
          <t>TC-196, TC-282, TC-299</t>
        </is>
      </c>
      <c r="E147" s="24">
        <f>IF(D147="None",0,(LEN(D147)-LEN(SUBSTITUTE(D147,"TC-","")))/3)</f>
        <v/>
      </c>
      <c r="F147" s="24">
        <f>IF(E147&gt;0,"Yes","No")</f>
        <v/>
      </c>
    </row>
    <row r="148" ht="18" customHeight="1" s="14">
      <c r="A148" s="23" t="inlineStr">
        <is>
          <t>VR-WIZ-15</t>
        </is>
      </c>
      <c r="B148" s="26" t="inlineStr">
        <is>
          <t>Validation rule</t>
        </is>
      </c>
      <c r="C148" s="26" t="inlineStr">
        <is>
          <t>Subsidy percentage from 0 to 100 with two decimals.</t>
        </is>
      </c>
      <c r="D148" s="26" t="inlineStr">
        <is>
          <t>TC-205, TC-206, TC-283, TC-284, TC-300, TC-301, TC-309</t>
        </is>
      </c>
      <c r="E148" s="24">
        <f>IF(D148="None",0,(LEN(D148)-LEN(SUBSTITUTE(D148,"TC-","")))/3)</f>
        <v/>
      </c>
      <c r="F148" s="24">
        <f>IF(E148&gt;0,"Yes","No")</f>
        <v/>
      </c>
    </row>
    <row r="149" ht="18" customHeight="1" s="14">
      <c r="A149" s="23" t="inlineStr">
        <is>
          <t>VR-WIZ-16</t>
        </is>
      </c>
      <c r="B149" s="26" t="inlineStr">
        <is>
          <t>Validation rule</t>
        </is>
      </c>
      <c r="C149" s="26" t="inlineStr">
        <is>
          <t>Fixed subsidy amount of 0 or more (value type not in the build).</t>
        </is>
      </c>
      <c r="D149" s="26" t="inlineStr">
        <is>
          <t>TC-207</t>
        </is>
      </c>
      <c r="E149" s="24">
        <f>IF(D149="None",0,(LEN(D149)-LEN(SUBSTITUTE(D149,"TC-","")))/3)</f>
        <v/>
      </c>
      <c r="F149" s="24">
        <f>IF(E149&gt;0,"Yes","No")</f>
        <v/>
      </c>
    </row>
    <row r="150" ht="18" customHeight="1" s="14">
      <c r="A150" s="23" t="inlineStr">
        <is>
          <t>VR-WIZ-17</t>
        </is>
      </c>
      <c r="B150" s="26" t="inlineStr">
        <is>
          <t>Validation rule</t>
        </is>
      </c>
      <c r="C150" s="26" t="inlineStr">
        <is>
          <t>Every grade has a value.</t>
        </is>
      </c>
      <c r="D150" s="26" t="inlineStr">
        <is>
          <t>TC-205, TC-288</t>
        </is>
      </c>
      <c r="E150" s="24">
        <f>IF(D150="None",0,(LEN(D150)-LEN(SUBSTITUTE(D150,"TC-","")))/3)</f>
        <v/>
      </c>
      <c r="F150" s="24">
        <f>IF(E150&gt;0,"Yes","No")</f>
        <v/>
      </c>
    </row>
    <row r="151" ht="18" customHeight="1" s="14">
      <c r="A151" s="23" t="inlineStr">
        <is>
          <t>VR-PUB-01</t>
        </is>
      </c>
      <c r="B151" s="26" t="inlineStr">
        <is>
          <t>Validation rule</t>
        </is>
      </c>
      <c r="C151" s="26" t="inlineStr">
        <is>
          <t>MOEFAS effective period overlap.</t>
        </is>
      </c>
      <c r="D151" s="26" t="inlineStr">
        <is>
          <t>TC-219</t>
        </is>
      </c>
      <c r="E151" s="24">
        <f>IF(D151="None",0,(LEN(D151)-LEN(SUBSTITUTE(D151,"TC-","")))/3)</f>
        <v/>
      </c>
      <c r="F151" s="24">
        <f>IF(E151&gt;0,"Yes","No")</f>
        <v/>
      </c>
    </row>
    <row r="152" ht="18" customHeight="1" s="14">
      <c r="A152" s="23" t="inlineStr">
        <is>
          <t>VR-PUB-02</t>
        </is>
      </c>
      <c r="B152" s="26" t="inlineStr">
        <is>
          <t>Validation rule</t>
        </is>
      </c>
      <c r="C152" s="26" t="inlineStr">
        <is>
          <t>MOEFAS form period overlap.</t>
        </is>
      </c>
      <c r="D152" s="26" t="inlineStr">
        <is>
          <t>TC-220</t>
        </is>
      </c>
      <c r="E152" s="24">
        <f>IF(D152="None",0,(LEN(D152)-LEN(SUBSTITUTE(D152,"TC-","")))/3)</f>
        <v/>
      </c>
      <c r="F152" s="24">
        <f>IF(E152&gt;0,"Yes","No")</f>
        <v/>
      </c>
    </row>
    <row r="153" ht="18" customHeight="1" s="14">
      <c r="A153" s="23" t="inlineStr">
        <is>
          <t>VR-PUB-03</t>
        </is>
      </c>
      <c r="B153" s="26" t="inlineStr">
        <is>
          <t>Validation rule</t>
        </is>
      </c>
      <c r="C153" s="26" t="inlineStr">
        <is>
          <t>Adjacent periods allowed.</t>
        </is>
      </c>
      <c r="D153" s="26" t="inlineStr">
        <is>
          <t>TC-221</t>
        </is>
      </c>
      <c r="E153" s="24">
        <f>IF(D153="None",0,(LEN(D153)-LEN(SUBSTITUTE(D153,"TC-","")))/3)</f>
        <v/>
      </c>
      <c r="F153" s="24">
        <f>IF(E153&gt;0,"Yes","No")</f>
        <v/>
      </c>
    </row>
    <row r="154" ht="18" customHeight="1" s="14">
      <c r="A154" s="23" t="inlineStr">
        <is>
          <t>VR-PUB-04</t>
        </is>
      </c>
      <c r="B154" s="26" t="inlineStr">
        <is>
          <t>Validation rule</t>
        </is>
      </c>
      <c r="C154" s="26" t="inlineStr">
        <is>
          <t>SBFAS same name overlap.</t>
        </is>
      </c>
      <c r="D154" s="26" t="inlineStr">
        <is>
          <t>TC-222</t>
        </is>
      </c>
      <c r="E154" s="24">
        <f>IF(D154="None",0,(LEN(D154)-LEN(SUBSTITUTE(D154,"TC-","")))/3)</f>
        <v/>
      </c>
      <c r="F154" s="24">
        <f>IF(E154&gt;0,"Yes","No")</f>
        <v/>
      </c>
    </row>
    <row r="155" ht="18" customHeight="1" s="14">
      <c r="A155" s="23" t="inlineStr">
        <is>
          <t>VR-PUB-05</t>
        </is>
      </c>
      <c r="B155" s="26" t="inlineStr">
        <is>
          <t>Validation rule</t>
        </is>
      </c>
      <c r="C155" s="26" t="inlineStr">
        <is>
          <t>SBFAS different name allowed.</t>
        </is>
      </c>
      <c r="D155" s="26" t="inlineStr">
        <is>
          <t>TC-223</t>
        </is>
      </c>
      <c r="E155" s="24">
        <f>IF(D155="None",0,(LEN(D155)-LEN(SUBSTITUTE(D155,"TC-","")))/3)</f>
        <v/>
      </c>
      <c r="F155" s="24">
        <f>IF(E155&gt;0,"Yes","No")</f>
        <v/>
      </c>
    </row>
    <row r="156" ht="18" customHeight="1" s="14">
      <c r="A156" s="23" t="inlineStr">
        <is>
          <t>VR-PUB-06</t>
        </is>
      </c>
      <c r="B156" s="26" t="inlineStr">
        <is>
          <t>Validation rule</t>
        </is>
      </c>
      <c r="C156" s="26" t="inlineStr">
        <is>
          <t>Draft with overlapping dates.</t>
        </is>
      </c>
      <c r="D156" s="26" t="inlineStr">
        <is>
          <t>TC-225</t>
        </is>
      </c>
      <c r="E156" s="24">
        <f>IF(D156="None",0,(LEN(D156)-LEN(SUBSTITUTE(D156,"TC-","")))/3)</f>
        <v/>
      </c>
      <c r="F156" s="24">
        <f>IF(E156&gt;0,"Yes","No")</f>
        <v/>
      </c>
    </row>
    <row r="157" ht="18" customHeight="1" s="14">
      <c r="A157" s="23" t="inlineStr">
        <is>
          <t>VR-PUB-07</t>
        </is>
      </c>
      <c r="B157" s="26" t="inlineStr">
        <is>
          <t>Validation rule</t>
        </is>
      </c>
      <c r="C157" s="26" t="inlineStr">
        <is>
          <t>Earlier scheme gets the day before as Effective to.</t>
        </is>
      </c>
      <c r="D157" s="26" t="inlineStr">
        <is>
          <t>TC-226, TC-228</t>
        </is>
      </c>
      <c r="E157" s="24">
        <f>IF(D157="None",0,(LEN(D157)-LEN(SUBSTITUTE(D157,"TC-","")))/3)</f>
        <v/>
      </c>
      <c r="F157" s="24">
        <f>IF(E157&gt;0,"Yes","No")</f>
        <v/>
      </c>
    </row>
    <row r="158" ht="18" customHeight="1" s="14">
      <c r="A158" s="23" t="inlineStr">
        <is>
          <t>VR-PUB-08</t>
        </is>
      </c>
      <c r="B158" s="26" t="inlineStr">
        <is>
          <t>Validation rule</t>
        </is>
      </c>
      <c r="C158" s="26" t="inlineStr">
        <is>
          <t>Published scheme is immutable.</t>
        </is>
      </c>
      <c r="D158" s="26" t="inlineStr">
        <is>
          <t>TC-229, TC-230</t>
        </is>
      </c>
      <c r="E158" s="24">
        <f>IF(D158="None",0,(LEN(D158)-LEN(SUBSTITUTE(D158,"TC-","")))/3)</f>
        <v/>
      </c>
      <c r="F158" s="24">
        <f>IF(E158&gt;0,"Yes","No")</f>
        <v/>
      </c>
    </row>
    <row r="159" ht="18" customHeight="1" s="14">
      <c r="A159" s="23" t="inlineStr">
        <is>
          <t>VR-FEE-01</t>
        </is>
      </c>
      <c r="B159" s="26" t="inlineStr">
        <is>
          <t>Validation rule</t>
        </is>
      </c>
      <c r="C159" s="26" t="inlineStr">
        <is>
          <t>Add fee is offered on the allowed statuses.</t>
        </is>
      </c>
      <c r="D159" s="26" t="inlineStr">
        <is>
          <t>TC-231</t>
        </is>
      </c>
      <c r="E159" s="24">
        <f>IF(D159="None",0,(LEN(D159)-LEN(SUBSTITUTE(D159,"TC-","")))/3)</f>
        <v/>
      </c>
      <c r="F159" s="24">
        <f>IF(E159&gt;0,"Yes","No")</f>
        <v/>
      </c>
    </row>
    <row r="160" ht="18" customHeight="1" s="14">
      <c r="A160" s="23" t="inlineStr">
        <is>
          <t>VR-FEE-02</t>
        </is>
      </c>
      <c r="B160" s="26" t="inlineStr">
        <is>
          <t>Validation rule</t>
        </is>
      </c>
      <c r="C160" s="26" t="inlineStr">
        <is>
          <t>Add fee is refused on a Closed scheme.</t>
        </is>
      </c>
      <c r="D160" s="26" t="inlineStr">
        <is>
          <t>TC-235</t>
        </is>
      </c>
      <c r="E160" s="24">
        <f>IF(D160="None",0,(LEN(D160)-LEN(SUBSTITUTE(D160,"TC-","")))/3)</f>
        <v/>
      </c>
      <c r="F160" s="24">
        <f>IF(E160&gt;0,"Yes","No")</f>
        <v/>
      </c>
    </row>
    <row r="161" ht="18" customHeight="1" s="14">
      <c r="A161" s="23" t="inlineStr">
        <is>
          <t>VR-FEE-03</t>
        </is>
      </c>
      <c r="B161" s="26" t="inlineStr">
        <is>
          <t>Validation rule</t>
        </is>
      </c>
      <c r="C161" s="26" t="inlineStr">
        <is>
          <t>Add fee lists only the missing components.</t>
        </is>
      </c>
      <c r="D161" s="26" t="inlineStr">
        <is>
          <t>TC-232, TC-291, TC-292</t>
        </is>
      </c>
      <c r="E161" s="24">
        <f>IF(D161="None",0,(LEN(D161)-LEN(SUBSTITUTE(D161,"TC-","")))/3)</f>
        <v/>
      </c>
      <c r="F161" s="24">
        <f>IF(E161&gt;0,"Yes","No")</f>
        <v/>
      </c>
    </row>
    <row r="162" ht="18" customHeight="1" s="14">
      <c r="A162" s="23" t="inlineStr">
        <is>
          <t>VR-FEE-04</t>
        </is>
      </c>
      <c r="B162" s="26" t="inlineStr">
        <is>
          <t>Validation rule</t>
        </is>
      </c>
      <c r="C162" s="26" t="inlineStr">
        <is>
          <t>Invalid rate blocks Add to scheme.</t>
        </is>
      </c>
      <c r="D162" s="26" t="inlineStr">
        <is>
          <t>TC-234, TC-289, TC-290, TC-311</t>
        </is>
      </c>
      <c r="E162" s="24">
        <f>IF(D162="None",0,(LEN(D162)-LEN(SUBSTITUTE(D162,"TC-","")))/3)</f>
        <v/>
      </c>
      <c r="F162" s="24">
        <f>IF(E162&gt;0,"Yes","No")</f>
        <v/>
      </c>
    </row>
    <row r="163" ht="18" customHeight="1" s="14">
      <c r="A163" s="23" t="inlineStr">
        <is>
          <t>VR-FEE-05</t>
        </is>
      </c>
      <c r="B163" s="26" t="inlineStr">
        <is>
          <t>Validation rule</t>
        </is>
      </c>
      <c r="C163" s="26" t="inlineStr">
        <is>
          <t>Existing components are locked.</t>
        </is>
      </c>
      <c r="D163" s="26" t="inlineStr">
        <is>
          <t>TC-238, TC-291</t>
        </is>
      </c>
      <c r="E163" s="24">
        <f>IF(D163="None",0,(LEN(D163)-LEN(SUBSTITUTE(D163,"TC-","")))/3)</f>
        <v/>
      </c>
      <c r="F163" s="24">
        <f>IF(E163&gt;0,"Yes","No")</f>
        <v/>
      </c>
    </row>
    <row r="164" ht="18" customHeight="1" s="14">
      <c r="A164" s="23" t="inlineStr">
        <is>
          <t>VR-FEE-06</t>
        </is>
      </c>
      <c r="B164" s="26" t="inlineStr">
        <is>
          <t>Validation rule</t>
        </is>
      </c>
      <c r="C164" s="26" t="inlineStr">
        <is>
          <t>New component is saved and applied to fees.</t>
        </is>
      </c>
      <c r="D164" s="26" t="inlineStr">
        <is>
          <t>TC-236, TC-239, TC-240, TC-241</t>
        </is>
      </c>
      <c r="E164" s="24">
        <f>IF(D164="None",0,(LEN(D164)-LEN(SUBSTITUTE(D164,"TC-","")))/3)</f>
        <v/>
      </c>
      <c r="F164" s="24">
        <f>IF(E164&gt;0,"Yes","No")</f>
        <v/>
      </c>
    </row>
    <row r="165" ht="18" customHeight="1" s="14">
      <c r="A165" s="23" t="inlineStr">
        <is>
          <t>SRCH (A4, B4)</t>
        </is>
      </c>
      <c r="B165" s="26" t="inlineStr">
        <is>
          <t>Validation rule</t>
        </is>
      </c>
      <c r="C165" s="26" t="inlineStr">
        <is>
          <t>Search box rules: length, trim, spaces only, control characters, special text, trigger.</t>
        </is>
      </c>
      <c r="D165" s="26" t="inlineStr">
        <is>
          <t>TC-069, TC-070, TC-071, TC-072, TC-073, TC-074, TC-075, TC-315, TC-316, TC-317, TC-318, TC-319</t>
        </is>
      </c>
      <c r="E165" s="24">
        <f>IF(D165="None",0,(LEN(D165)-LEN(SUBSTITUTE(D165,"TC-","")))/3)</f>
        <v/>
      </c>
      <c r="F165" s="24">
        <f>IF(E165&gt;0,"Yes","No")</f>
        <v/>
      </c>
    </row>
    <row r="166" ht="18" customHeight="1" s="14">
      <c r="A166" s="23" t="inlineStr">
        <is>
          <t>CMT-APP (E2, F2)</t>
        </is>
      </c>
      <c r="B166" s="26" t="inlineStr">
        <is>
          <t>Validation rule</t>
        </is>
      </c>
      <c r="C166" s="26" t="inlineStr">
        <is>
          <t>Approve comment rules.</t>
        </is>
      </c>
      <c r="D166" s="26" t="inlineStr">
        <is>
          <t>TC-134, TC-135, TC-136, TC-320, TC-321, TC-322, TC-323, TC-324</t>
        </is>
      </c>
      <c r="E166" s="24">
        <f>IF(D166="None",0,(LEN(D166)-LEN(SUBSTITUTE(D166,"TC-","")))/3)</f>
        <v/>
      </c>
      <c r="F166" s="24">
        <f>IF(E166&gt;0,"Yes","No")</f>
        <v/>
      </c>
    </row>
    <row r="167" ht="18" customHeight="1" s="14">
      <c r="A167" s="23" t="inlineStr">
        <is>
          <t>CMT-REJ (G2)</t>
        </is>
      </c>
      <c r="B167" s="26" t="inlineStr">
        <is>
          <t>Validation rule</t>
        </is>
      </c>
      <c r="C167" s="26" t="inlineStr">
        <is>
          <t>Reject comment rules.</t>
        </is>
      </c>
      <c r="D167" s="26" t="inlineStr">
        <is>
          <t>TC-144, TC-145, TC-166, TC-325, TC-326, TC-327</t>
        </is>
      </c>
      <c r="E167" s="24">
        <f>IF(D167="None",0,(LEN(D167)-LEN(SUBSTITUTE(D167,"TC-","")))/3)</f>
        <v/>
      </c>
      <c r="F167" s="24">
        <f>IF(E167&gt;0,"Yes","No")</f>
        <v/>
      </c>
    </row>
    <row r="168" ht="18" customHeight="1" s="14">
      <c r="A168" s="23" t="inlineStr">
        <is>
          <t>MSG (section 15)</t>
        </is>
      </c>
      <c r="B168" s="26" t="inlineStr">
        <is>
          <t>Validation rule</t>
        </is>
      </c>
      <c r="C168" s="26" t="inlineStr">
        <is>
          <t>Shared messages.</t>
        </is>
      </c>
      <c r="D168" s="26" t="inlineStr">
        <is>
          <t>TC-058, TC-072, TC-133, TC-153, TC-156, TC-162, TC-328, TC-329, TC-330, TC-331</t>
        </is>
      </c>
      <c r="E168" s="24">
        <f>IF(D168="None",0,(LEN(D168)-LEN(SUBSTITUTE(D168,"TC-","")))/3)</f>
        <v/>
      </c>
      <c r="F168" s="24">
        <f>IF(E168&gt;0,"Yes","No")</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R116"/>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6" customWidth="1" style="13" min="1" max="1"/>
    <col width="24" customWidth="1" style="13" min="2" max="2"/>
    <col width="30" customWidth="1" style="13" min="3" max="3"/>
    <col width="34" customWidth="1" style="13" min="4" max="5"/>
    <col width="30" customWidth="1" style="13" min="6" max="6"/>
    <col width="22" customWidth="1" style="13" min="7" max="8"/>
    <col width="24" customWidth="1" style="13" min="9" max="10"/>
    <col width="20" customWidth="1" style="13" min="11" max="11"/>
    <col width="16" customWidth="1" style="13" min="12" max="13"/>
    <col width="18" customWidth="1" style="13" min="14" max="14"/>
    <col width="34" customWidth="1" style="13" min="15" max="15"/>
    <col width="18" customWidth="1" style="13" min="16" max="16"/>
    <col width="12" customWidth="1" style="13" min="17" max="17"/>
    <col width="28" customWidth="1" style="13" min="18" max="18"/>
  </cols>
  <sheetData>
    <row r="1" ht="18" customHeight="1" s="14">
      <c r="A1" s="20" t="inlineStr">
        <is>
          <t>Seed data for the R4 test cases (FS F4 v1.3, sample data)</t>
        </is>
      </c>
    </row>
    <row r="2" ht="18" customHeight="1" s="14">
      <c r="A2" s="21" t="inlineStr">
        <is>
          <t>All names, IDs and amounts are sample data. The base state below is what the prototype shows after Reset data (read on 19/10/2026). The new seeds SEED-R4-N1 to N27 are not in the prototype and have to be loaded in the F4 build (ENV-R4-02) or created as the case says.</t>
        </is>
      </c>
    </row>
    <row r="4" ht="15" customHeight="1" s="14">
      <c r="A4" s="27" t="inlineStr">
        <is>
          <t>Rules for the seed</t>
        </is>
      </c>
    </row>
    <row r="5" ht="18" customHeight="1" s="14">
      <c r="A5" s="23" t="inlineStr">
        <is>
          <t>Reset</t>
        </is>
      </c>
      <c r="B5" s="26" t="inlineStr">
        <is>
          <t>Use Reset data before every case that changes data. Reset reloads the page and signs the user out.</t>
        </is>
      </c>
      <c r="C5" s="28" t="n"/>
      <c r="D5" s="28" t="n"/>
      <c r="E5" s="28" t="n"/>
      <c r="F5" s="28" t="n"/>
      <c r="G5" s="28" t="n"/>
      <c r="H5" s="28" t="n"/>
      <c r="I5" s="28" t="n"/>
      <c r="J5" s="28" t="n"/>
      <c r="K5" s="28" t="n"/>
      <c r="L5" s="28" t="n"/>
      <c r="M5" s="25" t="n"/>
    </row>
    <row r="6" ht="18" customHeight="1" s="14">
      <c r="A6" s="23" t="inlineStr">
        <is>
          <t>Date</t>
        </is>
      </c>
      <c r="B6" s="26" t="inlineStr">
        <is>
          <t>The prototype date is fixed to 18/10/2026 Singapore time. A case that needs another date uses the clock control of ENV-R4-04 and says so in its Test Data.</t>
        </is>
      </c>
      <c r="C6" s="28" t="n"/>
      <c r="D6" s="28" t="n"/>
      <c r="E6" s="28" t="n"/>
      <c r="F6" s="28" t="n"/>
      <c r="G6" s="28" t="n"/>
      <c r="H6" s="28" t="n"/>
      <c r="I6" s="28" t="n"/>
      <c r="J6" s="28" t="n"/>
      <c r="K6" s="28" t="n"/>
      <c r="L6" s="28" t="n"/>
      <c r="M6" s="25" t="n"/>
    </row>
    <row r="7" ht="18" customHeight="1" s="14">
      <c r="A7" s="23" t="inlineStr">
        <is>
          <t>Sample data</t>
        </is>
      </c>
      <c r="B7" s="26" t="inlineStr">
        <is>
          <t>All people, NRIC/FIN values, IDs and amounts are sample data. No real person is used.</t>
        </is>
      </c>
      <c r="C7" s="28" t="n"/>
      <c r="D7" s="28" t="n"/>
      <c r="E7" s="28" t="n"/>
      <c r="F7" s="28" t="n"/>
      <c r="G7" s="28" t="n"/>
      <c r="H7" s="28" t="n"/>
      <c r="I7" s="28" t="n"/>
      <c r="J7" s="28" t="n"/>
      <c r="K7" s="28" t="n"/>
      <c r="L7" s="28" t="n"/>
      <c r="M7" s="25" t="n"/>
    </row>
    <row r="8" ht="30.75" customHeight="1" s="14">
      <c r="A8" s="23" t="inlineStr">
        <is>
          <t>Where a value comes from</t>
        </is>
      </c>
      <c r="B8" s="26" t="inlineStr">
        <is>
          <t>The base state is read from the prototype by QA. Scheme limits and rules are read from the Eligibility column of the scheme list. The new seeds are QA test data built from FS F4 v1.3.</t>
        </is>
      </c>
      <c r="C8" s="28" t="n"/>
      <c r="D8" s="28" t="n"/>
      <c r="E8" s="28" t="n"/>
      <c r="F8" s="28" t="n"/>
      <c r="G8" s="28" t="n"/>
      <c r="H8" s="28" t="n"/>
      <c r="I8" s="28" t="n"/>
      <c r="J8" s="28" t="n"/>
      <c r="K8" s="28" t="n"/>
      <c r="L8" s="28" t="n"/>
      <c r="M8" s="25" t="n"/>
    </row>
    <row r="9" ht="18" customHeight="1" s="14">
      <c r="A9" s="23" t="inlineStr">
        <is>
          <t>Earlier seed</t>
        </is>
      </c>
      <c r="B9" s="26" t="inlineStr">
        <is>
          <t>The seed file of FS v1.1 (R4_FAS_Seed_Data_EN.xlsx) is not used as a whole. Its engine cases (SD-09) are reused below. The other sheets are listed under "Earlier seed items that do not apply".</t>
        </is>
      </c>
      <c r="C9" s="28" t="n"/>
      <c r="D9" s="28" t="n"/>
      <c r="E9" s="28" t="n"/>
      <c r="F9" s="28" t="n"/>
      <c r="G9" s="28" t="n"/>
      <c r="H9" s="28" t="n"/>
      <c r="I9" s="28" t="n"/>
      <c r="J9" s="28" t="n"/>
      <c r="K9" s="28" t="n"/>
      <c r="L9" s="28" t="n"/>
      <c r="M9" s="25" t="n"/>
    </row>
    <row r="10" ht="18" customHeight="1" s="14">
      <c r="A10" s="23" t="inlineStr">
        <is>
          <t>Application IDs</t>
        </is>
      </c>
      <c r="B10" s="26" t="inlineStr">
        <is>
          <t>APP-2026-00xxx means the application with that number. The cases write it as 00377 when the context is clear.</t>
        </is>
      </c>
      <c r="C10" s="28" t="n"/>
      <c r="D10" s="28" t="n"/>
      <c r="E10" s="28" t="n"/>
      <c r="F10" s="28" t="n"/>
      <c r="G10" s="28" t="n"/>
      <c r="H10" s="28" t="n"/>
      <c r="I10" s="28" t="n"/>
      <c r="J10" s="28" t="n"/>
      <c r="K10" s="28" t="n"/>
      <c r="L10" s="28" t="n"/>
      <c r="M10" s="25" t="n"/>
    </row>
    <row r="12" ht="15" customHeight="1" s="14">
      <c r="A12" s="27" t="inlineStr">
        <is>
          <t>Users (prototype sign in)</t>
        </is>
      </c>
    </row>
    <row r="13" ht="30" customHeight="1" s="14">
      <c r="A13" s="15" t="inlineStr">
        <is>
          <t>User</t>
        </is>
      </c>
      <c r="B13" s="15" t="inlineStr">
        <is>
          <t>Name</t>
        </is>
      </c>
      <c r="C13" s="15" t="inlineStr">
        <is>
          <t>Role</t>
        </is>
      </c>
      <c r="D13" s="15" t="inlineStr">
        <is>
          <t>School</t>
        </is>
      </c>
      <c r="E13" s="15" t="inlineStr">
        <is>
          <t>How to sign in</t>
        </is>
      </c>
      <c r="F13" s="15" t="inlineStr">
        <is>
          <t>Used for</t>
        </is>
      </c>
    </row>
    <row r="14" ht="43.5" customHeight="1" s="14">
      <c r="A14" s="23" t="inlineStr">
        <is>
          <t>HQ</t>
        </is>
      </c>
      <c r="B14" s="26" t="inlineStr">
        <is>
          <t>Mei Lin Tan</t>
        </is>
      </c>
      <c r="C14" s="26" t="inlineStr">
        <is>
          <t>MOE HQ Administrator</t>
        </is>
      </c>
      <c r="D14" s="26" t="inlineStr">
        <is>
          <t>All schools</t>
        </is>
      </c>
      <c r="E14" s="26" t="inlineStr">
        <is>
          <t>Admin Portal, MOE HQ, one click "Sign in with MOE account"</t>
        </is>
      </c>
      <c r="F14" s="26" t="inlineStr">
        <is>
          <t>All MOE HQ cases. View only on applications. Manages MOEFAS schemes.</t>
        </is>
      </c>
    </row>
    <row r="15" ht="43.5" customHeight="1" s="14">
      <c r="A15" s="23" t="inlineStr">
        <is>
          <t>BVP-0012</t>
        </is>
      </c>
      <c r="B15" s="26" t="inlineStr">
        <is>
          <t>Lan Nguyen</t>
        </is>
      </c>
      <c r="C15" s="26" t="inlineStr">
        <is>
          <t>School Admin</t>
        </is>
      </c>
      <c r="D15" s="26" t="inlineStr">
        <is>
          <t>Bukit View Primary</t>
        </is>
      </c>
      <c r="E15" s="26" t="inlineStr">
        <is>
          <t>Admin Portal, School user, School ID BVP-0012</t>
        </is>
      </c>
      <c r="F15" s="26" t="inlineStr">
        <is>
          <t>SBFAS review, approve and reject. SBFAS schemes. Main school user.</t>
        </is>
      </c>
    </row>
    <row r="16" ht="30.75" customHeight="1" s="14">
      <c r="A16" s="23" t="inlineStr">
        <is>
          <t>MRS-0012</t>
        </is>
      </c>
      <c r="B16" s="26" t="inlineStr">
        <is>
          <t>Farah Tan</t>
        </is>
      </c>
      <c r="C16" s="26" t="inlineStr">
        <is>
          <t>School Admin</t>
        </is>
      </c>
      <c r="D16" s="26" t="inlineStr">
        <is>
          <t>Meridian Secondary</t>
        </is>
      </c>
      <c r="E16" s="26" t="inlineStr">
        <is>
          <t>Admin Portal, School user, School ID MRS-0012</t>
        </is>
      </c>
      <c r="F16" s="26" t="inlineStr">
        <is>
          <t>Second school. Cross school and empty list cases.</t>
        </is>
      </c>
    </row>
    <row r="17" ht="30.75" customHeight="1" s="14">
      <c r="A17" s="23" t="inlineStr">
        <is>
          <t>BVP-9001</t>
        </is>
      </c>
      <c r="B17" s="26" t="inlineStr">
        <is>
          <t>(first login)</t>
        </is>
      </c>
      <c r="C17" s="26" t="inlineStr">
        <is>
          <t>School user</t>
        </is>
      </c>
      <c r="D17" s="26" t="inlineStr">
        <is>
          <t>Bukit View Primary</t>
        </is>
      </c>
      <c r="E17" s="26" t="inlineStr">
        <is>
          <t>Listed on the sign in screen as "first login"</t>
        </is>
      </c>
      <c r="F17" s="26" t="inlineStr">
        <is>
          <t>Not used by the F4 cases.</t>
        </is>
      </c>
    </row>
    <row r="19" ht="15" customHeight="1" s="14">
      <c r="A19" s="27" t="inlineStr">
        <is>
          <t>Schemes at the base state</t>
        </is>
      </c>
    </row>
    <row r="20" ht="30" customHeight="1" s="14">
      <c r="A20" s="15" t="inlineStr">
        <is>
          <t>Scheme</t>
        </is>
      </c>
      <c r="B20" s="15" t="inlineStr">
        <is>
          <t>Type</t>
        </is>
      </c>
      <c r="C20" s="15" t="inlineStr">
        <is>
          <t>School</t>
        </is>
      </c>
      <c r="D20" s="15" t="inlineStr">
        <is>
          <t>Application form</t>
        </is>
      </c>
      <c r="E20" s="15" t="inlineStr">
        <is>
          <t>Form badge at base</t>
        </is>
      </c>
      <c r="F20" s="15" t="inlineStr">
        <is>
          <t>Effective from</t>
        </is>
      </c>
      <c r="G20" s="15" t="inlineStr">
        <is>
          <t>Effective to</t>
        </is>
      </c>
      <c r="H20" s="15" t="inlineStr">
        <is>
          <t>Status at base</t>
        </is>
      </c>
      <c r="I20" s="15" t="inlineStr">
        <is>
          <t>Eligibility</t>
        </is>
      </c>
      <c r="J20" s="15" t="inlineStr">
        <is>
          <t>Components and subsidy</t>
        </is>
      </c>
    </row>
    <row r="21" ht="57" customHeight="1" s="14">
      <c r="A21" s="23" t="inlineStr">
        <is>
          <t>MOEFAS 2027</t>
        </is>
      </c>
      <c r="B21" s="26" t="inlineStr">
        <is>
          <t>MOEFAS</t>
        </is>
      </c>
      <c r="C21" s="26" t="inlineStr">
        <is>
          <t>MOE HQ</t>
        </is>
      </c>
      <c r="D21" s="26" t="inlineStr">
        <is>
          <t>01/08/2026 to 31/12/2026</t>
        </is>
      </c>
      <c r="E21" s="26" t="inlineStr">
        <is>
          <t>Open, 3 waiting</t>
        </is>
      </c>
      <c r="F21" s="26" t="inlineStr">
        <is>
          <t>01/01/2027</t>
        </is>
      </c>
      <c r="G21" s="26" t="inlineStr">
        <is>
          <t>No end date</t>
        </is>
      </c>
      <c r="H21" s="26" t="inlineStr">
        <is>
          <t>Upcoming</t>
        </is>
      </c>
      <c r="I21" s="26" t="inlineStr">
        <is>
          <t>Singapore Citizen, GHI up to S$ 4,200.00 or PCI up to S$ 1,050.00 (match rule any)</t>
        </is>
      </c>
      <c r="J21" s="26" t="inlineStr">
        <is>
          <t>Read at execution</t>
        </is>
      </c>
    </row>
    <row r="22" ht="69.75" customHeight="1" s="14">
      <c r="A22" s="23" t="inlineStr">
        <is>
          <t>MOEFAS 2026</t>
        </is>
      </c>
      <c r="B22" s="26" t="inlineStr">
        <is>
          <t>MOEFAS</t>
        </is>
      </c>
      <c r="C22" s="26" t="inlineStr">
        <is>
          <t>MOE HQ</t>
        </is>
      </c>
      <c r="D22" s="26" t="inlineStr">
        <is>
          <t>01/08/2025 to 31/12/2025</t>
        </is>
      </c>
      <c r="E22" s="26" t="inlineStr">
        <is>
          <t>Closed, Assessed 01/01/2026</t>
        </is>
      </c>
      <c r="F22" s="26" t="inlineStr">
        <is>
          <t>01/01/2026</t>
        </is>
      </c>
      <c r="G22" s="26" t="inlineStr">
        <is>
          <t>31/12/2026</t>
        </is>
      </c>
      <c r="H22" s="26" t="inlineStr">
        <is>
          <t>Active</t>
        </is>
      </c>
      <c r="I22" s="26" t="inlineStr">
        <is>
          <t>Singapore Citizen, GHI up to S$ 4,000.00 or PCI up to S$ 1,000.00</t>
        </is>
      </c>
      <c r="J22" s="26" t="inlineStr">
        <is>
          <t>School fee, Miscellaneous fee, School Transport Fee, School Meal Fee. Primary 100 %, Secondary 70 %, Pre-University 50 %</t>
        </is>
      </c>
    </row>
    <row r="23" ht="43.5" customHeight="1" s="14">
      <c r="A23" s="23" t="inlineStr">
        <is>
          <t>MOEFAS 2025</t>
        </is>
      </c>
      <c r="B23" s="26" t="inlineStr">
        <is>
          <t>MOEFAS</t>
        </is>
      </c>
      <c r="C23" s="26" t="inlineStr">
        <is>
          <t>MOE HQ</t>
        </is>
      </c>
      <c r="D23" s="26" t="inlineStr">
        <is>
          <t>01/08/2024 to 31/12/2024</t>
        </is>
      </c>
      <c r="E23" s="26" t="inlineStr">
        <is>
          <t>Closed, Assessed 01/01/2025</t>
        </is>
      </c>
      <c r="F23" s="26" t="inlineStr">
        <is>
          <t>01/01/2025</t>
        </is>
      </c>
      <c r="G23" s="26" t="inlineStr">
        <is>
          <t>31/12/2025</t>
        </is>
      </c>
      <c r="H23" s="26" t="inlineStr">
        <is>
          <t>Closed</t>
        </is>
      </c>
      <c r="I23" s="26" t="inlineStr">
        <is>
          <t>Singapore Citizen, GHI up to S$ 3,800.00 or PCI up to S$ 950.00</t>
        </is>
      </c>
      <c r="J23" s="26" t="inlineStr">
        <is>
          <t>Read at execution</t>
        </is>
      </c>
    </row>
    <row r="24" ht="30.75" customHeight="1" s="14">
      <c r="A24" s="23" t="inlineStr">
        <is>
          <t>Tier 1 (2027)</t>
        </is>
      </c>
      <c r="B24" s="26" t="inlineStr">
        <is>
          <t>SBFAS</t>
        </is>
      </c>
      <c r="C24" s="26" t="inlineStr">
        <is>
          <t>Bukit View Primary</t>
        </is>
      </c>
      <c r="D24" s="26" t="inlineStr">
        <is>
          <t>01/08/2026 to 31/12/2026</t>
        </is>
      </c>
      <c r="E24" s="26" t="inlineStr">
        <is>
          <t>Open</t>
        </is>
      </c>
      <c r="F24" s="26" t="inlineStr">
        <is>
          <t>01/01/2027</t>
        </is>
      </c>
      <c r="G24" s="26" t="inlineStr">
        <is>
          <t>No end date</t>
        </is>
      </c>
      <c r="H24" s="26" t="inlineStr">
        <is>
          <t>Upcoming</t>
        </is>
      </c>
      <c r="I24" s="26" t="inlineStr">
        <is>
          <t>Citizen and PR, PCI up to S$ 600.00</t>
        </is>
      </c>
      <c r="J24" s="26" t="inlineStr">
        <is>
          <t>Read at execution</t>
        </is>
      </c>
    </row>
    <row r="25" ht="30.75" customHeight="1" s="14">
      <c r="A25" s="23" t="inlineStr">
        <is>
          <t>Tier 2 (2027)</t>
        </is>
      </c>
      <c r="B25" s="26" t="inlineStr">
        <is>
          <t>SBFAS</t>
        </is>
      </c>
      <c r="C25" s="26" t="inlineStr">
        <is>
          <t>Bukit View Primary</t>
        </is>
      </c>
      <c r="D25" s="26" t="inlineStr">
        <is>
          <t>01/08/2026 to 31/12/2026</t>
        </is>
      </c>
      <c r="E25" s="26" t="inlineStr">
        <is>
          <t>Open</t>
        </is>
      </c>
      <c r="F25" s="26" t="inlineStr">
        <is>
          <t>01/01/2027</t>
        </is>
      </c>
      <c r="G25" s="26" t="inlineStr">
        <is>
          <t>No end date</t>
        </is>
      </c>
      <c r="H25" s="26" t="inlineStr">
        <is>
          <t>Upcoming</t>
        </is>
      </c>
      <c r="I25" s="26" t="inlineStr">
        <is>
          <t>Citizen and PR, PCI S$ 601 to 1,000</t>
        </is>
      </c>
      <c r="J25" s="26" t="inlineStr">
        <is>
          <t>Read at execution</t>
        </is>
      </c>
    </row>
    <row r="26" ht="30.75" customHeight="1" s="14">
      <c r="A26" s="23" t="inlineStr">
        <is>
          <t>Tier 3 (2027)</t>
        </is>
      </c>
      <c r="B26" s="26" t="inlineStr">
        <is>
          <t>SBFAS</t>
        </is>
      </c>
      <c r="C26" s="26" t="inlineStr">
        <is>
          <t>Bukit View Primary</t>
        </is>
      </c>
      <c r="D26" s="26" t="inlineStr">
        <is>
          <t>01/08/2026 to 31/12/2026</t>
        </is>
      </c>
      <c r="E26" s="26" t="inlineStr">
        <is>
          <t>Open</t>
        </is>
      </c>
      <c r="F26" s="26" t="inlineStr">
        <is>
          <t>01/01/2027</t>
        </is>
      </c>
      <c r="G26" s="26" t="inlineStr">
        <is>
          <t>No end date</t>
        </is>
      </c>
      <c r="H26" s="26" t="inlineStr">
        <is>
          <t>Upcoming</t>
        </is>
      </c>
      <c r="I26" s="26" t="inlineStr">
        <is>
          <t>Citizen and PR, PCI S$ 1,001 to 1,500</t>
        </is>
      </c>
      <c r="J26" s="26" t="inlineStr">
        <is>
          <t>Read at execution</t>
        </is>
      </c>
    </row>
    <row r="27" ht="30.75" customHeight="1" s="14">
      <c r="A27" s="23" t="inlineStr">
        <is>
          <t>Tier 1 (2026)</t>
        </is>
      </c>
      <c r="B27" s="26" t="inlineStr">
        <is>
          <t>SBFAS</t>
        </is>
      </c>
      <c r="C27" s="26" t="inlineStr">
        <is>
          <t>Bukit View Primary</t>
        </is>
      </c>
      <c r="D27" s="26" t="inlineStr">
        <is>
          <t>01/08/2025 to 31/12/2025</t>
        </is>
      </c>
      <c r="E27" s="26" t="inlineStr">
        <is>
          <t>Closed</t>
        </is>
      </c>
      <c r="F27" s="26" t="inlineStr">
        <is>
          <t>01/01/2026</t>
        </is>
      </c>
      <c r="G27" s="26" t="inlineStr">
        <is>
          <t>31/12/2026</t>
        </is>
      </c>
      <c r="H27" s="26" t="inlineStr">
        <is>
          <t>Active</t>
        </is>
      </c>
      <c r="I27" s="26" t="inlineStr">
        <is>
          <t>Citizen and PR, PCI up to S$ 600.00</t>
        </is>
      </c>
      <c r="J27" s="26" t="inlineStr">
        <is>
          <t>Read at execution</t>
        </is>
      </c>
    </row>
    <row r="28" ht="30.75" customHeight="1" s="14">
      <c r="A28" s="23" t="inlineStr">
        <is>
          <t>Tier 2 (2026)</t>
        </is>
      </c>
      <c r="B28" s="26" t="inlineStr">
        <is>
          <t>SBFAS</t>
        </is>
      </c>
      <c r="C28" s="26" t="inlineStr">
        <is>
          <t>Bukit View Primary</t>
        </is>
      </c>
      <c r="D28" s="26" t="inlineStr">
        <is>
          <t>01/08/2025 to 31/12/2025</t>
        </is>
      </c>
      <c r="E28" s="26" t="inlineStr">
        <is>
          <t>Closed</t>
        </is>
      </c>
      <c r="F28" s="26" t="inlineStr">
        <is>
          <t>01/01/2026</t>
        </is>
      </c>
      <c r="G28" s="26" t="inlineStr">
        <is>
          <t>31/12/2026</t>
        </is>
      </c>
      <c r="H28" s="26" t="inlineStr">
        <is>
          <t>Active</t>
        </is>
      </c>
      <c r="I28" s="26" t="inlineStr">
        <is>
          <t>Citizen and PR, PCI S$ 601 to 1,000</t>
        </is>
      </c>
      <c r="J28" s="26" t="inlineStr">
        <is>
          <t>Read at execution</t>
        </is>
      </c>
    </row>
    <row r="29" ht="30.75" customHeight="1" s="14">
      <c r="A29" s="23" t="inlineStr">
        <is>
          <t>Tier 3 (2026)</t>
        </is>
      </c>
      <c r="B29" s="26" t="inlineStr">
        <is>
          <t>SBFAS</t>
        </is>
      </c>
      <c r="C29" s="26" t="inlineStr">
        <is>
          <t>Bukit View Primary</t>
        </is>
      </c>
      <c r="D29" s="26" t="inlineStr">
        <is>
          <t>01/08/2025 to 31/12/2025</t>
        </is>
      </c>
      <c r="E29" s="26" t="inlineStr">
        <is>
          <t>Closed</t>
        </is>
      </c>
      <c r="F29" s="26" t="inlineStr">
        <is>
          <t>01/01/2026</t>
        </is>
      </c>
      <c r="G29" s="26" t="inlineStr">
        <is>
          <t>31/12/2026</t>
        </is>
      </c>
      <c r="H29" s="26" t="inlineStr">
        <is>
          <t>Active</t>
        </is>
      </c>
      <c r="I29" s="26" t="inlineStr">
        <is>
          <t>Citizen and PR, PCI S$ 1,001 to 1,500</t>
        </is>
      </c>
      <c r="J29" s="26" t="inlineStr">
        <is>
          <t>Read at execution</t>
        </is>
      </c>
    </row>
    <row r="30" ht="18" customHeight="1" s="14">
      <c r="A30" s="21" t="inlineStr">
        <is>
          <t>Meridian Secondary shows the same six SBFAS schemes in the prototype (3 Active, 3 Upcoming). The list says "(2027)" or "(2026)" here only to tell the rows apart. The screen shows the plain names Tier 1, Tier 2 and Tier 3 twice.</t>
        </is>
      </c>
    </row>
    <row r="32" ht="15" customHeight="1" s="14">
      <c r="A32" s="27" t="inlineStr">
        <is>
          <t>Applications at the base state (9 rows, as the MOE HQ list shows them)</t>
        </is>
      </c>
    </row>
    <row r="33" ht="30" customHeight="1" s="14">
      <c r="A33" s="15" t="inlineStr">
        <is>
          <t>Application</t>
        </is>
      </c>
      <c r="B33" s="15" t="inlineStr">
        <is>
          <t>Student</t>
        </is>
      </c>
      <c r="C33" s="15" t="inlineStr">
        <is>
          <t>NRIC/FIN</t>
        </is>
      </c>
      <c r="D33" s="15" t="inlineStr">
        <is>
          <t>School</t>
        </is>
      </c>
      <c r="E33" s="15" t="inlineStr">
        <is>
          <t>Grade (class)</t>
        </is>
      </c>
      <c r="F33" s="15" t="inlineStr">
        <is>
          <t>Scheme</t>
        </is>
      </c>
      <c r="G33" s="15" t="inlineStr">
        <is>
          <t>Citizenship</t>
        </is>
      </c>
      <c r="H33" s="15" t="inlineStr">
        <is>
          <t>Submitted</t>
        </is>
      </c>
      <c r="I33" s="15" t="inlineStr">
        <is>
          <t>GHI (S$)</t>
        </is>
      </c>
      <c r="J33" s="15" t="inlineStr">
        <is>
          <t>Household size</t>
        </is>
      </c>
      <c r="K33" s="15" t="inlineStr">
        <is>
          <t>PCI (S$, exact)</t>
        </is>
      </c>
      <c r="L33" s="15" t="inlineStr">
        <is>
          <t>Income source</t>
        </is>
      </c>
      <c r="M33" s="15" t="inlineStr">
        <is>
          <t>Status at base</t>
        </is>
      </c>
      <c r="N33" s="15" t="inlineStr">
        <is>
          <t>System check</t>
        </is>
      </c>
      <c r="O33" s="15" t="inlineStr">
        <is>
          <t>Decision at base</t>
        </is>
      </c>
      <c r="P33" s="15" t="inlineStr">
        <is>
          <t>ML recommendation</t>
        </is>
      </c>
      <c r="Q33" s="15" t="inlineStr">
        <is>
          <t>ML risk</t>
        </is>
      </c>
      <c r="R33" s="15" t="inlineStr">
        <is>
          <t>Documents</t>
        </is>
      </c>
    </row>
    <row r="34" ht="18" customHeight="1" s="14">
      <c r="A34" s="23" t="inlineStr">
        <is>
          <t>APP-2026-00377</t>
        </is>
      </c>
      <c r="B34" s="26" t="inlineStr">
        <is>
          <t>Nur Aisyah</t>
        </is>
      </c>
      <c r="C34" s="26" t="inlineStr">
        <is>
          <t>T1688001L</t>
        </is>
      </c>
      <c r="D34" s="26" t="inlineStr">
        <is>
          <t>Meridian Secondary</t>
        </is>
      </c>
      <c r="E34" s="26" t="inlineStr">
        <is>
          <t>S3</t>
        </is>
      </c>
      <c r="F34" s="26" t="inlineStr">
        <is>
          <t>MOEFAS 2027</t>
        </is>
      </c>
      <c r="G34" s="26" t="inlineStr">
        <is>
          <t>Singapore Citizen</t>
        </is>
      </c>
      <c r="H34" s="26" t="inlineStr">
        <is>
          <t>17/10/2026 10:05</t>
        </is>
      </c>
      <c r="I34" s="26" t="inlineStr">
        <is>
          <t>4,120.00</t>
        </is>
      </c>
      <c r="J34" s="26" t="inlineStr">
        <is>
          <t>4</t>
        </is>
      </c>
      <c r="K34" s="26" t="inlineStr">
        <is>
          <t>1,030.00</t>
        </is>
      </c>
      <c r="L34" s="26" t="inlineStr">
        <is>
          <t>API</t>
        </is>
      </c>
      <c r="M34" s="26" t="inlineStr">
        <is>
          <t>Pending</t>
        </is>
      </c>
      <c r="N34" s="26" t="inlineStr">
        <is>
          <t>Waiting</t>
        </is>
      </c>
      <c r="O34" s="26" t="inlineStr">
        <is>
          <t>None</t>
        </is>
      </c>
      <c r="P34" s="26" t="inlineStr">
        <is>
          <t>A dash</t>
        </is>
      </c>
      <c r="Q34" s="26" t="inlineStr">
        <is>
          <t>Medium</t>
        </is>
      </c>
      <c r="R34" s="26" t="inlineStr">
        <is>
          <t>payslips_2026.pdf</t>
        </is>
      </c>
    </row>
    <row r="35" ht="43.5" customHeight="1" s="14">
      <c r="A35" s="23" t="inlineStr">
        <is>
          <t>APP-2026-00412</t>
        </is>
      </c>
      <c r="B35" s="26" t="inlineStr">
        <is>
          <t>Aisha Rahman</t>
        </is>
      </c>
      <c r="C35" s="26" t="inlineStr">
        <is>
          <t>T1801177H</t>
        </is>
      </c>
      <c r="D35" s="26" t="inlineStr">
        <is>
          <t>Bukit View Primary</t>
        </is>
      </c>
      <c r="E35" s="26" t="inlineStr">
        <is>
          <t>P3 (P3 Respect)</t>
        </is>
      </c>
      <c r="F35" s="26" t="inlineStr">
        <is>
          <t>MOEFAS 2027</t>
        </is>
      </c>
      <c r="G35" s="26" t="inlineStr">
        <is>
          <t>Singapore Citizen</t>
        </is>
      </c>
      <c r="H35" s="26" t="inlineStr">
        <is>
          <t>17/10/2026 09:20 (uploaded 09:12 by Lan Nguyen)</t>
        </is>
      </c>
      <c r="I35" s="26" t="inlineStr">
        <is>
          <t>4,350.00</t>
        </is>
      </c>
      <c r="J35" s="26" t="inlineStr">
        <is>
          <t>4</t>
        </is>
      </c>
      <c r="K35" s="26" t="inlineStr">
        <is>
          <t>1,087.50 (screen shows 1,088.00)</t>
        </is>
      </c>
      <c r="L35" s="26" t="inlineStr">
        <is>
          <t>Paper</t>
        </is>
      </c>
      <c r="M35" s="26" t="inlineStr">
        <is>
          <t>Pending</t>
        </is>
      </c>
      <c r="N35" s="26" t="inlineStr">
        <is>
          <t>Waiting</t>
        </is>
      </c>
      <c r="O35" s="26" t="inlineStr">
        <is>
          <t>None</t>
        </is>
      </c>
      <c r="P35" s="26" t="inlineStr">
        <is>
          <t>A dash</t>
        </is>
      </c>
      <c r="Q35" s="26" t="inlineStr">
        <is>
          <t>Medium</t>
        </is>
      </c>
      <c r="R35" s="26" t="inlineStr">
        <is>
          <t>scan_bkv_0412.pdf, NOA_2025.pdf</t>
        </is>
      </c>
    </row>
    <row r="36" ht="18" customHeight="1" s="14">
      <c r="A36" s="23" t="inlineStr">
        <is>
          <t>APP-2026-00410</t>
        </is>
      </c>
      <c r="B36" s="26" t="inlineStr">
        <is>
          <t>Ryan Lim</t>
        </is>
      </c>
      <c r="C36" s="26" t="inlineStr">
        <is>
          <t>T1790221G</t>
        </is>
      </c>
      <c r="D36" s="26" t="inlineStr">
        <is>
          <t>Bukit View Primary</t>
        </is>
      </c>
      <c r="E36" s="26" t="inlineStr">
        <is>
          <t>P5</t>
        </is>
      </c>
      <c r="F36" s="26" t="inlineStr">
        <is>
          <t>MOEFAS 2027</t>
        </is>
      </c>
      <c r="G36" s="26" t="inlineStr">
        <is>
          <t>Singapore Citizen</t>
        </is>
      </c>
      <c r="H36" s="26" t="inlineStr">
        <is>
          <t>16/10/2026 08:02</t>
        </is>
      </c>
      <c r="I36" s="26" t="inlineStr">
        <is>
          <t>5,200.00</t>
        </is>
      </c>
      <c r="J36" s="26" t="inlineStr">
        <is>
          <t>4</t>
        </is>
      </c>
      <c r="K36" s="26" t="inlineStr">
        <is>
          <t>1,300.00</t>
        </is>
      </c>
      <c r="L36" s="26" t="inlineStr">
        <is>
          <t>API</t>
        </is>
      </c>
      <c r="M36" s="26" t="inlineStr">
        <is>
          <t>Pending</t>
        </is>
      </c>
      <c r="N36" s="26" t="inlineStr">
        <is>
          <t>Waiting</t>
        </is>
      </c>
      <c r="O36" s="26" t="inlineStr">
        <is>
          <t>None</t>
        </is>
      </c>
      <c r="P36" s="26" t="inlineStr">
        <is>
          <t>A dash</t>
        </is>
      </c>
      <c r="Q36" s="26" t="inlineStr">
        <is>
          <t>Medium</t>
        </is>
      </c>
      <c r="R36" s="26" t="inlineStr">
        <is>
          <t>medical_bill.pdf</t>
        </is>
      </c>
    </row>
    <row r="37" ht="30.75" customHeight="1" s="14">
      <c r="A37" s="23" t="inlineStr">
        <is>
          <t>APP-2026-00398</t>
        </is>
      </c>
      <c r="B37" s="26" t="inlineStr">
        <is>
          <t>Daniel Ong</t>
        </is>
      </c>
      <c r="C37" s="26" t="inlineStr">
        <is>
          <t>T1755501Q</t>
        </is>
      </c>
      <c r="D37" s="26" t="inlineStr">
        <is>
          <t>Bukit View Primary</t>
        </is>
      </c>
      <c r="E37" s="26" t="inlineStr">
        <is>
          <t>P2 (P2 Care)</t>
        </is>
      </c>
      <c r="F37" s="26" t="inlineStr">
        <is>
          <t>SBFAS</t>
        </is>
      </c>
      <c r="G37" s="26" t="inlineStr">
        <is>
          <t>International Student</t>
        </is>
      </c>
      <c r="H37" s="26" t="inlineStr">
        <is>
          <t>14/10/2026 13:00</t>
        </is>
      </c>
      <c r="I37" s="26" t="inlineStr">
        <is>
          <t>2,600.00</t>
        </is>
      </c>
      <c r="J37" s="26" t="inlineStr">
        <is>
          <t>3</t>
        </is>
      </c>
      <c r="K37" s="26" t="inlineStr">
        <is>
          <t>866.67</t>
        </is>
      </c>
      <c r="L37" s="26" t="inlineStr">
        <is>
          <t>API</t>
        </is>
      </c>
      <c r="M37" s="26" t="inlineStr">
        <is>
          <t>Pending</t>
        </is>
      </c>
      <c r="N37" s="26" t="inlineStr">
        <is>
          <t>A dash</t>
        </is>
      </c>
      <c r="O37" s="26" t="inlineStr">
        <is>
          <t>None</t>
        </is>
      </c>
      <c r="P37" s="26" t="inlineStr">
        <is>
          <t>A dash, Tier column empty</t>
        </is>
      </c>
      <c r="Q37" s="26" t="inlineStr">
        <is>
          <t>Medium</t>
        </is>
      </c>
      <c r="R37" s="26" t="inlineStr">
        <is>
          <t>None</t>
        </is>
      </c>
    </row>
    <row r="38" ht="30.75" customHeight="1" s="14">
      <c r="A38" s="23" t="inlineStr">
        <is>
          <t>APP-2026-00390</t>
        </is>
      </c>
      <c r="B38" s="26" t="inlineStr">
        <is>
          <t>Chen Xin Yi</t>
        </is>
      </c>
      <c r="C38" s="26" t="inlineStr">
        <is>
          <t>T1775532J</t>
        </is>
      </c>
      <c r="D38" s="26" t="inlineStr">
        <is>
          <t>Bukit View Primary</t>
        </is>
      </c>
      <c r="E38" s="26" t="inlineStr">
        <is>
          <t>P4</t>
        </is>
      </c>
      <c r="F38" s="26" t="inlineStr">
        <is>
          <t>MOEFAS 2026</t>
        </is>
      </c>
      <c r="G38" s="26" t="inlineStr">
        <is>
          <t>Singapore Citizen</t>
        </is>
      </c>
      <c r="H38" s="26" t="inlineStr">
        <is>
          <t>14/11/2025 20:41</t>
        </is>
      </c>
      <c r="I38" s="26" t="inlineStr">
        <is>
          <t>2,900.00</t>
        </is>
      </c>
      <c r="J38" s="26" t="inlineStr">
        <is>
          <t>5</t>
        </is>
      </c>
      <c r="K38" s="26" t="inlineStr">
        <is>
          <t>580.00</t>
        </is>
      </c>
      <c r="L38" s="26" t="inlineStr">
        <is>
          <t>API</t>
        </is>
      </c>
      <c r="M38" s="26" t="inlineStr">
        <is>
          <t>Approved</t>
        </is>
      </c>
      <c r="N38" s="26" t="inlineStr">
        <is>
          <t>Pass</t>
        </is>
      </c>
      <c r="O38" s="26" t="inlineStr">
        <is>
          <t>Approved by System (auto-approved), priority 1 of 4</t>
        </is>
      </c>
      <c r="P38" s="26" t="inlineStr">
        <is>
          <t>A dash</t>
        </is>
      </c>
      <c r="Q38" s="26" t="inlineStr">
        <is>
          <t>High</t>
        </is>
      </c>
      <c r="R38" s="26" t="inlineStr">
        <is>
          <t>Not recorded</t>
        </is>
      </c>
    </row>
    <row r="39" ht="30.75" customHeight="1" s="14">
      <c r="A39" s="23" t="inlineStr">
        <is>
          <t>APP-2026-00386</t>
        </is>
      </c>
      <c r="B39" s="26" t="inlineStr">
        <is>
          <t>Lucas Teo</t>
        </is>
      </c>
      <c r="C39" s="26" t="inlineStr">
        <is>
          <t>T1780445K</t>
        </is>
      </c>
      <c r="D39" s="26" t="inlineStr">
        <is>
          <t>Bukit View Primary</t>
        </is>
      </c>
      <c r="E39" s="26" t="inlineStr">
        <is>
          <t>P4 (P4 Diligence)</t>
        </is>
      </c>
      <c r="F39" s="26" t="inlineStr">
        <is>
          <t>SBFAS</t>
        </is>
      </c>
      <c r="G39" s="26" t="inlineStr">
        <is>
          <t>Singapore Citizen</t>
        </is>
      </c>
      <c r="H39" s="26" t="inlineStr">
        <is>
          <t>12/11/2025 10:00</t>
        </is>
      </c>
      <c r="I39" s="26" t="inlineStr">
        <is>
          <t>4,700.00</t>
        </is>
      </c>
      <c r="J39" s="26" t="inlineStr">
        <is>
          <t>5</t>
        </is>
      </c>
      <c r="K39" s="26" t="inlineStr">
        <is>
          <t>940.00</t>
        </is>
      </c>
      <c r="L39" s="26" t="inlineStr">
        <is>
          <t>Paper</t>
        </is>
      </c>
      <c r="M39" s="26" t="inlineStr">
        <is>
          <t>Approved</t>
        </is>
      </c>
      <c r="N39" s="26" t="inlineStr">
        <is>
          <t>A dash</t>
        </is>
      </c>
      <c r="O39" s="26" t="inlineStr">
        <is>
          <t>Tier 3 from 13/01/2026 by Lan Nguyen 09:10</t>
        </is>
      </c>
      <c r="P39" s="26" t="inlineStr">
        <is>
          <t>Tier 2</t>
        </is>
      </c>
      <c r="Q39" s="26" t="inlineStr">
        <is>
          <t>Medium</t>
        </is>
      </c>
      <c r="R39" s="26" t="inlineStr">
        <is>
          <t>Not recorded</t>
        </is>
      </c>
    </row>
    <row r="40" ht="43.5" customHeight="1" s="14">
      <c r="A40" s="23" t="inlineStr">
        <is>
          <t>APP-2026-00328</t>
        </is>
      </c>
      <c r="B40" s="26" t="inlineStr">
        <is>
          <t>Lee Zhi Hao</t>
        </is>
      </c>
      <c r="C40" s="26" t="inlineStr">
        <is>
          <t>T1702215M</t>
        </is>
      </c>
      <c r="D40" s="26" t="inlineStr">
        <is>
          <t>Riverside Secondary</t>
        </is>
      </c>
      <c r="E40" s="26" t="inlineStr">
        <is>
          <t>None (no class)</t>
        </is>
      </c>
      <c r="F40" s="26" t="inlineStr">
        <is>
          <t>MOEFAS 2026</t>
        </is>
      </c>
      <c r="G40" s="26" t="inlineStr">
        <is>
          <t>Singapore Citizen</t>
        </is>
      </c>
      <c r="H40" s="26" t="inlineStr">
        <is>
          <t>07/11/2025 09:00</t>
        </is>
      </c>
      <c r="I40" s="26" t="inlineStr">
        <is>
          <t>7,900.00</t>
        </is>
      </c>
      <c r="J40" s="26" t="inlineStr">
        <is>
          <t>4</t>
        </is>
      </c>
      <c r="K40" s="26" t="inlineStr">
        <is>
          <t>1,975.00</t>
        </is>
      </c>
      <c r="L40" s="26" t="inlineStr">
        <is>
          <t>API</t>
        </is>
      </c>
      <c r="M40" s="26" t="inlineStr">
        <is>
          <t>Rejected</t>
        </is>
      </c>
      <c r="N40" s="26" t="inlineStr">
        <is>
          <t>Fail</t>
        </is>
      </c>
      <c r="O40" s="26" t="inlineStr">
        <is>
          <t>Reason "Not eligible for MOEFAS", comment "GHI and PCI both above MOEFAS limits.", priority 4 of 4</t>
        </is>
      </c>
      <c r="P40" s="26" t="inlineStr">
        <is>
          <t>A dash</t>
        </is>
      </c>
      <c r="Q40" s="26" t="inlineStr">
        <is>
          <t>Low</t>
        </is>
      </c>
      <c r="R40" s="26" t="inlineStr">
        <is>
          <t>Not recorded</t>
        </is>
      </c>
    </row>
    <row r="41" ht="30.75" customHeight="1" s="14">
      <c r="A41" s="23" t="inlineStr">
        <is>
          <t>APP-2026-00381</t>
        </is>
      </c>
      <c r="B41" s="26" t="inlineStr">
        <is>
          <t>Lee Zhi Hao</t>
        </is>
      </c>
      <c r="C41" s="26" t="inlineStr">
        <is>
          <t>T1702215M</t>
        </is>
      </c>
      <c r="D41" s="26" t="inlineStr">
        <is>
          <t>Riverside Secondary</t>
        </is>
      </c>
      <c r="E41" s="26" t="inlineStr">
        <is>
          <t>None (no class)</t>
        </is>
      </c>
      <c r="F41" s="26" t="inlineStr">
        <is>
          <t>MOEFAS 2026</t>
        </is>
      </c>
      <c r="G41" s="26" t="inlineStr">
        <is>
          <t>Singapore Citizen</t>
        </is>
      </c>
      <c r="H41" s="26" t="inlineStr">
        <is>
          <t>16/10/2025 15:12</t>
        </is>
      </c>
      <c r="I41" s="26" t="inlineStr">
        <is>
          <t>4,120.00</t>
        </is>
      </c>
      <c r="J41" s="26" t="inlineStr">
        <is>
          <t>5</t>
        </is>
      </c>
      <c r="K41" s="26" t="inlineStr">
        <is>
          <t>824.00</t>
        </is>
      </c>
      <c r="L41" s="26" t="inlineStr">
        <is>
          <t>Paper</t>
        </is>
      </c>
      <c r="M41" s="26" t="inlineStr">
        <is>
          <t>Approved</t>
        </is>
      </c>
      <c r="N41" s="26" t="inlineStr">
        <is>
          <t>Pass</t>
        </is>
      </c>
      <c r="O41" s="26" t="inlineStr">
        <is>
          <t>Approved by System (auto-approved), priority 3 of 4</t>
        </is>
      </c>
      <c r="P41" s="26" t="inlineStr">
        <is>
          <t>A dash</t>
        </is>
      </c>
      <c r="Q41" s="26" t="inlineStr">
        <is>
          <t>Medium</t>
        </is>
      </c>
      <c r="R41" s="26" t="inlineStr">
        <is>
          <t>Not recorded</t>
        </is>
      </c>
    </row>
    <row r="42" ht="30.75" customHeight="1" s="14">
      <c r="A42" s="23" t="inlineStr">
        <is>
          <t>APP-2026-00301</t>
        </is>
      </c>
      <c r="B42" s="26" t="inlineStr">
        <is>
          <t>Siti Amina</t>
        </is>
      </c>
      <c r="C42" s="26" t="inlineStr">
        <is>
          <t>T1822335E</t>
        </is>
      </c>
      <c r="D42" s="26" t="inlineStr">
        <is>
          <t>Bukit View Primary</t>
        </is>
      </c>
      <c r="E42" s="26" t="inlineStr">
        <is>
          <t>P3</t>
        </is>
      </c>
      <c r="F42" s="26" t="inlineStr">
        <is>
          <t>MOEFAS 2026</t>
        </is>
      </c>
      <c r="G42" s="26" t="inlineStr">
        <is>
          <t>Singapore Citizen</t>
        </is>
      </c>
      <c r="H42" s="26" t="inlineStr">
        <is>
          <t>20/09/2025 11:30</t>
        </is>
      </c>
      <c r="I42" s="26" t="inlineStr">
        <is>
          <t>3,100.00</t>
        </is>
      </c>
      <c r="J42" s="26" t="inlineStr">
        <is>
          <t>4</t>
        </is>
      </c>
      <c r="K42" s="26" t="inlineStr">
        <is>
          <t>775.00</t>
        </is>
      </c>
      <c r="L42" s="26" t="inlineStr">
        <is>
          <t>API</t>
        </is>
      </c>
      <c r="M42" s="26" t="inlineStr">
        <is>
          <t>Approved</t>
        </is>
      </c>
      <c r="N42" s="26" t="inlineStr">
        <is>
          <t>Pass</t>
        </is>
      </c>
      <c r="O42" s="26" t="inlineStr">
        <is>
          <t>Approved by System (auto-approved), priority 2 of 4</t>
        </is>
      </c>
      <c r="P42" s="26" t="inlineStr">
        <is>
          <t>A dash</t>
        </is>
      </c>
      <c r="Q42" s="26" t="inlineStr">
        <is>
          <t>Medium</t>
        </is>
      </c>
      <c r="R42" s="26" t="inlineStr">
        <is>
          <t>Not recorded</t>
        </is>
      </c>
    </row>
    <row r="43" ht="18" customHeight="1" s="14">
      <c r="A43" s="21" t="inlineStr">
        <is>
          <t>00328 and 00381 are the same student (Lee Zhi Hao, T1702215M) under MOEFAS 2026. One is Rejected and one is Approved. This is the sample behind ASM-R4-19 (Block).</t>
        </is>
      </c>
    </row>
    <row r="45" ht="15" customHeight="1" s="14">
      <c r="A45" s="27" t="inlineStr">
        <is>
          <t>State after Close form now (demo) on MOEFAS 2027</t>
        </is>
      </c>
    </row>
    <row r="46" ht="30" customHeight="1" s="14">
      <c r="A46" s="15" t="inlineStr">
        <is>
          <t>Application</t>
        </is>
      </c>
      <c r="B46" s="15" t="inlineStr">
        <is>
          <t>Priority</t>
        </is>
      </c>
      <c r="C46" s="15" t="inlineStr">
        <is>
          <t>Assessment against MOEFAS 2027</t>
        </is>
      </c>
      <c r="D46" s="15" t="inlineStr">
        <is>
          <t>Result after Close form now (demo)</t>
        </is>
      </c>
      <c r="E46" s="15" t="inlineStr">
        <is>
          <t>Decided by</t>
        </is>
      </c>
      <c r="F46" s="15" t="inlineStr">
        <is>
          <t>Effective from</t>
        </is>
      </c>
      <c r="G46" s="15" t="inlineStr">
        <is>
          <t>School Admin sees</t>
        </is>
      </c>
    </row>
    <row r="47" ht="18" customHeight="1" s="14">
      <c r="A47" s="23" t="inlineStr">
        <is>
          <t>APP-2026-00377</t>
        </is>
      </c>
      <c r="B47" s="26" t="inlineStr">
        <is>
          <t>1 of 3</t>
        </is>
      </c>
      <c r="C47" s="26" t="inlineStr">
        <is>
          <t>GHI 4,120.00 is within 4,200.00</t>
        </is>
      </c>
      <c r="D47" s="26" t="inlineStr">
        <is>
          <t>Approved, System check Pass</t>
        </is>
      </c>
      <c r="E47" s="26" t="inlineStr">
        <is>
          <t>System (auto-approved)</t>
        </is>
      </c>
      <c r="F47" s="26" t="inlineStr">
        <is>
          <t>01/01/2027</t>
        </is>
      </c>
      <c r="G47" s="26" t="inlineStr">
        <is>
          <t>Not visible (MOEFAS)</t>
        </is>
      </c>
    </row>
    <row r="48" ht="30.75" customHeight="1" s="14">
      <c r="A48" s="23" t="inlineStr">
        <is>
          <t>APP-2026-00412</t>
        </is>
      </c>
      <c r="B48" s="26" t="inlineStr">
        <is>
          <t>2 of 3</t>
        </is>
      </c>
      <c r="C48" s="26" t="inlineStr">
        <is>
          <t>GHI 4,350.00 above 4,200.00 and PCI 1,087.50 above 1,050.00</t>
        </is>
      </c>
      <c r="D48" s="26" t="inlineStr">
        <is>
          <t>SBFAS Pending for Bukit View Primary (the parent agreed to SBFAS)</t>
        </is>
      </c>
      <c r="E48" s="26" t="inlineStr">
        <is>
          <t>Waiting for the school</t>
        </is>
      </c>
      <c r="F48" s="26" t="inlineStr">
        <is>
          <t>Not set</t>
        </is>
      </c>
      <c r="G48" s="26" t="inlineStr">
        <is>
          <t>Review in the Pending tab</t>
        </is>
      </c>
    </row>
    <row r="49" ht="30.75" customHeight="1" s="14">
      <c r="A49" s="23" t="inlineStr">
        <is>
          <t>APP-2026-00410</t>
        </is>
      </c>
      <c r="B49" s="26" t="inlineStr">
        <is>
          <t>3 of 3</t>
        </is>
      </c>
      <c r="C49" s="26" t="inlineStr">
        <is>
          <t>GHI 5,200.00 above 4,200.00 and PCI 1,300.00 above 1,050.00</t>
        </is>
      </c>
      <c r="D49" s="26" t="inlineStr">
        <is>
          <t>SBFAS Pending for Bukit View Primary (the parent agreed to SBFAS)</t>
        </is>
      </c>
      <c r="E49" s="26" t="inlineStr">
        <is>
          <t>Waiting for the school</t>
        </is>
      </c>
      <c r="F49" s="26" t="inlineStr">
        <is>
          <t>Not set</t>
        </is>
      </c>
      <c r="G49" s="26" t="inlineStr">
        <is>
          <t>Review in the Pending tab</t>
        </is>
      </c>
    </row>
    <row r="51" ht="15" customHeight="1" s="14">
      <c r="A51" s="27" t="inlineStr">
        <is>
          <t>Expected counts on cards and tabs</t>
        </is>
      </c>
    </row>
    <row r="52" ht="30" customHeight="1" s="14">
      <c r="A52" s="15" t="inlineStr">
        <is>
          <t>View</t>
        </is>
      </c>
      <c r="B52" s="15" t="inlineStr">
        <is>
          <t>Card or tab</t>
        </is>
      </c>
      <c r="C52" s="15" t="inlineStr">
        <is>
          <t>Base state</t>
        </is>
      </c>
      <c r="D52" s="15" t="inlineStr">
        <is>
          <t>After Close form now (demo)</t>
        </is>
      </c>
    </row>
    <row r="53" ht="18" customHeight="1" s="14">
      <c r="A53" s="23" t="inlineStr">
        <is>
          <t>MOE HQ</t>
        </is>
      </c>
      <c r="B53" s="26" t="inlineStr">
        <is>
          <t>Card Total applications</t>
        </is>
      </c>
      <c r="C53" s="26" t="inlineStr">
        <is>
          <t>9</t>
        </is>
      </c>
      <c r="D53" s="26" t="inlineStr">
        <is>
          <t>9</t>
        </is>
      </c>
    </row>
    <row r="54" ht="18" customHeight="1" s="14">
      <c r="A54" s="23" t="inlineStr">
        <is>
          <t>MOE HQ</t>
        </is>
      </c>
      <c r="B54" s="26" t="inlineStr">
        <is>
          <t>Card MOEFAS approved</t>
        </is>
      </c>
      <c r="C54" s="26" t="inlineStr">
        <is>
          <t>3</t>
        </is>
      </c>
      <c r="D54" s="26" t="inlineStr">
        <is>
          <t>4</t>
        </is>
      </c>
    </row>
    <row r="55" ht="30.75" customHeight="1" s="14">
      <c r="A55" s="23" t="inlineStr">
        <is>
          <t>MOE HQ</t>
        </is>
      </c>
      <c r="B55" s="26" t="inlineStr">
        <is>
          <t>Card Approved (MOEFAS and SBFAS)</t>
        </is>
      </c>
      <c r="C55" s="26" t="inlineStr">
        <is>
          <t>4</t>
        </is>
      </c>
      <c r="D55" s="26" t="inlineStr">
        <is>
          <t>5</t>
        </is>
      </c>
    </row>
    <row r="56" ht="30.75" customHeight="1" s="14">
      <c r="A56" s="23" t="inlineStr">
        <is>
          <t>MOE HQ</t>
        </is>
      </c>
      <c r="B56" s="26" t="inlineStr">
        <is>
          <t>Card Rejected (MOEFAS and SBFAS)</t>
        </is>
      </c>
      <c r="C56" s="26" t="inlineStr">
        <is>
          <t>1</t>
        </is>
      </c>
      <c r="D56" s="26" t="inlineStr">
        <is>
          <t>1</t>
        </is>
      </c>
    </row>
    <row r="57" ht="30.75" customHeight="1" s="14">
      <c r="A57" s="23" t="inlineStr">
        <is>
          <t>MOE HQ</t>
        </is>
      </c>
      <c r="B57" s="26" t="inlineStr">
        <is>
          <t>Tabs Pending, All, Approved, Rejected</t>
        </is>
      </c>
      <c r="C57" s="26" t="inlineStr">
        <is>
          <t>4, 9, 4, 1</t>
        </is>
      </c>
      <c r="D57" s="26" t="inlineStr">
        <is>
          <t>3, 9, 5, 1</t>
        </is>
      </c>
    </row>
    <row r="58" ht="30.75" customHeight="1" s="14">
      <c r="A58" s="23" t="inlineStr">
        <is>
          <t>School Admin Bukit View Primary</t>
        </is>
      </c>
      <c r="B58" s="26" t="inlineStr">
        <is>
          <t>Card Pending (pending SBFAS)</t>
        </is>
      </c>
      <c r="C58" s="26" t="inlineStr">
        <is>
          <t>1</t>
        </is>
      </c>
      <c r="D58" s="26" t="inlineStr">
        <is>
          <t>3</t>
        </is>
      </c>
    </row>
    <row r="59" ht="30.75" customHeight="1" s="14">
      <c r="A59" s="23" t="inlineStr">
        <is>
          <t>School Admin Bukit View Primary</t>
        </is>
      </c>
      <c r="B59" s="26" t="inlineStr">
        <is>
          <t>Card SBFAS approved (this year)</t>
        </is>
      </c>
      <c r="C59" s="26" t="inlineStr">
        <is>
          <t>1</t>
        </is>
      </c>
      <c r="D59" s="26" t="inlineStr">
        <is>
          <t>1</t>
        </is>
      </c>
    </row>
    <row r="60" ht="30.75" customHeight="1" s="14">
      <c r="A60" s="23" t="inlineStr">
        <is>
          <t>School Admin Bukit View Primary</t>
        </is>
      </c>
      <c r="B60" s="26" t="inlineStr">
        <is>
          <t>Card SBFAS rejected (this year)</t>
        </is>
      </c>
      <c r="C60" s="26" t="inlineStr">
        <is>
          <t>0</t>
        </is>
      </c>
      <c r="D60" s="26" t="inlineStr">
        <is>
          <t>0</t>
        </is>
      </c>
    </row>
    <row r="61" ht="30.75" customHeight="1" s="14">
      <c r="A61" s="23" t="inlineStr">
        <is>
          <t>School Admin Meridian Secondary</t>
        </is>
      </c>
      <c r="B61" s="26" t="inlineStr">
        <is>
          <t>Cards Pending, approved, rejected</t>
        </is>
      </c>
      <c r="C61" s="26" t="inlineStr">
        <is>
          <t>0, 0, 0</t>
        </is>
      </c>
      <c r="D61" s="26" t="inlineStr">
        <is>
          <t>0, 0, 0</t>
        </is>
      </c>
    </row>
    <row r="63" ht="15" customHeight="1" s="14">
      <c r="A63" s="27" t="inlineStr">
        <is>
          <t>New seeds to load (27 seeds, not in the prototype)</t>
        </is>
      </c>
    </row>
    <row r="64" ht="30" customHeight="1" s="14">
      <c r="A64" s="15" t="inlineStr">
        <is>
          <t>Seed ID</t>
        </is>
      </c>
      <c r="B64" s="15" t="inlineStr">
        <is>
          <t>Scenarios</t>
        </is>
      </c>
      <c r="C64" s="15" t="inlineStr">
        <is>
          <t>What to load</t>
        </is>
      </c>
      <c r="D64" s="15" t="inlineStr">
        <is>
          <t>Key values</t>
        </is>
      </c>
      <c r="E64" s="15" t="inlineStr">
        <is>
          <t>Expected rank or outcome</t>
        </is>
      </c>
      <c r="F64" s="15" t="inlineStr">
        <is>
          <t>Where it is built</t>
        </is>
      </c>
    </row>
    <row r="65" ht="30.75" customHeight="1" s="14">
      <c r="A65" s="23" t="inlineStr">
        <is>
          <t>SEED-R4-N1</t>
        </is>
      </c>
      <c r="B65" s="26" t="inlineStr">
        <is>
          <t>TS-007</t>
        </is>
      </c>
      <c r="C65" s="26" t="inlineStr">
        <is>
          <t>One waiting MOEFAS 2027 application (Application I)</t>
        </is>
      </c>
      <c r="D65" s="26" t="inlineStr">
        <is>
          <t>Citizen, GHI 4,200.00, household size 4, PCI 1,050.00</t>
        </is>
      </c>
      <c r="E65" s="26" t="inlineStr">
        <is>
          <t>Pass. Both values equal the limits</t>
        </is>
      </c>
      <c r="F65" s="26" t="inlineStr">
        <is>
          <t>Application: F4 build. Scheme: base</t>
        </is>
      </c>
    </row>
    <row r="66" ht="30.75" customHeight="1" s="14">
      <c r="A66" s="23" t="inlineStr">
        <is>
          <t>SEED-R4-N2</t>
        </is>
      </c>
      <c r="B66" s="26" t="inlineStr">
        <is>
          <t>TS-007</t>
        </is>
      </c>
      <c r="C66" s="26" t="inlineStr">
        <is>
          <t>One waiting application (Application G)</t>
        </is>
      </c>
      <c r="D66" s="26" t="inlineStr">
        <is>
          <t>Citizen, GHI 4,201.00, household size 5, PCI 840.20</t>
        </is>
      </c>
      <c r="E66" s="26" t="inlineStr">
        <is>
          <t>Pass with match rule any (PCI within the limit)</t>
        </is>
      </c>
      <c r="F66" s="26" t="inlineStr">
        <is>
          <t>Application: F4 build</t>
        </is>
      </c>
    </row>
    <row r="67" ht="30.75" customHeight="1" s="14">
      <c r="A67" s="23" t="inlineStr">
        <is>
          <t>SEED-R4-N3</t>
        </is>
      </c>
      <c r="B67" s="26" t="inlineStr">
        <is>
          <t>TS-007</t>
        </is>
      </c>
      <c r="C67" s="26" t="inlineStr">
        <is>
          <t>One waiting application (Application H)</t>
        </is>
      </c>
      <c r="D67" s="26" t="inlineStr">
        <is>
          <t>Citizen, GHI 4,000.00, household size 2, PCI 2,000.00</t>
        </is>
      </c>
      <c r="E67" s="26" t="inlineStr">
        <is>
          <t>Pass with match rule any (GHI within the limit)</t>
        </is>
      </c>
      <c r="F67" s="26" t="inlineStr">
        <is>
          <t>Application: F4 build</t>
        </is>
      </c>
    </row>
    <row r="68" ht="30.75" customHeight="1" s="14">
      <c r="A68" s="23" t="inlineStr">
        <is>
          <t>SEED-R4-N4</t>
        </is>
      </c>
      <c r="B68" s="26" t="inlineStr">
        <is>
          <t>TS-007</t>
        </is>
      </c>
      <c r="C68" s="26" t="inlineStr">
        <is>
          <t>One waiting application (Application J)</t>
        </is>
      </c>
      <c r="D68" s="26" t="inlineStr">
        <is>
          <t>Citizen, GHI 4,201.00, household size 4, PCI 1,050.25</t>
        </is>
      </c>
      <c r="E68" s="26" t="inlineStr">
        <is>
          <t>Fail. Both values are just above the limits</t>
        </is>
      </c>
      <c r="F68" s="26" t="inlineStr">
        <is>
          <t>Application: F4 build</t>
        </is>
      </c>
    </row>
    <row r="69" ht="43.5" customHeight="1" s="14">
      <c r="A69" s="23" t="inlineStr">
        <is>
          <t>SEED-R4-N5</t>
        </is>
      </c>
      <c r="B69" s="26" t="inlineStr">
        <is>
          <t>TS-005</t>
        </is>
      </c>
      <c r="C69" s="26" t="inlineStr">
        <is>
          <t>Two waiting applications with the same PCI (A and B)</t>
        </is>
      </c>
      <c r="D69" s="26" t="inlineStr">
        <is>
          <t>A: GHI 4,000.00, size 4. B: GHI 3,000.00, size 3. PCI 1,000.00 for both</t>
        </is>
      </c>
      <c r="E69" s="26" t="inlineStr">
        <is>
          <t>B ranks before A (lower GHI)</t>
        </is>
      </c>
      <c r="F69" s="26" t="inlineStr">
        <is>
          <t>Applications: F4 build</t>
        </is>
      </c>
    </row>
    <row r="70" ht="43.5" customHeight="1" s="14">
      <c r="A70" s="23" t="inlineStr">
        <is>
          <t>SEED-R4-N6</t>
        </is>
      </c>
      <c r="B70" s="26" t="inlineStr">
        <is>
          <t>TS-005</t>
        </is>
      </c>
      <c r="C70" s="26" t="inlineStr">
        <is>
          <t>Two waiting applications with the same PCI and GHI (C and D)</t>
        </is>
      </c>
      <c r="D70" s="26" t="inlineStr">
        <is>
          <t>PCI 1,000.00, GHI 4,000.00. C submitted 10/10/2026 09:00, D submitted 10/10/2026 09:30</t>
        </is>
      </c>
      <c r="E70" s="26" t="inlineStr">
        <is>
          <t>C ranks before D (earlier submitted)</t>
        </is>
      </c>
      <c r="F70" s="26" t="inlineStr">
        <is>
          <t>Applications: F4 build</t>
        </is>
      </c>
    </row>
    <row r="71" ht="57" customHeight="1" s="14">
      <c r="A71" s="23" t="inlineStr">
        <is>
          <t>SEED-R4-N7</t>
        </is>
      </c>
      <c r="B71" s="26" t="inlineStr">
        <is>
          <t>TS-008, TS-053</t>
        </is>
      </c>
      <c r="C71" s="26" t="inlineStr">
        <is>
          <t>One waiting application that fails the limits with Also consider for SBFAS = No (Application L), and one with Yes</t>
        </is>
      </c>
      <c r="D71" s="26" t="inlineStr">
        <is>
          <t>Citizen, GHI above 4,200.00 and PCI above 1,050.00</t>
        </is>
      </c>
      <c r="E71" s="26" t="inlineStr">
        <is>
          <t>No gives Rejected with the email. Yes gives SBFAS Pending. Sample in the prototype: 00328 (Rejected, MOEFAS 2026)</t>
        </is>
      </c>
      <c r="F71" s="26" t="inlineStr">
        <is>
          <t>Applications: F4 build</t>
        </is>
      </c>
    </row>
    <row r="72" ht="43.5" customHeight="1" s="14">
      <c r="A72" s="23" t="inlineStr">
        <is>
          <t>SEED-R4-N8</t>
        </is>
      </c>
      <c r="B72" s="26" t="inlineStr">
        <is>
          <t>TS-007</t>
        </is>
      </c>
      <c r="C72" s="26" t="inlineStr">
        <is>
          <t>A MOEFAS scheme with match rule all and one waiting application (K)</t>
        </is>
      </c>
      <c r="D72" s="26" t="inlineStr">
        <is>
          <t>K: Citizen, GHI 4,000.00, size 2, PCI 2,000.00. Scheme limits: GHI up to 4,200.00 and PCI up to 1,050.00</t>
        </is>
      </c>
      <c r="E72" s="26" t="inlineStr">
        <is>
          <t>Fail. GHI passes and PCI fails, so the rule all is not met</t>
        </is>
      </c>
      <c r="F72" s="26" t="inlineStr">
        <is>
          <t>Scheme: wizard. Application: F4 build</t>
        </is>
      </c>
    </row>
    <row r="73" ht="57" customHeight="1" s="14">
      <c r="A73" s="23" t="inlineStr">
        <is>
          <t>SEED-R4-N9</t>
        </is>
      </c>
      <c r="B73" s="26" t="inlineStr">
        <is>
          <t>TS-002, TS-041</t>
        </is>
      </c>
      <c r="C73" s="26" t="inlineStr">
        <is>
          <t>A Singapore PR child of Bukit View Primary who submits while the MOEFAS form is open</t>
        </is>
      </c>
      <c r="D73" s="26" t="inlineStr">
        <is>
          <t>Nationality category PR</t>
        </is>
      </c>
      <c r="E73" s="26" t="inlineStr">
        <is>
          <t>SBFAS Pending for the school with the History row "SBFAS application (not eligible for MOEFAS by nationality)"</t>
        </is>
      </c>
      <c r="F73" s="26" t="inlineStr">
        <is>
          <t>Student and application: F4 build</t>
        </is>
      </c>
    </row>
    <row r="74" ht="43.5" customHeight="1" s="14">
      <c r="A74" s="23" t="inlineStr">
        <is>
          <t>SEED-R4-N10</t>
        </is>
      </c>
      <c r="B74" s="26" t="inlineStr">
        <is>
          <t>TS-017</t>
        </is>
      </c>
      <c r="C74" s="26" t="inlineStr">
        <is>
          <t>Applications submitted on 11/10/2026, 10/10/2026, 18/09/2026 and 17/09/2026</t>
        </is>
      </c>
      <c r="D74" s="26" t="inlineStr">
        <is>
          <t>Today is 18/10/2026</t>
        </is>
      </c>
      <c r="E74" s="26" t="inlineStr">
        <is>
          <t>Last 7 days includes 11/10 and excludes 10/10. Last 30 days includes 18/09 and excludes 17/09 (ASM-R4-23)</t>
        </is>
      </c>
      <c r="F74" s="26" t="inlineStr">
        <is>
          <t>Applications: F4 build</t>
        </is>
      </c>
    </row>
    <row r="75" ht="30.75" customHeight="1" s="14">
      <c r="A75" s="23" t="inlineStr">
        <is>
          <t>SEED-R4-N11</t>
        </is>
      </c>
      <c r="B75" s="26" t="inlineStr">
        <is>
          <t>TS-004</t>
        </is>
      </c>
      <c r="C75" s="26" t="inlineStr">
        <is>
          <t>A MOEFAS scheme with exactly one waiting application</t>
        </is>
      </c>
      <c r="D75" s="26" t="inlineStr">
        <is>
          <t>One application, any values</t>
        </is>
      </c>
      <c r="E75" s="26" t="inlineStr">
        <is>
          <t>Rank 1 of 1</t>
        </is>
      </c>
      <c r="F75" s="26" t="inlineStr">
        <is>
          <t>Scheme and application: F4 build</t>
        </is>
      </c>
    </row>
    <row r="76" ht="43.5" customHeight="1" s="14">
      <c r="A76" s="23" t="inlineStr">
        <is>
          <t>SEED-R4-N12</t>
        </is>
      </c>
      <c r="B76" s="26" t="inlineStr">
        <is>
          <t>TS-005</t>
        </is>
      </c>
      <c r="C76" s="26" t="inlineStr">
        <is>
          <t>Two waiting applications with equal rounded PCI (E and F)</t>
        </is>
      </c>
      <c r="D76" s="26" t="inlineStr">
        <is>
          <t>E: GHI 6,525.00, size 6, PCI 1,087.50. F: GHI 4,352.00, size 4, PCI 1,088.00</t>
        </is>
      </c>
      <c r="E76" s="26" t="inlineStr">
        <is>
          <t>E ranks before F on the exact PCI (ASM-R4-02). On the rounded PCI the order would be F first</t>
        </is>
      </c>
      <c r="F76" s="26" t="inlineStr">
        <is>
          <t>Applications: F4 build</t>
        </is>
      </c>
    </row>
    <row r="77" ht="43.5" customHeight="1" s="14">
      <c r="A77" s="23" t="inlineStr">
        <is>
          <t>SEED-R4-N13</t>
        </is>
      </c>
      <c r="B77" s="26" t="inlineStr">
        <is>
          <t>TS-014</t>
        </is>
      </c>
      <c r="C77" s="26" t="inlineStr">
        <is>
          <t>An SBFAS applicant of Bukit View Primary who moved to Meridian Secondary</t>
        </is>
      </c>
      <c r="D77" s="26" t="inlineStr">
        <is>
          <t>Transfer done in F3 after the application</t>
        </is>
      </c>
      <c r="E77" s="26" t="inlineStr">
        <is>
          <t>Listed for Meridian Secondary and not for Bukit View Primary (BR5, 3.2 item 1)</t>
        </is>
      </c>
      <c r="F77" s="26" t="inlineStr">
        <is>
          <t>Student, transfer and application: F4 build</t>
        </is>
      </c>
    </row>
    <row r="78" ht="30.75" customHeight="1" s="14">
      <c r="A78" s="23" t="inlineStr">
        <is>
          <t>SEED-R4-N14</t>
        </is>
      </c>
      <c r="B78" s="26" t="inlineStr">
        <is>
          <t>TS-014</t>
        </is>
      </c>
      <c r="C78" s="26" t="inlineStr">
        <is>
          <t>Two SBFAS approvals decided on 31/12/2025 and on 01/01/2026</t>
        </is>
      </c>
      <c r="D78" s="26" t="inlineStr">
        <is>
          <t>Both at the same school</t>
        </is>
      </c>
      <c r="E78" s="26" t="inlineStr">
        <is>
          <t>This year (2026) counts only the second (ASM-R4-16)</t>
        </is>
      </c>
      <c r="F78" s="26" t="inlineStr">
        <is>
          <t>Applications: F4 build</t>
        </is>
      </c>
    </row>
    <row r="79" ht="57" customHeight="1" s="14">
      <c r="A79" s="23" t="inlineStr">
        <is>
          <t>SEED-R4-N15</t>
        </is>
      </c>
      <c r="B79" s="26" t="inlineStr">
        <is>
          <t>TS-025, TS-028, TS-054</t>
        </is>
      </c>
      <c r="C79" s="26" t="inlineStr">
        <is>
          <t>A school with no published SBFAS scheme for the application period and one Pending SBFAS application</t>
        </is>
      </c>
      <c r="D79" s="26" t="inlineStr">
        <is>
          <t>School user for that school</t>
        </is>
      </c>
      <c r="E79" s="26" t="inlineStr">
        <is>
          <t>Red note in the drawer, a dash for ML recommendation, Confirm approval disabled (ASM-R4-04)</t>
        </is>
      </c>
      <c r="F79" s="26" t="inlineStr">
        <is>
          <t>School, user and application: F4 build</t>
        </is>
      </c>
    </row>
    <row r="80" ht="69.75" customHeight="1" s="14">
      <c r="A80" s="23" t="inlineStr">
        <is>
          <t>SEED-R4-N16</t>
        </is>
      </c>
      <c r="B80" s="26" t="inlineStr">
        <is>
          <t>TS-027, TS-030, TS-054</t>
        </is>
      </c>
      <c r="C80" s="26" t="inlineStr">
        <is>
          <t>Schemes with different form periods and applications submitted inside and outside them</t>
        </is>
      </c>
      <c r="D80" s="26" t="inlineStr">
        <is>
          <t>Tier A form 01/08/2026 to 31/12/2026, Tier B form 01/01/2027 to 30/06/2027, a Draft Tier C. Applications submitted 14/11/2025, 17/10/2026 and one outside every form period</t>
        </is>
      </c>
      <c r="E80" s="26" t="inlineStr">
        <is>
          <t>Candidate tiers follow the submit date. If none, the schemes in effect today (5 Candidate tiers). The base state already holds the 2026 and 2027 Bukit View schemes</t>
        </is>
      </c>
      <c r="F80" s="26" t="inlineStr">
        <is>
          <t>Schemes: wizard. Applications: F4 build</t>
        </is>
      </c>
    </row>
    <row r="81" ht="57" customHeight="1" s="14">
      <c r="A81" s="23" t="inlineStr">
        <is>
          <t>SEED-R4-N17</t>
        </is>
      </c>
      <c r="B81" s="26" t="inlineStr">
        <is>
          <t>TS-038</t>
        </is>
      </c>
      <c r="C81" s="26" t="inlineStr">
        <is>
          <t>Schemes with edge dates on 18/10/2026</t>
        </is>
      </c>
      <c r="D81" s="26" t="inlineStr">
        <is>
          <t>X: Effective from 19/10/2026. Y: Effective to 17/10/2026. Z: Effective to 18/10/2026. A scheme with form 19/10/2026 to 30/11/2026</t>
        </is>
      </c>
      <c r="E81" s="26" t="inlineStr">
        <is>
          <t>X Upcoming, Y Closed, Z Active, form badge Not open yet</t>
        </is>
      </c>
      <c r="F81" s="26" t="inlineStr">
        <is>
          <t>Schemes: wizard</t>
        </is>
      </c>
    </row>
    <row r="82" ht="30.75" customHeight="1" s="14">
      <c r="A82" s="23" t="inlineStr">
        <is>
          <t>SEED-R4-N18</t>
        </is>
      </c>
      <c r="B82" s="26" t="inlineStr">
        <is>
          <t>TS-039, TS-050</t>
        </is>
      </c>
      <c r="C82" s="26" t="inlineStr">
        <is>
          <t>A Draft MOEFAS scheme next to the base schemes</t>
        </is>
      </c>
      <c r="D82" s="26" t="inlineStr">
        <is>
          <t>Saved from the wizard with only the name</t>
        </is>
      </c>
      <c r="E82" s="26" t="inlineStr">
        <is>
          <t>Draft: Edit only. Add fee is not offered</t>
        </is>
      </c>
      <c r="F82" s="26" t="inlineStr">
        <is>
          <t>Scheme: wizard</t>
        </is>
      </c>
    </row>
    <row r="83" ht="30.75" customHeight="1" s="14">
      <c r="A83" s="23" t="inlineStr">
        <is>
          <t>SEED-R4-N19</t>
        </is>
      </c>
      <c r="B83" s="26" t="inlineStr">
        <is>
          <t>TS-042</t>
        </is>
      </c>
      <c r="C83" s="26" t="inlineStr">
        <is>
          <t>Fee component School Meal Fee set to inactive in F3</t>
        </is>
      </c>
      <c r="D83" s="26" t="inlineStr">
        <is>
          <t>Other components stay active</t>
        </is>
      </c>
      <c r="E83" s="26" t="inlineStr">
        <is>
          <t>Add fee does not offer School Meal Fee</t>
        </is>
      </c>
      <c r="F83" s="26" t="inlineStr">
        <is>
          <t>Fee component: F3</t>
        </is>
      </c>
    </row>
    <row r="84" ht="57" customHeight="1" s="14">
      <c r="A84" s="23" t="inlineStr">
        <is>
          <t>SEED-R4-N20</t>
        </is>
      </c>
      <c r="B84" s="26" t="inlineStr">
        <is>
          <t>TS-051</t>
        </is>
      </c>
      <c r="C84" s="26" t="inlineStr">
        <is>
          <t>Student 00390 (P4) with an open Enrichment Programme Fee and the component Enrichment Programme Fee active in F3</t>
        </is>
      </c>
      <c r="D84" s="26" t="inlineStr">
        <is>
          <t>Fee S$ 100.00 open. Scheme level Primary, new component value 100 %. A second fee of the same component published after the Add fee</t>
        </is>
      </c>
      <c r="E84" s="26" t="inlineStr">
        <is>
          <t>The open fee is reduced by 100 % after Add to scheme. The later fee follows automatically</t>
        </is>
      </c>
      <c r="F84" s="26" t="inlineStr">
        <is>
          <t>Fee component and invoices: F3</t>
        </is>
      </c>
    </row>
    <row r="85" ht="43.5" customHeight="1" s="14">
      <c r="A85" s="23" t="inlineStr">
        <is>
          <t>SEED-R4-N21</t>
        </is>
      </c>
      <c r="B85" s="26" t="inlineStr">
        <is>
          <t>TS-053</t>
        </is>
      </c>
      <c r="C85" s="26" t="inlineStr">
        <is>
          <t>Outstanding School fee invoices for the students decided in the case</t>
        </is>
      </c>
      <c r="D85" s="26" t="inlineStr">
        <is>
          <t>MOEFAS 2027 Secondary 70 % on School fee for 00377 (S3). Tier 2 P2 80 % on School fee for 00398 (P2)</t>
        </is>
      </c>
      <c r="E85" s="26" t="inlineStr">
        <is>
          <t>Subsidy applied to outstanding fees inside the effective period and to later fees</t>
        </is>
      </c>
      <c r="F85" s="26" t="inlineStr">
        <is>
          <t>Invoices: F3 and ENV-R4-07</t>
        </is>
      </c>
    </row>
    <row r="86" ht="69.75" customHeight="1" s="14">
      <c r="A86" s="23" t="inlineStr">
        <is>
          <t>SEED-R4-N22</t>
        </is>
      </c>
      <c r="B86" s="26" t="inlineStr">
        <is>
          <t>TS-003</t>
        </is>
      </c>
      <c r="C86" s="26" t="inlineStr">
        <is>
          <t>The state after the MOEFAS 2027 form closed and the date moves to 01/01/2027</t>
        </is>
      </c>
      <c r="D86" s="26" t="inlineStr">
        <is>
          <t>MOEFAS 2027 form closed 31/12/2026. A next form opening date is set (MOEFAS 2028 form opens on a later date). A second case has only the school SBFAS form open and a PR child</t>
        </is>
      </c>
      <c r="E86" s="26" t="inlineStr">
        <is>
          <t>Submit is blocked with the next opening date. With the school SBFAS form open a PR child may submit</t>
        </is>
      </c>
      <c r="F86" s="26" t="inlineStr">
        <is>
          <t>Schemes: wizard. Clock: ENV-R4-04</t>
        </is>
      </c>
    </row>
    <row r="87" ht="43.5" customHeight="1" s="14">
      <c r="A87" s="23" t="inlineStr">
        <is>
          <t>SEED-R4-N23</t>
        </is>
      </c>
      <c r="B87" s="26" t="inlineStr">
        <is>
          <t>TS-005</t>
        </is>
      </c>
      <c r="C87" s="26" t="inlineStr">
        <is>
          <t>Two waiting applications with the same PCI, GHI and submit time</t>
        </is>
      </c>
      <c r="D87" s="26" t="inlineStr">
        <is>
          <t>Any equal values</t>
        </is>
      </c>
      <c r="E87" s="26" t="inlineStr">
        <is>
          <t>One stable order. The lower Application ID ranks first (ASM-R4-02)</t>
        </is>
      </c>
      <c r="F87" s="26" t="inlineStr">
        <is>
          <t>Applications: F4 build</t>
        </is>
      </c>
    </row>
    <row r="88" ht="57" customHeight="1" s="14">
      <c r="A88" s="23" t="inlineStr">
        <is>
          <t>SEED-R4-N24</t>
        </is>
      </c>
      <c r="B88" s="26" t="inlineStr">
        <is>
          <t>TS-006</t>
        </is>
      </c>
      <c r="C88" s="26" t="inlineStr">
        <is>
          <t>A scheme with Form closes 31/12/2026 and Effective from 01/01/2027 and one waiting application that passes</t>
        </is>
      </c>
      <c r="D88" s="26" t="inlineStr">
        <is>
          <t>The form-close job runs on 05/01/2027</t>
        </is>
      </c>
      <c r="E88" s="26" t="inlineStr">
        <is>
          <t>Effective from is 05/01/2027 (today, later than the scheme start)</t>
        </is>
      </c>
      <c r="F88" s="26" t="inlineStr">
        <is>
          <t>Scheme: wizard. Clock: ENV-R4-04</t>
        </is>
      </c>
    </row>
    <row r="89" ht="43.5" customHeight="1" s="14">
      <c r="A89" s="23" t="inlineStr">
        <is>
          <t>SEED-R4-N25</t>
        </is>
      </c>
      <c r="B89" s="26" t="inlineStr">
        <is>
          <t>TS-013, TS-019, TS-020</t>
        </is>
      </c>
      <c r="C89" s="26" t="inlineStr">
        <is>
          <t>Extra SBFAS applications for paging</t>
        </is>
      </c>
      <c r="D89" s="26" t="inlineStr">
        <is>
          <t>The base list has 9 rows. Seed A adds 1 row to reach exactly 10. Seed B adds 2 rows to reach 11</t>
        </is>
      </c>
      <c r="E89" s="26" t="inlineStr">
        <is>
          <t>10 rows fit on one page. 11 rows open page 2. Export holds all rows</t>
        </is>
      </c>
      <c r="F89" s="26" t="inlineStr">
        <is>
          <t>Applications: F4 build</t>
        </is>
      </c>
    </row>
    <row r="90" ht="30.75" customHeight="1" s="14">
      <c r="A90" s="23" t="inlineStr">
        <is>
          <t>SEED-R4-N26</t>
        </is>
      </c>
      <c r="B90" s="26" t="inlineStr">
        <is>
          <t>TS-020</t>
        </is>
      </c>
      <c r="C90" s="26" t="inlineStr">
        <is>
          <t>A student whose name starts with an equal sign</t>
        </is>
      </c>
      <c r="D90" s="26" t="inlineStr">
        <is>
          <t>Student name: =HYPERLINK("http://example.test","x")</t>
        </is>
      </c>
      <c r="E90" s="26" t="inlineStr">
        <is>
          <t>The CSV cell is written as text with a leading apostrophe (ASM-R4-08)</t>
        </is>
      </c>
      <c r="F90" s="26" t="inlineStr">
        <is>
          <t>Student and application: F4 build</t>
        </is>
      </c>
    </row>
    <row r="91" ht="69.75" customHeight="1" s="14">
      <c r="A91" s="23" t="inlineStr">
        <is>
          <t>SEED-R4-N27</t>
        </is>
      </c>
      <c r="B91" s="26" t="inlineStr">
        <is>
          <t>TS-054</t>
        </is>
      </c>
      <c r="C91" s="26" t="inlineStr">
        <is>
          <t>Two applications at the edge of the 5 % rule</t>
        </is>
      </c>
      <c r="D91" s="26" t="inlineStr">
        <is>
          <t>Tier 3 limit PCI 1,500.00 so 5 % over is 1,575.00. One application with PCI 1,575.00 and one with PCI 1,575.01, both Citizen at Bukit View Primary</t>
        </is>
      </c>
      <c r="E91" s="26" t="inlineStr">
        <is>
          <t>The first is recommended Tier 3. The second shows a dash</t>
        </is>
      </c>
      <c r="F91" s="26" t="inlineStr">
        <is>
          <t>Applications: F4 build</t>
        </is>
      </c>
    </row>
    <row r="92" ht="18" customHeight="1" s="14">
      <c r="A92" s="21" t="inlineStr">
        <is>
          <t>The seed IDs are numbered N1 to N27 in the order the cases use them. A seed marked "F4 build" needs ENV-R4-02 because the prototype cannot create applications. A seed marked "wizard" can be created in the prototype through the scheme wizard.</t>
        </is>
      </c>
    </row>
    <row r="94" ht="15" customHeight="1" s="14">
      <c r="A94" s="27" t="inlineStr">
        <is>
          <t>Engine cases reused from the earlier seed (sheet SD-09)</t>
        </is>
      </c>
    </row>
    <row r="95" ht="30" customHeight="1" s="14">
      <c r="A95" s="15" t="inlineStr">
        <is>
          <t>Case ID</t>
        </is>
      </c>
      <c r="B95" s="15" t="inlineStr">
        <is>
          <t>Purpose</t>
        </is>
      </c>
      <c r="C95" s="15" t="inlineStr">
        <is>
          <t>GHI (S$)</t>
        </is>
      </c>
      <c r="D95" s="15" t="inlineStr">
        <is>
          <t>Household size</t>
        </is>
      </c>
      <c r="E95" s="15" t="inlineStr">
        <is>
          <t>Workers</t>
        </is>
      </c>
      <c r="F95" s="15" t="inlineStr">
        <is>
          <t>Members under 21</t>
        </is>
      </c>
      <c r="G95" s="15" t="inlineStr">
        <is>
          <t>Months since last aid</t>
        </is>
      </c>
      <c r="H95" s="15" t="inlineStr">
        <is>
          <t>Stability group</t>
        </is>
      </c>
      <c r="I95" s="15" t="inlineStr">
        <is>
          <t>Vulnerability flags</t>
        </is>
      </c>
      <c r="J95" s="15" t="inlineStr">
        <is>
          <t>Deny rule</t>
        </is>
      </c>
      <c r="K95" s="15" t="inlineStr">
        <is>
          <t>Need Score</t>
        </is>
      </c>
      <c r="L95" s="15" t="inlineStr">
        <is>
          <t>ML risk</t>
        </is>
      </c>
    </row>
    <row r="96" ht="30.75" customHeight="1" s="14">
      <c r="A96" s="23" t="inlineStr">
        <is>
          <t>EN01</t>
        </is>
      </c>
      <c r="B96" s="26" t="inlineStr">
        <is>
          <t>Application APP-2026-00377 as in the figure</t>
        </is>
      </c>
      <c r="C96" s="26" t="inlineStr">
        <is>
          <t>4120</t>
        </is>
      </c>
      <c r="D96" s="26" t="inlineStr">
        <is>
          <t>4</t>
        </is>
      </c>
      <c r="E96" s="26" t="inlineStr">
        <is>
          <t>1</t>
        </is>
      </c>
      <c r="F96" s="26" t="inlineStr">
        <is>
          <t>2</t>
        </is>
      </c>
      <c r="G96" s="26" t="inlineStr">
        <is>
          <t>6</t>
        </is>
      </c>
      <c r="H96" s="26" t="inlineStr">
        <is>
          <t>Interrupted</t>
        </is>
      </c>
      <c r="I96" s="26" t="inlineStr">
        <is>
          <t>None</t>
        </is>
      </c>
      <c r="J96" s="26" t="inlineStr">
        <is>
          <t>None</t>
        </is>
      </c>
      <c r="K96" s="26" t="inlineStr">
        <is>
          <t>59.72</t>
        </is>
      </c>
      <c r="L96" s="26" t="inlineStr">
        <is>
          <t>Medium</t>
        </is>
      </c>
    </row>
    <row r="97" ht="30.75" customHeight="1" s="14">
      <c r="A97" s="23" t="inlineStr">
        <is>
          <t>EN02</t>
        </is>
      </c>
      <c r="B97" s="26" t="inlineStr">
        <is>
          <t>Application APP-2026-00412 as in the figure</t>
        </is>
      </c>
      <c r="C97" s="26" t="inlineStr">
        <is>
          <t>4350</t>
        </is>
      </c>
      <c r="D97" s="26" t="inlineStr">
        <is>
          <t>4</t>
        </is>
      </c>
      <c r="E97" s="26" t="inlineStr">
        <is>
          <t>2</t>
        </is>
      </c>
      <c r="F97" s="26" t="inlineStr">
        <is>
          <t>2</t>
        </is>
      </c>
      <c r="G97" s="26" t="inlineStr">
        <is>
          <t>Never or none</t>
        </is>
      </c>
      <c r="H97" s="26" t="inlineStr">
        <is>
          <t>Stable</t>
        </is>
      </c>
      <c r="I97" s="26" t="inlineStr">
        <is>
          <t>None</t>
        </is>
      </c>
      <c r="J97" s="26" t="inlineStr">
        <is>
          <t>None</t>
        </is>
      </c>
      <c r="K97" s="26" t="inlineStr">
        <is>
          <t>52.13</t>
        </is>
      </c>
      <c r="L97" s="26" t="inlineStr">
        <is>
          <t>Medium</t>
        </is>
      </c>
    </row>
    <row r="98" ht="30.75" customHeight="1" s="14">
      <c r="A98" s="23" t="inlineStr">
        <is>
          <t>EN05</t>
        </is>
      </c>
      <c r="B98" s="26" t="inlineStr">
        <is>
          <t>Application APP-2026-00390 as in the figure</t>
        </is>
      </c>
      <c r="C98" s="26" t="inlineStr">
        <is>
          <t>2800</t>
        </is>
      </c>
      <c r="D98" s="26" t="inlineStr">
        <is>
          <t>4</t>
        </is>
      </c>
      <c r="E98" s="26" t="inlineStr">
        <is>
          <t>1</t>
        </is>
      </c>
      <c r="F98" s="26" t="inlineStr">
        <is>
          <t>2</t>
        </is>
      </c>
      <c r="G98" s="26" t="inlineStr">
        <is>
          <t>2</t>
        </is>
      </c>
      <c r="H98" s="26" t="inlineStr">
        <is>
          <t>Unemployed long</t>
        </is>
      </c>
      <c r="I98" s="26" t="inlineStr">
        <is>
          <t>single parent, young child, disabled</t>
        </is>
      </c>
      <c r="J98" s="26" t="inlineStr">
        <is>
          <t>None</t>
        </is>
      </c>
      <c r="K98" s="26" t="inlineStr">
        <is>
          <t>78.67</t>
        </is>
      </c>
      <c r="L98" s="26" t="inlineStr">
        <is>
          <t>High</t>
        </is>
      </c>
    </row>
    <row r="99" ht="30.75" customHeight="1" s="14">
      <c r="A99" s="23" t="inlineStr">
        <is>
          <t>EN18</t>
        </is>
      </c>
      <c r="B99" s="26" t="inlineStr">
        <is>
          <t>Need Score boundary: Need Score exactly 75.00</t>
        </is>
      </c>
      <c r="C99" s="26" t="inlineStr">
        <is>
          <t>0</t>
        </is>
      </c>
      <c r="D99" s="26" t="inlineStr">
        <is>
          <t>2</t>
        </is>
      </c>
      <c r="E99" s="26" t="inlineStr">
        <is>
          <t>2</t>
        </is>
      </c>
      <c r="F99" s="26" t="inlineStr">
        <is>
          <t>1</t>
        </is>
      </c>
      <c r="G99" s="26" t="inlineStr">
        <is>
          <t>Never or none</t>
        </is>
      </c>
      <c r="H99" s="26" t="inlineStr">
        <is>
          <t>Stable</t>
        </is>
      </c>
      <c r="I99" s="26" t="inlineStr">
        <is>
          <t>None</t>
        </is>
      </c>
      <c r="J99" s="26" t="inlineStr">
        <is>
          <t>None</t>
        </is>
      </c>
      <c r="K99" s="26" t="inlineStr">
        <is>
          <t>75</t>
        </is>
      </c>
      <c r="L99" s="26" t="inlineStr">
        <is>
          <t>High</t>
        </is>
      </c>
    </row>
    <row r="100" ht="30.75" customHeight="1" s="14">
      <c r="A100" s="23" t="inlineStr">
        <is>
          <t>EN19</t>
        </is>
      </c>
      <c r="B100" s="26" t="inlineStr">
        <is>
          <t>Need Score boundary: Need Score 74.99</t>
        </is>
      </c>
      <c r="C100" s="26" t="inlineStr">
        <is>
          <t>2</t>
        </is>
      </c>
      <c r="D100" s="26" t="inlineStr">
        <is>
          <t>2</t>
        </is>
      </c>
      <c r="E100" s="26" t="inlineStr">
        <is>
          <t>2</t>
        </is>
      </c>
      <c r="F100" s="26" t="inlineStr">
        <is>
          <t>1</t>
        </is>
      </c>
      <c r="G100" s="26" t="inlineStr">
        <is>
          <t>Never or none</t>
        </is>
      </c>
      <c r="H100" s="26" t="inlineStr">
        <is>
          <t>Stable</t>
        </is>
      </c>
      <c r="I100" s="26" t="inlineStr">
        <is>
          <t>None</t>
        </is>
      </c>
      <c r="J100" s="26" t="inlineStr">
        <is>
          <t>None</t>
        </is>
      </c>
      <c r="K100" s="26" t="inlineStr">
        <is>
          <t>74.99</t>
        </is>
      </c>
      <c r="L100" s="26" t="inlineStr">
        <is>
          <t>Medium</t>
        </is>
      </c>
    </row>
    <row r="101" ht="30.75" customHeight="1" s="14">
      <c r="A101" s="23" t="inlineStr">
        <is>
          <t>EN20</t>
        </is>
      </c>
      <c r="B101" s="26" t="inlineStr">
        <is>
          <t>Need Score boundary: Need Score exactly 50.00</t>
        </is>
      </c>
      <c r="C101" s="26" t="inlineStr">
        <is>
          <t>4500</t>
        </is>
      </c>
      <c r="D101" s="26" t="inlineStr">
        <is>
          <t>4</t>
        </is>
      </c>
      <c r="E101" s="26" t="inlineStr">
        <is>
          <t>3</t>
        </is>
      </c>
      <c r="F101" s="26" t="inlineStr">
        <is>
          <t>1</t>
        </is>
      </c>
      <c r="G101" s="26" t="inlineStr">
        <is>
          <t>Never or none</t>
        </is>
      </c>
      <c r="H101" s="26" t="inlineStr">
        <is>
          <t>Stable</t>
        </is>
      </c>
      <c r="I101" s="26" t="inlineStr">
        <is>
          <t>None</t>
        </is>
      </c>
      <c r="J101" s="26" t="inlineStr">
        <is>
          <t>None</t>
        </is>
      </c>
      <c r="K101" s="26" t="inlineStr">
        <is>
          <t>50</t>
        </is>
      </c>
      <c r="L101" s="26" t="inlineStr">
        <is>
          <t>Medium</t>
        </is>
      </c>
    </row>
    <row r="102" ht="30.75" customHeight="1" s="14">
      <c r="A102" s="23" t="inlineStr">
        <is>
          <t>EN21</t>
        </is>
      </c>
      <c r="B102" s="26" t="inlineStr">
        <is>
          <t>Need Score boundary: Need Score 49.99</t>
        </is>
      </c>
      <c r="C102" s="26" t="inlineStr">
        <is>
          <t>4502</t>
        </is>
      </c>
      <c r="D102" s="26" t="inlineStr">
        <is>
          <t>4</t>
        </is>
      </c>
      <c r="E102" s="26" t="inlineStr">
        <is>
          <t>3</t>
        </is>
      </c>
      <c r="F102" s="26" t="inlineStr">
        <is>
          <t>1</t>
        </is>
      </c>
      <c r="G102" s="26" t="inlineStr">
        <is>
          <t>Never or none</t>
        </is>
      </c>
      <c r="H102" s="26" t="inlineStr">
        <is>
          <t>Stable</t>
        </is>
      </c>
      <c r="I102" s="26" t="inlineStr">
        <is>
          <t>None</t>
        </is>
      </c>
      <c r="J102" s="26" t="inlineStr">
        <is>
          <t>None</t>
        </is>
      </c>
      <c r="K102" s="26" t="inlineStr">
        <is>
          <t>49.99</t>
        </is>
      </c>
      <c r="L102" s="26" t="inlineStr">
        <is>
          <t>Low</t>
        </is>
      </c>
    </row>
    <row r="103" ht="30.75" customHeight="1" s="14">
      <c r="A103" s="23" t="inlineStr">
        <is>
          <t>EN41</t>
        </is>
      </c>
      <c r="B103" s="26" t="inlineStr">
        <is>
          <t>Deny rule DENY-NO-CHILDREN</t>
        </is>
      </c>
      <c r="C103" s="26" t="inlineStr">
        <is>
          <t>3000</t>
        </is>
      </c>
      <c r="D103" s="26" t="inlineStr">
        <is>
          <t>3</t>
        </is>
      </c>
      <c r="E103" s="26" t="inlineStr">
        <is>
          <t>2</t>
        </is>
      </c>
      <c r="F103" s="26" t="inlineStr">
        <is>
          <t>0</t>
        </is>
      </c>
      <c r="G103" s="26" t="inlineStr">
        <is>
          <t>Never or none</t>
        </is>
      </c>
      <c r="H103" s="26" t="inlineStr">
        <is>
          <t>Stable</t>
        </is>
      </c>
      <c r="I103" s="26" t="inlineStr">
        <is>
          <t>None</t>
        </is>
      </c>
      <c r="J103" s="26" t="inlineStr">
        <is>
          <t>DENY-NO-CHILDREN</t>
        </is>
      </c>
      <c r="K103" s="26" t="inlineStr">
        <is>
          <t>0</t>
        </is>
      </c>
      <c r="L103" s="26" t="inlineStr">
        <is>
          <t>Low</t>
        </is>
      </c>
    </row>
    <row r="104" ht="30.75" customHeight="1" s="14">
      <c r="A104" s="23" t="inlineStr">
        <is>
          <t>EN42</t>
        </is>
      </c>
      <c r="B104" s="26" t="inlineStr">
        <is>
          <t>Deny rule DENY-ONLY-CHILDREN</t>
        </is>
      </c>
      <c r="C104" s="26" t="inlineStr">
        <is>
          <t>3000</t>
        </is>
      </c>
      <c r="D104" s="26" t="inlineStr">
        <is>
          <t>3</t>
        </is>
      </c>
      <c r="E104" s="26" t="inlineStr">
        <is>
          <t>0</t>
        </is>
      </c>
      <c r="F104" s="26" t="inlineStr">
        <is>
          <t>3</t>
        </is>
      </c>
      <c r="G104" s="26" t="inlineStr">
        <is>
          <t>Never or none</t>
        </is>
      </c>
      <c r="H104" s="26" t="inlineStr">
        <is>
          <t>Stable</t>
        </is>
      </c>
      <c r="I104" s="26" t="inlineStr">
        <is>
          <t>None</t>
        </is>
      </c>
      <c r="J104" s="26" t="inlineStr">
        <is>
          <t>DENY-ONLY-CHILDREN</t>
        </is>
      </c>
      <c r="K104" s="26" t="inlineStr">
        <is>
          <t>0</t>
        </is>
      </c>
      <c r="L104" s="26" t="inlineStr">
        <is>
          <t>Low</t>
        </is>
      </c>
    </row>
    <row r="105" ht="30.75" customHeight="1" s="14">
      <c r="A105" s="23" t="inlineStr">
        <is>
          <t>EN43</t>
        </is>
      </c>
      <c r="B105" s="26" t="inlineStr">
        <is>
          <t>Deny rule DENY-INVALID-SIZE</t>
        </is>
      </c>
      <c r="C105" s="26" t="inlineStr">
        <is>
          <t>3000</t>
        </is>
      </c>
      <c r="D105" s="26" t="inlineStr">
        <is>
          <t>0</t>
        </is>
      </c>
      <c r="E105" s="26" t="inlineStr">
        <is>
          <t>0</t>
        </is>
      </c>
      <c r="F105" s="26" t="inlineStr">
        <is>
          <t>1</t>
        </is>
      </c>
      <c r="G105" s="26" t="inlineStr">
        <is>
          <t>Never or none</t>
        </is>
      </c>
      <c r="H105" s="26" t="inlineStr">
        <is>
          <t>Stable</t>
        </is>
      </c>
      <c r="I105" s="26" t="inlineStr">
        <is>
          <t>None</t>
        </is>
      </c>
      <c r="J105" s="26" t="inlineStr">
        <is>
          <t>DENY-INVALID-SIZE</t>
        </is>
      </c>
      <c r="K105" s="26" t="inlineStr">
        <is>
          <t>0</t>
        </is>
      </c>
      <c r="L105" s="26" t="inlineStr">
        <is>
          <t>Low</t>
        </is>
      </c>
    </row>
    <row r="106" ht="30.75" customHeight="1" s="14">
      <c r="A106" s="23" t="inlineStr">
        <is>
          <t>EN44</t>
        </is>
      </c>
      <c r="B106" s="26" t="inlineStr">
        <is>
          <t>Deny rule DENY-WORKERS-EXCEED-SIZE</t>
        </is>
      </c>
      <c r="C106" s="26" t="inlineStr">
        <is>
          <t>3000</t>
        </is>
      </c>
      <c r="D106" s="26" t="inlineStr">
        <is>
          <t>3</t>
        </is>
      </c>
      <c r="E106" s="26" t="inlineStr">
        <is>
          <t>4</t>
        </is>
      </c>
      <c r="F106" s="26" t="inlineStr">
        <is>
          <t>1</t>
        </is>
      </c>
      <c r="G106" s="26" t="inlineStr">
        <is>
          <t>Never or none</t>
        </is>
      </c>
      <c r="H106" s="26" t="inlineStr">
        <is>
          <t>Stable</t>
        </is>
      </c>
      <c r="I106" s="26" t="inlineStr">
        <is>
          <t>None</t>
        </is>
      </c>
      <c r="J106" s="26" t="inlineStr">
        <is>
          <t>DENY-WORKERS-EXCEED-SIZE</t>
        </is>
      </c>
      <c r="K106" s="26" t="inlineStr">
        <is>
          <t>0</t>
        </is>
      </c>
      <c r="L106" s="26" t="inlineStr">
        <is>
          <t>Low</t>
        </is>
      </c>
    </row>
    <row r="107" ht="30.75" customHeight="1" s="14">
      <c r="A107" s="23" t="inlineStr">
        <is>
          <t>EN45</t>
        </is>
      </c>
      <c r="B107" s="26" t="inlineStr">
        <is>
          <t>Deny rule DENY-NEGATIVE-MONTHS</t>
        </is>
      </c>
      <c r="C107" s="26" t="inlineStr">
        <is>
          <t>3000</t>
        </is>
      </c>
      <c r="D107" s="26" t="inlineStr">
        <is>
          <t>3</t>
        </is>
      </c>
      <c r="E107" s="26" t="inlineStr">
        <is>
          <t>1</t>
        </is>
      </c>
      <c r="F107" s="26" t="inlineStr">
        <is>
          <t>1</t>
        </is>
      </c>
      <c r="G107" s="26" t="inlineStr">
        <is>
          <t>-1</t>
        </is>
      </c>
      <c r="H107" s="26" t="inlineStr">
        <is>
          <t>Stable</t>
        </is>
      </c>
      <c r="I107" s="26" t="inlineStr">
        <is>
          <t>None</t>
        </is>
      </c>
      <c r="J107" s="26" t="inlineStr">
        <is>
          <t>DENY-NEGATIVE-MONTHS</t>
        </is>
      </c>
      <c r="K107" s="26" t="inlineStr">
        <is>
          <t>0</t>
        </is>
      </c>
      <c r="L107" s="26" t="inlineStr">
        <is>
          <t>Low</t>
        </is>
      </c>
    </row>
    <row r="108" ht="30.75" customHeight="1" s="14">
      <c r="A108" s="21" t="inlineStr">
        <is>
          <t>Taken from the sheet SD-09 of the earlier seed (R4_FAS_Seed_Data_EN.xlsx). The weights and thresholds are unchanged in FS F4 v1.3 section 5 (ASM-R4-14). EN01, EN02 and EN05 are applications of the figures of FS v1.1. The inputs of EN05 are not the values the prototype shows for 00390 today (GHI 2,900.00, size 5), so the engine cases use the inputs of this table and not the screen.</t>
        </is>
      </c>
    </row>
    <row r="110" ht="15" customHeight="1" s="14">
      <c r="A110" s="27" t="inlineStr">
        <is>
          <t>Earlier seed items that do not apply</t>
        </is>
      </c>
    </row>
    <row r="111" ht="30" customHeight="1" s="14">
      <c r="A111" s="15" t="inlineStr">
        <is>
          <t>Earlier seed item</t>
        </is>
      </c>
      <c r="B111" s="15" t="inlineStr">
        <is>
          <t>Why it does not apply to FS F4 v1.3</t>
        </is>
      </c>
      <c r="C111" s="15" t="inlineStr">
        <is>
          <t>What replaces it</t>
        </is>
      </c>
    </row>
    <row r="112" ht="82.5" customHeight="1" s="14">
      <c r="A112" s="23" t="inlineStr">
        <is>
          <t>SD-05a Schemes and SD-05b Tiers</t>
        </is>
      </c>
      <c r="B112" s="26" t="inlineStr">
        <is>
          <t>They model MOEFAS with tiers and a school or HQ version. In FS F4 v1.3 MOEFAS has no tiers and one scheme per year. SBFAS has one scheme per tier.</t>
        </is>
      </c>
      <c r="C112" s="26" t="inlineStr">
        <is>
          <t>The scheme table of this sheet</t>
        </is>
      </c>
    </row>
    <row r="113" ht="96" customHeight="1" s="14">
      <c r="A113" s="23" t="inlineStr">
        <is>
          <t>SD-08 Applications</t>
        </is>
      </c>
      <c r="B113" s="26" t="inlineStr">
        <is>
          <t>It shows MOEFAS applications decided or checked by a user. In FS F4 v1.3 the system decides MOEFAS after the form closes and School Admin never sees MOEFAS.</t>
        </is>
      </c>
      <c r="C113" s="26" t="inlineStr">
        <is>
          <t>The base applications and the after-close table of this sheet</t>
        </is>
      </c>
    </row>
    <row r="114" ht="43.5" customHeight="1" s="14">
      <c r="A114" s="23" t="inlineStr">
        <is>
          <t>SD-10 Pagination (21 SBFAS applications)</t>
        </is>
      </c>
      <c r="B114" s="26" t="inlineStr">
        <is>
          <t>The 10 and 11 row boundaries are needed, not 21 rows.</t>
        </is>
      </c>
      <c r="C114" s="26" t="inlineStr">
        <is>
          <t>SEED-R4-N25</t>
        </is>
      </c>
    </row>
    <row r="115" ht="30.75" customHeight="1" s="14">
      <c r="A115" s="23" t="inlineStr">
        <is>
          <t>Expected counts</t>
        </is>
      </c>
      <c r="B115" s="26" t="inlineStr">
        <is>
          <t>The cards and tabs changed in FS F4 v1.3.</t>
        </is>
      </c>
      <c r="C115" s="26" t="inlineStr">
        <is>
          <t>The expected counts table of this sheet</t>
        </is>
      </c>
    </row>
    <row r="116" ht="57" customHeight="1" s="14">
      <c r="A116" s="23" t="inlineStr">
        <is>
          <t>SD-01 to SD-04 Users, schools, classes, students, households</t>
        </is>
      </c>
      <c r="B116" s="26" t="inlineStr">
        <is>
          <t>The names and numbers differ from the prototype sample data.</t>
        </is>
      </c>
      <c r="C116" s="26" t="inlineStr">
        <is>
          <t>The users, scheme and application tables of this sheet</t>
        </is>
      </c>
    </row>
  </sheetData>
  <mergeCells count="11">
    <mergeCell ref="B6:M6"/>
    <mergeCell ref="A108:M108"/>
    <mergeCell ref="B7:M7"/>
    <mergeCell ref="B10:M10"/>
    <mergeCell ref="B5:M5"/>
    <mergeCell ref="B8:M8"/>
    <mergeCell ref="A92:M92"/>
    <mergeCell ref="A30:M30"/>
    <mergeCell ref="B9:M9"/>
    <mergeCell ref="A43:M43"/>
    <mergeCell ref="A2:M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2026-10-19T16:29:49Z</dcterms:created>
  <dcterms:modified xmlns:dcterms="http://purl.org/dc/terms/" xmlns:xsi="http://www.w3.org/2001/XMLSchema-instance" xsi:type="dcterms:W3CDTF">2026-10-26T00:28:33Z</dcterms:modified>
  <cp:revision>0</cp:revision>
</cp:coreProperties>
</file>