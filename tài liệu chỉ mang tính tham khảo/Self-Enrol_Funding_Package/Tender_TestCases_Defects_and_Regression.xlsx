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stCases" sheetId="2" state="visible" r:id="rId4"/>
    <sheet name="Scenarios" sheetId="3" state="visible" r:id="rId5"/>
    <sheet name="Checkpoint" sheetId="4" state="visible" r:id="rId6"/>
    <sheet name="Defects" sheetId="5" state="visible" r:id="rId7"/>
    <sheet name="Assumptions" sheetId="6" state="visible" r:id="rId8"/>
    <sheet name="Negotiation" sheetId="7" state="visible" r:id="rId9"/>
    <sheet name="Regression TestCases" sheetId="8" state="visible" r:id="rId10"/>
    <sheet name="Regression Defects" sheetId="9" state="visible" r:id="rId11"/>
    <sheet name="Regression Assumptions" sheetId="10" state="visible" r:id="rId12"/>
    <sheet name="Clause Overview" sheetId="11" state="visible" r:id="rId13"/>
    <sheet name="Sprint 1" sheetId="12" state="visible" r:id="rId14"/>
    <sheet name="Sprint 2" sheetId="13" state="visible" r:id="rId15"/>
    <sheet name="Sprint 3" sheetId="14" state="visible" r:id="rId16"/>
    <sheet name="Unscheduled" sheetId="15" state="visible" r:id="rId17"/>
    <sheet name="Clause List Notes" sheetId="16" state="visible" r:id="rId18"/>
  </sheets>
  <definedNames>
    <definedName function="false" hidden="true" localSheetId="5" name="_xlnm._FilterDatabase" vbProcedure="false">Assumptions!$A$1:$L$70</definedName>
    <definedName function="false" hidden="true" localSheetId="3" name="_xlnm._FilterDatabase" vbProcedure="false">Checkpoint!$A$1:$P$163</definedName>
    <definedName function="false" hidden="true" localSheetId="4" name="_xlnm._FilterDatabase" vbProcedure="false">Defects!$A$1:$U$71</definedName>
    <definedName function="false" hidden="true" localSheetId="7" name="_xlnm._FilterDatabase" vbProcedure="false">'Regression TestCases'!$A$31:$AD$256</definedName>
    <definedName function="false" hidden="true" localSheetId="2" name="_xlnm._FilterDatabase" vbProcedure="false">Scenarios!$A$1:$P$163</definedName>
    <definedName function="false" hidden="true" localSheetId="1" name="_xlnm._FilterDatabase" vbProcedure="false">TestCases!$A$1:$Z$328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<sst xmlns="http://schemas.openxmlformats.org/spreadsheetml/2006/main" count="24133" uniqueCount="6391">
  <si>
    <t xml:space="preserve">Tender Test Cases and Defects: Summary (Training Management: Enrolment, Assessment, Funding)</t>
  </si>
  <si>
    <t xml:space="preserve">All counts are formulas over TestCases, Checkpoint and Defects. No test case has been executed.</t>
  </si>
  <si>
    <t xml:space="preserve">Test cases by Status</t>
  </si>
  <si>
    <t xml:space="preserve">Status</t>
  </si>
  <si>
    <t xml:space="preserve">Count</t>
  </si>
  <si>
    <t xml:space="preserve">Percent</t>
  </si>
  <si>
    <t xml:space="preserve">Meaning</t>
  </si>
  <si>
    <t xml:space="preserve">Approve</t>
  </si>
  <si>
    <t xml:space="preserve">Expected result comes from the clause, no open assumption</t>
  </si>
  <si>
    <t xml:space="preserve">Draft</t>
  </si>
  <si>
    <t xml:space="preserve">Needs an assumption to write the expected result</t>
  </si>
  <si>
    <t xml:space="preserve">Reject</t>
  </si>
  <si>
    <t xml:space="preserve">Clause gives no testable expectation, steps not written</t>
  </si>
  <si>
    <t xml:space="preserve">Total</t>
  </si>
  <si>
    <t xml:space="preserve">Status by Priority</t>
  </si>
  <si>
    <t xml:space="preserve">Priority</t>
  </si>
  <si>
    <t xml:space="preserve">Critical</t>
  </si>
  <si>
    <t xml:space="preserve">High</t>
  </si>
  <si>
    <t xml:space="preserve">Medium</t>
  </si>
  <si>
    <t xml:space="preserve">Low</t>
  </si>
  <si>
    <t xml:space="preserve">Status by Severity (1 is the most severe)</t>
  </si>
  <si>
    <t xml:space="preserve">Severity</t>
  </si>
  <si>
    <t xml:space="preserve">Blocker, or money, funding or compliance break</t>
  </si>
  <si>
    <t xml:space="preserve">Critical or major function fails</t>
  </si>
  <si>
    <t xml:space="preserve">Normal: wrong result with a workaround</t>
  </si>
  <si>
    <t xml:space="preserve">Minor or cosmetic</t>
  </si>
  <si>
    <t xml:space="preserve">Priority by Severity (test cases)</t>
  </si>
  <si>
    <t xml:space="preserve">Severity 1</t>
  </si>
  <si>
    <t xml:space="preserve">Severity 2</t>
  </si>
  <si>
    <t xml:space="preserve">Severity 3</t>
  </si>
  <si>
    <t xml:space="preserve">Severity 4</t>
  </si>
  <si>
    <t xml:space="preserve">Test cases by Module and Sprint (a clause in several sprints counts in each)</t>
  </si>
  <si>
    <t xml:space="preserve">Module</t>
  </si>
  <si>
    <t xml:space="preserve">Sprint 1</t>
  </si>
  <si>
    <t xml:space="preserve">Sprint 2</t>
  </si>
  <si>
    <t xml:space="preserve">Sprint 3</t>
  </si>
  <si>
    <t xml:space="preserve">Unscheduled</t>
  </si>
  <si>
    <t xml:space="preserve">Rows</t>
  </si>
  <si>
    <t xml:space="preserve">Enrolment</t>
  </si>
  <si>
    <t xml:space="preserve">Assessment</t>
  </si>
  <si>
    <t xml:space="preserve">Funding</t>
  </si>
  <si>
    <t xml:space="preserve">Status by Module</t>
  </si>
  <si>
    <t xml:space="preserve">Status by Test Type</t>
  </si>
  <si>
    <t xml:space="preserve">Test Type</t>
  </si>
  <si>
    <t xml:space="preserve">Functional</t>
  </si>
  <si>
    <t xml:space="preserve">Integration</t>
  </si>
  <si>
    <t xml:space="preserve">Status by Lens</t>
  </si>
  <si>
    <t xml:space="preserve">Lens</t>
  </si>
  <si>
    <t xml:space="preserve">Boundary</t>
  </si>
  <si>
    <t xml:space="preserve">Business Risk</t>
  </si>
  <si>
    <t xml:space="preserve">Data</t>
  </si>
  <si>
    <t xml:space="preserve">Data Integrity</t>
  </si>
  <si>
    <t xml:space="preserve">Failure&amp;Recovery</t>
  </si>
  <si>
    <t xml:space="preserve">Happy Path</t>
  </si>
  <si>
    <t xml:space="preserve">Negative</t>
  </si>
  <si>
    <t xml:space="preserve">Security</t>
  </si>
  <si>
    <t xml:space="preserve">Sequence</t>
  </si>
  <si>
    <t xml:space="preserve">State</t>
  </si>
  <si>
    <t xml:space="preserve">UI</t>
  </si>
  <si>
    <t xml:space="preserve">Workflow</t>
  </si>
  <si>
    <t xml:space="preserve">Status by Type</t>
  </si>
  <si>
    <t xml:space="preserve">Type</t>
  </si>
  <si>
    <t xml:space="preserve">positive</t>
  </si>
  <si>
    <t xml:space="preserve">negative</t>
  </si>
  <si>
    <t xml:space="preserve">boundary</t>
  </si>
  <si>
    <t xml:space="preserve">exception</t>
  </si>
  <si>
    <t xml:space="preserve">Checkpoints by Flag and Module</t>
  </si>
  <si>
    <t xml:space="preserve">Flag</t>
  </si>
  <si>
    <t xml:space="preserve">Clear</t>
  </si>
  <si>
    <t xml:space="preserve">Assumed</t>
  </si>
  <si>
    <t xml:space="preserve">Conflict</t>
  </si>
  <si>
    <t xml:space="preserve">Blocked</t>
  </si>
  <si>
    <t xml:space="preserve">Potential defects by Severity and Module</t>
  </si>
  <si>
    <t xml:space="preserve">Potential defects by Priority (Impact x Urgency) and Severity</t>
  </si>
  <si>
    <t xml:space="preserve">Suggested regression suite for the potential defects</t>
  </si>
  <si>
    <t xml:space="preserve">Suite</t>
  </si>
  <si>
    <t xml:space="preserve">Rule</t>
  </si>
  <si>
    <t xml:space="preserve">Smoke</t>
  </si>
  <si>
    <t xml:space="preserve">Regression Core</t>
  </si>
  <si>
    <t xml:space="preserve">Regression Extended</t>
  </si>
  <si>
    <t xml:space="preserve">Severity 3 or 4</t>
  </si>
  <si>
    <t xml:space="preserve">Legend: Defect Priority = Impact x Urgency (Lesson 4 section 22, ASM-91)</t>
  </si>
  <si>
    <t xml:space="preserve">Impact level</t>
  </si>
  <si>
    <t xml:space="preserve">Urgency</t>
  </si>
  <si>
    <t xml:space="preserve">Impact level rule</t>
  </si>
  <si>
    <t xml:space="preserve">High when Severity is 1 or 2</t>
  </si>
  <si>
    <t xml:space="preserve">Low when Severity is 3 or 4</t>
  </si>
  <si>
    <t xml:space="preserve">Regression pack: test cases by Impact and suite (Self-Enrol + Funding)</t>
  </si>
  <si>
    <t xml:space="preserve">Impact</t>
  </si>
  <si>
    <t xml:space="preserve">Core</t>
  </si>
  <si>
    <t xml:space="preserve">Extended</t>
  </si>
  <si>
    <t xml:space="preserve">Not ready</t>
  </si>
  <si>
    <t xml:space="preserve">New</t>
  </si>
  <si>
    <t xml:space="preserve">Direct</t>
  </si>
  <si>
    <t xml:space="preserve">Possible</t>
  </si>
  <si>
    <t xml:space="preserve">Regression pack: defects (Self-Enrol + Funding)</t>
  </si>
  <si>
    <t xml:space="preserve">New defects</t>
  </si>
  <si>
    <t xml:space="preserve">Changed defects (before)</t>
  </si>
  <si>
    <t xml:space="preserve">Changed defects (after)</t>
  </si>
  <si>
    <t xml:space="preserve">1</t>
  </si>
  <si>
    <t xml:space="preserve">2</t>
  </si>
  <si>
    <t xml:space="preserve">3</t>
  </si>
  <si>
    <t xml:space="preserve">4</t>
  </si>
  <si>
    <t xml:space="preserve">Counts of the regression pack are formulas over the sheets Regression TestCases and Regression Defects. Nothing was executed.</t>
  </si>
  <si>
    <t xml:space="preserve">TC ID</t>
  </si>
  <si>
    <t xml:space="preserve">Requirement (Tender clause)</t>
  </si>
  <si>
    <t xml:space="preserve">Sprint</t>
  </si>
  <si>
    <t xml:space="preserve">Scenario ID</t>
  </si>
  <si>
    <t xml:space="preserve">Scenario Name</t>
  </si>
  <si>
    <t xml:space="preserve">Title</t>
  </si>
  <si>
    <t xml:space="preserve">Objective</t>
  </si>
  <si>
    <t xml:space="preserve">Precondition</t>
  </si>
  <si>
    <t xml:space="preserve">Postcondition</t>
  </si>
  <si>
    <t xml:space="preserve">Test Data</t>
  </si>
  <si>
    <t xml:space="preserve">Steps</t>
  </si>
  <si>
    <t xml:space="preserve">Expected Result</t>
  </si>
  <si>
    <t xml:space="preserve">Actual Result</t>
  </si>
  <si>
    <t xml:space="preserve">Traceability Requirement</t>
  </si>
  <si>
    <t xml:space="preserve">Technique</t>
  </si>
  <si>
    <t xml:space="preserve">Checkpoint Ref</t>
  </si>
  <si>
    <t xml:space="preserve">Assumption Ref</t>
  </si>
  <si>
    <t xml:space="preserve">Dependency Ref</t>
  </si>
  <si>
    <t xml:space="preserve">Reason</t>
  </si>
  <si>
    <t xml:space="preserve">TC-SCN-001-01</t>
  </si>
  <si>
    <t xml:space="preserve">2.2</t>
  </si>
  <si>
    <t xml:space="preserve">SCN-001</t>
  </si>
  <si>
    <t xml:space="preserve">Resident signs in with SingPass</t>
  </si>
  <si>
    <t xml:space="preserve">Resident signs in through SingPass</t>
  </si>
  <si>
    <t xml:space="preserve">A Singapore Resident authenticates through SingPass and is signed in. Case: Resident signs in through SingPass</t>
  </si>
  <si>
    <t xml:space="preserve">1. A test resident identity exists in the SingPass test service (ASM-01)</t>
  </si>
  <si>
    <t xml:space="preserve">Data created or changed by the steps stays in the SIT test data</t>
  </si>
  <si>
    <t xml:space="preserve">Test identity: test resident 01</t>
  </si>
  <si>
    <t xml:space="preserve">1. Open the Learner login URL
2. Select the SingPass option
3. Authenticate with a test resident identity at SingPass
4. Observe the page after authentication</t>
  </si>
  <si>
    <t xml:space="preserve">1. The System sends the resident to SingPass for authentication
2. After successful authentication the System signs the resident in
3. The learner landing page opens</t>
  </si>
  <si>
    <t xml:space="preserve">Not Executed</t>
  </si>
  <si>
    <t xml:space="preserve">Tender 2.2 (Enrolment, Sprint 1)</t>
  </si>
  <si>
    <t xml:space="preserve">EP</t>
  </si>
  <si>
    <t xml:space="preserve">CP-001</t>
  </si>
  <si>
    <t xml:space="preserve">N/A</t>
  </si>
  <si>
    <t xml:space="preserve">ASM-01, ASM-03</t>
  </si>
  <si>
    <t xml:space="preserve">2.2 states that SingPass integration authenticates Singapore Residents for login</t>
  </si>
  <si>
    <t xml:space="preserve">TC-SCN-001-02</t>
  </si>
  <si>
    <t xml:space="preserve">SingPass authentication fails</t>
  </si>
  <si>
    <t xml:space="preserve">A Singapore Resident authenticates through SingPass and is signed in. Case: SingPass authentication fails</t>
  </si>
  <si>
    <t xml:space="preserve">1. Open the Learner login URL
2. Select the SingPass option
3. Cancel the authentication at SingPass
4. Observe the page that opens</t>
  </si>
  <si>
    <t xml:space="preserve">1. The resident is not signed in
2. The login page is shown again</t>
  </si>
  <si>
    <t xml:space="preserve">ASM-10</t>
  </si>
  <si>
    <t xml:space="preserve">2.2 requires authentication through SingPass. A failed authentication must not sign the user in</t>
  </si>
  <si>
    <t xml:space="preserve">TC-SCN-002-01</t>
  </si>
  <si>
    <t xml:space="preserve">2.4</t>
  </si>
  <si>
    <t xml:space="preserve">SCN-002</t>
  </si>
  <si>
    <t xml:space="preserve">Sign in with password and OTP</t>
  </si>
  <si>
    <t xml:space="preserve">Learner signs in with ID, password and OTP</t>
  </si>
  <si>
    <t xml:space="preserve">A user without SingPass or CorpPass signs in with ID, password and a one time password. Case: Learner signs in with ID, password and OTP</t>
  </si>
  <si>
    <t xml:space="preserve">1. A Learner account without SingPass exists (ASM-01)</t>
  </si>
  <si>
    <t xml:space="preserve">Login ID: learner.test01
OTP: the code received by the tester</t>
  </si>
  <si>
    <t xml:space="preserve">1. Open the Learner login URL
2. Enter a valid login ID and password
3. Enter the one time password received
4. Observe the result</t>
  </si>
  <si>
    <t xml:space="preserve">1. After the password step the System asks for a one time password
2. After the correct OTP the learner is signed in</t>
  </si>
  <si>
    <t xml:space="preserve">Tender 2.4 (Enrolment, Sprint 1)</t>
  </si>
  <si>
    <t xml:space="preserve">CP-002</t>
  </si>
  <si>
    <t xml:space="preserve">ASM-01</t>
  </si>
  <si>
    <t xml:space="preserve">2.4 requires login ID, password and 2FA through OTP</t>
  </si>
  <si>
    <t xml:space="preserve">TC-SCN-002-02</t>
  </si>
  <si>
    <t xml:space="preserve">Wrong OTP is rejected</t>
  </si>
  <si>
    <t xml:space="preserve">A user without SingPass or CorpPass signs in with ID, password and a one time password. Case: Wrong OTP is rejected</t>
  </si>
  <si>
    <t xml:space="preserve">Login ID: learner.test01
OTP: 000000</t>
  </si>
  <si>
    <t xml:space="preserve">1. Open the Learner login URL
2. Enter a valid login ID and password
3. Enter an incorrect one time password
4. Observe the result</t>
  </si>
  <si>
    <t xml:space="preserve">1. The learner is not signed in
2. The login page or OTP page stays open</t>
  </si>
  <si>
    <t xml:space="preserve">2.4 requires OTP as the second factor. A wrong OTP must not sign the user in</t>
  </si>
  <si>
    <t xml:space="preserve">TC-SCN-003-01</t>
  </si>
  <si>
    <t xml:space="preserve">5.3.1</t>
  </si>
  <si>
    <t xml:space="preserve">SCN-003</t>
  </si>
  <si>
    <t xml:space="preserve">Learner portal access</t>
  </si>
  <si>
    <t xml:space="preserve">Learner sees catalogue, progress, attendance, assessments and payments</t>
  </si>
  <si>
    <t xml:space="preserve">A registered learner uses the portal to browse the catalogue and see own course progress, attendance, assessments and payments. Case: Learner sees catalogue, progress, attendance, assessments and payments</t>
  </si>
  <si>
    <t xml:space="preserve">1. A learner with one enrolled course and one payment exists (ASM-01)</t>
  </si>
  <si>
    <t xml:space="preserve">No data is changed by this test</t>
  </si>
  <si>
    <t xml:space="preserve">Learner: learner.test01</t>
  </si>
  <si>
    <t xml:space="preserve">1. Sign in as a registered learner with at least one enrolled course
2. Open the course catalogue
3. Open the page that shows the learner's own courses
4. Check that progress, attendance, assessments and payments are shown</t>
  </si>
  <si>
    <t xml:space="preserve">1. The learner can browse the course catalogue
2. The learner sees own course progress, attendance, assessments and payments in the portal</t>
  </si>
  <si>
    <t xml:space="preserve">Tender 5.3.1 (Enrolment, Sprint 1)</t>
  </si>
  <si>
    <t xml:space="preserve">CP-003</t>
  </si>
  <si>
    <t xml:space="preserve">5.3.1 lists catalogue, progress, attendance, assessments and payments as portal access</t>
  </si>
  <si>
    <t xml:space="preserve">TC-SCN-004-01</t>
  </si>
  <si>
    <t xml:space="preserve">6.1.5</t>
  </si>
  <si>
    <t xml:space="preserve">SCN-004</t>
  </si>
  <si>
    <t xml:space="preserve">Route choice at registration</t>
  </si>
  <si>
    <t xml:space="preserve">Learner registers for the credit bearing route</t>
  </si>
  <si>
    <t xml:space="preserve">A course offers both a credit bearing and a non credit bearing route. Case: Learner registers for the credit bearing route</t>
  </si>
  <si>
    <t xml:space="preserve">1. A course exists with both routes and an open run (ASM-01)</t>
  </si>
  <si>
    <t xml:space="preserve">Course: Test Course CB01</t>
  </si>
  <si>
    <t xml:space="preserve">1. Open a course that offers both routes
2. Select the credit bearing route
3. Complete and submit the registration
4. Open the registration record</t>
  </si>
  <si>
    <t xml:space="preserve">1. The two routes are shown as different options
2. The registration is saved with the credit bearing route</t>
  </si>
  <si>
    <t xml:space="preserve">Tender 6.1.5 (Enrolment, Sprint 1)</t>
  </si>
  <si>
    <t xml:space="preserve">CP-004</t>
  </si>
  <si>
    <t xml:space="preserve">6.1.5 requires the two routes to be differentiated and chosen at registration</t>
  </si>
  <si>
    <t xml:space="preserve">TC-SCN-004-02</t>
  </si>
  <si>
    <t xml:space="preserve">Learner registers for the non credit bearing route</t>
  </si>
  <si>
    <t xml:space="preserve">A course offers both a credit bearing and a non credit bearing route. Case: Learner registers for the non credit bearing route</t>
  </si>
  <si>
    <t xml:space="preserve">1. Open the same course
2. Select the non credit bearing route
3. Complete and submit the registration
4. Open the registration record</t>
  </si>
  <si>
    <t xml:space="preserve">1. The registration is saved with the non credit bearing route and not with the credit bearing route</t>
  </si>
  <si>
    <t xml:space="preserve">6.1.5 requires both routes to be selectable</t>
  </si>
  <si>
    <t xml:space="preserve">TC-SCN-005-01</t>
  </si>
  <si>
    <t xml:space="preserve">6.1.6</t>
  </si>
  <si>
    <t xml:space="preserve">SCN-005</t>
  </si>
  <si>
    <t xml:space="preserve">Assessment types and components</t>
  </si>
  <si>
    <t xml:space="preserve">Components and subcomponents are configured for an assessment type</t>
  </si>
  <si>
    <t xml:space="preserve">Assessment types and their components are configured per course. Case: Components and subcomponents are configured for an assessment type</t>
  </si>
  <si>
    <t xml:space="preserve">1. A course exists (ASM-01)</t>
  </si>
  <si>
    <t xml:space="preserve">Assessment: project work with peer evaluation</t>
  </si>
  <si>
    <t xml:space="preserve">1. Sign in as Course Administrator
2. Create an assessment of type project work
3. Add a peer evaluation component and a subcomponent
4. Save
5. Reopen it</t>
  </si>
  <si>
    <t xml:space="preserve">1. The assessment type is stored
2. The components and the subcomponent are saved and shown</t>
  </si>
  <si>
    <t xml:space="preserve">Tender 6.1.6 (Assessment, Sprint 3)</t>
  </si>
  <si>
    <t xml:space="preserve">CP-005</t>
  </si>
  <si>
    <t xml:space="preserve">6.1.6 requires configuration of components and subcomponents</t>
  </si>
  <si>
    <t xml:space="preserve">TC-SCN-006-01</t>
  </si>
  <si>
    <t xml:space="preserve">6.3.1</t>
  </si>
  <si>
    <t xml:space="preserve">SCN-006</t>
  </si>
  <si>
    <t xml:space="preserve">Fee profile creation</t>
  </si>
  <si>
    <t xml:space="preserve">Fee profile is created for self sponsored learners</t>
  </si>
  <si>
    <t xml:space="preserve">Fee profiles are created for each sponsorship type. Case: Fee profile is created for self sponsored learners</t>
  </si>
  <si>
    <t xml:space="preserve">1. A test course exists (ASM-01)</t>
  </si>
  <si>
    <t xml:space="preserve">The profile can be selected for a course</t>
  </si>
  <si>
    <t xml:space="preserve">Profile: Self Profile 01
Fee: 1000</t>
  </si>
  <si>
    <t xml:space="preserve">1. Sign in as Finance Administrator
2. Create a fee profile named Self Profile 01 for self sponsored learners
3. Enter the course fee
4. Save
5. Reopen it</t>
  </si>
  <si>
    <t xml:space="preserve">1. The profile is saved for self sponsored learners with the entered fee</t>
  </si>
  <si>
    <t xml:space="preserve">Tender 6.3.1 (Funding, Sprint 1)</t>
  </si>
  <si>
    <t xml:space="preserve">CP-006</t>
  </si>
  <si>
    <t xml:space="preserve">6.3.1 requires a profile for self sponsored cases</t>
  </si>
  <si>
    <t xml:space="preserve">TC-SCN-006-02</t>
  </si>
  <si>
    <t xml:space="preserve">Fee profile is created for company sponsored learners</t>
  </si>
  <si>
    <t xml:space="preserve">Fee profiles are created for each sponsorship type. Case: Fee profile is created for company sponsored learners</t>
  </si>
  <si>
    <t xml:space="preserve">Profile: Company Profile 01
Fee: 1000</t>
  </si>
  <si>
    <t xml:space="preserve">1. Sign in as Finance Administrator
2. Create a fee profile named Company Profile 01 for company sponsorship
3. Enter the course fee
4. Save
5. Reopen it</t>
  </si>
  <si>
    <t xml:space="preserve">1. The profile is saved for company sponsorship with the entered fee</t>
  </si>
  <si>
    <t xml:space="preserve">6.3.1 requires a profile for company sponsorships</t>
  </si>
  <si>
    <t xml:space="preserve">TC-SCN-007-01</t>
  </si>
  <si>
    <t xml:space="preserve">6.3.2</t>
  </si>
  <si>
    <t xml:space="preserve">SCN-007</t>
  </si>
  <si>
    <t xml:space="preserve">Fee and GST calculation</t>
  </si>
  <si>
    <t xml:space="preserve">Fee and GST are calculated on a course fee of 1000</t>
  </si>
  <si>
    <t xml:space="preserve">The fee and the GST follow the configured rules. Case: Fee and GST are calculated on a course fee of 1000</t>
  </si>
  <si>
    <t xml:space="preserve">1. A fee profile with the rule (ASM-01)</t>
  </si>
  <si>
    <t xml:space="preserve">Fee: 1000
GST rate: 9 percent</t>
  </si>
  <si>
    <t xml:space="preserve">1. Create a calculation rule with GST 9 percent
2. Apply it to a course fee of 1000
3. Open the fee calculation</t>
  </si>
  <si>
    <t xml:space="preserve">1. The GST is 90.00 and the total is 1090.00</t>
  </si>
  <si>
    <t xml:space="preserve">Tender 6.3.2 (Funding, Sprint 1)</t>
  </si>
  <si>
    <t xml:space="preserve">CP-007</t>
  </si>
  <si>
    <t xml:space="preserve">ASM-60</t>
  </si>
  <si>
    <t xml:space="preserve">6.3.2 requires the rules. The rate is configured by the tester</t>
  </si>
  <si>
    <t xml:space="preserve">TC-SCN-007-02</t>
  </si>
  <si>
    <t xml:space="preserve">GST is rounded to the cent</t>
  </si>
  <si>
    <t xml:space="preserve">The fee and the GST follow the configured rules. Case: GST is rounded to the cent</t>
  </si>
  <si>
    <t xml:space="preserve">Fee: 10.05
GST rate: 9 percent</t>
  </si>
  <si>
    <t xml:space="preserve">1. Apply the rule to a fee of 10.05
2. Open the fee calculation</t>
  </si>
  <si>
    <t xml:space="preserve">1. The GST is 0.90 (0.9045 rounded to the cent) and the total is 10.95</t>
  </si>
  <si>
    <t xml:space="preserve">BVA</t>
  </si>
  <si>
    <t xml:space="preserve">6.3.2 requires automatic calculation. The rounding is assumed</t>
  </si>
  <si>
    <t xml:space="preserve">TC-SCN-008-01</t>
  </si>
  <si>
    <t xml:space="preserve">6.3.3</t>
  </si>
  <si>
    <t xml:space="preserve">SCN-008</t>
  </si>
  <si>
    <t xml:space="preserve">Fee change by case</t>
  </si>
  <si>
    <t xml:space="preserve">Withdrawal changes the fee after approval</t>
  </si>
  <si>
    <t xml:space="preserve">Each case changes the fee and needs approval. Case: Withdrawal changes the fee after approval</t>
  </si>
  <si>
    <t xml:space="preserve">1. A paid enrolment and a configured withdrawal rule (ASM-01)</t>
  </si>
  <si>
    <t xml:space="preserve">Case: Withdrawal</t>
  </si>
  <si>
    <t xml:space="preserve">1. Withdraw a paid learner
2. Submit the fee change
3. Approve it as the approver
4. Open the fee</t>
  </si>
  <si>
    <t xml:space="preserve">1. The fee is changed by the configured amount for withdrawal after the approval</t>
  </si>
  <si>
    <t xml:space="preserve">Tender 6.3.3 (Funding, Sprint 2)</t>
  </si>
  <si>
    <t xml:space="preserve">DecisionTable</t>
  </si>
  <si>
    <t xml:space="preserve">CP-008</t>
  </si>
  <si>
    <t xml:space="preserve">ASM-61</t>
  </si>
  <si>
    <t xml:space="preserve">6.3.3 item 1</t>
  </si>
  <si>
    <t xml:space="preserve">TC-SCN-008-02</t>
  </si>
  <si>
    <t xml:space="preserve">Leave of absence changes the fee after approval</t>
  </si>
  <si>
    <t xml:space="preserve">Each case changes the fee and needs approval. Case: Leave of absence changes the fee after approval</t>
  </si>
  <si>
    <t xml:space="preserve">1. A paid enrolment and a configured rule (ASM-01)</t>
  </si>
  <si>
    <t xml:space="preserve">Case: LOA</t>
  </si>
  <si>
    <t xml:space="preserve">1. Record a leave of absence for a paid learner
2. Submit the fee change
3. Approve it
4. Open the fee</t>
  </si>
  <si>
    <t xml:space="preserve">1. The fee is changed by the configured amount for leave of absence after the approval</t>
  </si>
  <si>
    <t xml:space="preserve">6.3.3 item 2</t>
  </si>
  <si>
    <t xml:space="preserve">TC-SCN-008-03</t>
  </si>
  <si>
    <t xml:space="preserve">Deferral changes the fee after approval</t>
  </si>
  <si>
    <t xml:space="preserve">Each case changes the fee and needs approval. Case: Deferral changes the fee after approval</t>
  </si>
  <si>
    <t xml:space="preserve">Case: Deferral</t>
  </si>
  <si>
    <t xml:space="preserve">1. Defer a paid learner
2. Submit the fee change
3. Approve it
4. Open the fee</t>
  </si>
  <si>
    <t xml:space="preserve">1. The fee is changed by the configured amount for deferral after the approval</t>
  </si>
  <si>
    <t xml:space="preserve">6.3.3 item 3</t>
  </si>
  <si>
    <t xml:space="preserve">TC-SCN-008-04</t>
  </si>
  <si>
    <t xml:space="preserve">Termination changes the fee after approval</t>
  </si>
  <si>
    <t xml:space="preserve">Each case changes the fee and needs approval. Case: Termination changes the fee after approval</t>
  </si>
  <si>
    <t xml:space="preserve">Case: Termination</t>
  </si>
  <si>
    <t xml:space="preserve">1. Terminate a paid learner
2. Submit the fee change
3. Approve it
4. Open the fee</t>
  </si>
  <si>
    <t xml:space="preserve">1. The fee is changed by the configured amount for termination after the approval</t>
  </si>
  <si>
    <t xml:space="preserve">6.3.3 item 4</t>
  </si>
  <si>
    <t xml:space="preserve">TC-SCN-008-05</t>
  </si>
  <si>
    <t xml:space="preserve">Fee change is not applied before it is approved</t>
  </si>
  <si>
    <t xml:space="preserve">Each case changes the fee and needs approval. Case: Fee change is not applied before it is approved</t>
  </si>
  <si>
    <t xml:space="preserve">1. Withdraw a paid learner
2. Submit the fee change
3. Open the fee before the approval</t>
  </si>
  <si>
    <t xml:space="preserve">1. The fee is unchanged until the approver approves</t>
  </si>
  <si>
    <t xml:space="preserve">StateTransition</t>
  </si>
  <si>
    <t xml:space="preserve">6.3.3 requires fee changes and approval, so the change waits for the approval</t>
  </si>
  <si>
    <t xml:space="preserve">TC-SCN-009-01</t>
  </si>
  <si>
    <t xml:space="preserve">6.3.4</t>
  </si>
  <si>
    <t xml:space="preserve">SCN-009</t>
  </si>
  <si>
    <t xml:space="preserve">Payment processes</t>
  </si>
  <si>
    <t xml:space="preserve">Applicant payment is made and recorded</t>
  </si>
  <si>
    <t xml:space="preserve">Applicant and sponsor payments follow their own process. Case: Applicant payment is made and recorded</t>
  </si>
  <si>
    <t xml:space="preserve">1. A self sponsored enrolment with an invoice (ASM-01)</t>
  </si>
  <si>
    <t xml:space="preserve">Payer: learner.test01</t>
  </si>
  <si>
    <t xml:space="preserve">1. Sign in as a self sponsored learner
2. Open the invoice
3. Pay it
4. Open the payment record</t>
  </si>
  <si>
    <t xml:space="preserve">1. The payment is recorded against the applicant</t>
  </si>
  <si>
    <t xml:space="preserve">Tender 6.3.4 (Funding, Sprint 2)</t>
  </si>
  <si>
    <t xml:space="preserve">CP-009</t>
  </si>
  <si>
    <t xml:space="preserve">6.3.4 item 1 Applicant Payments</t>
  </si>
  <si>
    <t xml:space="preserve">TC-SCN-009-02</t>
  </si>
  <si>
    <t xml:space="preserve">Sponsor payment is made and recorded</t>
  </si>
  <si>
    <t xml:space="preserve">Applicant and sponsor payments follow their own process. Case: Sponsor payment is made and recorded</t>
  </si>
  <si>
    <t xml:space="preserve">1. A company sponsored enrolment with an invoice (ASM-01)</t>
  </si>
  <si>
    <t xml:space="preserve">Payer: Company Test Pte Ltd</t>
  </si>
  <si>
    <t xml:space="preserve">1. Open an invoice raised to a company sponsor
2. Record the payment from the sponsor
3. Open the payment record</t>
  </si>
  <si>
    <t xml:space="preserve">1. The payment is recorded against the sponsor</t>
  </si>
  <si>
    <t xml:space="preserve">6.3.4 item 2 Sponsor Payments</t>
  </si>
  <si>
    <t xml:space="preserve">TC-SCN-010-01</t>
  </si>
  <si>
    <t xml:space="preserve">6.3.5</t>
  </si>
  <si>
    <t xml:space="preserve">SCN-010</t>
  </si>
  <si>
    <t xml:space="preserve">Fees for reschedule and reassessment</t>
  </si>
  <si>
    <t xml:space="preserve">Rescheduling generates a fee</t>
  </si>
  <si>
    <t xml:space="preserve">A fee is generated when a class or an assessment is rescheduled. Case: Rescheduling generates a fee</t>
  </si>
  <si>
    <t xml:space="preserve">1. A learner enrolled in a run and another run exists (ASM-01)</t>
  </si>
  <si>
    <t xml:space="preserve">Case: Rescheduling</t>
  </si>
  <si>
    <t xml:space="preserve">1. Reschedule a learner to another run
2. Open the fees of the learner</t>
  </si>
  <si>
    <t xml:space="preserve">1. A rescheduling fee of the configured amount is generated</t>
  </si>
  <si>
    <t xml:space="preserve">Tender 6.3.5 (Funding, Sprint 3)</t>
  </si>
  <si>
    <t xml:space="preserve">CP-010</t>
  </si>
  <si>
    <t xml:space="preserve">6.3.5 item 1</t>
  </si>
  <si>
    <t xml:space="preserve">TC-SCN-010-02</t>
  </si>
  <si>
    <t xml:space="preserve">Reassessment generates a fee</t>
  </si>
  <si>
    <t xml:space="preserve">A fee is generated when a class or an assessment is rescheduled. Case: Reassessment generates a fee</t>
  </si>
  <si>
    <t xml:space="preserve">1. A learner who failed an assessment (ASM-01)</t>
  </si>
  <si>
    <t xml:space="preserve">Case: Reassessment</t>
  </si>
  <si>
    <t xml:space="preserve">1. Register a learner for a reassessment
2. Open the fees of the learner</t>
  </si>
  <si>
    <t xml:space="preserve">1. A reassessment fee of the configured amount is generated</t>
  </si>
  <si>
    <t xml:space="preserve">6.3.5 item 2</t>
  </si>
  <si>
    <t xml:space="preserve">TC-SCN-011-01</t>
  </si>
  <si>
    <t xml:space="preserve">6.3.6</t>
  </si>
  <si>
    <t xml:space="preserve">1,2,3</t>
  </si>
  <si>
    <t xml:space="preserve">SCN-011</t>
  </si>
  <si>
    <t xml:space="preserve">Fee by criteria</t>
  </si>
  <si>
    <t xml:space="preserve">Nationality changes the fee payable</t>
  </si>
  <si>
    <t xml:space="preserve">The fee payable changes with the learner or company criteria. Case: Nationality changes the fee payable</t>
  </si>
  <si>
    <t xml:space="preserve">1. Fee rules by nationality (ASM-01)</t>
  </si>
  <si>
    <t xml:space="preserve">Learners: learner.citizen01, learner.foreign01</t>
  </si>
  <si>
    <t xml:space="preserve">1. Register a citizen and a non citizen on the same course
2. Open the fee payable of each</t>
  </si>
  <si>
    <t xml:space="preserve">1. The two learners have the fee payable configured for their nationality</t>
  </si>
  <si>
    <t xml:space="preserve">Tender 6.3.6 (Funding, Sprint 1,2,3)</t>
  </si>
  <si>
    <t xml:space="preserve">CP-011</t>
  </si>
  <si>
    <t xml:space="preserve">ASM-62</t>
  </si>
  <si>
    <t xml:space="preserve">6.3.6 item 1</t>
  </si>
  <si>
    <t xml:space="preserve">TC-SCN-011-02</t>
  </si>
  <si>
    <t xml:space="preserve">Age at the limit changes the fee payable</t>
  </si>
  <si>
    <t xml:space="preserve">The fee payable changes with the learner or company criteria. Case: Age at the limit changes the fee payable</t>
  </si>
  <si>
    <t xml:space="preserve">1. An age limit of 40 is configured (ASM-01)</t>
  </si>
  <si>
    <t xml:space="preserve">Ages: 40 and 39</t>
  </si>
  <si>
    <t xml:space="preserve">1. Register a learner exactly at the configured age limit and one a year younger
2. Open the fee payable of each</t>
  </si>
  <si>
    <t xml:space="preserve">1. The learner at the limit and the younger learner each get the fee configured for their age band</t>
  </si>
  <si>
    <t xml:space="preserve">6.3.6 item 2</t>
  </si>
  <si>
    <t xml:space="preserve">TC-SCN-011-03</t>
  </si>
  <si>
    <t xml:space="preserve">Income changes the fee payable</t>
  </si>
  <si>
    <t xml:space="preserve">The fee payable changes with the learner or company criteria. Case: Income changes the fee payable</t>
  </si>
  <si>
    <t xml:space="preserve">1. An income limit of 3000 is configured (ASM-01)</t>
  </si>
  <si>
    <t xml:space="preserve">Incomes: 2900 and 3100</t>
  </si>
  <si>
    <t xml:space="preserve">1. Register a learner under and a learner over the configured income limit
2. Open the fee payable of each</t>
  </si>
  <si>
    <t xml:space="preserve">1. Each learner gets the fee configured for the income band</t>
  </si>
  <si>
    <t xml:space="preserve">6.3.6 item 3</t>
  </si>
  <si>
    <t xml:space="preserve">TC-SCN-011-04</t>
  </si>
  <si>
    <t xml:space="preserve">Alumni status and alumni credits reduce the fee payable</t>
  </si>
  <si>
    <t xml:space="preserve">The fee payable changes with the learner or company criteria. Case: Alumni status and alumni credits reduce the fee payable</t>
  </si>
  <si>
    <t xml:space="preserve">1. An alumnus with a credit balance (ASM-01)</t>
  </si>
  <si>
    <t xml:space="preserve">Credit: 200</t>
  </si>
  <si>
    <t xml:space="preserve">1. Register an alumnus with a credit balance of 200
2. Open the fee payable</t>
  </si>
  <si>
    <t xml:space="preserve">1. The fee payable is reduced by the alumni credit used within the cap</t>
  </si>
  <si>
    <t xml:space="preserve">ASM-62, ASM-71</t>
  </si>
  <si>
    <t xml:space="preserve">6.3.6 items 4 and 5</t>
  </si>
  <si>
    <t xml:space="preserve">TC-SCN-011-05</t>
  </si>
  <si>
    <t xml:space="preserve">Company SME status changes the fee payable</t>
  </si>
  <si>
    <t xml:space="preserve">The fee payable changes with the learner or company criteria. Case: Company SME status changes the fee payable</t>
  </si>
  <si>
    <t xml:space="preserve">1. An SME rule is configured (ASM-01)</t>
  </si>
  <si>
    <t xml:space="preserve">Companies: SME Test Pte Ltd, Large Test Pte Ltd</t>
  </si>
  <si>
    <t xml:space="preserve">1. Register a learner for an SME company and a learner for a non SME company
2. Open the fee payable of each</t>
  </si>
  <si>
    <t xml:space="preserve">1. The SME company gets the fee configured for SME status and the other does not</t>
  </si>
  <si>
    <t xml:space="preserve">6.3.6 item 6</t>
  </si>
  <si>
    <t xml:space="preserve">TC-SCN-011-06</t>
  </si>
  <si>
    <t xml:space="preserve">MOE teacher status changes the fee payable</t>
  </si>
  <si>
    <t xml:space="preserve">The fee payable changes with the learner or company criteria. Case: MOE teacher status changes the fee payable</t>
  </si>
  <si>
    <t xml:space="preserve">1. A MOE teacher rule is configured (ASM-01)</t>
  </si>
  <si>
    <t xml:space="preserve">Learners: teacher.test01, learner.test02</t>
  </si>
  <si>
    <t xml:space="preserve">1. Register a MOE teacher and another learner
2. Open the fee payable of each</t>
  </si>
  <si>
    <t xml:space="preserve">1. The MOE teacher gets the fee configured for MOE teachers</t>
  </si>
  <si>
    <t xml:space="preserve">6.3.6 item 7</t>
  </si>
  <si>
    <t xml:space="preserve">TC-SCN-012-01</t>
  </si>
  <si>
    <t xml:space="preserve">6.3.7</t>
  </si>
  <si>
    <t xml:space="preserve">SCN-012</t>
  </si>
  <si>
    <t xml:space="preserve">Fee structure setup and approval</t>
  </si>
  <si>
    <t xml:space="preserve">Fee structure is set up with its fee items</t>
  </si>
  <si>
    <t xml:space="preserve">A fee structure is set up and approved by a checker and an approver. Case: Fee structure is set up with its fee items</t>
  </si>
  <si>
    <t xml:space="preserve">Fees: admin 50, material 30, registration 20</t>
  </si>
  <si>
    <t xml:space="preserve">1. Create a fee structure
2. Add an administration fee, a material fee and a registration fee
3. Save
4. Reopen it</t>
  </si>
  <si>
    <t xml:space="preserve">1. The fee structure holds the three fee items with their amounts</t>
  </si>
  <si>
    <t xml:space="preserve">Tender 6.3.7 (Funding, Sprint 2)</t>
  </si>
  <si>
    <t xml:space="preserve">CP-012</t>
  </si>
  <si>
    <t xml:space="preserve">6.3.7 lists these fee items</t>
  </si>
  <si>
    <t xml:space="preserve">TC-SCN-012-02</t>
  </si>
  <si>
    <t xml:space="preserve">Installment payment is set up</t>
  </si>
  <si>
    <t xml:space="preserve">A fee structure is set up and approved by a checker and an approver. Case: Installment payment is set up</t>
  </si>
  <si>
    <t xml:space="preserve">1. A fee structure (ASM-01)</t>
  </si>
  <si>
    <t xml:space="preserve">Plan: 2 parts</t>
  </si>
  <si>
    <t xml:space="preserve">1. Add an installment plan of 2 parts to the fee structure
2. Save
3. Enrol a learner
4. Open the payment schedule</t>
  </si>
  <si>
    <t xml:space="preserve">1. The payment schedule shows 2 parts that add up to the net fee</t>
  </si>
  <si>
    <t xml:space="preserve">ASM-73</t>
  </si>
  <si>
    <t xml:space="preserve">6.3.7 item 1 installment payments</t>
  </si>
  <si>
    <t xml:space="preserve">TC-SCN-012-03</t>
  </si>
  <si>
    <t xml:space="preserve">Late payment fee is added after the due date</t>
  </si>
  <si>
    <t xml:space="preserve">A fee structure is set up and approved by a checker and an approver. Case: Late payment fee is added after the due date</t>
  </si>
  <si>
    <t xml:space="preserve">1. An installment plan with a due date in the past (ASM-01)</t>
  </si>
  <si>
    <t xml:space="preserve">Late fee: configured</t>
  </si>
  <si>
    <t xml:space="preserve">1. Leave an installment unpaid after its due date
2. Open the learner's fees</t>
  </si>
  <si>
    <t xml:space="preserve">1. The late payment fee of the configured amount is added</t>
  </si>
  <si>
    <t xml:space="preserve">6.3.7 item 2 late payments</t>
  </si>
  <si>
    <t xml:space="preserve">TC-SCN-012-04</t>
  </si>
  <si>
    <t xml:space="preserve">Setup becomes active only after the approver approves</t>
  </si>
  <si>
    <t xml:space="preserve">A fee structure is set up and approved by a checker and an approver. Case: Setup becomes active only after the approver approves</t>
  </si>
  <si>
    <t xml:space="preserve">1. A checker and an approver exist (ASM-01)</t>
  </si>
  <si>
    <t xml:space="preserve">Roles: checker, approver</t>
  </si>
  <si>
    <t xml:space="preserve">1. Prepare a fee structure as the checker
2. Open it before the approval
3. Approve it as the approver
4. Open it again</t>
  </si>
  <si>
    <t xml:space="preserve">1. The setup is not active before the approval and is active after it</t>
  </si>
  <si>
    <t xml:space="preserve">ASM-63</t>
  </si>
  <si>
    <t xml:space="preserve">6.3.7 requires checker and approver for audit</t>
  </si>
  <si>
    <t xml:space="preserve">TC-SCN-012-05</t>
  </si>
  <si>
    <t xml:space="preserve">Preparer cannot approve the own setup</t>
  </si>
  <si>
    <t xml:space="preserve">A fee structure is set up and approved by a checker and an approver. Case: Preparer cannot approve the own setup</t>
  </si>
  <si>
    <t xml:space="preserve">1. A fee structure prepared by one user (ASM-01)</t>
  </si>
  <si>
    <t xml:space="preserve">User: finance.test01</t>
  </si>
  <si>
    <t xml:space="preserve">1. Prepare a fee structure
2. Try to approve it with the same user</t>
  </si>
  <si>
    <t xml:space="preserve">1. The approval is refused for the same user</t>
  </si>
  <si>
    <t xml:space="preserve">6.3.7 check and balance</t>
  </si>
  <si>
    <t xml:space="preserve">TC-SCN-013-01</t>
  </si>
  <si>
    <t xml:space="preserve">6.4.1</t>
  </si>
  <si>
    <t xml:space="preserve">SCN-013</t>
  </si>
  <si>
    <t xml:space="preserve">Fee profiles by sponsor and subsidy</t>
  </si>
  <si>
    <t xml:space="preserve">Profile for a subsidised course carries subsidy rules</t>
  </si>
  <si>
    <t xml:space="preserve">The profile for each sponsor and subsidy type is available. Case: Profile for a subsidised course carries subsidy rules</t>
  </si>
  <si>
    <t xml:space="preserve">1. A subsidised course exists (ASM-01)</t>
  </si>
  <si>
    <t xml:space="preserve">Course: SSG Test Course 01</t>
  </si>
  <si>
    <t xml:space="preserve">1. Create a fee profile for a self sponsored subsidised course
2. Add an eligibility rule for a subsidy
3. Save
4. Reopen it</t>
  </si>
  <si>
    <t xml:space="preserve">1. The profile holds the subsidy and its eligibility rule</t>
  </si>
  <si>
    <t xml:space="preserve">Tender 6.4.1 (Funding, Sprint 1)</t>
  </si>
  <si>
    <t xml:space="preserve">CP-013</t>
  </si>
  <si>
    <t xml:space="preserve">6.4.1 requires eligibility rules for subsidies</t>
  </si>
  <si>
    <t xml:space="preserve">TC-SCN-013-02</t>
  </si>
  <si>
    <t xml:space="preserve">Profile for a non subsidised corporate course has no subsidy</t>
  </si>
  <si>
    <t xml:space="preserve">The profile for each sponsor and subsidy type is available. Case: Profile for a non subsidised corporate course has no subsidy</t>
  </si>
  <si>
    <t xml:space="preserve">1. A non subsidised course exists (ASM-01)</t>
  </si>
  <si>
    <t xml:space="preserve">Course: Non Subsidised Course 01</t>
  </si>
  <si>
    <t xml:space="preserve">1. Create a fee profile for a corporate sponsored non subsidised course
2. Save
3. Enrol a corporate learner
4. Open the fee</t>
  </si>
  <si>
    <t xml:space="preserve">1. No subsidy is applied to the fee</t>
  </si>
  <si>
    <t xml:space="preserve">6.4.1 separates subsidised and non subsidised courses</t>
  </si>
  <si>
    <t xml:space="preserve">TC-SCN-014-01</t>
  </si>
  <si>
    <t xml:space="preserve">6.4.2</t>
  </si>
  <si>
    <t xml:space="preserve">1,2</t>
  </si>
  <si>
    <t xml:space="preserve">SCN-014</t>
  </si>
  <si>
    <t xml:space="preserve">Discount types and tracking</t>
  </si>
  <si>
    <t xml:space="preserve">Special discount for alumni applies</t>
  </si>
  <si>
    <t xml:space="preserve">Each discount type is configured and its use is tracked. Case: Special discount for alumni applies</t>
  </si>
  <si>
    <t xml:space="preserve">1. An alumnus and a configured special discount (ASM-01)</t>
  </si>
  <si>
    <t xml:space="preserve">Discount: 10 percent</t>
  </si>
  <si>
    <t xml:space="preserve">1. Configure a special discount for alumni
2. Enrol an alumnus
3. Open the fee</t>
  </si>
  <si>
    <t xml:space="preserve">1. The special discount of the configured value is applied</t>
  </si>
  <si>
    <t xml:space="preserve">Tender 6.4.2 (Funding, Sprint 1,2)</t>
  </si>
  <si>
    <t xml:space="preserve">CP-014</t>
  </si>
  <si>
    <t xml:space="preserve">ASM-64</t>
  </si>
  <si>
    <t xml:space="preserve">6.4.2 item 1</t>
  </si>
  <si>
    <t xml:space="preserve">TC-SCN-014-02</t>
  </si>
  <si>
    <t xml:space="preserve">Promotional early bird discount applies before its end date</t>
  </si>
  <si>
    <t xml:space="preserve">Each discount type is configured and its use is tracked. Case: Promotional early bird discount applies before its end date</t>
  </si>
  <si>
    <t xml:space="preserve">1. An early bird discount (ASM-01)</t>
  </si>
  <si>
    <t xml:space="preserve">Enrol date: one day before the end date</t>
  </si>
  <si>
    <t xml:space="preserve">1. Configure an early bird discount ending on a date
2. Enrol a learner before the date
3. Open the fee</t>
  </si>
  <si>
    <t xml:space="preserve">1. The early bird discount of the configured value is applied</t>
  </si>
  <si>
    <t xml:space="preserve">6.4.2 item 2</t>
  </si>
  <si>
    <t xml:space="preserve">TC-SCN-014-03</t>
  </si>
  <si>
    <t xml:space="preserve">Ad hoc discount is applied by the Course Administrator</t>
  </si>
  <si>
    <t xml:space="preserve">Each discount type is configured and its use is tracked. Case: Ad hoc discount is applied by the Course Administrator</t>
  </si>
  <si>
    <t xml:space="preserve">1. An enrolment exists (ASM-01)</t>
  </si>
  <si>
    <t xml:space="preserve">Discount: 50 dollars</t>
  </si>
  <si>
    <t xml:space="preserve">1. Sign in as Course Administrator
2. Apply an ad hoc discount to one enrolment
3. Open the fee</t>
  </si>
  <si>
    <t xml:space="preserve">1. The ad hoc discount is applied to that enrolment only</t>
  </si>
  <si>
    <t xml:space="preserve">6.4.2 item 3</t>
  </si>
  <si>
    <t xml:space="preserve">TC-SCN-014-04</t>
  </si>
  <si>
    <t xml:space="preserve">Group discount applies to the group</t>
  </si>
  <si>
    <t xml:space="preserve">Each discount type is configured and its use is tracked. Case: Group discount applies to the group</t>
  </si>
  <si>
    <t xml:space="preserve">1. A configured group discount (ASM-01)</t>
  </si>
  <si>
    <t xml:space="preserve">Group size: 3</t>
  </si>
  <si>
    <t xml:space="preserve">1. Configure a group discount
2. Enrol a group
3. Open the fee of each member</t>
  </si>
  <si>
    <t xml:space="preserve">1. The group discount is applied to each member of the group</t>
  </si>
  <si>
    <t xml:space="preserve">6.4.2 item 4. The group size of 3 or more is given in 8.2.12</t>
  </si>
  <si>
    <t xml:space="preserve">TC-SCN-014-05</t>
  </si>
  <si>
    <t xml:space="preserve">Use of grants and discounts is tracked by School and by course type</t>
  </si>
  <si>
    <t xml:space="preserve">Each discount type is configured and its use is tracked. Case: Use of grants and discounts is tracked by School and by course type</t>
  </si>
  <si>
    <t xml:space="preserve">1. Enrolments with grants and discounts in two Schools (ASM-01)</t>
  </si>
  <si>
    <t xml:space="preserve">Schools: SchoolA, SchoolB</t>
  </si>
  <si>
    <t xml:space="preserve">1. Enrol learners with a grant and a discount in two Schools
2. Open the grant and discount use report</t>
  </si>
  <si>
    <t xml:space="preserve">1. The use of grants and discounts is shown by School and by course type</t>
  </si>
  <si>
    <t xml:space="preserve">ASM-76</t>
  </si>
  <si>
    <t xml:space="preserve">6.4.2 last sentence</t>
  </si>
  <si>
    <t xml:space="preserve">TC-SCN-015-01</t>
  </si>
  <si>
    <t xml:space="preserve">6.4.3</t>
  </si>
  <si>
    <t xml:space="preserve">2,3</t>
  </si>
  <si>
    <t xml:space="preserve">SCN-015</t>
  </si>
  <si>
    <t xml:space="preserve">Order and automation of funding</t>
  </si>
  <si>
    <t xml:space="preserve">Alumni Course Credit is deducted before the SSG grant and subsidy</t>
  </si>
  <si>
    <t xml:space="preserve">Funding items are applied automatically in the stated order. Case: Alumni Course Credit is deducted before the SSG grant and subsidy</t>
  </si>
  <si>
    <t xml:space="preserve">1. A course with an SSG grant and an alumnus with credit (ASM-01)</t>
  </si>
  <si>
    <t xml:space="preserve">Fee: 1000
ACC: 200</t>
  </si>
  <si>
    <t xml:space="preserve">1. Enrol an alumnus with a credit of 200 on a course of fee 1000 with an SSG grant
2. Open the fee calculation</t>
  </si>
  <si>
    <t xml:space="preserve">1. The credit of 200 is deducted from the full fee of 1000 first
2. The SSG grant and the subsidy are then computed on the reduced fee</t>
  </si>
  <si>
    <t xml:space="preserve">Tender 6.4.3 (Funding, Sprint 2,3)</t>
  </si>
  <si>
    <t xml:space="preserve">CP-015</t>
  </si>
  <si>
    <t xml:space="preserve">ASM-64, ASM-71</t>
  </si>
  <si>
    <t xml:space="preserve">6.4.3 states that ACC is a direct discount from the full fee before the grant. The grant percentage is configured</t>
  </si>
  <si>
    <t xml:space="preserve">TC-SCN-015-02</t>
  </si>
  <si>
    <t xml:space="preserve">Grant and subsidy are applied automatically</t>
  </si>
  <si>
    <t xml:space="preserve">Funding items are applied automatically in the stated order. Case: Grant and subsidy are applied automatically</t>
  </si>
  <si>
    <t xml:space="preserve">1. An eligible learner and a funded course (ASM-01)</t>
  </si>
  <si>
    <t xml:space="preserve">1. Enrol an eligible learner in an SSG funded course
2. Open the fee calculation</t>
  </si>
  <si>
    <t xml:space="preserve">1. The SSG grant and the subsidy are applied without manual input</t>
  </si>
  <si>
    <t xml:space="preserve">ASM-62, ASM-64</t>
  </si>
  <si>
    <t xml:space="preserve">6.4.3 requires automation. The grant values are configured</t>
  </si>
  <si>
    <t xml:space="preserve">TC-SCN-015-03</t>
  </si>
  <si>
    <t xml:space="preserve">SFC and the mid career top up are applied automatically</t>
  </si>
  <si>
    <t xml:space="preserve">Funding items are applied automatically in the stated order. Case: SFC and the mid career top up are applied automatically</t>
  </si>
  <si>
    <t xml:space="preserve">1. A learner with an SFC balance (ASM-01)</t>
  </si>
  <si>
    <t xml:space="preserve">SFC: 500
Top up: configured</t>
  </si>
  <si>
    <t xml:space="preserve">1. Enrol a learner with an SFC balance and mid career status
2. Open the fee calculation</t>
  </si>
  <si>
    <t xml:space="preserve">1. The SFC and the mid career top up reduce the fee within the available balance</t>
  </si>
  <si>
    <t xml:space="preserve">6.4.3 lists SFC and the top up</t>
  </si>
  <si>
    <t xml:space="preserve">TC-SCN-015-04</t>
  </si>
  <si>
    <t xml:space="preserve">ETSS, PSEA and AFS are applied automatically when eligible</t>
  </si>
  <si>
    <t xml:space="preserve">Funding items are applied automatically in the stated order. Case: ETSS, PSEA and AFS are applied automatically when eligible</t>
  </si>
  <si>
    <t xml:space="preserve">1. Three eligible learners (ASM-01)</t>
  </si>
  <si>
    <t xml:space="preserve">Schemes: ETSS, PSEA, AFS</t>
  </si>
  <si>
    <t xml:space="preserve">1. Enrol learners eligible for ETSS, PSEA and AFS in turn
2. Open the fee calculation of each</t>
  </si>
  <si>
    <t xml:space="preserve">1. Each scheme reduces the fee as configured</t>
  </si>
  <si>
    <t xml:space="preserve">6.4.3 lists ETSS, PSEA and AFS</t>
  </si>
  <si>
    <t xml:space="preserve">TC-SCN-015-05</t>
  </si>
  <si>
    <t xml:space="preserve">A learner who is not eligible gets no grant</t>
  </si>
  <si>
    <t xml:space="preserve">Funding items are applied automatically in the stated order. Case: A learner who is not eligible gets no grant</t>
  </si>
  <si>
    <t xml:space="preserve">1. An ineligible learner (ASM-01)</t>
  </si>
  <si>
    <t xml:space="preserve">Learner: learner.test11</t>
  </si>
  <si>
    <t xml:space="preserve">1. Enrol an ineligible learner in an SSG funded course
2. Open the fee calculation</t>
  </si>
  <si>
    <t xml:space="preserve">1. No grant or subsidy is applied and the full fee is shown</t>
  </si>
  <si>
    <t xml:space="preserve">6.4.3 requires eligibility based application</t>
  </si>
  <si>
    <t xml:space="preserve">TC-SCN-016-01</t>
  </si>
  <si>
    <t xml:space="preserve">6.4.4</t>
  </si>
  <si>
    <t xml:space="preserve">SCN-016</t>
  </si>
  <si>
    <t xml:space="preserve">Outcome based funding decision</t>
  </si>
  <si>
    <t xml:space="preserve">Learner with 75 percent attendance and a pass is funded</t>
  </si>
  <si>
    <t xml:space="preserve">Funding depends on the attendance rate and the assessment result. Case: Learner with 75 percent attendance and a pass is funded</t>
  </si>
  <si>
    <t xml:space="preserve">1. A completed SSG funded course and a learner (ASM-01)</t>
  </si>
  <si>
    <t xml:space="preserve">Attendance: 75 percent
Result: Pass</t>
  </si>
  <si>
    <t xml:space="preserve">1. Set attendance to 75 percent and the result to pass
2. Run the funding decision
3. Open the funding status</t>
  </si>
  <si>
    <t xml:space="preserve">1. The learner is eligible for the SSG funding</t>
  </si>
  <si>
    <t xml:space="preserve">Tender 6.4.4 (Funding, Sprint 2)</t>
  </si>
  <si>
    <t xml:space="preserve">CP-016</t>
  </si>
  <si>
    <t xml:space="preserve">ASM-52, ASM-65</t>
  </si>
  <si>
    <t xml:space="preserve">6.4.4 states a minimum of 75 percent. Whether 75 qualifies is assumed</t>
  </si>
  <si>
    <t xml:space="preserve">TC-SCN-016-02</t>
  </si>
  <si>
    <t xml:space="preserve">Learner with 74 percent attendance and a pass is not funded</t>
  </si>
  <si>
    <t xml:space="preserve">Funding depends on the attendance rate and the assessment result. Case: Learner with 74 percent attendance and a pass is not funded</t>
  </si>
  <si>
    <t xml:space="preserve">Attendance: 74 percent
Result: Pass</t>
  </si>
  <si>
    <t xml:space="preserve">1. Set attendance to 74 percent and the result to pass
2. Run the funding decision
3. Open the funding status</t>
  </si>
  <si>
    <t xml:space="preserve">1. The learner is not eligible for the SSG funding</t>
  </si>
  <si>
    <t xml:space="preserve">6.4.4 requires a minimum of 75 percent</t>
  </si>
  <si>
    <t xml:space="preserve">TC-SCN-016-03</t>
  </si>
  <si>
    <t xml:space="preserve">Learner with 100 percent attendance and a fail is not funded</t>
  </si>
  <si>
    <t xml:space="preserve">Funding depends on the attendance rate and the assessment result. Case: Learner with 100 percent attendance and a fail is not funded</t>
  </si>
  <si>
    <t xml:space="preserve">Attendance: 100 percent
Result: Fail</t>
  </si>
  <si>
    <t xml:space="preserve">1. Set attendance to 100 percent and the result to fail
2. Run the funding decision
3. Open the funding status</t>
  </si>
  <si>
    <t xml:space="preserve">6.4.4 requires passing the assessment</t>
  </si>
  <si>
    <t xml:space="preserve">TC-SCN-017-01</t>
  </si>
  <si>
    <t xml:space="preserve">6.4.5</t>
  </si>
  <si>
    <t xml:space="preserve">SCN-017</t>
  </si>
  <si>
    <t xml:space="preserve">Block grant draw down</t>
  </si>
  <si>
    <t xml:space="preserve">Completed course draws down the block grant</t>
  </si>
  <si>
    <t xml:space="preserve">A completed course draws down its block grant. Case: Completed course draws down the block grant</t>
  </si>
  <si>
    <t xml:space="preserve">1. A completed funded course and a test endpoint (ASM-01)</t>
  </si>
  <si>
    <t xml:space="preserve">1. Complete an SSG funded course
2. Wait for the integration to run
3. Check the TPGateway test endpoint</t>
  </si>
  <si>
    <t xml:space="preserve">1. The block grant of the completed course is drawn down through TPGateway</t>
  </si>
  <si>
    <t xml:space="preserve">Tender 6.4.5 (Funding, Sprint 2)</t>
  </si>
  <si>
    <t xml:space="preserve">CP-017</t>
  </si>
  <si>
    <t xml:space="preserve">6.4.5 requires automated drawing down for completed courses</t>
  </si>
  <si>
    <t xml:space="preserve">TC-SCN-017-02</t>
  </si>
  <si>
    <t xml:space="preserve">Course that is not completed does not draw down</t>
  </si>
  <si>
    <t xml:space="preserve">A completed course draws down its block grant. Case: Course that is not completed does not draw down</t>
  </si>
  <si>
    <t xml:space="preserve">1. A funded course in progress (ASM-01)</t>
  </si>
  <si>
    <t xml:space="preserve">Course: SSG Test Course 02</t>
  </si>
  <si>
    <t xml:space="preserve">1. Keep an SSG funded course in progress
2. Run the integration
3. Check the TPGateway test endpoint</t>
  </si>
  <si>
    <t xml:space="preserve">1. No draw down is made for the course</t>
  </si>
  <si>
    <t xml:space="preserve">6.4.5 says for completed courses</t>
  </si>
  <si>
    <t xml:space="preserve">TC-SCN-017-03</t>
  </si>
  <si>
    <t xml:space="preserve">Failed draw down can be sent again</t>
  </si>
  <si>
    <t xml:space="preserve">A completed course draws down its block grant. Case: Failed draw down can be sent again</t>
  </si>
  <si>
    <t xml:space="preserve">1. A completed funded course (ASM-01)</t>
  </si>
  <si>
    <t xml:space="preserve">Endpoint: stopped then started</t>
  </si>
  <si>
    <t xml:space="preserve">1. Stop the TPGateway test endpoint
2. Complete a funded course
3. Start the endpoint
4. Send the draw down again</t>
  </si>
  <si>
    <t xml:space="preserve">1. The failure is logged
2. The record is sent again with no loss</t>
  </si>
  <si>
    <t xml:space="preserve">ASM-40</t>
  </si>
  <si>
    <t xml:space="preserve">The Tender names the interface only</t>
  </si>
  <si>
    <t xml:space="preserve">TC-SCN-018-01</t>
  </si>
  <si>
    <t xml:space="preserve">6.4.6</t>
  </si>
  <si>
    <t xml:space="preserve">SCN-018</t>
  </si>
  <si>
    <t xml:space="preserve">Discretionary discount and refund</t>
  </si>
  <si>
    <t xml:space="preserve">Discretionary discount by percentage is applied</t>
  </si>
  <si>
    <t xml:space="preserve">A discretionary discount reduces the fee and a refund needs approval. Case: Discretionary discount by percentage is applied</t>
  </si>
  <si>
    <t xml:space="preserve">1. An enrolment with a fee of 1000 (ASM-01)</t>
  </si>
  <si>
    <t xml:space="preserve">1. Apply a discretionary discount of 10 percent to a fee of 1000
2. Open the fee</t>
  </si>
  <si>
    <t xml:space="preserve">1. The fee is 900.00</t>
  </si>
  <si>
    <t xml:space="preserve">Tender 6.4.6 (Funding, Sprint 1,2)</t>
  </si>
  <si>
    <t xml:space="preserve">CP-018</t>
  </si>
  <si>
    <t xml:space="preserve">6.4.6 requires the discount by percentage with automatic calculation</t>
  </si>
  <si>
    <t xml:space="preserve">TC-SCN-018-02</t>
  </si>
  <si>
    <t xml:space="preserve">Discretionary discount by flat rate is applied</t>
  </si>
  <si>
    <t xml:space="preserve">A discretionary discount reduces the fee and a refund needs approval. Case: Discretionary discount by flat rate is applied</t>
  </si>
  <si>
    <t xml:space="preserve">Discount: 100 dollars</t>
  </si>
  <si>
    <t xml:space="preserve">1. Apply a flat discount of 100 dollars to a fee of 1000
2. Open the fee</t>
  </si>
  <si>
    <t xml:space="preserve">6.4.6 requires the discount by flat rate</t>
  </si>
  <si>
    <t xml:space="preserve">TC-SCN-018-03</t>
  </si>
  <si>
    <t xml:space="preserve">Refund is paid only after the approval</t>
  </si>
  <si>
    <t xml:space="preserve">A discretionary discount reduces the fee and a refund needs approval. Case: Refund is paid only after the approval</t>
  </si>
  <si>
    <t xml:space="preserve">1. A paid enrolment (ASM-01)</t>
  </si>
  <si>
    <t xml:space="preserve">Refund: configured amount</t>
  </si>
  <si>
    <t xml:space="preserve">1. Request a refund for a paid fee
2. Open the refund before the approval
3. Approve it as the approver
4. Open the refund again</t>
  </si>
  <si>
    <t xml:space="preserve">1. The refund is not paid before the approval and is paid after it</t>
  </si>
  <si>
    <t xml:space="preserve">ASM-69</t>
  </si>
  <si>
    <t xml:space="preserve">6.4.6 requires refunds with necessary approvals</t>
  </si>
  <si>
    <t xml:space="preserve">TC-SCN-018-04</t>
  </si>
  <si>
    <t xml:space="preserve">Refund cannot be approved by the user who requested it</t>
  </si>
  <si>
    <t xml:space="preserve">A discretionary discount reduces the fee and a refund needs approval. Case: Refund cannot be approved by the user who requested it</t>
  </si>
  <si>
    <t xml:space="preserve">1. A refund request (ASM-01)</t>
  </si>
  <si>
    <t xml:space="preserve">1. Request a refund
2. Try to approve it with the same user</t>
  </si>
  <si>
    <t xml:space="preserve">1. The approval is refused</t>
  </si>
  <si>
    <t xml:space="preserve">ASM-63, ASM-69</t>
  </si>
  <si>
    <t xml:space="preserve">6.4.6 necessary approvals imply a second person</t>
  </si>
  <si>
    <t xml:space="preserve">TC-SCN-019-01</t>
  </si>
  <si>
    <t xml:space="preserve">6.4.7</t>
  </si>
  <si>
    <t xml:space="preserve">SCN-019</t>
  </si>
  <si>
    <t xml:space="preserve">Duplicate application and staff cap</t>
  </si>
  <si>
    <t xml:space="preserve">Second application for the same SSG funded course is detected</t>
  </si>
  <si>
    <t xml:space="preserve">A repeat application gets no funding and staff registrations are monitored against the cap. Case: Second application for the same SSG funded course is detected</t>
  </si>
  <si>
    <t xml:space="preserve">1. A learner and an SSG funded course (ASM-01)</t>
  </si>
  <si>
    <t xml:space="preserve">Learner: learner.test01
Course: SSG Test Course 01</t>
  </si>
  <si>
    <t xml:space="preserve">1. Apply for an SSG funded course
2. Apply again for the same course with the same learner
3. Open the second application</t>
  </si>
  <si>
    <t xml:space="preserve">1. The second application is detected as a repeat and no SSG funding is applied</t>
  </si>
  <si>
    <t xml:space="preserve">Tender 6.4.7 (Funding, Sprint Unscheduled)</t>
  </si>
  <si>
    <t xml:space="preserve">CP-019</t>
  </si>
  <si>
    <t xml:space="preserve">6.4.7 requires detection and exclusion of funding</t>
  </si>
  <si>
    <t xml:space="preserve">TC-SCN-019-02</t>
  </si>
  <si>
    <t xml:space="preserve">Training provider staff registration is detected</t>
  </si>
  <si>
    <t xml:space="preserve">A repeat application gets no funding and staff registrations are monitored against the cap. Case: Training provider staff registration is detected</t>
  </si>
  <si>
    <t xml:space="preserve">1. A staff member with the unique identifier (ASM-01)</t>
  </si>
  <si>
    <t xml:space="preserve">Staff: staff.test01</t>
  </si>
  <si>
    <t xml:space="preserve">1. Register a Training provider staff member for an SSG funded course
2. Open the monitoring list</t>
  </si>
  <si>
    <t xml:space="preserve">1. The registration is detected and listed under the unique identifier of the staff</t>
  </si>
  <si>
    <t xml:space="preserve">ASM-78</t>
  </si>
  <si>
    <t xml:space="preserve">6.4.7 requires monitoring. The identifier is on the second row of the clause</t>
  </si>
  <si>
    <t xml:space="preserve">TC-SCN-019-03</t>
  </si>
  <si>
    <t xml:space="preserve">Email is sent when the cap is almost fully used</t>
  </si>
  <si>
    <t xml:space="preserve">A repeat application gets no funding and staff registrations are monitored against the cap. Case: Email is sent when the cap is almost fully used</t>
  </si>
  <si>
    <t xml:space="preserve">1. A cap and a mailbox for the System Administrator (ASM-01)</t>
  </si>
  <si>
    <t xml:space="preserve">Cap: 5 percent
Fill: 90 percent of the cap</t>
  </si>
  <si>
    <t xml:space="preserve">1. Set the cap and fill 90 percent of it with staff registrations
2. Check the email of the System Administrator</t>
  </si>
  <si>
    <t xml:space="preserve">1. An email notification is sent to the System Administrator</t>
  </si>
  <si>
    <t xml:space="preserve">ASM-66</t>
  </si>
  <si>
    <t xml:space="preserve">6.4.7 requires the email. Almost full is assumed</t>
  </si>
  <si>
    <t xml:space="preserve">TC-SCN-019-04</t>
  </si>
  <si>
    <t xml:space="preserve">Verify the 5 percent cap base</t>
  </si>
  <si>
    <t xml:space="preserve">A repeat application gets no funding and staff registrations are monitored against the cap. Case: Verify the 5 percent cap base</t>
  </si>
  <si>
    <t xml:space="preserve">The clause does not say 5 percent of what, so no expected value can be written</t>
  </si>
  <si>
    <t xml:space="preserve">TC-SCN-020-01</t>
  </si>
  <si>
    <t xml:space="preserve">6.4.8</t>
  </si>
  <si>
    <t xml:space="preserve">SCN-020</t>
  </si>
  <si>
    <t xml:space="preserve">SME reference entry</t>
  </si>
  <si>
    <t xml:space="preserve">SME status is recorded from the references</t>
  </si>
  <si>
    <t xml:space="preserve">SME references are entered to record the SME status. Case: SME status is recorded from the references</t>
  </si>
  <si>
    <t xml:space="preserve">1. A corporate learner (ASM-01)</t>
  </si>
  <si>
    <t xml:space="preserve">References: valid test values</t>
  </si>
  <si>
    <t xml:space="preserve">1. Open a company sponsored registration
2. Enter the Vendor@Gov reference and the GeBIZ number
3. Save
4. Open the company</t>
  </si>
  <si>
    <t xml:space="preserve">1. The SME status is recorded and the company is entitled to ETSS</t>
  </si>
  <si>
    <t xml:space="preserve">Tender 6.4.8 (Funding, Sprint 2)</t>
  </si>
  <si>
    <t xml:space="preserve">CP-020</t>
  </si>
  <si>
    <t xml:space="preserve">ASM-67</t>
  </si>
  <si>
    <t xml:space="preserve">6.4.8 requires entry to record SME status</t>
  </si>
  <si>
    <t xml:space="preserve">TC-SCN-020-02</t>
  </si>
  <si>
    <t xml:space="preserve">Missing references leave the company without SME status</t>
  </si>
  <si>
    <t xml:space="preserve">SME references are entered to record the SME status. Case: Missing references leave the company without SME status</t>
  </si>
  <si>
    <t xml:space="preserve">References: empty</t>
  </si>
  <si>
    <t xml:space="preserve">1. Open a company sponsored registration
2. Leave the two references empty
3. Save
4. Open the company</t>
  </si>
  <si>
    <t xml:space="preserve">1. The SME status is not recorded and ETSS is not applied</t>
  </si>
  <si>
    <t xml:space="preserve">6.4.8 records SME status from these inputs</t>
  </si>
  <si>
    <t xml:space="preserve">TC-SCN-021-01</t>
  </si>
  <si>
    <t xml:space="preserve">6.4.9</t>
  </si>
  <si>
    <t xml:space="preserve">SCN-021</t>
  </si>
  <si>
    <t xml:space="preserve">Grant structure and version</t>
  </si>
  <si>
    <t xml:space="preserve">Grant structure is set up with several tiers and criteria</t>
  </si>
  <si>
    <t xml:space="preserve">A grant structure is set up by criteria and tagged to the right version. Case: Grant structure is set up with several tiers and criteria</t>
  </si>
  <si>
    <t xml:space="preserve">1. A funding scheme exists (ASM-01)</t>
  </si>
  <si>
    <t xml:space="preserve">Tiers: 2</t>
  </si>
  <si>
    <t xml:space="preserve">1. Create a grant with two tiers
2. Add the criteria citizenship and age
3. Save
4. Reopen it</t>
  </si>
  <si>
    <t xml:space="preserve">1. The grant holds the two tiers and the criteria</t>
  </si>
  <si>
    <t xml:space="preserve">Tender 6.4.9 (Funding, Sprint 2)</t>
  </si>
  <si>
    <t xml:space="preserve">CP-021</t>
  </si>
  <si>
    <t xml:space="preserve">6.4.9 requires multi tier grants by criteria</t>
  </si>
  <si>
    <t xml:space="preserve">TC-SCN-021-02</t>
  </si>
  <si>
    <t xml:space="preserve">Learner with other agency subsidy gets the grant of the rule</t>
  </si>
  <si>
    <t xml:space="preserve">A grant structure is set up by criteria and tagged to the right version. Case: Learner with other agency subsidy gets the grant of the rule</t>
  </si>
  <si>
    <t xml:space="preserve">1. A learner with an SCTP subsidy (ASM-01)</t>
  </si>
  <si>
    <t xml:space="preserve">Other subsidy: SCTP</t>
  </si>
  <si>
    <t xml:space="preserve">1. Enrol a learner who already has an SCTP subsidy
2. Open the fee</t>
  </si>
  <si>
    <t xml:space="preserve">1. The grant follows the rule configured for other agency subsidy</t>
  </si>
  <si>
    <t xml:space="preserve">6.4.9 item 6</t>
  </si>
  <si>
    <t xml:space="preserve">TC-SCN-021-03</t>
  </si>
  <si>
    <t xml:space="preserve">LTVP+ holder gets the grant of the rule</t>
  </si>
  <si>
    <t xml:space="preserve">A grant structure is set up by criteria and tagged to the right version. Case: LTVP+ holder gets the grant of the rule</t>
  </si>
  <si>
    <t xml:space="preserve">1. A learner with an LTVP+ pass (ASM-01)</t>
  </si>
  <si>
    <t xml:space="preserve">Pass: LTVP+</t>
  </si>
  <si>
    <t xml:space="preserve">1. Enrol an LTVP+ holder
2. Open the fee</t>
  </si>
  <si>
    <t xml:space="preserve">1. The grant follows the rule configured for LTVP+</t>
  </si>
  <si>
    <t xml:space="preserve">6.4.9 item 7</t>
  </si>
  <si>
    <t xml:space="preserve">TC-SCN-021-04</t>
  </si>
  <si>
    <t xml:space="preserve">Grant is tagged to the version valid on the course start date</t>
  </si>
  <si>
    <t xml:space="preserve">A grant structure is set up by criteria and tagged to the right version. Case: Grant is tagged to the version valid on the course start date</t>
  </si>
  <si>
    <t xml:space="preserve">1. Two grant versions (ASM-01)</t>
  </si>
  <si>
    <t xml:space="preserve">Start date: last day of version 1</t>
  </si>
  <si>
    <t xml:space="preserve">1. Create two grant versions with different validity dates
2. Enrol in a course starting on the last day of the first version
3. Open the grant tag</t>
  </si>
  <si>
    <t xml:space="preserve">1. The enrolment is tagged to the first version</t>
  </si>
  <si>
    <t xml:space="preserve">ASM-68</t>
  </si>
  <si>
    <t xml:space="preserve">6.4.9 requires tagging to the correct version by the SSG LOA</t>
  </si>
  <si>
    <t xml:space="preserve">TC-SCN-022-01</t>
  </si>
  <si>
    <t xml:space="preserve">6.4.10</t>
  </si>
  <si>
    <t xml:space="preserve">SCN-022</t>
  </si>
  <si>
    <t xml:space="preserve">Discount type per course type</t>
  </si>
  <si>
    <t xml:space="preserve">Percentage discount is configured for one course type</t>
  </si>
  <si>
    <t xml:space="preserve">The discount type is configured for each course type. Case: Percentage discount is configured for one course type</t>
  </si>
  <si>
    <t xml:space="preserve">1. Two course types exist (ASM-01)</t>
  </si>
  <si>
    <t xml:space="preserve">Course type: Short Course</t>
  </si>
  <si>
    <t xml:space="preserve">1. Open the discount setup
2. Select a course type
3. Set the type to percentage
4. Save
5. Reopen it</t>
  </si>
  <si>
    <t xml:space="preserve">1. The course type holds the percentage discount type</t>
  </si>
  <si>
    <t xml:space="preserve">Tender 6.4.10 (Funding, Sprint 2)</t>
  </si>
  <si>
    <t xml:space="preserve">CP-022</t>
  </si>
  <si>
    <t xml:space="preserve">6.4.10 requires percentage by course type</t>
  </si>
  <si>
    <t xml:space="preserve">TC-SCN-022-02</t>
  </si>
  <si>
    <t xml:space="preserve">Flat rate discount is configured for another course type</t>
  </si>
  <si>
    <t xml:space="preserve">The discount type is configured for each course type. Case: Flat rate discount is configured for another course type</t>
  </si>
  <si>
    <t xml:space="preserve">Course type: Diploma</t>
  </si>
  <si>
    <t xml:space="preserve">1. Open the discount setup
2. Select another course type
3. Set the type to flat rate
4. Save
5. Reopen it</t>
  </si>
  <si>
    <t xml:space="preserve">1. The other course type holds the flat rate type and the first one is unchanged</t>
  </si>
  <si>
    <t xml:space="preserve">6.4.10 requires flat rate by course type</t>
  </si>
  <si>
    <t xml:space="preserve">TC-SCN-023-01</t>
  </si>
  <si>
    <t xml:space="preserve">6.4.11</t>
  </si>
  <si>
    <t xml:space="preserve">SCN-023</t>
  </si>
  <si>
    <t xml:space="preserve">Multiple sponsors</t>
  </si>
  <si>
    <t xml:space="preserve">Several funding agencies and schemes are set on one course</t>
  </si>
  <si>
    <t xml:space="preserve">Several sponsors are billed by their allocation. Case: Several funding agencies and schemes are set on one course</t>
  </si>
  <si>
    <t xml:space="preserve">1. Two agencies and two schemes exist (ASM-01)</t>
  </si>
  <si>
    <t xml:space="preserve">Agencies: SSG, WSG</t>
  </si>
  <si>
    <t xml:space="preserve">1. Open a course
2. Add two funding agencies and two schemes
3. Save
4. Reopen the course</t>
  </si>
  <si>
    <t xml:space="preserve">1. The course holds both agencies and both schemes</t>
  </si>
  <si>
    <t xml:space="preserve">Tender 6.4.11 (Funding, Sprint 1,2)</t>
  </si>
  <si>
    <t xml:space="preserve">CP-023</t>
  </si>
  <si>
    <t xml:space="preserve">6.4.11 first sentence</t>
  </si>
  <si>
    <t xml:space="preserve">TC-SCN-023-02</t>
  </si>
  <si>
    <t xml:space="preserve">Two sponsors are billed by the pre configured allocation</t>
  </si>
  <si>
    <t xml:space="preserve">Several sponsors are billed by their allocation. Case: Two sponsors are billed by the pre configured allocation</t>
  </si>
  <si>
    <t xml:space="preserve">1. Two sponsors with allocation (ASM-01)</t>
  </si>
  <si>
    <t xml:space="preserve">Net fee: 1000
Allocation: 60 and 40</t>
  </si>
  <si>
    <t xml:space="preserve">1. Set the allocation 60 and 40 percent for two sponsors
2. Enrol a learner with a net fee of 1000
3. Open the invoices</t>
  </si>
  <si>
    <t xml:space="preserve">1. The first sponsor is billed 600.00 and the second is billed 400.00</t>
  </si>
  <si>
    <t xml:space="preserve">ASM-70</t>
  </si>
  <si>
    <t xml:space="preserve">6.4.11 requires multiple billing with allocation</t>
  </si>
  <si>
    <t xml:space="preserve">TC-SCN-023-03</t>
  </si>
  <si>
    <t xml:space="preserve">Allocation that does not add up to 100 is refused</t>
  </si>
  <si>
    <t xml:space="preserve">Several sponsors are billed by their allocation. Case: Allocation that does not add up to 100 is refused</t>
  </si>
  <si>
    <t xml:space="preserve">1. Two sponsors (ASM-01)</t>
  </si>
  <si>
    <t xml:space="preserve">Allocation: 60 and 30</t>
  </si>
  <si>
    <t xml:space="preserve">1. Set the allocation 60 and 30 percent
2. Save</t>
  </si>
  <si>
    <t xml:space="preserve">1. The allocation is refused</t>
  </si>
  <si>
    <t xml:space="preserve">Allocation by percentage is assumed in ASM-70</t>
  </si>
  <si>
    <t xml:space="preserve">TC-SCN-024-01</t>
  </si>
  <si>
    <t xml:space="preserve">6.5.1</t>
  </si>
  <si>
    <t xml:space="preserve">SCN-024</t>
  </si>
  <si>
    <t xml:space="preserve">Assessment pattern per course</t>
  </si>
  <si>
    <t xml:space="preserve">Course A uses pass or fail and course B uses letter grades</t>
  </si>
  <si>
    <t xml:space="preserve">Courses use different mark patterns. Case: Course A uses pass or fail and course B uses letter grades</t>
  </si>
  <si>
    <t xml:space="preserve">1. Two courses exist (ASM-01)</t>
  </si>
  <si>
    <t xml:space="preserve">Courses: Test Course A, Test Course B</t>
  </si>
  <si>
    <t xml:space="preserve">1. Set course A to pass or fail
2. Set course B to letter grade
3. Enter a result in each
4. Open both results</t>
  </si>
  <si>
    <t xml:space="preserve">1. Course A shows pass or fail
2. Course B shows a letter grade
3. Each course keeps its own pattern</t>
  </si>
  <si>
    <t xml:space="preserve">Tender 6.5.1 (Assessment, Sprint 3)</t>
  </si>
  <si>
    <t xml:space="preserve">CP-024</t>
  </si>
  <si>
    <t xml:space="preserve">ASM-50</t>
  </si>
  <si>
    <t xml:space="preserve">6.5.1 requires own patterns per course. The patterns are given</t>
  </si>
  <si>
    <t xml:space="preserve">TC-SCN-024-02</t>
  </si>
  <si>
    <t xml:space="preserve">Course with number marks accepts a mark in the mark range</t>
  </si>
  <si>
    <t xml:space="preserve">Courses use different mark patterns. Case: Course with number marks accepts a mark in the mark range</t>
  </si>
  <si>
    <t xml:space="preserve">1. A course with number marks (ASM-01)</t>
  </si>
  <si>
    <t xml:space="preserve">Marks: 100 and 101</t>
  </si>
  <si>
    <t xml:space="preserve">1. Set a course to number marks with the range 0 to 100
2. Enter 100
3. Enter 101</t>
  </si>
  <si>
    <t xml:space="preserve">1. 100 is accepted
2. 101 is not accepted</t>
  </si>
  <si>
    <t xml:space="preserve">6.5.2 gives 0 to 100 as the range of number marks</t>
  </si>
  <si>
    <t xml:space="preserve">TC-SCN-025-01</t>
  </si>
  <si>
    <t xml:space="preserve">6.5.2</t>
  </si>
  <si>
    <t xml:space="preserve">SCN-025</t>
  </si>
  <si>
    <t xml:space="preserve">Mark conversion and weighted result</t>
  </si>
  <si>
    <t xml:space="preserve">Mark converts into the configured grade and grade point</t>
  </si>
  <si>
    <t xml:space="preserve">Marks convert by configured bands and the result follows the weightings. Case: Mark converts into the configured grade and grade point</t>
  </si>
  <si>
    <t xml:space="preserve">1. A course with configured bands (ASM-01)</t>
  </si>
  <si>
    <t xml:space="preserve">Marks: 80, 79</t>
  </si>
  <si>
    <t xml:space="preserve">1. Configure bands A for 80 to 100 and B for 70 to 79
2. Enter marks 80 and 79 for two learners
3. Open the grades</t>
  </si>
  <si>
    <t xml:space="preserve">1. 80 converts to A and its grade point
2. 79 converts to B and its grade point</t>
  </si>
  <si>
    <t xml:space="preserve">Tender 6.5.2 (Assessment, Sprint 3)</t>
  </si>
  <si>
    <t xml:space="preserve">CP-025</t>
  </si>
  <si>
    <t xml:space="preserve">6.5.2 requires automated conversion. The bands are configured by the tester</t>
  </si>
  <si>
    <t xml:space="preserve">TC-SCN-025-02</t>
  </si>
  <si>
    <t xml:space="preserve">Overall result follows the assessment weightings</t>
  </si>
  <si>
    <t xml:space="preserve">Marks convert by configured bands and the result follows the weightings. Case: Overall result follows the assessment weightings</t>
  </si>
  <si>
    <t xml:space="preserve">1. A course with two components weighted 40 and 60 (ASM-01)</t>
  </si>
  <si>
    <t xml:space="preserve">Marks: 50 and 80</t>
  </si>
  <si>
    <t xml:space="preserve">1. Configure weightings 40 and 60
2. Enter marks 50 and 80
3. Open the overall result</t>
  </si>
  <si>
    <t xml:space="preserve">1. The overall result is 68 (50 times 40 percent plus 80 times 60 percent)</t>
  </si>
  <si>
    <t xml:space="preserve">6.5.2 requires automated calculation of the overall result by weightings</t>
  </si>
  <si>
    <t xml:space="preserve">TC-SCN-026-01</t>
  </si>
  <si>
    <t xml:space="preserve">6.5.3</t>
  </si>
  <si>
    <t xml:space="preserve">SCN-026</t>
  </si>
  <si>
    <t xml:space="preserve">CGPA calculation</t>
  </si>
  <si>
    <t xml:space="preserve">CGPA is calculated from two courses</t>
  </si>
  <si>
    <t xml:space="preserve">CGPA follows the grade points and credits. Case: CGPA is calculated from two courses</t>
  </si>
  <si>
    <t xml:space="preserve">1. A learner with two graded courses (ASM-01)</t>
  </si>
  <si>
    <t xml:space="preserve">Grade points: 4.00 and 3.00
Credits: 3 and 1</t>
  </si>
  <si>
    <t xml:space="preserve">1. Give a learner grade point 4.00 with 3 credits and grade point 3.00 with 1 credit
2. Open the CGPA</t>
  </si>
  <si>
    <t xml:space="preserve">1. CGPA is 3.75 (4.00 times 3 plus 3.00 times 1 divided by 4)</t>
  </si>
  <si>
    <t xml:space="preserve">Tender 6.5.3 (Assessment, Sprint 3)</t>
  </si>
  <si>
    <t xml:space="preserve">CP-026</t>
  </si>
  <si>
    <t xml:space="preserve">ASM-51</t>
  </si>
  <si>
    <t xml:space="preserve">6.5.3 requires automated CGPA calculation. The formula is assumed</t>
  </si>
  <si>
    <t xml:space="preserve">TC-SCN-027-01</t>
  </si>
  <si>
    <t xml:space="preserve">6.5.4</t>
  </si>
  <si>
    <t xml:space="preserve">SCN-027</t>
  </si>
  <si>
    <t xml:space="preserve">Results report for approval</t>
  </si>
  <si>
    <t xml:space="preserve">Results report shows records, marks, grades and grade points</t>
  </si>
  <si>
    <t xml:space="preserve">A School generates the results report. Case: Results report shows records, marks, grades and grade points</t>
  </si>
  <si>
    <t xml:space="preserve">1. A course with graded learners (ASM-01)</t>
  </si>
  <si>
    <t xml:space="preserve">Course: Test Course B</t>
  </si>
  <si>
    <t xml:space="preserve">1. Sign in as a School user
2. Open the results report for a course
3. Generate it
4. Check the columns</t>
  </si>
  <si>
    <t xml:space="preserve">1. The report shows each learner's record, mark, grade, pass or fail and grade point for approval by the Approving Body</t>
  </si>
  <si>
    <t xml:space="preserve">Tender 6.5.4 (Assessment, Sprint 3)</t>
  </si>
  <si>
    <t xml:space="preserve">CP-027</t>
  </si>
  <si>
    <t xml:space="preserve">6.5.4 lists the contents of the report</t>
  </si>
  <si>
    <t xml:space="preserve">TC-SCN-028-01</t>
  </si>
  <si>
    <t xml:space="preserve">6.5.5</t>
  </si>
  <si>
    <t xml:space="preserve">SCN-028</t>
  </si>
  <si>
    <t xml:space="preserve">Moderate, upload, export, approve marks</t>
  </si>
  <si>
    <t xml:space="preserve">Marks are uploaded from Excel</t>
  </si>
  <si>
    <t xml:space="preserve">Marks pass through moderation, upload, checking and approval. Case: Marks are uploaded from Excel</t>
  </si>
  <si>
    <t xml:space="preserve">1. A course with three learners and a prepared file (ASM-01)</t>
  </si>
  <si>
    <t xml:space="preserve">File: three marks</t>
  </si>
  <si>
    <t xml:space="preserve">1. Upload an Excel file with marks for three learners
2. Open the marks</t>
  </si>
  <si>
    <t xml:space="preserve">1. The three marks are loaded from the Excel file</t>
  </si>
  <si>
    <t xml:space="preserve">Tender 6.5.5 (Assessment, Sprint 3)</t>
  </si>
  <si>
    <t xml:space="preserve">CP-028</t>
  </si>
  <si>
    <t xml:space="preserve">ASM-26</t>
  </si>
  <si>
    <t xml:space="preserve">6.5.5 requires upload of marks from Excel. The layout is not given</t>
  </si>
  <si>
    <t xml:space="preserve">TC-SCN-028-02</t>
  </si>
  <si>
    <t xml:space="preserve">Marks are moderated</t>
  </si>
  <si>
    <t xml:space="preserve">Marks pass through moderation, upload, checking and approval. Case: Marks are moderated</t>
  </si>
  <si>
    <t xml:space="preserve">1. A course with marks (ASM-01)</t>
  </si>
  <si>
    <t xml:space="preserve">Moderation: add 2 marks</t>
  </si>
  <si>
    <t xml:space="preserve">1. Open the marks of a course
2. Moderate the marks
3. Save
4. Open the moderated marks</t>
  </si>
  <si>
    <t xml:space="preserve">1. The moderated marks replace the original marks and the change is visible</t>
  </si>
  <si>
    <t xml:space="preserve">6.5.5 requires moderation of marks. The method is not given</t>
  </si>
  <si>
    <t xml:space="preserve">TC-SCN-028-03</t>
  </si>
  <si>
    <t xml:space="preserve">Marks are finalised only after the checker and the approver</t>
  </si>
  <si>
    <t xml:space="preserve">Marks pass through moderation, upload, checking and approval. Case: Marks are finalised only after the checker and the approver</t>
  </si>
  <si>
    <t xml:space="preserve">Marks: three learners</t>
  </si>
  <si>
    <t xml:space="preserve">1. Enter marks
2. Check them as the checker
3. Approve them as the approver
4. Open the marks status</t>
  </si>
  <si>
    <t xml:space="preserve">1. The marks are finalised only after the check and the approval</t>
  </si>
  <si>
    <t xml:space="preserve">6.5.5 requires levels of authorisation by checkers and approvers</t>
  </si>
  <si>
    <t xml:space="preserve">TC-SCN-028-04</t>
  </si>
  <si>
    <t xml:space="preserve">Marks are exported to Excel</t>
  </si>
  <si>
    <t xml:space="preserve">Marks pass through moderation, upload, checking and approval. Case: Marks are exported to Excel</t>
  </si>
  <si>
    <t xml:space="preserve">1. Export the marks of a course to Excel
2. Open the file</t>
  </si>
  <si>
    <t xml:space="preserve">1. The file holds the marks of all learners of the course</t>
  </si>
  <si>
    <t xml:space="preserve">6.5.5 requires export of marks to Excel</t>
  </si>
  <si>
    <t xml:space="preserve">TC-SCN-029-01</t>
  </si>
  <si>
    <t xml:space="preserve">6.6.1</t>
  </si>
  <si>
    <t xml:space="preserve">SCN-029</t>
  </si>
  <si>
    <t xml:space="preserve">Graduation criteria tracking</t>
  </si>
  <si>
    <t xml:space="preserve">Learner who meets all criteria is flagged as fulfilled</t>
  </si>
  <si>
    <t xml:space="preserve">A learner meets all criteria for a certificate. Case: Learner who meets all criteria is flagged as fulfilled</t>
  </si>
  <si>
    <t xml:space="preserve">1. A short course with criteria and a learner who meets them (ASM-01)</t>
  </si>
  <si>
    <t xml:space="preserve">1. Set criteria for attendance rate and passing of assessment on a short course
2. Give a learner attendance and a pass
3. Open the progress</t>
  </si>
  <si>
    <t xml:space="preserve">1. The System tracks the criteria automatically
2. The learner is shown as having fulfilled the requirements</t>
  </si>
  <si>
    <t xml:space="preserve">Tender 6.6.1 (Assessment, Sprint 3)</t>
  </si>
  <si>
    <t xml:space="preserve">CP-029</t>
  </si>
  <si>
    <t xml:space="preserve">ASM-52</t>
  </si>
  <si>
    <t xml:space="preserve">6.6.1 requires automated tracking to fulfilment. The criteria values are configured</t>
  </si>
  <si>
    <t xml:space="preserve">TC-SCN-029-02</t>
  </si>
  <si>
    <t xml:space="preserve">Learner who misses one criterion is not fulfilled</t>
  </si>
  <si>
    <t xml:space="preserve">A learner meets all criteria for a certificate. Case: Learner who misses one criterion is not fulfilled</t>
  </si>
  <si>
    <t xml:space="preserve">1. A short course with criteria and a learner who misses attendance (ASM-01)</t>
  </si>
  <si>
    <t xml:space="preserve">1. Give a learner a pass but an attendance rate below the minimum
2. Open the progress</t>
  </si>
  <si>
    <t xml:space="preserve">1. The learner is not shown as having fulfilled the requirements</t>
  </si>
  <si>
    <t xml:space="preserve">6.6.1 lists attendance rate and passing of assessment as criteria</t>
  </si>
  <si>
    <t xml:space="preserve">TC-SCN-030-01</t>
  </si>
  <si>
    <t xml:space="preserve">6.6.2</t>
  </si>
  <si>
    <t xml:space="preserve">SCN-030</t>
  </si>
  <si>
    <t xml:space="preserve">Certificate prompt and download</t>
  </si>
  <si>
    <t xml:space="preserve">Completion triggers a prompt to issue the certificate</t>
  </si>
  <si>
    <t xml:space="preserve">A learner who completes gets a prompt and can download the certificate. Case: Completion triggers a prompt to issue the certificate</t>
  </si>
  <si>
    <t xml:space="preserve">1. A learner who completed a course (ASM-01)</t>
  </si>
  <si>
    <t xml:space="preserve">1. Complete all requirements for a learner
2. Sign in as Course Administrator
3. Open the prompts</t>
  </si>
  <si>
    <t xml:space="preserve">1. An automated prompt to issue the respective certificate type appears</t>
  </si>
  <si>
    <t xml:space="preserve">Tender 6.6.2 (Assessment, Sprint 3)</t>
  </si>
  <si>
    <t xml:space="preserve">CP-030</t>
  </si>
  <si>
    <t xml:space="preserve">ASM-56</t>
  </si>
  <si>
    <t xml:space="preserve">6.6.2 requires the automated prompt</t>
  </si>
  <si>
    <t xml:space="preserve">TC-SCN-030-02</t>
  </si>
  <si>
    <t xml:space="preserve">Learner accesses, prints or downloads the certificate</t>
  </si>
  <si>
    <t xml:space="preserve">A learner who completes gets a prompt and can download the certificate. Case: Learner accesses, prints or downloads the certificate</t>
  </si>
  <si>
    <t xml:space="preserve">1. A learner with an issued certificate (ASM-01)</t>
  </si>
  <si>
    <t xml:space="preserve">1. Sign in as the learner
2. Open the progression
3. Open, print and download the certificate</t>
  </si>
  <si>
    <t xml:space="preserve">1. The learner can track progression
2. The learner can access, print and download the certificate</t>
  </si>
  <si>
    <t xml:space="preserve">6.6.2 second sentence</t>
  </si>
  <si>
    <t xml:space="preserve">TC-SCN-031-01</t>
  </si>
  <si>
    <t xml:space="preserve">6.6.3</t>
  </si>
  <si>
    <t xml:space="preserve">SCN-031</t>
  </si>
  <si>
    <t xml:space="preserve">Certificate templates</t>
  </si>
  <si>
    <t xml:space="preserve">Template with School logo, partner logo and signatory is saved and used</t>
  </si>
  <si>
    <t xml:space="preserve">A template carries logos and signatories. Case: Template with School logo, partner logo and signatory is saved and used</t>
  </si>
  <si>
    <t xml:space="preserve">1. A SchoolA logo, a partner logo and a signatory exist (ASM-01)</t>
  </si>
  <si>
    <t xml:space="preserve">Format: PDF</t>
  </si>
  <si>
    <t xml:space="preserve">1. Create a certificate template in PDF format with the SchoolA logo, a partner logo and a signatory
2. Save
3. Generate a certificate with it</t>
  </si>
  <si>
    <t xml:space="preserve">1. The template is saved
2. The generated certificate shows the SchoolA logo, the partner logo and the signatory</t>
  </si>
  <si>
    <t xml:space="preserve">Tender 6.6.3 (Assessment, Sprint 3)</t>
  </si>
  <si>
    <t xml:space="preserve">CP-031</t>
  </si>
  <si>
    <t xml:space="preserve">6.6.3 requires templates in several formats with these items</t>
  </si>
  <si>
    <t xml:space="preserve">TC-SCN-032-01</t>
  </si>
  <si>
    <t xml:space="preserve">6.6.4</t>
  </si>
  <si>
    <t xml:space="preserve">SCN-032</t>
  </si>
  <si>
    <t xml:space="preserve">Result slip and transcript</t>
  </si>
  <si>
    <t xml:space="preserve">Result slip is generated from the template and emailed</t>
  </si>
  <si>
    <t xml:space="preserve">Result slips and transcripts are generated and sent. Case: Result slip is generated from the template and emailed</t>
  </si>
  <si>
    <t xml:space="preserve">1. A learner with a result (ASM-01)</t>
  </si>
  <si>
    <t xml:space="preserve">1. Create a result slip template
2. Generate a result slip for a learner
3. Send the email template
4. Check the learner's email</t>
  </si>
  <si>
    <t xml:space="preserve">1. The result slip is generated with the logo and signatory
2. The automatic email is sent to the learner</t>
  </si>
  <si>
    <t xml:space="preserve">Tender 6.6.4 (Assessment, Sprint 3)</t>
  </si>
  <si>
    <t xml:space="preserve">CP-032</t>
  </si>
  <si>
    <t xml:space="preserve">ASM-21</t>
  </si>
  <si>
    <t xml:space="preserve">6.6.4 requires result slips, transcripts and automatic email templates</t>
  </si>
  <si>
    <t xml:space="preserve">TC-SCN-033-01</t>
  </si>
  <si>
    <t xml:space="preserve">6.6.5</t>
  </si>
  <si>
    <t xml:space="preserve">SCN-033</t>
  </si>
  <si>
    <t xml:space="preserve">OpenCerts XML</t>
  </si>
  <si>
    <t xml:space="preserve">XML file is created for a certificate</t>
  </si>
  <si>
    <t xml:space="preserve">XML files are created for OpenCerts. Case: XML file is created for a certificate</t>
  </si>
  <si>
    <t xml:space="preserve">1. A completed learner exists (ASM-01)</t>
  </si>
  <si>
    <t xml:space="preserve">1. Issue a certificate
2. Open the created XML file</t>
  </si>
  <si>
    <t xml:space="preserve">1. An XML file for the certificate is created for OpenCerts issuance</t>
  </si>
  <si>
    <t xml:space="preserve">Tender 6.6.5 (Assessment, Sprint 3)</t>
  </si>
  <si>
    <t xml:space="preserve">CP-033</t>
  </si>
  <si>
    <t xml:space="preserve">6.6.5 requires the XML files. The schema is not given</t>
  </si>
  <si>
    <t xml:space="preserve">TC-SCN-034-01</t>
  </si>
  <si>
    <t xml:space="preserve">7.1.1</t>
  </si>
  <si>
    <t xml:space="preserve">SCN-034</t>
  </si>
  <si>
    <t xml:space="preserve">Intake size and registration period</t>
  </si>
  <si>
    <t xml:space="preserve">Registration closes outside the configured registration period</t>
  </si>
  <si>
    <t xml:space="preserve">The Course Administrator sets intake size and registration period of a course run. Case: Registration closes outside the configured registration period</t>
  </si>
  <si>
    <t xml:space="preserve">1. A course run with a registration period that ended yesterday (ASM-01)</t>
  </si>
  <si>
    <t xml:space="preserve">Registration period: ended yesterday</t>
  </si>
  <si>
    <t xml:space="preserve">1. Set a registration period that ended yesterday on a course run
2. Sign in as a learner and open the course run
3. Try to register</t>
  </si>
  <si>
    <t xml:space="preserve">1. The course run does not accept the registration after the configured registration period</t>
  </si>
  <si>
    <t xml:space="preserve">Tender 7.1.1 (Enrolment, Sprint 1)</t>
  </si>
  <si>
    <t xml:space="preserve">CP-034</t>
  </si>
  <si>
    <t xml:space="preserve">ASM-14</t>
  </si>
  <si>
    <t xml:space="preserve">7.1.1 item 4 lets the Administrator configure the registration period. The Tender does not say what the learner sees</t>
  </si>
  <si>
    <t xml:space="preserve">TC-SCN-034-02</t>
  </si>
  <si>
    <t xml:space="preserve">Intake size is saved on the course run</t>
  </si>
  <si>
    <t xml:space="preserve">The Course Administrator sets intake size and registration period of a course run. Case: Intake size is saved on the course run</t>
  </si>
  <si>
    <t xml:space="preserve">1. A course run exists (ASM-01)</t>
  </si>
  <si>
    <t xml:space="preserve">Intake size: 20</t>
  </si>
  <si>
    <t xml:space="preserve">1. Sign in as Course Administrator
2. Open a course run
3. Enter an intake size
4. Save
5. Reopen the course run</t>
  </si>
  <si>
    <t xml:space="preserve">1. The saved intake size is shown unchanged on the course run</t>
  </si>
  <si>
    <t xml:space="preserve">7.1.1 item 3 states that intake size is configured per course run</t>
  </si>
  <si>
    <t xml:space="preserve">TC-SCN-035-01</t>
  </si>
  <si>
    <t xml:space="preserve">SCN-035</t>
  </si>
  <si>
    <t xml:space="preserve">Assessment scheduling</t>
  </si>
  <si>
    <t xml:space="preserve">Assessment is scheduled for a course run</t>
  </si>
  <si>
    <t xml:space="preserve">The Administrator schedules an assessment for a course run. Case: Assessment is scheduled for a course run</t>
  </si>
  <si>
    <t xml:space="preserve">Assessment date: a date inside the run</t>
  </si>
  <si>
    <t xml:space="preserve">1. Sign in as Course Administrator
2. Open a course run
3. Schedule an assessment with a date
4. Save
5. Open the schedule</t>
  </si>
  <si>
    <t xml:space="preserve">1. The assessment appears in the schedule of the course run on the entered date</t>
  </si>
  <si>
    <t xml:space="preserve">Tender 7.1.1 (Assessment, Sprint 1)</t>
  </si>
  <si>
    <t xml:space="preserve">CP-035</t>
  </si>
  <si>
    <t xml:space="preserve">7.1.1 item 7 lists assessment scheduling</t>
  </si>
  <si>
    <t xml:space="preserve">TC-SCN-036-01</t>
  </si>
  <si>
    <t xml:space="preserve">7.1.5</t>
  </si>
  <si>
    <t xml:space="preserve">SCN-036</t>
  </si>
  <si>
    <t xml:space="preserve">Tag resources</t>
  </si>
  <si>
    <t xml:space="preserve">Resource is tagged to an assessment</t>
  </si>
  <si>
    <t xml:space="preserve">A venue is tagged to an assessment. Case: Resource is tagged to an assessment</t>
  </si>
  <si>
    <t xml:space="preserve">1. An assessment and a venue exist (ASM-01)</t>
  </si>
  <si>
    <t xml:space="preserve">Venue: Room 101</t>
  </si>
  <si>
    <t xml:space="preserve">1. Open an assessment
2. Tag a venue and a resource
3. Save
4. Reopen</t>
  </si>
  <si>
    <t xml:space="preserve">1. The venue and the resource are tagged to the assessment</t>
  </si>
  <si>
    <t xml:space="preserve">Tender 7.1.5 (Assessment, Sprint 1)</t>
  </si>
  <si>
    <t xml:space="preserve">CP-036</t>
  </si>
  <si>
    <t xml:space="preserve">7.1.5 requires tagging to courses and assessments</t>
  </si>
  <si>
    <t xml:space="preserve">TC-SCN-037-01</t>
  </si>
  <si>
    <t xml:space="preserve">7.1.6</t>
  </si>
  <si>
    <t xml:space="preserve">SCN-037</t>
  </si>
  <si>
    <t xml:space="preserve">Schedule upload by template</t>
  </si>
  <si>
    <t xml:space="preserve">Uploaded template creates the assessment schedule</t>
  </si>
  <si>
    <t xml:space="preserve">A schedule is uploaded from the template. Case: Uploaded template creates the assessment schedule</t>
  </si>
  <si>
    <t xml:space="preserve">1. The template and a course run exist (ASM-01)</t>
  </si>
  <si>
    <t xml:space="preserve">Template: two rows</t>
  </si>
  <si>
    <t xml:space="preserve">1. Download the schedule template
2. Fill two assessment dates
3. Upload it
4. Open the schedule</t>
  </si>
  <si>
    <t xml:space="preserve">1. Two assessment schedule entries are created from the template</t>
  </si>
  <si>
    <t xml:space="preserve">Tender 7.1.6 (Assessment, Sprint 1)</t>
  </si>
  <si>
    <t xml:space="preserve">CP-037</t>
  </si>
  <si>
    <t xml:space="preserve">7.1.6 requires a schedule template with upload. The template is not described</t>
  </si>
  <si>
    <t xml:space="preserve">TC-SCN-038-01</t>
  </si>
  <si>
    <t xml:space="preserve">8.1.1</t>
  </si>
  <si>
    <t xml:space="preserve">SCN-038</t>
  </si>
  <si>
    <t xml:space="preserve">Approval workflow and status tracking</t>
  </si>
  <si>
    <t xml:space="preserve">Course run follows its approval workflow and status is tracked</t>
  </si>
  <si>
    <t xml:space="preserve">An approval workflow applies to a course offer and its status is tracked. Case: Course run follows its approval workflow and status is tracked</t>
  </si>
  <si>
    <t xml:space="preserve">1. An approval workflow is configured for the course level (ASM-01)</t>
  </si>
  <si>
    <t xml:space="preserve">Course run: Test Run 01</t>
  </si>
  <si>
    <t xml:space="preserve">1. Sign in as Course Administrator
2. Create a course run and submit it for approval
3. Sign in as the approver and approve it
4. Open the course run status history</t>
  </si>
  <si>
    <t xml:space="preserve">1. The course run status changes as the workflow moves
2. The status history shows each step</t>
  </si>
  <si>
    <t xml:space="preserve">Tender 8.1.1 (Enrolment, Sprint 1)</t>
  </si>
  <si>
    <t xml:space="preserve">CP-038</t>
  </si>
  <si>
    <t xml:space="preserve">ASM-15</t>
  </si>
  <si>
    <t xml:space="preserve">8.1.1 requires workflows with status tracking by course level and by course run. Status names are not given</t>
  </si>
  <si>
    <t xml:space="preserve">TC-SCN-039-01</t>
  </si>
  <si>
    <t xml:space="preserve">8.1.2</t>
  </si>
  <si>
    <t xml:space="preserve">SCN-039</t>
  </si>
  <si>
    <t xml:space="preserve">Form per course type and School</t>
  </si>
  <si>
    <t xml:space="preserve">Individual and corporate forms differ by School</t>
  </si>
  <si>
    <t xml:space="preserve">Different registration forms are available by course type and by School. Case: Individual and corporate forms differ by School</t>
  </si>
  <si>
    <t xml:space="preserve">1. Courses of two Schools with different forms are configured (ASM-01)</t>
  </si>
  <si>
    <t xml:space="preserve">Schools: School A, School B</t>
  </si>
  <si>
    <t xml:space="preserve">1. Open the registration for a course of School A
2. Note the form shown for an individual learner
3. Open the registration for a course of School B
4. Note the form shown
5. Repeat as a corporate customer</t>
  </si>
  <si>
    <t xml:space="preserve">1. Individual and corporate registration forms are both available
2. Each School shows the form configured for its course type</t>
  </si>
  <si>
    <t xml:space="preserve">Tender 8.1.2 (Enrolment, Sprint 1)</t>
  </si>
  <si>
    <t xml:space="preserve">CP-039</t>
  </si>
  <si>
    <t xml:space="preserve">8.1.2 requires multiple individual and corporate forms by School</t>
  </si>
  <si>
    <t xml:space="preserve">TC-SCN-040-01</t>
  </si>
  <si>
    <t xml:space="preserve">8.1.3</t>
  </si>
  <si>
    <t xml:space="preserve">SCN-040</t>
  </si>
  <si>
    <t xml:space="preserve">Batch registration import</t>
  </si>
  <si>
    <t xml:space="preserve">Imported batch registers every valid learner</t>
  </si>
  <si>
    <t xml:space="preserve">A sponsor or staff member imports a file of registrations and the System processes it. Case: Imported batch registers every valid learner</t>
  </si>
  <si>
    <t xml:space="preserve">1. A course run is open and a prepared file exists (ASM-01)</t>
  </si>
  <si>
    <t xml:space="preserve">File: three valid learner rows</t>
  </si>
  <si>
    <t xml:space="preserve">1. Sign in as Course Administrator
2. Open the batch registration import
3. Upload a file with three valid learners
4. Start the import
5. Open the registration list</t>
  </si>
  <si>
    <t xml:space="preserve">1. The System imports the file
2. The System processes the batch without manual steps
3. Three registrations appear in the list</t>
  </si>
  <si>
    <t xml:space="preserve">Tender 8.1.3 (Enrolment, Sprint 1)</t>
  </si>
  <si>
    <t xml:space="preserve">CP-040</t>
  </si>
  <si>
    <t xml:space="preserve">ASM-16</t>
  </si>
  <si>
    <t xml:space="preserve">8.1.3 requires import and automatic batch processing. The file layout is not given</t>
  </si>
  <si>
    <t xml:space="preserve">TC-SCN-041-01</t>
  </si>
  <si>
    <t xml:space="preserve">8.1.4</t>
  </si>
  <si>
    <t xml:space="preserve">SCN-041</t>
  </si>
  <si>
    <t xml:space="preserve">Registration form validation types</t>
  </si>
  <si>
    <t xml:space="preserve">Empty mandatory field is rejected</t>
  </si>
  <si>
    <t xml:space="preserve">The registration form rejects invalid input of each listed validation type. Case: Empty mandatory field is rejected</t>
  </si>
  <si>
    <t xml:space="preserve">1. The registration form is open (ASM-01)</t>
  </si>
  <si>
    <t xml:space="preserve">Field left empty: Email address</t>
  </si>
  <si>
    <t xml:space="preserve">1. Open the registration form
2. Leave a mandatory field empty
3. Fill the other fields
4. Submit</t>
  </si>
  <si>
    <t xml:space="preserve">1. The form is not submitted
2. The System shows that the mandatory field must be entered</t>
  </si>
  <si>
    <t xml:space="preserve">Tender 8.1.4 (Enrolment, Sprint 1)</t>
  </si>
  <si>
    <t xml:space="preserve">CP-041</t>
  </si>
  <si>
    <t xml:space="preserve">ASM-11</t>
  </si>
  <si>
    <t xml:space="preserve">8.1.4 lists mandatory field data entry</t>
  </si>
  <si>
    <t xml:space="preserve">TC-SCN-041-02</t>
  </si>
  <si>
    <t xml:space="preserve">Wrong data type or format is rejected</t>
  </si>
  <si>
    <t xml:space="preserve">The registration form rejects invalid input of each listed validation type. Case: Wrong data type or format is rejected</t>
  </si>
  <si>
    <t xml:space="preserve">Telephone: abcdefg</t>
  </si>
  <si>
    <t xml:space="preserve">1. Open the registration form
2. Enter letters in the telephone number field
3. Fill the other fields
4. Submit</t>
  </si>
  <si>
    <t xml:space="preserve">1. The form is not submitted
2. The System rejects the telephone number because of its data type or format</t>
  </si>
  <si>
    <t xml:space="preserve">8.1.4 lists data types and format. The accepted telephone format is not given</t>
  </si>
  <si>
    <t xml:space="preserve">TC-SCN-041-03</t>
  </si>
  <si>
    <t xml:space="preserve">Value outside the length range is rejected</t>
  </si>
  <si>
    <t xml:space="preserve">The registration form rejects invalid input of each listed validation type. Case: Value outside the length range is rejected</t>
  </si>
  <si>
    <t xml:space="preserve">1. The registration form is open and the maximum length of the field is known (ASM-01)</t>
  </si>
  <si>
    <t xml:space="preserve">Field: Full name, one character more than its maximum</t>
  </si>
  <si>
    <t xml:space="preserve">1. Open the registration form
2. Enter a value longer than the maximum length of a text field
3. Fill the other fields
4. Submit</t>
  </si>
  <si>
    <t xml:space="preserve">1. The form is not submitted
2. The System rejects the value because of its length</t>
  </si>
  <si>
    <t xml:space="preserve">8.1.4 lists minimum and maximum length. The limits are not given</t>
  </si>
  <si>
    <t xml:space="preserve">TC-SCN-042-01</t>
  </si>
  <si>
    <t xml:space="preserve">8.1.5</t>
  </si>
  <si>
    <t xml:space="preserve">SCN-042</t>
  </si>
  <si>
    <t xml:space="preserve">Learner requests trigger workflows</t>
  </si>
  <si>
    <t xml:space="preserve">Withdrawal request starts the withdrawal workflow</t>
  </si>
  <si>
    <t xml:space="preserve">Each request type starts its own workflow. Case: Withdrawal request starts the withdrawal workflow</t>
  </si>
  <si>
    <t xml:space="preserve">1. An enrolled learner exists (ASM-01)</t>
  </si>
  <si>
    <t xml:space="preserve">Request type: withdrawal</t>
  </si>
  <si>
    <t xml:space="preserve">1. Sign in as an enrolled learner
2. Open the requests page
3. Submit a withdrawal request
4. Open the request status</t>
  </si>
  <si>
    <t xml:space="preserve">1. The request is created
2. The withdrawal workflow starts for it</t>
  </si>
  <si>
    <t xml:space="preserve">Tender 8.1.5 (Enrolment, Sprint 2)</t>
  </si>
  <si>
    <t xml:space="preserve">CP-042</t>
  </si>
  <si>
    <t xml:space="preserve">ASM-31</t>
  </si>
  <si>
    <t xml:space="preserve">8.1.5 requires the relevant workflow to start for each request type. Workflow names are not given</t>
  </si>
  <si>
    <t xml:space="preserve">TC-SCN-042-02</t>
  </si>
  <si>
    <t xml:space="preserve">Deferment request starts a different workflow</t>
  </si>
  <si>
    <t xml:space="preserve">Each request type starts its own workflow. Case: Deferment request starts a different workflow</t>
  </si>
  <si>
    <t xml:space="preserve">Request type: deferment</t>
  </si>
  <si>
    <t xml:space="preserve">1. Sign in as an enrolled learner
2. Submit a deferment request
3. Open the request status</t>
  </si>
  <si>
    <t xml:space="preserve">1. The request is created
2. The deferment workflow starts and is not the withdrawal workflow</t>
  </si>
  <si>
    <t xml:space="preserve">8.1.5 requires processing by request type</t>
  </si>
  <si>
    <t xml:space="preserve">TC-SCN-042-03</t>
  </si>
  <si>
    <t xml:space="preserve">Learner sees an offer decision</t>
  </si>
  <si>
    <t xml:space="preserve">Each request type starts its own workflow. Case: Learner sees an offer decision</t>
  </si>
  <si>
    <t xml:space="preserve">1. An application with an offer decision exists (ASM-01)</t>
  </si>
  <si>
    <t xml:space="preserve">Application: learner.test01</t>
  </si>
  <si>
    <t xml:space="preserve">1. Make an offer decision on an application as Course Administrator
2. Sign in as the learner
3. Open the application</t>
  </si>
  <si>
    <t xml:space="preserve">1. The learner can review the offer decision in the self service portal</t>
  </si>
  <si>
    <t xml:space="preserve">8.1.5 lists reviewing offer decisions in the portal</t>
  </si>
  <si>
    <t xml:space="preserve">TC-SCN-043-01</t>
  </si>
  <si>
    <t xml:space="preserve">8.1.6</t>
  </si>
  <si>
    <t xml:space="preserve">SCN-043</t>
  </si>
  <si>
    <t xml:space="preserve">Clone a course run</t>
  </si>
  <si>
    <t xml:space="preserve">Cloned runs copy the settings of the source run</t>
  </si>
  <si>
    <t xml:space="preserve">A course run is cloned several times. Case: Cloned runs copy the settings of the source run</t>
  </si>
  <si>
    <t xml:space="preserve">1. A course run with intake size and fees configured (ASM-01)</t>
  </si>
  <si>
    <t xml:space="preserve">Source run: Test Run 01</t>
  </si>
  <si>
    <t xml:space="preserve">1. Sign in as Course Administrator
2. Open a course run with settings configured
3. Clone it into three new runs
4. Open each new run</t>
  </si>
  <si>
    <t xml:space="preserve">1. Three new course runs are created
2. Each new run carries the settings of the source run</t>
  </si>
  <si>
    <t xml:space="preserve">Tender 8.1.6 (Enrolment, Sprint 1)</t>
  </si>
  <si>
    <t xml:space="preserve">CP-043</t>
  </si>
  <si>
    <t xml:space="preserve">8.1.6 requires cloning for several subsequent new runs</t>
  </si>
  <si>
    <t xml:space="preserve">TC-SCN-044-01</t>
  </si>
  <si>
    <t xml:space="preserve">8.1.7</t>
  </si>
  <si>
    <t xml:space="preserve">SCN-044</t>
  </si>
  <si>
    <t xml:space="preserve">Upload supporting document</t>
  </si>
  <si>
    <t xml:space="preserve">Learner uploads a supporting document</t>
  </si>
  <si>
    <t xml:space="preserve">A learner uploads a document with the application. Case: Learner uploads a supporting document</t>
  </si>
  <si>
    <t xml:space="preserve">File: certificate.pdf</t>
  </si>
  <si>
    <t xml:space="preserve">1. Open the registration form
2. Select a file to upload
3. Upload it
4. Submit the application
5. Open the application as Course Administrator</t>
  </si>
  <si>
    <t xml:space="preserve">1. The upload succeeds
2. The document is attached to the application and visible to the Administrator</t>
  </si>
  <si>
    <t xml:space="preserve">Tender 8.1.7 (Enrolment, Sprint 1)</t>
  </si>
  <si>
    <t xml:space="preserve">CP-044</t>
  </si>
  <si>
    <t xml:space="preserve">8.1.7 requires document upload with a course application</t>
  </si>
  <si>
    <t xml:space="preserve">TC-SCN-045-01</t>
  </si>
  <si>
    <t xml:space="preserve">8.1.8</t>
  </si>
  <si>
    <t xml:space="preserve">SCN-045</t>
  </si>
  <si>
    <t xml:space="preserve">Finance trigger on application change</t>
  </si>
  <si>
    <t xml:space="preserve">New application triggers an invoice</t>
  </si>
  <si>
    <t xml:space="preserve">A change of the application triggers the finance function. Case: New application triggers an invoice</t>
  </si>
  <si>
    <t xml:space="preserve">1. A course with a fee (ASM-01)</t>
  </si>
  <si>
    <t xml:space="preserve">1. Submit a course application
2. Open the finance records of the learner</t>
  </si>
  <si>
    <t xml:space="preserve">1. An invoice is generated without manual action</t>
  </si>
  <si>
    <t xml:space="preserve">Tender 8.1.8 (Funding, Sprint 2)</t>
  </si>
  <si>
    <t xml:space="preserve">CP-045</t>
  </si>
  <si>
    <t xml:space="preserve">8.1.8 item 1 invoicing</t>
  </si>
  <si>
    <t xml:space="preserve">TC-SCN-045-02</t>
  </si>
  <si>
    <t xml:space="preserve">Withdrawn application triggers a credit note</t>
  </si>
  <si>
    <t xml:space="preserve">A change of the application triggers the finance function. Case: Withdrawn application triggers a credit note</t>
  </si>
  <si>
    <t xml:space="preserve">1. A paid application (ASM-01)</t>
  </si>
  <si>
    <t xml:space="preserve">1. Withdraw a paid application
2. Open the finance records of the learner</t>
  </si>
  <si>
    <t xml:space="preserve">1. A credit note is generated without manual action</t>
  </si>
  <si>
    <t xml:space="preserve">8.1.8 item 2 credit notes</t>
  </si>
  <si>
    <t xml:space="preserve">TC-SCN-045-03</t>
  </si>
  <si>
    <t xml:space="preserve">Withdrawn application triggers a refund request</t>
  </si>
  <si>
    <t xml:space="preserve">A change of the application triggers the finance function. Case: Withdrawn application triggers a refund request</t>
  </si>
  <si>
    <t xml:space="preserve">1. Withdraw a paid application
2. Open the refund requests</t>
  </si>
  <si>
    <t xml:space="preserve">1. A refund request is created and waits for approval</t>
  </si>
  <si>
    <t xml:space="preserve">8.1.8 item 3 refunds. The approval is from 6.4.6</t>
  </si>
  <si>
    <t xml:space="preserve">TC-SCN-046-01</t>
  </si>
  <si>
    <t xml:space="preserve">8.1.9</t>
  </si>
  <si>
    <t xml:space="preserve">SCN-046</t>
  </si>
  <si>
    <t xml:space="preserve">Parallel runs with different parameters</t>
  </si>
  <si>
    <t xml:space="preserve">Two runs of one course keep their own parameters</t>
  </si>
  <si>
    <t xml:space="preserve">Two runs of one course exist with different parameters. Case: Two runs of one course keep their own parameters</t>
  </si>
  <si>
    <t xml:space="preserve">Run A and Run B of Test Course 01</t>
  </si>
  <si>
    <t xml:space="preserve">1. Create two runs of the same course
2. Give the first run one fee and one grant
3. Give the second run a different fee, grant and period
4. Open both runs</t>
  </si>
  <si>
    <t xml:space="preserve">1. Both runs exist in parallel
2. Each run shows its own period, resource, fee and grant
3. Changing one run does not change the other</t>
  </si>
  <si>
    <t xml:space="preserve">Tender 8.1.9 (Enrolment, Sprint 1)</t>
  </si>
  <si>
    <t xml:space="preserve">CP-046</t>
  </si>
  <si>
    <t xml:space="preserve">8.1.9 requires parallel runs with different parameter values</t>
  </si>
  <si>
    <t xml:space="preserve">TC-SCN-047-01</t>
  </si>
  <si>
    <t xml:space="preserve">8.1.10</t>
  </si>
  <si>
    <t xml:space="preserve">SCN-047</t>
  </si>
  <si>
    <t xml:space="preserve">Minimum and maximum learners</t>
  </si>
  <si>
    <t xml:space="preserve">Registration at the maximum is accepted and the next one is not confirmed</t>
  </si>
  <si>
    <t xml:space="preserve">The maximum number of learners limits the confirmed registrations of a run. Case: Registration at the maximum is accepted and the next one is not confirmed</t>
  </si>
  <si>
    <t xml:space="preserve">1. A course run with maximum 2 and no registrations (ASM-01)</t>
  </si>
  <si>
    <t xml:space="preserve">Maximum: 2
Learners: 3 test learners</t>
  </si>
  <si>
    <t xml:space="preserve">1. Set a maximum of 2 learners on a run
2. Register learner 1
3. Register learner 2
4. Register learner 3
5. Check the status of each registration</t>
  </si>
  <si>
    <t xml:space="preserve">1. Learner 1 and learner 2 are confirmed
2. Learner 3 is not confirmed</t>
  </si>
  <si>
    <t xml:space="preserve">Tender 8.1.10 (Enrolment, Sprint 1)</t>
  </si>
  <si>
    <t xml:space="preserve">CP-047</t>
  </si>
  <si>
    <t xml:space="preserve">ASM-13</t>
  </si>
  <si>
    <t xml:space="preserve">8.1.10 configures a maximum number of learners. What the third learner receives is defined by 8.1.11</t>
  </si>
  <si>
    <t xml:space="preserve">TC-SCN-047-02</t>
  </si>
  <si>
    <t xml:space="preserve">Maximum below the minimum cannot be saved</t>
  </si>
  <si>
    <t xml:space="preserve">The maximum number of learners limits the confirmed registrations of a run. Case: Maximum below the minimum cannot be saved</t>
  </si>
  <si>
    <t xml:space="preserve">Minimum: 10
Maximum: 5</t>
  </si>
  <si>
    <t xml:space="preserve">1. Open a course run configuration
2. Enter minimum 10 and maximum 5
3. Save</t>
  </si>
  <si>
    <t xml:space="preserve">1. The System does not save a maximum lower than the minimum</t>
  </si>
  <si>
    <t xml:space="preserve">8.1.10 sets a minimum and a maximum. A maximum below the minimum contradicts both</t>
  </si>
  <si>
    <t xml:space="preserve">TC-SCN-048-01</t>
  </si>
  <si>
    <t xml:space="preserve">8.1.11</t>
  </si>
  <si>
    <t xml:space="preserve">SCN-048</t>
  </si>
  <si>
    <t xml:space="preserve">Waitlist order</t>
  </si>
  <si>
    <t xml:space="preserve">Learners over the maximum are waitlisted in order of application</t>
  </si>
  <si>
    <t xml:space="preserve">Learners beyond the maximum go to a waitlist in order of application. Case: Learners over the maximum are waitlisted in order of application</t>
  </si>
  <si>
    <t xml:space="preserve">1. A course run with maximum 2 and waitlist configured (ASM-01)</t>
  </si>
  <si>
    <t xml:space="preserve">Maximum: 2
Learners: 4 test learners</t>
  </si>
  <si>
    <t xml:space="preserve">1. Set a maximum of 2 learners with the waitlist on
2. Register learners 1, 2, 3 and 4 in this order
3. Open the waitlist of the run</t>
  </si>
  <si>
    <t xml:space="preserve">1. Learners 1 and 2 are confirmed
2. Learners 3 and 4 are on the waitlist
3. Learner 3 is ahead of learner 4</t>
  </si>
  <si>
    <t xml:space="preserve">Tender 8.1.11 (Enrolment, Sprint 1)</t>
  </si>
  <si>
    <t xml:space="preserve">CP-048</t>
  </si>
  <si>
    <t xml:space="preserve">ASM-17</t>
  </si>
  <si>
    <t xml:space="preserve">8.1.11 requires waitlisting and first come first serve priority. The Tender does not say how time is compared</t>
  </si>
  <si>
    <t xml:space="preserve">TC-SCN-049-01</t>
  </si>
  <si>
    <t xml:space="preserve">8.1.12</t>
  </si>
  <si>
    <t xml:space="preserve">SCN-049</t>
  </si>
  <si>
    <t xml:space="preserve">Channel a waitlisted application</t>
  </si>
  <si>
    <t xml:space="preserve">Waitlisted application is moved to another course and confirmed</t>
  </si>
  <si>
    <t xml:space="preserve">A waitlisted application is moved to another course. Case: Waitlisted application is moved to another course and confirmed</t>
  </si>
  <si>
    <t xml:space="preserve">1. A full course with a waitlisted learner and another course with free seats (ASM-01)</t>
  </si>
  <si>
    <t xml:space="preserve">Learner: waitlisted learner 01</t>
  </si>
  <si>
    <t xml:space="preserve">1. Open the waitlist of a full course
2. Select a waitlisted application
3. Channel it to another course that has seats
4. Open the registration</t>
  </si>
  <si>
    <t xml:space="preserve">1. The application moves to the other course
2. The application is confirmed on the other course
3. The first course no longer lists it</t>
  </si>
  <si>
    <t xml:space="preserve">Tender 8.1.12 (Enrolment, Sprint 1)</t>
  </si>
  <si>
    <t xml:space="preserve">CP-049</t>
  </si>
  <si>
    <t xml:space="preserve">ASM-18</t>
  </si>
  <si>
    <t xml:space="preserve">8.1.12 requires channelling to another course for confirmation. Who confirms is not stated</t>
  </si>
  <si>
    <t xml:space="preserve">TC-SCN-050-01</t>
  </si>
  <si>
    <t xml:space="preserve">8.1.13</t>
  </si>
  <si>
    <t xml:space="preserve">SCN-050</t>
  </si>
  <si>
    <t xml:space="preserve">Registration overview report</t>
  </si>
  <si>
    <t xml:space="preserve">Report shows the number of students on SFC and on ETSS</t>
  </si>
  <si>
    <t xml:space="preserve">The report counts students by status. Case: Report shows the number of students on SFC and on ETSS</t>
  </si>
  <si>
    <t xml:space="preserve">1. Three registrations with the funding set (ASM-01)</t>
  </si>
  <si>
    <t xml:space="preserve">SFC: 2
ETSS: 1</t>
  </si>
  <si>
    <t xml:space="preserve">1. Register 2 learners on SFC and 1 learner on ETSS
2. Sign in as Course Administrator
3. Open the registration overview report</t>
  </si>
  <si>
    <t xml:space="preserve">1. The report shows 2 students on SFC and 1 student on ETSS</t>
  </si>
  <si>
    <t xml:space="preserve">Tender 8.1.13 (Funding, Sprint 3)</t>
  </si>
  <si>
    <t xml:space="preserve">CP-050</t>
  </si>
  <si>
    <t xml:space="preserve">8.1.13 items 1 and 2</t>
  </si>
  <si>
    <t xml:space="preserve">TC-SCN-050-02</t>
  </si>
  <si>
    <t xml:space="preserve">Report shows the number who paid and who are pending documents</t>
  </si>
  <si>
    <t xml:space="preserve">The report counts students by status. Case: Report shows the number who paid and who are pending documents</t>
  </si>
  <si>
    <t xml:space="preserve">1. Three registrations (ASM-01)</t>
  </si>
  <si>
    <t xml:space="preserve">Paid: 2
Pending documents: 1</t>
  </si>
  <si>
    <t xml:space="preserve">1. Register 2 paid learners and 1 learner with a missing document
2. Open the registration overview report</t>
  </si>
  <si>
    <t xml:space="preserve">1. The report shows 2 students who paid the fee and 1 student pending document submission</t>
  </si>
  <si>
    <t xml:space="preserve">8.1.13 items 3 and 4</t>
  </si>
  <si>
    <t xml:space="preserve">TC-SCN-051-01</t>
  </si>
  <si>
    <t xml:space="preserve">8.1.14</t>
  </si>
  <si>
    <t xml:space="preserve">SCN-051</t>
  </si>
  <si>
    <t xml:space="preserve">Outcome notification</t>
  </si>
  <si>
    <t xml:space="preserve">Learner is notified of an enrolment outcome</t>
  </si>
  <si>
    <t xml:space="preserve">Each outcome sends a notification. Case: Learner is notified of an enrolment outcome</t>
  </si>
  <si>
    <t xml:space="preserve">1. A pending enrolment exists (ASM-01)</t>
  </si>
  <si>
    <t xml:space="preserve">1. Confirm an enrolment
2. Check the learner's email</t>
  </si>
  <si>
    <t xml:space="preserve">1. The learner receives a notification of the enrolment outcome</t>
  </si>
  <si>
    <t xml:space="preserve">Tender 8.1.14 (Enrolment, Sprint 3)</t>
  </si>
  <si>
    <t xml:space="preserve">CP-051</t>
  </si>
  <si>
    <t xml:space="preserve">8.1.14 requires notification of the outcome</t>
  </si>
  <si>
    <t xml:space="preserve">TC-SCN-051-02</t>
  </si>
  <si>
    <t xml:space="preserve">Corporate Customer is notified of a withdrawal outcome</t>
  </si>
  <si>
    <t xml:space="preserve">Each outcome sends a notification. Case: Corporate Customer is notified of a withdrawal outcome</t>
  </si>
  <si>
    <t xml:space="preserve">1. A company sponsored enrolment exists (ASM-01)</t>
  </si>
  <si>
    <t xml:space="preserve">Company: Test Company 02</t>
  </si>
  <si>
    <t xml:space="preserve">1. Process a withdrawal of a company sponsored learner
2. Check the company's email</t>
  </si>
  <si>
    <t xml:space="preserve">1. The Corporate Customer receives a notification of the withdrawal outcome</t>
  </si>
  <si>
    <t xml:space="preserve">8.1.14 includes Corporate Customers</t>
  </si>
  <si>
    <t xml:space="preserve">TC-SCN-052-01</t>
  </si>
  <si>
    <t xml:space="preserve">8.2.1</t>
  </si>
  <si>
    <t xml:space="preserve">SCN-052</t>
  </si>
  <si>
    <t xml:space="preserve">Account creation before registration</t>
  </si>
  <si>
    <t xml:space="preserve">New applicant is led to account creation first</t>
  </si>
  <si>
    <t xml:space="preserve">An applicant without an account starts a registration. Case: New applicant is led to account creation first</t>
  </si>
  <si>
    <t xml:space="preserve">1. The applicant has no account and a course run is open (ASM-01)</t>
  </si>
  <si>
    <t xml:space="preserve">Applicant: new person</t>
  </si>
  <si>
    <t xml:space="preserve">1. Open a course run without signing in
2. Select Register
3. Observe the next page</t>
  </si>
  <si>
    <t xml:space="preserve">1. The System leads the applicant to create a new user account
2. The registration form does not open before the account exists</t>
  </si>
  <si>
    <t xml:space="preserve">Tender 8.2.1 (Enrolment, Sprint 1)</t>
  </si>
  <si>
    <t xml:space="preserve">CP-052</t>
  </si>
  <si>
    <t xml:space="preserve">8.2.1 requires that applicants create a new account first</t>
  </si>
  <si>
    <t xml:space="preserve">TC-SCN-052-02</t>
  </si>
  <si>
    <t xml:space="preserve">Registration form cannot be reached by URL without an account</t>
  </si>
  <si>
    <t xml:space="preserve">An applicant without an account starts a registration. Case: Registration form cannot be reached by URL without an account</t>
  </si>
  <si>
    <t xml:space="preserve">1. A course run is open (ASM-01)</t>
  </si>
  <si>
    <t xml:space="preserve">URL: registration form of the course run</t>
  </si>
  <si>
    <t xml:space="preserve">1. Copy the registration form URL of a course run
2. Open it in a private window without signing in
3. Observe the result</t>
  </si>
  <si>
    <t xml:space="preserve">1. The System does not show the registration form
2. The System leads the user to account creation or login</t>
  </si>
  <si>
    <t xml:space="preserve">ASM-22</t>
  </si>
  <si>
    <t xml:space="preserve">8.2.1 says all applicants are led to create an account first. Direct access is the way around this rule</t>
  </si>
  <si>
    <t xml:space="preserve">TC-SCN-053-01</t>
  </si>
  <si>
    <t xml:space="preserve">8.2.2</t>
  </si>
  <si>
    <t xml:space="preserve">SCN-053</t>
  </si>
  <si>
    <t xml:space="preserve">PDPA and Terms capture</t>
  </si>
  <si>
    <t xml:space="preserve">PDPA consent and Terms are recorded with the registration</t>
  </si>
  <si>
    <t xml:space="preserve">Consent and acknowledgement are captured for individual, company sponsored applicants and the company representative. Case: PDPA consent and Terms are recorded with the registration</t>
  </si>
  <si>
    <t xml:space="preserve">Applicant: individual</t>
  </si>
  <si>
    <t xml:space="preserve">1. Open the registration form as an individual applicant
2. Select the PDPA consent and the Terms acknowledgement
3. Complete the other fields
4. Submit
5. Open the registration record</t>
  </si>
  <si>
    <t xml:space="preserve">1. The form offers a PDPA declaration and a Terms acknowledgement
2. The registration is saved
3. The record shows that consent and acknowledgement were given</t>
  </si>
  <si>
    <t xml:space="preserve">Tender 8.2.2 (Enrolment, Sprint 1)</t>
  </si>
  <si>
    <t xml:space="preserve">CP-053</t>
  </si>
  <si>
    <t xml:space="preserve">ASM-19</t>
  </si>
  <si>
    <t xml:space="preserve">8.2.2 requires the declaration and consent to be captured at registration</t>
  </si>
  <si>
    <t xml:space="preserve">TC-SCN-053-02</t>
  </si>
  <si>
    <t xml:space="preserve">Registration is blocked without the PDPA consent</t>
  </si>
  <si>
    <t xml:space="preserve">Consent and acknowledgement are captured for individual, company sponsored applicants and the company representative. Case: Registration is blocked without the PDPA consent</t>
  </si>
  <si>
    <t xml:space="preserve">1. Open the registration form
2. Leave the PDPA consent unselected
3. Complete the other fields
4. Submit</t>
  </si>
  <si>
    <t xml:space="preserve">1. The registration is not submitted
2. The System asks for the PDPA consent</t>
  </si>
  <si>
    <t xml:space="preserve">8.2.2 requires consent to use personal data. Submitting without it is the main risk</t>
  </si>
  <si>
    <t xml:space="preserve">TC-SCN-053-03</t>
  </si>
  <si>
    <t xml:space="preserve">Company sponsored applicant and company representative are covered</t>
  </si>
  <si>
    <t xml:space="preserve">Consent and acknowledgement are captured for individual, company sponsored applicants and the company representative. Case: Company sponsored applicant and company representative are covered</t>
  </si>
  <si>
    <t xml:space="preserve">1. A company sponsored course run is open (ASM-01)</t>
  </si>
  <si>
    <t xml:space="preserve">Applicants: company sponsored applicant, company representative</t>
  </si>
  <si>
    <t xml:space="preserve">1. Open the registration form as a company sponsored applicant
2. Check the PDPA and Terms controls
3. Repeat as the company representative who submits the registration</t>
  </si>
  <si>
    <t xml:space="preserve">1. PDPA consent and Terms are captured for the company sponsored applicant
2. They are also captured for the company representative</t>
  </si>
  <si>
    <t xml:space="preserve">8.2.2 names the three applicant types</t>
  </si>
  <si>
    <t xml:space="preserve">TC-SCN-054-01</t>
  </si>
  <si>
    <t xml:space="preserve">8.2.3</t>
  </si>
  <si>
    <t xml:space="preserve">SCN-054</t>
  </si>
  <si>
    <t xml:space="preserve">Marketing opt out</t>
  </si>
  <si>
    <t xml:space="preserve">Opt out is saved and respected</t>
  </si>
  <si>
    <t xml:space="preserve">A learner opts out of marketing. Case: Opt out is saved and respected</t>
  </si>
  <si>
    <t xml:space="preserve">Learner: learner.test02</t>
  </si>
  <si>
    <t xml:space="preserve">1. Open the registration form
2. Select the option to opt out of marketing material
3. Submit
4. Open the learner profile
5. Run a marketing campaign selection</t>
  </si>
  <si>
    <t xml:space="preserve">1. The opt out choice is saved with the learner
2. The learner is not selected for the marketing campaign</t>
  </si>
  <si>
    <t xml:space="preserve">Tender 8.2.3 (Enrolment, Sprint 1)</t>
  </si>
  <si>
    <t xml:space="preserve">CP-054</t>
  </si>
  <si>
    <t xml:space="preserve">8.2.3 requires an opt out of marketing</t>
  </si>
  <si>
    <t xml:space="preserve">TC-SCN-055-01</t>
  </si>
  <si>
    <t xml:space="preserve">8.2.4</t>
  </si>
  <si>
    <t xml:space="preserve">SCN-055</t>
  </si>
  <si>
    <t xml:space="preserve">Login with existing account</t>
  </si>
  <si>
    <t xml:space="preserve">Existing account fills the registration form</t>
  </si>
  <si>
    <t xml:space="preserve">A registrant with an account logs in to register. Case: Existing account fills the registration form</t>
  </si>
  <si>
    <t xml:space="preserve">1. The registrant has an account with name and contact data (ASM-01)</t>
  </si>
  <si>
    <t xml:space="preserve">Account: learner.test01</t>
  </si>
  <si>
    <t xml:space="preserve">1. Open a course run
2. Select Register
3. Log in with an existing account
4. Observe the registration form</t>
  </si>
  <si>
    <t xml:space="preserve">1. The registrant is able to log in with the existing account
2. The registration form shows the information from the account</t>
  </si>
  <si>
    <t xml:space="preserve">Tender 8.2.4 (Enrolment, Sprint 1)</t>
  </si>
  <si>
    <t xml:space="preserve">CP-055</t>
  </si>
  <si>
    <t xml:space="preserve">8.2.4 requires login with an existing account and population of information</t>
  </si>
  <si>
    <t xml:space="preserve">TC-SCN-056-01</t>
  </si>
  <si>
    <t xml:space="preserve">8.2.5</t>
  </si>
  <si>
    <t xml:space="preserve">SCN-056</t>
  </si>
  <si>
    <t xml:space="preserve">MyInfo data in the form</t>
  </si>
  <si>
    <t xml:space="preserve">MyInfo verified data fills the form</t>
  </si>
  <si>
    <t xml:space="preserve">A learner with MyInfo verified data starts a registration. Case: MyInfo verified data fills the form</t>
  </si>
  <si>
    <t xml:space="preserve">1. A test resident has MyInfo test data and an account (ASM-01)</t>
  </si>
  <si>
    <t xml:space="preserve">Test resident 01</t>
  </si>
  <si>
    <t xml:space="preserve">1. Sign in with SingPass as a test resident
2. Open the registration form of a course run
3. Compare the personal fields with the MyInfo test data</t>
  </si>
  <si>
    <t xml:space="preserve">1. The personal fields are filled from the account
2. The filled values equal the MyInfo test data</t>
  </si>
  <si>
    <t xml:space="preserve">Tender 8.2.5 (Enrolment, Sprint 1)</t>
  </si>
  <si>
    <t xml:space="preserve">CP-056</t>
  </si>
  <si>
    <t xml:space="preserve">ASM-20</t>
  </si>
  <si>
    <t xml:space="preserve">8.2.5 requires the data verified by MyInfo to populate the form. Which fields is not stated</t>
  </si>
  <si>
    <t xml:space="preserve">TC-SCN-056-02</t>
  </si>
  <si>
    <t xml:space="preserve">MyInfo is unavailable during registration</t>
  </si>
  <si>
    <t xml:space="preserve">A learner with MyInfo verified data starts a registration. Case: MyInfo is unavailable during registration</t>
  </si>
  <si>
    <t xml:space="preserve">1. MyInfo test endpoint is off (ASM-01)</t>
  </si>
  <si>
    <t xml:space="preserve">1. Switch the MyInfo test endpoint off
2. Sign in as a test resident
3. Open the registration form</t>
  </si>
  <si>
    <t xml:space="preserve">1. The registration form still opens
2. The personal fields are not filled from MyInfo and can be entered by the learner</t>
  </si>
  <si>
    <t xml:space="preserve">ASM-23</t>
  </si>
  <si>
    <t xml:space="preserve">8.2.15 requires structured fields. A MyInfo outage should not block registration. The Tender does not say so</t>
  </si>
  <si>
    <t xml:space="preserve">TC-SCN-057-01</t>
  </si>
  <si>
    <t xml:space="preserve">8.2.6</t>
  </si>
  <si>
    <t xml:space="preserve">SCN-057</t>
  </si>
  <si>
    <t xml:space="preserve">Save and resume an application</t>
  </si>
  <si>
    <t xml:space="preserve">Incomplete application is saved and resumed</t>
  </si>
  <si>
    <t xml:space="preserve">An applicant saves an incomplete application and returns later. Case: Incomplete application is saved and resumed</t>
  </si>
  <si>
    <t xml:space="preserve">Fields filled: name only</t>
  </si>
  <si>
    <t xml:space="preserve">1. Open the registration form
2. Fill part of the mandatory fields
3. Save the application
4. Sign out
5. Sign in again
6. Open the saved application</t>
  </si>
  <si>
    <t xml:space="preserve">1. The application is saved although mandatory fields are empty
2. The saved values appear when the applicant returns</t>
  </si>
  <si>
    <t xml:space="preserve">Tender 8.2.6 (Enrolment, Sprint 1)</t>
  </si>
  <si>
    <t xml:space="preserve">CP-057</t>
  </si>
  <si>
    <t xml:space="preserve">ASM-12</t>
  </si>
  <si>
    <t xml:space="preserve">8.2.6 requires a mechanism to save an application that is not completed. The save control is not described</t>
  </si>
  <si>
    <t xml:space="preserve">TC-SCN-057-02</t>
  </si>
  <si>
    <t xml:space="preserve">Optional field left empty does not block submit</t>
  </si>
  <si>
    <t xml:space="preserve">An applicant saves an incomplete application and returns later. Case: Optional field left empty does not block submit</t>
  </si>
  <si>
    <t xml:space="preserve">Optional fields left empty: Company website</t>
  </si>
  <si>
    <t xml:space="preserve">1. Fill every mandatory field and leave optional fields empty
2. Submit</t>
  </si>
  <si>
    <t xml:space="preserve">1. The registration is submitted without the optional fields</t>
  </si>
  <si>
    <t xml:space="preserve">8.2.6 separates mandatory and optional fields</t>
  </si>
  <si>
    <t xml:space="preserve">TC-SCN-058-01</t>
  </si>
  <si>
    <t xml:space="preserve">8.2.7</t>
  </si>
  <si>
    <t xml:space="preserve">SCN-058</t>
  </si>
  <si>
    <t xml:space="preserve">Incomplete forms and reminders</t>
  </si>
  <si>
    <t xml:space="preserve">Applicant receives a reminder for an incomplete form</t>
  </si>
  <si>
    <t xml:space="preserve">Incomplete applications are tracked and reminded. Case: Applicant receives a reminder for an incomplete form</t>
  </si>
  <si>
    <t xml:space="preserve">1. An incomplete saved application exists and the reminder time is configured (ASM-01)</t>
  </si>
  <si>
    <t xml:space="preserve">Applicant: learner.test03</t>
  </si>
  <si>
    <t xml:space="preserve">1. Save an incomplete application
2. Wait until the reminder time configured for the test
3. Check the applicant's email</t>
  </si>
  <si>
    <t xml:space="preserve">1. The System sends an automatic reminder to the applicant to complete the registration</t>
  </si>
  <si>
    <t xml:space="preserve">Tender 8.2.7 (Enrolment, Sprint 1)</t>
  </si>
  <si>
    <t xml:space="preserve">CP-058</t>
  </si>
  <si>
    <t xml:space="preserve">ASM-12, ASM-21</t>
  </si>
  <si>
    <t xml:space="preserve">8.2.7 requires automatic reminders. Timing is not given</t>
  </si>
  <si>
    <t xml:space="preserve">TC-SCN-058-02</t>
  </si>
  <si>
    <t xml:space="preserve">Administrator sees incomplete applications in a report</t>
  </si>
  <si>
    <t xml:space="preserve">Incomplete applications are tracked and reminded. Case: Administrator sees incomplete applications in a report</t>
  </si>
  <si>
    <t xml:space="preserve">1. An incomplete saved application exists (ASM-01)</t>
  </si>
  <si>
    <t xml:space="preserve">Application: learner.test03</t>
  </si>
  <si>
    <t xml:space="preserve">1. Sign in as Course Administrator
2. Run the report of incomplete registrations
3. Look for the saved incomplete application</t>
  </si>
  <si>
    <t xml:space="preserve">1. The report lists the incomplete application
2. The Administrator receives an alert for it</t>
  </si>
  <si>
    <t xml:space="preserve">8.2.7 requires the alert and a report for Course Administrators</t>
  </si>
  <si>
    <t xml:space="preserve">TC-SCN-059-01</t>
  </si>
  <si>
    <t xml:space="preserve">8.2.8</t>
  </si>
  <si>
    <t xml:space="preserve">SCN-059</t>
  </si>
  <si>
    <t xml:space="preserve">Course and programme level registration</t>
  </si>
  <si>
    <t xml:space="preserve">Learner registers for a course</t>
  </si>
  <si>
    <t xml:space="preserve">A learner registers for a course and for a programme. Case: Learner registers for a course</t>
  </si>
  <si>
    <t xml:space="preserve">1. A course and a programme exist and are open (ASM-01)</t>
  </si>
  <si>
    <t xml:space="preserve">Course: Test Course 01</t>
  </si>
  <si>
    <t xml:space="preserve">1. Open a course
2. Register
3. Complete and submit
4. Open the registration record</t>
  </si>
  <si>
    <t xml:space="preserve">1. The registration is created at course level</t>
  </si>
  <si>
    <t xml:space="preserve">Tender 8.2.8 (Enrolment, Sprint 1)</t>
  </si>
  <si>
    <t xml:space="preserve">CP-059</t>
  </si>
  <si>
    <t xml:space="preserve">8.2.8 requires registration at course level</t>
  </si>
  <si>
    <t xml:space="preserve">TC-SCN-059-02</t>
  </si>
  <si>
    <t xml:space="preserve">Learner registers for a programme</t>
  </si>
  <si>
    <t xml:space="preserve">A learner registers for a course and for a programme. Case: Learner registers for a programme</t>
  </si>
  <si>
    <t xml:space="preserve">Programme: Test Programme 01</t>
  </si>
  <si>
    <t xml:space="preserve">1. Open a programme
2. Register
3. Complete and submit
4. Open the registration record</t>
  </si>
  <si>
    <t xml:space="preserve">1. The registration is created at programme level</t>
  </si>
  <si>
    <t xml:space="preserve">8.2.8 requires registration at programme level</t>
  </si>
  <si>
    <t xml:space="preserve">TC-SCN-060-01</t>
  </si>
  <si>
    <t xml:space="preserve">8.2.9</t>
  </si>
  <si>
    <t xml:space="preserve">SCN-060</t>
  </si>
  <si>
    <t xml:space="preserve">Sponsorship choice at registration</t>
  </si>
  <si>
    <t xml:space="preserve">Self sponsored registration shows the costing</t>
  </si>
  <si>
    <t xml:space="preserve">The learner selects the sponsorship and sees the costing. Case: Self sponsored registration shows the costing</t>
  </si>
  <si>
    <t xml:space="preserve">1. A course with a fee profile (ASM-01)</t>
  </si>
  <si>
    <t xml:space="preserve">Sponsor: self</t>
  </si>
  <si>
    <t xml:space="preserve">1. Sign in as a learner
2. Start a registration
3. Select self sponsored
4. Open the costing</t>
  </si>
  <si>
    <t xml:space="preserve">1. The costing for a self sponsored learner is shown</t>
  </si>
  <si>
    <t xml:space="preserve">Tender 8.2.9 (Funding, Sprint 1)</t>
  </si>
  <si>
    <t xml:space="preserve">CP-060</t>
  </si>
  <si>
    <t xml:space="preserve">8.2.9 first sentence</t>
  </si>
  <si>
    <t xml:space="preserve">TC-SCN-060-02</t>
  </si>
  <si>
    <t xml:space="preserve">Company sponsored registration asks for company details</t>
  </si>
  <si>
    <t xml:space="preserve">The learner selects the sponsorship and sees the costing. Case: Company sponsored registration asks for company details</t>
  </si>
  <si>
    <t xml:space="preserve">Company: Company Test Pte Ltd
Contact: contact.test01</t>
  </si>
  <si>
    <t xml:space="preserve">1. Start a registration
2. Select company sponsored
3. Enter the company name, address and contact person
4. Submit
5. Open the registration</t>
  </si>
  <si>
    <t xml:space="preserve">1. The company details are saved and the costing for company sponsorship is shown</t>
  </si>
  <si>
    <t xml:space="preserve">8.2.9 second sentence</t>
  </si>
  <si>
    <t xml:space="preserve">TC-SCN-060-03</t>
  </si>
  <si>
    <t xml:space="preserve">Company details are required for a company sponsored registration</t>
  </si>
  <si>
    <t xml:space="preserve">The learner selects the sponsorship and sees the costing. Case: Company details are required for a company sponsored registration</t>
  </si>
  <si>
    <t xml:space="preserve">Company name: empty</t>
  </si>
  <si>
    <t xml:space="preserve">1. Start a registration
2. Select company sponsored
3. Leave the company name empty
4. Submit</t>
  </si>
  <si>
    <t xml:space="preserve">1. The registration is not submitted without the company details</t>
  </si>
  <si>
    <t xml:space="preserve">ASM-25</t>
  </si>
  <si>
    <t xml:space="preserve">8.2.9 says the learner provides the company details. Whether they are required is assumed</t>
  </si>
  <si>
    <t xml:space="preserve">TC-SCN-061-01</t>
  </si>
  <si>
    <t xml:space="preserve">8.2.10</t>
  </si>
  <si>
    <t xml:space="preserve">SCN-061</t>
  </si>
  <si>
    <t xml:space="preserve">Required documents check</t>
  </si>
  <si>
    <t xml:space="preserve">Missing required document is detected</t>
  </si>
  <si>
    <t xml:space="preserve">The System checks that every required document is submitted. Case: Missing required document is detected</t>
  </si>
  <si>
    <t xml:space="preserve">1. A course requires two supporting documents (ASM-01)</t>
  </si>
  <si>
    <t xml:space="preserve">Documents: one of two</t>
  </si>
  <si>
    <t xml:space="preserve">1. Open the registration form of a course that requires two documents
2. Upload only one
3. Submit</t>
  </si>
  <si>
    <t xml:space="preserve">1. The System checks the list of required documents
2. The System reports that a required document is missing</t>
  </si>
  <si>
    <t xml:space="preserve">Tender 8.2.10 (Enrolment, Sprint 1)</t>
  </si>
  <si>
    <t xml:space="preserve">CP-061</t>
  </si>
  <si>
    <t xml:space="preserve">ASM-24</t>
  </si>
  <si>
    <t xml:space="preserve">8.2.10 requires an automated check of the required list. Whether submit is blocked is not said</t>
  </si>
  <si>
    <t xml:space="preserve">TC-SCN-061-02</t>
  </si>
  <si>
    <t xml:space="preserve">All required documents uploaded passes the check</t>
  </si>
  <si>
    <t xml:space="preserve">The System checks that every required document is submitted. Case: All required documents uploaded passes the check</t>
  </si>
  <si>
    <t xml:space="preserve">Documents: two of two</t>
  </si>
  <si>
    <t xml:space="preserve">1. Open the registration form of the same course
2. Upload both documents
3. Submit</t>
  </si>
  <si>
    <t xml:space="preserve">1. The check finds all required documents
2. The registration is submitted</t>
  </si>
  <si>
    <t xml:space="preserve">8.2.10 requires upload and the check</t>
  </si>
  <si>
    <t xml:space="preserve">TC-SCN-062-01</t>
  </si>
  <si>
    <t xml:space="preserve">8.2.11</t>
  </si>
  <si>
    <t xml:space="preserve">SCN-062</t>
  </si>
  <si>
    <t xml:space="preserve">Bulk upload by Excel</t>
  </si>
  <si>
    <t xml:space="preserve">Bulk file registers all learners</t>
  </si>
  <si>
    <t xml:space="preserve">A user uploads learner data in Excel and supporting documents. Case: Bulk file registers all learners</t>
  </si>
  <si>
    <t xml:space="preserve">File: three learners</t>
  </si>
  <si>
    <t xml:space="preserve">1. Open the bulk registration page
2. Upload an Excel file with three learners
3. Upload the supporting documents
4. Submit
5. Open the registration list</t>
  </si>
  <si>
    <t xml:space="preserve">1. Three registrations are created
2. The supporting documents are attached</t>
  </si>
  <si>
    <t xml:space="preserve">Tender 8.2.11 (Enrolment, Sprint 2)</t>
  </si>
  <si>
    <t xml:space="preserve">CP-062</t>
  </si>
  <si>
    <t xml:space="preserve">8.2.11 requires bulk upload and a way to upload supporting documents</t>
  </si>
  <si>
    <t xml:space="preserve">TC-SCN-062-02</t>
  </si>
  <si>
    <t xml:space="preserve">File with a wrong row is reported</t>
  </si>
  <si>
    <t xml:space="preserve">A user uploads learner data in Excel and supporting documents. Case: File with a wrong row is reported</t>
  </si>
  <si>
    <t xml:space="preserve">1. A prepared file with one wrong row (ASM-01)</t>
  </si>
  <si>
    <t xml:space="preserve">File: three rows, one without email</t>
  </si>
  <si>
    <t xml:space="preserve">1. Upload an Excel file with one row missing the email address
2. Submit
3. Read the result</t>
  </si>
  <si>
    <t xml:space="preserve">1. The System reports the wrong row
2. The other rows are processed or held, none is lost silently</t>
  </si>
  <si>
    <t xml:space="preserve">8.2.11 requires bulk upload. Row errors are not described</t>
  </si>
  <si>
    <t xml:space="preserve">TC-SCN-063-01</t>
  </si>
  <si>
    <t xml:space="preserve">8.2.12</t>
  </si>
  <si>
    <t xml:space="preserve">SCN-063</t>
  </si>
  <si>
    <t xml:space="preserve">Group and early bird discounts</t>
  </si>
  <si>
    <t xml:space="preserve">Group of 3 gets the group discount</t>
  </si>
  <si>
    <t xml:space="preserve">The discount applies from 3 people and for early bird registration. Case: Group of 3 gets the group discount</t>
  </si>
  <si>
    <t xml:space="preserve">1. A course run with a group discount configured (ASM-01)</t>
  </si>
  <si>
    <t xml:space="preserve">1. Register a group of 3 applicants for one course run
2. Open the fee overview of the group</t>
  </si>
  <si>
    <t xml:space="preserve">1. The group discount is applied to the fee</t>
  </si>
  <si>
    <t xml:space="preserve">Tender 8.2.12 (Enrolment, Sprint 2)</t>
  </si>
  <si>
    <t xml:space="preserve">CP-063</t>
  </si>
  <si>
    <t xml:space="preserve">ASM-27</t>
  </si>
  <si>
    <t xml:space="preserve">8.2.12 gives 3 people or more as the threshold</t>
  </si>
  <si>
    <t xml:space="preserve">TC-SCN-063-02</t>
  </si>
  <si>
    <t xml:space="preserve">Group of 2 does not get the group discount</t>
  </si>
  <si>
    <t xml:space="preserve">The discount applies from 3 people and for early bird registration. Case: Group of 2 does not get the group discount</t>
  </si>
  <si>
    <t xml:space="preserve">Group size: 2</t>
  </si>
  <si>
    <t xml:space="preserve">1. Register a group of 2 applicants for one course run
2. Open the fee overview</t>
  </si>
  <si>
    <t xml:space="preserve">1. No group discount is applied</t>
  </si>
  <si>
    <t xml:space="preserve">8.2.12 says 3 people or more, so 2 is below the boundary</t>
  </si>
  <si>
    <t xml:space="preserve">TC-SCN-063-03</t>
  </si>
  <si>
    <t xml:space="preserve">Early bird registration gets the discount</t>
  </si>
  <si>
    <t xml:space="preserve">The discount applies from 3 people and for early bird registration. Case: Early bird registration gets the discount</t>
  </si>
  <si>
    <t xml:space="preserve">1. A course run with an early bird discount configured (ASM-01)</t>
  </si>
  <si>
    <t xml:space="preserve">Registration date: before the closing date</t>
  </si>
  <si>
    <t xml:space="preserve">1. Register before the early bird closing date
2. Open the fee overview</t>
  </si>
  <si>
    <t xml:space="preserve">1. The early bird discount is applied</t>
  </si>
  <si>
    <t xml:space="preserve">8.2.12 requires early bird discounts</t>
  </si>
  <si>
    <t xml:space="preserve">TC-SCN-064-01</t>
  </si>
  <si>
    <t xml:space="preserve">8.2.13</t>
  </si>
  <si>
    <t xml:space="preserve">SCN-064</t>
  </si>
  <si>
    <t xml:space="preserve">Grant eligibility at registration</t>
  </si>
  <si>
    <t xml:space="preserve">Eligible applicant gets the grant in the computed fee</t>
  </si>
  <si>
    <t xml:space="preserve">Eligible and ineligible applicants get a different fee. Case: Eligible applicant gets the grant in the computed fee</t>
  </si>
  <si>
    <t xml:space="preserve">1. An eligible applicant and a funded course (ASM-01)</t>
  </si>
  <si>
    <t xml:space="preserve">Course: SSG Test Course 01
Fee: 1000</t>
  </si>
  <si>
    <t xml:space="preserve">1. Register an eligible applicant for an SSG funded course
2. Open the computed course fee</t>
  </si>
  <si>
    <t xml:space="preserve">1. The eligibility is confirmed and the fee shown is the course fee less the SSG grant</t>
  </si>
  <si>
    <t xml:space="preserve">Tender 8.2.13 (Funding, Sprint 2)</t>
  </si>
  <si>
    <t xml:space="preserve">CP-064</t>
  </si>
  <si>
    <t xml:space="preserve">8.2.13 requires the check and the computed fee</t>
  </si>
  <si>
    <t xml:space="preserve">TC-SCN-064-02</t>
  </si>
  <si>
    <t xml:space="preserve">Ineligible applicant gets the full fee</t>
  </si>
  <si>
    <t xml:space="preserve">Eligible and ineligible applicants get a different fee. Case: Ineligible applicant gets the full fee</t>
  </si>
  <si>
    <t xml:space="preserve">1. An ineligible applicant (ASM-01)</t>
  </si>
  <si>
    <t xml:space="preserve">1. Register an ineligible applicant for the same course
2. Open the computed course fee</t>
  </si>
  <si>
    <t xml:space="preserve">1. The applicant is shown as ineligible and the fee shown is the full fee</t>
  </si>
  <si>
    <t xml:space="preserve">8.2.13 requires the check of the eligibility</t>
  </si>
  <si>
    <t xml:space="preserve">TC-SCN-065-01</t>
  </si>
  <si>
    <t xml:space="preserve">8.2.14</t>
  </si>
  <si>
    <t xml:space="preserve">SCN-065</t>
  </si>
  <si>
    <t xml:space="preserve">Blacklist check at registration</t>
  </si>
  <si>
    <t xml:space="preserve">Applicant on the SSG blacklist is flagged</t>
  </si>
  <si>
    <t xml:space="preserve">An applicant is checked against both blacklists. Case: Applicant on the SSG blacklist is flagged</t>
  </si>
  <si>
    <t xml:space="preserve">1. A blacklist record exists (ASM-01)</t>
  </si>
  <si>
    <t xml:space="preserve">Person: blacklisted person 01 (SSG)</t>
  </si>
  <si>
    <t xml:space="preserve">1. Add a test person to the SSG blacklist record
2. Register the person for a course run
3. Observe the result</t>
  </si>
  <si>
    <t xml:space="preserve">1. The System finds the applicant on the SSG blacklist
2. The applicant is not enrolled</t>
  </si>
  <si>
    <t xml:space="preserve">Tender 8.2.14 (Enrolment, Sprint 2)</t>
  </si>
  <si>
    <t xml:space="preserve">CP-065</t>
  </si>
  <si>
    <t xml:space="preserve">ASM-28</t>
  </si>
  <si>
    <t xml:space="preserve">8.2.14 requires the check against the SSG blacklist</t>
  </si>
  <si>
    <t xml:space="preserve">TC-SCN-065-02</t>
  </si>
  <si>
    <t xml:space="preserve">Applicant on the School blacklist is flagged</t>
  </si>
  <si>
    <t xml:space="preserve">An applicant is checked against both blacklists. Case: Applicant on the School blacklist is flagged</t>
  </si>
  <si>
    <t xml:space="preserve">Person: blacklisted person 02 (School)</t>
  </si>
  <si>
    <t xml:space="preserve">1. Add a test person to the School blacklist
2. Register the person
3. Observe the result</t>
  </si>
  <si>
    <t xml:space="preserve">1. The System finds the applicant on the School blacklist
2. The applicant is not enrolled</t>
  </si>
  <si>
    <t xml:space="preserve">8.2.14 requires the check against the School blacklist</t>
  </si>
  <si>
    <t xml:space="preserve">TC-SCN-065-03</t>
  </si>
  <si>
    <t xml:space="preserve">Applicant not on any list gets a fee overview</t>
  </si>
  <si>
    <t xml:space="preserve">An applicant is checked against both blacklists. Case: Applicant not on any list gets a fee overview</t>
  </si>
  <si>
    <t xml:space="preserve">1. A course run with a fee exists (ASM-01)</t>
  </si>
  <si>
    <t xml:space="preserve">Person: clean person 01</t>
  </si>
  <si>
    <t xml:space="preserve">1. Register a person who is on no blacklist
2. Open the fee overview</t>
  </si>
  <si>
    <t xml:space="preserve">1. The System computes the overview of the course fee for the registration</t>
  </si>
  <si>
    <t xml:space="preserve">8.2.14 requires the fee overview computation</t>
  </si>
  <si>
    <t xml:space="preserve">TC-SCN-066-01</t>
  </si>
  <si>
    <t xml:space="preserve">8.2.15</t>
  </si>
  <si>
    <t xml:space="preserve">SCN-066</t>
  </si>
  <si>
    <t xml:space="preserve">Structured data reused</t>
  </si>
  <si>
    <t xml:space="preserve">Registration data is reused without re entering</t>
  </si>
  <si>
    <t xml:space="preserve">Data entered at registration is reused in later steps. Case: Registration data is reused without re entering</t>
  </si>
  <si>
    <t xml:space="preserve">1. A registration submitted with data (ASM-01)</t>
  </si>
  <si>
    <t xml:space="preserve">Applicant: learner.test01</t>
  </si>
  <si>
    <t xml:space="preserve">1. Submit a registration with all fields filled
2. Open the enrolment record as Course Administrator
3. Open the invoice created for it</t>
  </si>
  <si>
    <t xml:space="preserve">1. The enrolment record shows the registration data in structured fields
2. The invoice uses the same data without a new entry</t>
  </si>
  <si>
    <t xml:space="preserve">Tender 8.2.15 (Enrolment, Sprint 1)</t>
  </si>
  <si>
    <t xml:space="preserve">CP-066</t>
  </si>
  <si>
    <t xml:space="preserve">8.2.15 requires structured fields so that data is not entered again</t>
  </si>
  <si>
    <t xml:space="preserve">TC-SCN-067-01</t>
  </si>
  <si>
    <t xml:space="preserve">8.2.16</t>
  </si>
  <si>
    <t xml:space="preserve">SCN-067</t>
  </si>
  <si>
    <t xml:space="preserve">SME declaration</t>
  </si>
  <si>
    <t xml:space="preserve">Applicant declares the company as SME</t>
  </si>
  <si>
    <t xml:space="preserve">A company sponsored applicant declares the SME status. Case: Applicant declares the company as SME</t>
  </si>
  <si>
    <t xml:space="preserve">1. A company sponsored registration (ASM-01)</t>
  </si>
  <si>
    <t xml:space="preserve">Declaration: SME</t>
  </si>
  <si>
    <t xml:space="preserve">1. Register as company sponsored
2. Open the SME declaration
3. Declare the company as SME
4. Submit
5. Open the application</t>
  </si>
  <si>
    <t xml:space="preserve">1. The declaration is saved with the application</t>
  </si>
  <si>
    <t xml:space="preserve">Tender 8.2.16 (Funding, Sprint 2)</t>
  </si>
  <si>
    <t xml:space="preserve">CP-067</t>
  </si>
  <si>
    <t xml:space="preserve">8.2.16 requires the declaration</t>
  </si>
  <si>
    <t xml:space="preserve">TC-SCN-067-02</t>
  </si>
  <si>
    <t xml:space="preserve">Applicant declares the company as not SME</t>
  </si>
  <si>
    <t xml:space="preserve">A company sponsored applicant declares the SME status. Case: Applicant declares the company as not SME</t>
  </si>
  <si>
    <t xml:space="preserve">Declaration: not SME</t>
  </si>
  <si>
    <t xml:space="preserve">1. Register as company sponsored
2. Declare the company as not SME
3. Submit
4. Open the application</t>
  </si>
  <si>
    <t xml:space="preserve">1. The declaration of not SME is saved and no ETSS is offered</t>
  </si>
  <si>
    <t xml:space="preserve">8.2.16 requires the declaration. The effect on ETSS follows 6.4.8</t>
  </si>
  <si>
    <t xml:space="preserve">TC-SCN-068-01</t>
  </si>
  <si>
    <t xml:space="preserve">8.2.17</t>
  </si>
  <si>
    <t xml:space="preserve">SCN-068</t>
  </si>
  <si>
    <t xml:space="preserve">Alumni credit check</t>
  </si>
  <si>
    <t xml:space="preserve">Alumnus sees the available credit</t>
  </si>
  <si>
    <t xml:space="preserve">The applicant sees the available alumni credit. Case: Alumnus sees the available credit</t>
  </si>
  <si>
    <t xml:space="preserve">1. An alumnus with a credit of 200 (ASM-01)</t>
  </si>
  <si>
    <t xml:space="preserve">1. Sign in as an alumnus with a credit of 200
2. Open the registration
3. Check the alumni credit</t>
  </si>
  <si>
    <t xml:space="preserve">1. The available credit shown is 200</t>
  </si>
  <si>
    <t xml:space="preserve">Tender 8.2.17 (Funding, Sprint 3)</t>
  </si>
  <si>
    <t xml:space="preserve">CP-068</t>
  </si>
  <si>
    <t xml:space="preserve">ASM-71</t>
  </si>
  <si>
    <t xml:space="preserve">8.2.17 requires the check</t>
  </si>
  <si>
    <t xml:space="preserve">TC-SCN-068-02</t>
  </si>
  <si>
    <t xml:space="preserve">Non alumnus sees no credit</t>
  </si>
  <si>
    <t xml:space="preserve">The applicant sees the available alumni credit. Case: Non alumnus sees no credit</t>
  </si>
  <si>
    <t xml:space="preserve">1. A learner who is not an alumnus (ASM-01)</t>
  </si>
  <si>
    <t xml:space="preserve">1. Sign in as a learner who is not an alumnus
2. Open the registration
3. Check the alumni credit</t>
  </si>
  <si>
    <t xml:space="preserve">1. No alumni credit is available</t>
  </si>
  <si>
    <t xml:space="preserve">8.2.17 is for alumni</t>
  </si>
  <si>
    <t xml:space="preserve">TC-SCN-069-01</t>
  </si>
  <si>
    <t xml:space="preserve">8.2.18</t>
  </si>
  <si>
    <t xml:space="preserve">SCN-069</t>
  </si>
  <si>
    <t xml:space="preserve">SFC balance check</t>
  </si>
  <si>
    <t xml:space="preserve">Applicant sees the available SFC</t>
  </si>
  <si>
    <t xml:space="preserve">The applicant sees the SFC balance and the top up. Case: Applicant sees the available SFC</t>
  </si>
  <si>
    <t xml:space="preserve">1. An applicant with SFC and a test endpoint (ASM-01)</t>
  </si>
  <si>
    <t xml:space="preserve">SFC: 500</t>
  </si>
  <si>
    <t xml:space="preserve">1. Sign in as an applicant with an SFC balance
2. Open the registration
3. Check the SkillsFuture Credit</t>
  </si>
  <si>
    <t xml:space="preserve">1. The available SFC shown matches the balance returned by the SFC gateway test endpoint</t>
  </si>
  <si>
    <t xml:space="preserve">Tender 8.2.18 (Funding, Sprint 1)</t>
  </si>
  <si>
    <t xml:space="preserve">CP-069</t>
  </si>
  <si>
    <t xml:space="preserve">8.2.18 requires the check</t>
  </si>
  <si>
    <t xml:space="preserve">TC-SCN-069-02</t>
  </si>
  <si>
    <t xml:space="preserve">Applicant sees the mid career top up</t>
  </si>
  <si>
    <t xml:space="preserve">The applicant sees the SFC balance and the top up. Case: Applicant sees the mid career top up</t>
  </si>
  <si>
    <t xml:space="preserve">1. An applicant eligible for the top up (ASM-01)</t>
  </si>
  <si>
    <t xml:space="preserve">Top up: configured</t>
  </si>
  <si>
    <t xml:space="preserve">1. Sign in as an applicant eligible for the top up
2. Check the SkillsFuture Credit</t>
  </si>
  <si>
    <t xml:space="preserve">1. The SFC shown includes the mid career top up</t>
  </si>
  <si>
    <t xml:space="preserve">8.2.18 includes the top up</t>
  </si>
  <si>
    <t xml:space="preserve">TC-SCN-070-01</t>
  </si>
  <si>
    <t xml:space="preserve">8.2.19</t>
  </si>
  <si>
    <t xml:space="preserve">SCN-070</t>
  </si>
  <si>
    <t xml:space="preserve">Fee overview</t>
  </si>
  <si>
    <t xml:space="preserve">Overview shows fee, SFC, SSG grant and alumni credit</t>
  </si>
  <si>
    <t xml:space="preserve">The overview lists the fee and each reduction. Case: Overview shows fee, SFC, SSG grant and alumni credit</t>
  </si>
  <si>
    <t xml:space="preserve">1. A learner with all three (ASM-01)</t>
  </si>
  <si>
    <t xml:space="preserve">Fee: 1000
SFC: 200
ACC: 100</t>
  </si>
  <si>
    <t xml:space="preserve">1. Register a learner who has SFC, an SSG grant and an alumni credit
2. Open the fee overview</t>
  </si>
  <si>
    <t xml:space="preserve">1. The overview shows the course fee and a line for the SFC, the SSG grant and the alumni credit with the net fee</t>
  </si>
  <si>
    <t xml:space="preserve">Tender 8.2.19 (Funding, Sprint 3)</t>
  </si>
  <si>
    <t xml:space="preserve">CP-070</t>
  </si>
  <si>
    <t xml:space="preserve">8.2.19 requires the overview. The amounts are configured</t>
  </si>
  <si>
    <t xml:space="preserve">TC-SCN-070-02</t>
  </si>
  <si>
    <t xml:space="preserve">Overview net fee equals the invoice net fee</t>
  </si>
  <si>
    <t xml:space="preserve">The overview lists the fee and each reduction. Case: Overview net fee equals the invoice net fee</t>
  </si>
  <si>
    <t xml:space="preserve">1. A learner with a funded registration (ASM-01)</t>
  </si>
  <si>
    <t xml:space="preserve">Learner: learner.test03</t>
  </si>
  <si>
    <t xml:space="preserve">1. Open the fee overview
2. Confirm the registration
3. Open the invoice</t>
  </si>
  <si>
    <t xml:space="preserve">1. The net fee in the overview equals the net fee on the invoice</t>
  </si>
  <si>
    <t xml:space="preserve">The overview is the basis of the invoice</t>
  </si>
  <si>
    <t xml:space="preserve">TC-SCN-071-01</t>
  </si>
  <si>
    <t xml:space="preserve">8.2.19 (unnumbered paragraph)</t>
  </si>
  <si>
    <t xml:space="preserve">SCN-071</t>
  </si>
  <si>
    <t xml:space="preserve">Required registration data</t>
  </si>
  <si>
    <t xml:space="preserve">Registration form shows all listed fields</t>
  </si>
  <si>
    <t xml:space="preserve">The registration form captures the 18 listed fields. Case: Registration form shows all listed fields</t>
  </si>
  <si>
    <t xml:space="preserve">Fields: list in 8.2.19 paragraph</t>
  </si>
  <si>
    <t xml:space="preserve">1. Open the registration form
2. Compare the fields with the list of salutation, full name, NRIC FIN passport number, date of birth, nationality, address, telephone, email, education, alumni status, professional body membership, company name, department, job title, company website, company address, billing address and company HR contact</t>
  </si>
  <si>
    <t xml:space="preserve">1. Every listed field is available in the form
2. The company HR contact field is available for company sponsorship</t>
  </si>
  <si>
    <t xml:space="preserve">Tender 8.2.19 (unnumbered paragraph) (Enrolment, Sprint 1,2)</t>
  </si>
  <si>
    <t xml:space="preserve">CP-071</t>
  </si>
  <si>
    <t xml:space="preserve">The paragraph lists fields as but not limited to. Which are mandatory is not stated</t>
  </si>
  <si>
    <t xml:space="preserve">TC-SCN-071-02</t>
  </si>
  <si>
    <t xml:space="preserve">Saved registration keeps every entered field</t>
  </si>
  <si>
    <t xml:space="preserve">The registration form captures the 18 listed fields. Case: Saved registration keeps every entered field</t>
  </si>
  <si>
    <t xml:space="preserve">Applicant: all fields filled</t>
  </si>
  <si>
    <t xml:space="preserve">1. Fill every listed field
2. Submit
3. Open the registration record</t>
  </si>
  <si>
    <t xml:space="preserve">1. The record shows each entered value in its own field</t>
  </si>
  <si>
    <t xml:space="preserve">The paragraph requires all information to be captured for processing</t>
  </si>
  <si>
    <t xml:space="preserve">TC-SCN-072-01</t>
  </si>
  <si>
    <t xml:space="preserve">8.2.20</t>
  </si>
  <si>
    <t xml:space="preserve">SCN-072</t>
  </si>
  <si>
    <t xml:space="preserve">Prerequisite validation</t>
  </si>
  <si>
    <t xml:space="preserve">Learner without the prerequisite fails with a reason</t>
  </si>
  <si>
    <t xml:space="preserve">A learner who does not meet the criteria fails validation. Case: Learner without the prerequisite fails with a reason</t>
  </si>
  <si>
    <t xml:space="preserve">1. A course with a prerequisite exists and a learner without it (ASM-01)</t>
  </si>
  <si>
    <t xml:space="preserve">Learner: learner.test04</t>
  </si>
  <si>
    <t xml:space="preserve">1. Register a learner who has not completed the prerequisite course
2. Observe the result
3. Sign in as Course Administrator
4. Open the alerts</t>
  </si>
  <si>
    <t xml:space="preserve">1. The application fails the validation
2. The Administrator is alerted
3. The alert gives a descriptive reason for the failed application</t>
  </si>
  <si>
    <t xml:space="preserve">Tender 8.2.20 (Enrolment, Sprint 2)</t>
  </si>
  <si>
    <t xml:space="preserve">CP-072</t>
  </si>
  <si>
    <t xml:space="preserve">ASM-29</t>
  </si>
  <si>
    <t xml:space="preserve">8.2.20 requires an alert to Administrators with reasons</t>
  </si>
  <si>
    <t xml:space="preserve">TC-SCN-072-02</t>
  </si>
  <si>
    <t xml:space="preserve">Learner with the prerequisite passes</t>
  </si>
  <si>
    <t xml:space="preserve">A learner who does not meet the criteria fails validation. Case: Learner with the prerequisite passes</t>
  </si>
  <si>
    <t xml:space="preserve">1. A course with a prerequisite exists and a learner with it (ASM-01)</t>
  </si>
  <si>
    <t xml:space="preserve">Learner: learner.test05</t>
  </si>
  <si>
    <t xml:space="preserve">1. Register a learner who has completed the prerequisite
2. Observe the result</t>
  </si>
  <si>
    <t xml:space="preserve">1. The application passes the validation
2. No failure alert is raised</t>
  </si>
  <si>
    <t xml:space="preserve">8.2.20 requires the validation of prerequisites and enrolment criteria</t>
  </si>
  <si>
    <t xml:space="preserve">TC-SCN-073-01</t>
  </si>
  <si>
    <t xml:space="preserve">8.3.1</t>
  </si>
  <si>
    <t xml:space="preserve">SCN-073</t>
  </si>
  <si>
    <t xml:space="preserve">Corporate registration data</t>
  </si>
  <si>
    <t xml:space="preserve">Corporate form captures company HR contact and learner data</t>
  </si>
  <si>
    <t xml:space="preserve">The corporate form captures the company and learner fields. Case: Corporate form captures company HR contact and learner data</t>
  </si>
  <si>
    <t xml:space="preserve">1. The corporate registration form is open (ASM-01)</t>
  </si>
  <si>
    <t xml:space="preserve">Fields: list in 8.3.1</t>
  </si>
  <si>
    <t xml:space="preserve">1. Open the corporate registration form
2. Check the company HR contact fields (company name, department, website, address, billing address, HR name, job title, phone, email)
3. Check the learner fields (salutation, full name, ID number, date of birth, nationality, address, phone, email, education, alumni status, membership, job title, company HR contact)</t>
  </si>
  <si>
    <t xml:space="preserve">1. All listed company HR contact fields are available
2. All listed learner fields are available</t>
  </si>
  <si>
    <t xml:space="preserve">Tender 8.3.1 (Enrolment, Sprint 2)</t>
  </si>
  <si>
    <t xml:space="preserve">CP-073</t>
  </si>
  <si>
    <t xml:space="preserve">8.3.1 lists the fields as but not limited to</t>
  </si>
  <si>
    <t xml:space="preserve">TC-SCN-074-01</t>
  </si>
  <si>
    <t xml:space="preserve">8.3.2</t>
  </si>
  <si>
    <t xml:space="preserve">SCN-074</t>
  </si>
  <si>
    <t xml:space="preserve">Corporate account</t>
  </si>
  <si>
    <t xml:space="preserve">New corporate applicant is led to account creation</t>
  </si>
  <si>
    <t xml:space="preserve">A corporate applicant registers. Case: New corporate applicant is led to account creation</t>
  </si>
  <si>
    <t xml:space="preserve">1. The company has no account (ASM-01)</t>
  </si>
  <si>
    <t xml:space="preserve">Company: Test Company 01</t>
  </si>
  <si>
    <t xml:space="preserve">1. Open a course run as a company without an account
2. Select Register
3. Observe the next page</t>
  </si>
  <si>
    <t xml:space="preserve">1. The System leads the corporate applicant to create an account first</t>
  </si>
  <si>
    <t xml:space="preserve">Tender 8.3.2 (Enrolment, Sprint 2)</t>
  </si>
  <si>
    <t xml:space="preserve">CP-074</t>
  </si>
  <si>
    <t xml:space="preserve">8.3.2 requires account creation first</t>
  </si>
  <si>
    <t xml:space="preserve">TC-SCN-074-02</t>
  </si>
  <si>
    <t xml:space="preserve">Existing corporate account logs in</t>
  </si>
  <si>
    <t xml:space="preserve">A corporate applicant registers. Case: Existing corporate account logs in</t>
  </si>
  <si>
    <t xml:space="preserve">1. The company has an account (ASM-01)</t>
  </si>
  <si>
    <t xml:space="preserve">1. Open a course run
2. Select Register
3. Log in with an existing corporate account</t>
  </si>
  <si>
    <t xml:space="preserve">1. The corporate registrant is able to log in with the existing account</t>
  </si>
  <si>
    <t xml:space="preserve">8.3.2 allows login with an existing account</t>
  </si>
  <si>
    <t xml:space="preserve">TC-SCN-075-01</t>
  </si>
  <si>
    <t xml:space="preserve">8.3.3</t>
  </si>
  <si>
    <t xml:space="preserve">SCN-075</t>
  </si>
  <si>
    <t xml:space="preserve">UEN check by applicant</t>
  </si>
  <si>
    <t xml:space="preserve">Valid UEN is accepted</t>
  </si>
  <si>
    <t xml:space="preserve">The UEN entered is checked automatically. Case: Valid UEN is accepted</t>
  </si>
  <si>
    <t xml:space="preserve">UEN: valid test UEN</t>
  </si>
  <si>
    <t xml:space="preserve">1. Open a company sponsored registration
2. Enter a valid UEN
3. Submit</t>
  </si>
  <si>
    <t xml:space="preserve">1. The System checks the UEN automatically
2. The UEN is accepted</t>
  </si>
  <si>
    <t xml:space="preserve">Tender 8.3.3 (Enrolment, Sprint 2)</t>
  </si>
  <si>
    <t xml:space="preserve">CP-075</t>
  </si>
  <si>
    <t xml:space="preserve">ASM-32</t>
  </si>
  <si>
    <t xml:space="preserve">8.3.3 requires an automatic UEN check. The source of truth is not stated</t>
  </si>
  <si>
    <t xml:space="preserve">TC-SCN-075-02</t>
  </si>
  <si>
    <t xml:space="preserve">Invalid UEN is rejected</t>
  </si>
  <si>
    <t xml:space="preserve">The UEN entered is checked automatically. Case: Invalid UEN is rejected</t>
  </si>
  <si>
    <t xml:space="preserve">UEN: 000000000X</t>
  </si>
  <si>
    <t xml:space="preserve">1. Open a company sponsored registration
2. Enter a UEN that does not exist
3. Submit</t>
  </si>
  <si>
    <t xml:space="preserve">1. The System checks the UEN automatically
2. The UEN is rejected</t>
  </si>
  <si>
    <t xml:space="preserve">8.3.3 requires the check</t>
  </si>
  <si>
    <t xml:space="preserve">TC-SCN-076-01</t>
  </si>
  <si>
    <t xml:space="preserve">8.3.4</t>
  </si>
  <si>
    <t xml:space="preserve">SCN-076</t>
  </si>
  <si>
    <t xml:space="preserve">Corporate form population</t>
  </si>
  <si>
    <t xml:space="preserve">Company data from the account fills the form</t>
  </si>
  <si>
    <t xml:space="preserve">The corporate account data fills the form. Case: Company data from the account fills the form</t>
  </si>
  <si>
    <t xml:space="preserve">1. A company account with data exists (ASM-01)</t>
  </si>
  <si>
    <t xml:space="preserve">1. Sign in as a company
2. Open the registration form
3. Check the company fields
4. Check the consent control</t>
  </si>
  <si>
    <t xml:space="preserve">1. The company fields are filled from the account
2. The consent to the PDPA and the privacy statement is on the form</t>
  </si>
  <si>
    <t xml:space="preserve">Tender 8.3.4 (Enrolment, Sprint 2)</t>
  </si>
  <si>
    <t xml:space="preserve">CP-076</t>
  </si>
  <si>
    <t xml:space="preserve">8.3.4 requires population and consent on the form</t>
  </si>
  <si>
    <t xml:space="preserve">TC-SCN-077-01</t>
  </si>
  <si>
    <t xml:space="preserve">8.3.5</t>
  </si>
  <si>
    <t xml:space="preserve">SCN-077</t>
  </si>
  <si>
    <t xml:space="preserve">Corporate save and resume</t>
  </si>
  <si>
    <t xml:space="preserve">Corporate incomplete application is saved and resumed</t>
  </si>
  <si>
    <t xml:space="preserve">A corporate applicant saves and resumes. Case: Corporate incomplete application is saved and resumed</t>
  </si>
  <si>
    <t xml:space="preserve">1. The corporate form is open (ASM-01)</t>
  </si>
  <si>
    <t xml:space="preserve">Fields filled: company name</t>
  </si>
  <si>
    <t xml:space="preserve">1. Fill part of the corporate form
2. Save
3. Sign out and sign in
4. Open the saved application</t>
  </si>
  <si>
    <t xml:space="preserve">1. The application is saved
2. The saved values return</t>
  </si>
  <si>
    <t xml:space="preserve">Tender 8.3.5 (Enrolment, Sprint 2)</t>
  </si>
  <si>
    <t xml:space="preserve">CP-077</t>
  </si>
  <si>
    <t xml:space="preserve">8.3.5 requires saving an application not completed in stipulated time</t>
  </si>
  <si>
    <t xml:space="preserve">TC-SCN-078-01</t>
  </si>
  <si>
    <t xml:space="preserve">8.3.6</t>
  </si>
  <si>
    <t xml:space="preserve">SCN-078</t>
  </si>
  <si>
    <t xml:space="preserve">Corporate incomplete tracking</t>
  </si>
  <si>
    <t xml:space="preserve">Administrator is alerted and sees the report</t>
  </si>
  <si>
    <t xml:space="preserve">Incomplete corporate applications are tracked. Case: Administrator is alerted and sees the report</t>
  </si>
  <si>
    <t xml:space="preserve">1. An incomplete corporate application exists (ASM-01)</t>
  </si>
  <si>
    <t xml:space="preserve">1. Save an incomplete corporate application
2. Sign in as Course Administrator
3. Open the alerts
4. Run the report of incomplete registrations</t>
  </si>
  <si>
    <t xml:space="preserve">1. The Administrator is alerted
2. The report lists the incomplete corporate application</t>
  </si>
  <si>
    <t xml:space="preserve">Tender 8.3.6 (Enrolment, Sprint 2)</t>
  </si>
  <si>
    <t xml:space="preserve">CP-078</t>
  </si>
  <si>
    <t xml:space="preserve">8.3.6 requires the alert and the report</t>
  </si>
  <si>
    <t xml:space="preserve">TC-SCN-079-01</t>
  </si>
  <si>
    <t xml:space="preserve">8.3.7</t>
  </si>
  <si>
    <t xml:space="preserve">SCN-079</t>
  </si>
  <si>
    <t xml:space="preserve">Corporate level</t>
  </si>
  <si>
    <t xml:space="preserve">Company registers for a course and for a programme</t>
  </si>
  <si>
    <t xml:space="preserve">A company registers for a course and a programme. Case: Company registers for a course and for a programme</t>
  </si>
  <si>
    <t xml:space="preserve">1. A course and a programme are open (ASM-01)</t>
  </si>
  <si>
    <t xml:space="preserve">1. Register a learner as a company for a course
2. Register another as a company for a programme
3. Open both records</t>
  </si>
  <si>
    <t xml:space="preserve">1. Both registrations are created at their own level</t>
  </si>
  <si>
    <t xml:space="preserve">Tender 8.3.7 (Enrolment, Sprint 2)</t>
  </si>
  <si>
    <t xml:space="preserve">CP-079</t>
  </si>
  <si>
    <t xml:space="preserve">8.3.7 requires both levels</t>
  </si>
  <si>
    <t xml:space="preserve">TC-SCN-080-01</t>
  </si>
  <si>
    <t xml:space="preserve">8.3.8</t>
  </si>
  <si>
    <t xml:space="preserve">SCN-080</t>
  </si>
  <si>
    <t xml:space="preserve">Corporate documents</t>
  </si>
  <si>
    <t xml:space="preserve">Missing corporate document is detected</t>
  </si>
  <si>
    <t xml:space="preserve">The required documents are checked. Case: Missing corporate document is detected</t>
  </si>
  <si>
    <t xml:space="preserve">1. A course requires two documents (ASM-01)</t>
  </si>
  <si>
    <t xml:space="preserve">1. Open a corporate registration that requires two documents
2. Upload one
3. Submit</t>
  </si>
  <si>
    <t xml:space="preserve">1. The System reports a missing required document</t>
  </si>
  <si>
    <t xml:space="preserve">Tender 8.3.8 (Enrolment, Sprint 2)</t>
  </si>
  <si>
    <t xml:space="preserve">CP-080</t>
  </si>
  <si>
    <t xml:space="preserve">8.3.8 requires the automated check</t>
  </si>
  <si>
    <t xml:space="preserve">TC-SCN-081-01</t>
  </si>
  <si>
    <t xml:space="preserve">8.3.9</t>
  </si>
  <si>
    <t xml:space="preserve">SCN-081</t>
  </si>
  <si>
    <t xml:space="preserve">Corporate bulk upload</t>
  </si>
  <si>
    <t xml:space="preserve">Company bulk file registers its learners</t>
  </si>
  <si>
    <t xml:space="preserve">A company uploads an Excel file of learners. Case: Company bulk file registers its learners</t>
  </si>
  <si>
    <t xml:space="preserve">1. A prepared file exists (ASM-01)</t>
  </si>
  <si>
    <t xml:space="preserve">1. Open the corporate bulk page
2. Upload an Excel file of three learners with documents
3. Submit
4. Open the list</t>
  </si>
  <si>
    <t xml:space="preserve">1. Three corporate registrations are created</t>
  </si>
  <si>
    <t xml:space="preserve">Tender 8.3.9 (Enrolment, Sprint 2)</t>
  </si>
  <si>
    <t xml:space="preserve">CP-081</t>
  </si>
  <si>
    <t xml:space="preserve">8.3.9 requires bulk upload with documents</t>
  </si>
  <si>
    <t xml:space="preserve">TC-SCN-082-01</t>
  </si>
  <si>
    <t xml:space="preserve">8.3.10</t>
  </si>
  <si>
    <t xml:space="preserve">SCN-082</t>
  </si>
  <si>
    <t xml:space="preserve">UEN check by corporate applicant</t>
  </si>
  <si>
    <t xml:space="preserve">Invalid UEN of a corporate applicant is rejected</t>
  </si>
  <si>
    <t xml:space="preserve">The UEN entered by a corporate applicant is checked. Case: Invalid UEN of a corporate applicant is rejected</t>
  </si>
  <si>
    <t xml:space="preserve">1. Open a company sponsored registration as a corporate applicant
2. Enter an invalid UEN
3. Submit</t>
  </si>
  <si>
    <t xml:space="preserve">Tender 8.3.10 (Enrolment, Sprint 2)</t>
  </si>
  <si>
    <t xml:space="preserve">CP-082</t>
  </si>
  <si>
    <t xml:space="preserve">8.3.10 requires the automatic check</t>
  </si>
  <si>
    <t xml:space="preserve">TC-SCN-083-01</t>
  </si>
  <si>
    <t xml:space="preserve">8.3.11</t>
  </si>
  <si>
    <t xml:space="preserve">SCN-083</t>
  </si>
  <si>
    <t xml:space="preserve">Corporate structured data</t>
  </si>
  <si>
    <t xml:space="preserve">Corporate data is reused downstream</t>
  </si>
  <si>
    <t xml:space="preserve">Corporate data is reused. Case: Corporate data is reused downstream</t>
  </si>
  <si>
    <t xml:space="preserve">1. A corporate registration exists (ASM-01)</t>
  </si>
  <si>
    <t xml:space="preserve">1. Submit a corporate registration
2. Open the enrolment and the invoice</t>
  </si>
  <si>
    <t xml:space="preserve">1. The enrolment and the invoice use the corporate data without re entering</t>
  </si>
  <si>
    <t xml:space="preserve">Tender 8.3.11 (Enrolment, Sprint 2)</t>
  </si>
  <si>
    <t xml:space="preserve">CP-083</t>
  </si>
  <si>
    <t xml:space="preserve">8.3.11 requires structured fields</t>
  </si>
  <si>
    <t xml:space="preserve">TC-SCN-084-01</t>
  </si>
  <si>
    <t xml:space="preserve">8.3.12</t>
  </si>
  <si>
    <t xml:space="preserve">SCN-084</t>
  </si>
  <si>
    <t xml:space="preserve">SME verification</t>
  </si>
  <si>
    <t xml:space="preserve">Corporate applicant with a valid SME declaration is verified</t>
  </si>
  <si>
    <t xml:space="preserve">The declaration of a corporate applicant is verified. Case: Corporate applicant with a valid SME declaration is verified</t>
  </si>
  <si>
    <t xml:space="preserve">1. A corporate application with a declaration (ASM-01)</t>
  </si>
  <si>
    <t xml:space="preserve">UEN: valid SME test UEN</t>
  </si>
  <si>
    <t xml:space="preserve">1. Submit a corporate application with an SME declaration
2. Open the verification</t>
  </si>
  <si>
    <t xml:space="preserve">1. The SME status is verified through the ACRA test endpoint and shown as verified</t>
  </si>
  <si>
    <t xml:space="preserve">Tender 8.3.12 (Funding, Sprint 2)</t>
  </si>
  <si>
    <t xml:space="preserve">CP-084</t>
  </si>
  <si>
    <t xml:space="preserve">8.3.12 requires the verification. The method is from 18.2.4</t>
  </si>
  <si>
    <t xml:space="preserve">TC-SCN-084-02</t>
  </si>
  <si>
    <t xml:space="preserve">Declaration that does not match the record is flagged</t>
  </si>
  <si>
    <t xml:space="preserve">The declaration of a corporate applicant is verified. Case: Declaration that does not match the record is flagged</t>
  </si>
  <si>
    <t xml:space="preserve">1. A corporate application with a wrong declaration (ASM-01)</t>
  </si>
  <si>
    <t xml:space="preserve">UEN: non SME test UEN</t>
  </si>
  <si>
    <t xml:space="preserve">1. Submit a corporate application declaring SME for a company that is not SME
2. Open the verification</t>
  </si>
  <si>
    <t xml:space="preserve">1. The application is flagged as not verified</t>
  </si>
  <si>
    <t xml:space="preserve">8.3.12 verifies the declaration</t>
  </si>
  <si>
    <t xml:space="preserve">TC-SCN-085-01</t>
  </si>
  <si>
    <t xml:space="preserve">8.3.13</t>
  </si>
  <si>
    <t xml:space="preserve">SCN-085</t>
  </si>
  <si>
    <t xml:space="preserve">Document check, registration level</t>
  </si>
  <si>
    <t xml:space="preserve">Missing document is detected for the registration</t>
  </si>
  <si>
    <t xml:space="preserve">The required documents are checked. Case: Missing document is detected for the registration</t>
  </si>
  <si>
    <t xml:space="preserve">1. Open a registration that requires two documents
2. Upload one
3. Submit</t>
  </si>
  <si>
    <t xml:space="preserve">Tender 8.3.13 (Enrolment, Sprint 2)</t>
  </si>
  <si>
    <t xml:space="preserve">CP-085</t>
  </si>
  <si>
    <t xml:space="preserve">8.3.13 requires the automated check</t>
  </si>
  <si>
    <t xml:space="preserve">TC-SCN-086-01</t>
  </si>
  <si>
    <t xml:space="preserve">8.4.1</t>
  </si>
  <si>
    <t xml:space="preserve">SCN-086</t>
  </si>
  <si>
    <t xml:space="preserve">Pre assessment requirements</t>
  </si>
  <si>
    <t xml:space="preserve">Applicant submits pre assessment requirements</t>
  </si>
  <si>
    <t xml:space="preserve">An applicant submits pre assessment requirements. Case: Applicant submits pre assessment requirements</t>
  </si>
  <si>
    <t xml:space="preserve">1. A course with shortlisting criteria exists (ASM-01)</t>
  </si>
  <si>
    <t xml:space="preserve">Course: FlexiMasters Test 01</t>
  </si>
  <si>
    <t xml:space="preserve">1. Apply for a course with shortlisting
2. Open the pre assessment requirements
3. Submit them
4. Open the application</t>
  </si>
  <si>
    <t xml:space="preserve">1. The applicant can submit the pre assessment requirements
2. The application records them</t>
  </si>
  <si>
    <t xml:space="preserve">Tender 8.4.1 (Enrolment, Sprint 2)</t>
  </si>
  <si>
    <t xml:space="preserve">CP-086</t>
  </si>
  <si>
    <t xml:space="preserve">ASM-30</t>
  </si>
  <si>
    <t xml:space="preserve">8.4.1 requires settings for pre assessment requirements</t>
  </si>
  <si>
    <t xml:space="preserve">TC-SCN-087-01</t>
  </si>
  <si>
    <t xml:space="preserve">8.4.2</t>
  </si>
  <si>
    <t xml:space="preserve">SCN-087</t>
  </si>
  <si>
    <t xml:space="preserve">Pre assessment survey sent</t>
  </si>
  <si>
    <t xml:space="preserve">Survey is sent automatically after the application</t>
  </si>
  <si>
    <t xml:space="preserve">The list or survey is sent after the application. Case: Survey is sent automatically after the application</t>
  </si>
  <si>
    <t xml:space="preserve">1. A course with a configured survey (ASM-01)</t>
  </si>
  <si>
    <t xml:space="preserve">Applicant: learner.test06</t>
  </si>
  <si>
    <t xml:space="preserve">1. Apply for a course with shortlisting
2. Check the applicant's email</t>
  </si>
  <si>
    <t xml:space="preserve">1. The System sends the list or survey of pre assessment requirements automatically</t>
  </si>
  <si>
    <t xml:space="preserve">Tender 8.4.2 (Enrolment, Sprint 2)</t>
  </si>
  <si>
    <t xml:space="preserve">CP-087</t>
  </si>
  <si>
    <t xml:space="preserve">ASM-21, ASM-30</t>
  </si>
  <si>
    <t xml:space="preserve">8.4.2 requires automated sending</t>
  </si>
  <si>
    <t xml:space="preserve">TC-SCN-088-01</t>
  </si>
  <si>
    <t xml:space="preserve">8.4.3</t>
  </si>
  <si>
    <t xml:space="preserve">SCN-088</t>
  </si>
  <si>
    <t xml:space="preserve">Interview scheduling</t>
  </si>
  <si>
    <t xml:space="preserve">Shortlisted applicant is scheduled and informed</t>
  </si>
  <si>
    <t xml:space="preserve">An interview is scheduled and communicated. Case: Shortlisted applicant is scheduled and informed</t>
  </si>
  <si>
    <t xml:space="preserve">1. A shortlisted applicant and a staff calendar exist (ASM-01)</t>
  </si>
  <si>
    <t xml:space="preserve">1. Shortlist an applicant
2. Schedule an online interview with a staff member
3. Check the applicant's email</t>
  </si>
  <si>
    <t xml:space="preserve">1. The interview is scheduled with the staff member
2. The System sends the applicant automatic communication about the interview</t>
  </si>
  <si>
    <t xml:space="preserve">Tender 8.4.3 (Enrolment, Sprint 2)</t>
  </si>
  <si>
    <t xml:space="preserve">CP-088</t>
  </si>
  <si>
    <t xml:space="preserve">8.4.3 requires scheduling and automatic communication</t>
  </si>
  <si>
    <t xml:space="preserve">TC-SCN-089-01</t>
  </si>
  <si>
    <t xml:space="preserve">8.5.1</t>
  </si>
  <si>
    <t xml:space="preserve">SCN-089</t>
  </si>
  <si>
    <t xml:space="preserve">Auto confirmation by capacity</t>
  </si>
  <si>
    <t xml:space="preserve">Application is confirmed automatically while seats remain</t>
  </si>
  <si>
    <t xml:space="preserve">An application is confirmed automatically while seats remain. Case: Application is confirmed automatically while seats remain</t>
  </si>
  <si>
    <t xml:space="preserve">1. A course run with 3 free seats (ASM-01)</t>
  </si>
  <si>
    <t xml:space="preserve">Seats: 3
Applicant: learner.test01</t>
  </si>
  <si>
    <t xml:space="preserve">1. Set a run with 3 seats and no registrations
2. Submit an application
3. Open the application status</t>
  </si>
  <si>
    <t xml:space="preserve">1. The application is confirmed automatically without Administrator action</t>
  </si>
  <si>
    <t xml:space="preserve">Tender 8.5.1 (Enrolment, Sprint 2)</t>
  </si>
  <si>
    <t xml:space="preserve">CP-089</t>
  </si>
  <si>
    <t xml:space="preserve">ASM-33</t>
  </si>
  <si>
    <t xml:space="preserve">8.5.1 mentions capacity based auto confirmation. The sentence is incomplete</t>
  </si>
  <si>
    <t xml:space="preserve">TC-SCN-089-02</t>
  </si>
  <si>
    <t xml:space="preserve">Application is not confirmed when no seat remains</t>
  </si>
  <si>
    <t xml:space="preserve">An application is confirmed automatically while seats remain. Case: Application is not confirmed when no seat remains</t>
  </si>
  <si>
    <t xml:space="preserve">1. A course run with 0 free seats (ASM-01)</t>
  </si>
  <si>
    <t xml:space="preserve">Seats: 0 free</t>
  </si>
  <si>
    <t xml:space="preserve">1. Fill all seats of a run
2. Submit one more application
3. Open its status</t>
  </si>
  <si>
    <t xml:space="preserve">1. The application is not confirmed automatically</t>
  </si>
  <si>
    <t xml:space="preserve">8.5.1 ties confirmation to capacity</t>
  </si>
  <si>
    <t xml:space="preserve">TC-SCN-090-01</t>
  </si>
  <si>
    <t xml:space="preserve">8.5.2</t>
  </si>
  <si>
    <t xml:space="preserve">SCN-090</t>
  </si>
  <si>
    <t xml:space="preserve">Parent to bite sized courses</t>
  </si>
  <si>
    <t xml:space="preserve">Enrolment in the parent course creates enrolments in the bite sized courses</t>
  </si>
  <si>
    <t xml:space="preserve">A learner enrolled in a parent course is enrolled in each bite sized course. Case: Enrolment in the parent course creates enrolments in the bite sized courses</t>
  </si>
  <si>
    <t xml:space="preserve">1. A parent course with three bite sized courses (ASM-01)</t>
  </si>
  <si>
    <t xml:space="preserve">Parent: Test Parent 01</t>
  </si>
  <si>
    <t xml:space="preserve">1. Enrol a learner in a parent course with three bite sized courses
2. Open the learner's enrolments</t>
  </si>
  <si>
    <t xml:space="preserve">1. The learner is registered and enrolled in each of the three bite sized courses without extra steps</t>
  </si>
  <si>
    <t xml:space="preserve">Tender 8.5.2 (Enrolment, Sprint 2)</t>
  </si>
  <si>
    <t xml:space="preserve">CP-090</t>
  </si>
  <si>
    <t xml:space="preserve">ASM-39</t>
  </si>
  <si>
    <t xml:space="preserve">8.5.2 requires automatic enrolment into the individual courses</t>
  </si>
  <si>
    <t xml:space="preserve">TC-SCN-091-01</t>
  </si>
  <si>
    <t xml:space="preserve">8.5.3</t>
  </si>
  <si>
    <t xml:space="preserve">SCN-091</t>
  </si>
  <si>
    <t xml:space="preserve">Waitlist on full class</t>
  </si>
  <si>
    <t xml:space="preserve">Applicant goes to the waitlist when the class is full</t>
  </si>
  <si>
    <t xml:space="preserve">A full class waitlists new applicants and notifies when seats open. Case: Applicant goes to the waitlist when the class is full</t>
  </si>
  <si>
    <t xml:space="preserve">1. A full course run with the waitlist on (ASM-01)</t>
  </si>
  <si>
    <t xml:space="preserve">Applicant: learner.test07</t>
  </si>
  <si>
    <t xml:space="preserve">1. The System places the applicant on the waitlist automatically</t>
  </si>
  <si>
    <t xml:space="preserve">Tender 8.5.3 (Enrolment, Sprint 2)</t>
  </si>
  <si>
    <t xml:space="preserve">CP-091</t>
  </si>
  <si>
    <t xml:space="preserve">8.5.3 requires automatic waitlisting when the class is full</t>
  </si>
  <si>
    <t xml:space="preserve">TC-SCN-091-02</t>
  </si>
  <si>
    <t xml:space="preserve">Waitlisted applicant is notified when a seat is free</t>
  </si>
  <si>
    <t xml:space="preserve">A full class waitlists new applicants and notifies when seats open. Case: Waitlisted applicant is notified when a seat is free</t>
  </si>
  <si>
    <t xml:space="preserve">1. A full run with one waitlisted applicant (ASM-01)</t>
  </si>
  <si>
    <t xml:space="preserve">1. Withdraw one confirmed learner from the full run
2. Check the email of the first waitlisted applicant</t>
  </si>
  <si>
    <t xml:space="preserve">1. The System notifies the candidate that a seat is available</t>
  </si>
  <si>
    <t xml:space="preserve">ASM-17, ASM-21</t>
  </si>
  <si>
    <t xml:space="preserve">8.5.3 requires notification when seats are available</t>
  </si>
  <si>
    <t xml:space="preserve">TC-SCN-091-03</t>
  </si>
  <si>
    <t xml:space="preserve">Waitlisted applicant is channelled to another course</t>
  </si>
  <si>
    <t xml:space="preserve">A full class waitlists new applicants and notifies when seats open. Case: Waitlisted applicant is channelled to another course</t>
  </si>
  <si>
    <t xml:space="preserve">1. A full run and another course with seats (ASM-01)</t>
  </si>
  <si>
    <t xml:space="preserve">1. Open the waitlisted application
2. Channel it to another course
3. Open the new registration</t>
  </si>
  <si>
    <t xml:space="preserve">1. The application is channelled to another course</t>
  </si>
  <si>
    <t xml:space="preserve">8.5.3 includes channelling to another course</t>
  </si>
  <si>
    <t xml:space="preserve">TC-SCN-092-01</t>
  </si>
  <si>
    <t xml:space="preserve">8.5.4</t>
  </si>
  <si>
    <t xml:space="preserve">SCN-092</t>
  </si>
  <si>
    <t xml:space="preserve">Customised letter of offer</t>
  </si>
  <si>
    <t xml:space="preserve">Letter of offer follows the School template</t>
  </si>
  <si>
    <t xml:space="preserve">A letter of offer differs by School. Case: Letter of offer follows the School template</t>
  </si>
  <si>
    <t xml:space="preserve">1. Two School templates exist (ASM-01)</t>
  </si>
  <si>
    <t xml:space="preserve">Schools: A and B</t>
  </si>
  <si>
    <t xml:space="preserve">1. Set a letter of offer template for School A and a different one for School B
2. Make an offer for a course of each School
3. Open both letters</t>
  </si>
  <si>
    <t xml:space="preserve">1. Each letter follows the template of its School</t>
  </si>
  <si>
    <t xml:space="preserve">Tender 8.5.4 (Enrolment, Sprint 2)</t>
  </si>
  <si>
    <t xml:space="preserve">CP-092</t>
  </si>
  <si>
    <t xml:space="preserve">ASM-34</t>
  </si>
  <si>
    <t xml:space="preserve">8.5.4 requires customisable letters per School</t>
  </si>
  <si>
    <t xml:space="preserve">TC-SCN-093-01</t>
  </si>
  <si>
    <t xml:space="preserve">8.5.5</t>
  </si>
  <si>
    <t xml:space="preserve">SCN-093</t>
  </si>
  <si>
    <t xml:space="preserve">Enrolment restrictions</t>
  </si>
  <si>
    <t xml:space="preserve">Age restriction stops an enrolment</t>
  </si>
  <si>
    <t xml:space="preserve">Each restriction stops an enrolment that does not meet it. Case: Age restriction stops an enrolment</t>
  </si>
  <si>
    <t xml:space="preserve">1. A course with an age restriction exists (ASM-01)</t>
  </si>
  <si>
    <t xml:space="preserve">Learner: age outside the limit</t>
  </si>
  <si>
    <t xml:space="preserve">1. Configure an age restriction on a course
2. Enrol a learner outside the allowed age
3. Observe the result</t>
  </si>
  <si>
    <t xml:space="preserve">1. The enrolment is stopped because of the age restriction</t>
  </si>
  <si>
    <t xml:space="preserve">Tender 8.5.5 (Enrolment, Sprint 2)</t>
  </si>
  <si>
    <t xml:space="preserve">CP-093</t>
  </si>
  <si>
    <t xml:space="preserve">ASM-35</t>
  </si>
  <si>
    <t xml:space="preserve">8.5.5 item 1 Age</t>
  </si>
  <si>
    <t xml:space="preserve">TC-SCN-093-02</t>
  </si>
  <si>
    <t xml:space="preserve">Prerequisite restriction stops an enrolment</t>
  </si>
  <si>
    <t xml:space="preserve">Each restriction stops an enrolment that does not meet it. Case: Prerequisite restriction stops an enrolment</t>
  </si>
  <si>
    <t xml:space="preserve">1. A course with a prerequisite exists (ASM-01)</t>
  </si>
  <si>
    <t xml:space="preserve">1. Configure a prerequisite on a course
2. Enrol a learner without it
3. Observe the result</t>
  </si>
  <si>
    <t xml:space="preserve">1. The enrolment is stopped because of the prerequisite</t>
  </si>
  <si>
    <t xml:space="preserve">8.5.5 item 2 Course and assessment prerequisites</t>
  </si>
  <si>
    <t xml:space="preserve">TC-SCN-093-03</t>
  </si>
  <si>
    <t xml:space="preserve">Penalty restriction stops an enrolment</t>
  </si>
  <si>
    <t xml:space="preserve">Each restriction stops an enrolment that does not meet it. Case: Penalty restriction stops an enrolment</t>
  </si>
  <si>
    <t xml:space="preserve">1. A learner with a penalty exists (ASM-01)</t>
  </si>
  <si>
    <t xml:space="preserve">Learner: learner.test08</t>
  </si>
  <si>
    <t xml:space="preserve">1. Record a penalty on a learner
2. Enrol the learner
3. Observe the result</t>
  </si>
  <si>
    <t xml:space="preserve">1. The enrolment is stopped because of the penalty</t>
  </si>
  <si>
    <t xml:space="preserve">ASM-35, ASM-38</t>
  </si>
  <si>
    <t xml:space="preserve">8.5.5 item 3 Penalty</t>
  </si>
  <si>
    <t xml:space="preserve">TC-SCN-093-04</t>
  </si>
  <si>
    <t xml:space="preserve">Capacity restriction stops an enrolment</t>
  </si>
  <si>
    <t xml:space="preserve">Each restriction stops an enrolment that does not meet it. Case: Capacity restriction stops an enrolment</t>
  </si>
  <si>
    <t xml:space="preserve">1. A course with capacity 2 exists (ASM-01)</t>
  </si>
  <si>
    <t xml:space="preserve">Capacity: 2
Learners: 3</t>
  </si>
  <si>
    <t xml:space="preserve">1. Configure a capacity on a course
2. Enrol learners up to the capacity and one more
3. Observe the result</t>
  </si>
  <si>
    <t xml:space="preserve">1. The enrolment over capacity is stopped</t>
  </si>
  <si>
    <t xml:space="preserve">8.5.5 item 4 Capacity</t>
  </si>
  <si>
    <t xml:space="preserve">TC-SCN-094-01</t>
  </si>
  <si>
    <t xml:space="preserve">8.5.6</t>
  </si>
  <si>
    <t xml:space="preserve">SCN-094</t>
  </si>
  <si>
    <t xml:space="preserve">Ad hoc enrolment</t>
  </si>
  <si>
    <t xml:space="preserve">Administrator enrols a self sponsored learner ad hoc</t>
  </si>
  <si>
    <t xml:space="preserve">The Administrator enrols a learner by exception. Case: Administrator enrols a self sponsored learner ad hoc</t>
  </si>
  <si>
    <t xml:space="preserve">1. A learner and an open course exist (ASM-01)</t>
  </si>
  <si>
    <t xml:space="preserve">Learner: learner.test09</t>
  </si>
  <si>
    <t xml:space="preserve">1. Sign in as Course Administrator
2. Open ad hoc enrolment
3. Enrol a self sponsored learner into a course
4. Open the enrolment</t>
  </si>
  <si>
    <t xml:space="preserve">1. The learner is enrolled by the Administrator</t>
  </si>
  <si>
    <t xml:space="preserve">Tender 8.5.6 (Enrolment, Sprint 2)</t>
  </si>
  <si>
    <t xml:space="preserve">CP-094</t>
  </si>
  <si>
    <t xml:space="preserve">8.5.6 requires ad hoc enrolment for self sponsored learners</t>
  </si>
  <si>
    <t xml:space="preserve">TC-SCN-094-02</t>
  </si>
  <si>
    <t xml:space="preserve">Administrator enrols a corporate sponsored learner ad hoc</t>
  </si>
  <si>
    <t xml:space="preserve">The Administrator enrols a learner by exception. Case: Administrator enrols a corporate sponsored learner ad hoc</t>
  </si>
  <si>
    <t xml:space="preserve">1. A corporate sponsored learner exists (ASM-01)</t>
  </si>
  <si>
    <t xml:space="preserve">Learner: corporate learner 01</t>
  </si>
  <si>
    <t xml:space="preserve">1. Open ad hoc enrolment
2. Enrol a corporate sponsored learner
3. Open the enrolment</t>
  </si>
  <si>
    <t xml:space="preserve">1. The learner is enrolled with the corporate sponsor</t>
  </si>
  <si>
    <t xml:space="preserve">8.5.6 requires ad hoc enrolment for corporate sponsored learners</t>
  </si>
  <si>
    <t xml:space="preserve">TC-SCN-095-01</t>
  </si>
  <si>
    <t xml:space="preserve">8.5.7</t>
  </si>
  <si>
    <t xml:space="preserve">SCN-095</t>
  </si>
  <si>
    <t xml:space="preserve">Waitlist limit</t>
  </si>
  <si>
    <t xml:space="preserve">Registration closes when the waitlist is full</t>
  </si>
  <si>
    <t xml:space="preserve">The waitlist has a limit and then registration closes. Case: Registration closes when the waitlist is full</t>
  </si>
  <si>
    <t xml:space="preserve">1. A full run with a waitlist limit of 2 (ASM-01)</t>
  </si>
  <si>
    <t xml:space="preserve">Waitlist limit: 2</t>
  </si>
  <si>
    <t xml:space="preserve">1. Set a waitlist limit of 2 on a full run
2. Add 2 applicants to the waitlist
3. Try to register a third applicant</t>
  </si>
  <si>
    <t xml:space="preserve">1. The registration of the course closes automatically after the waitlist is full
2. The third applicant cannot register</t>
  </si>
  <si>
    <t xml:space="preserve">Tender 8.5.7 (Enrolment, Sprint 2)</t>
  </si>
  <si>
    <t xml:space="preserve">CP-095</t>
  </si>
  <si>
    <t xml:space="preserve">8.5.7 requires automatic closing when the waitlist is full</t>
  </si>
  <si>
    <t xml:space="preserve">TC-SCN-095-02</t>
  </si>
  <si>
    <t xml:space="preserve">Registration stays open below the waitlist limit</t>
  </si>
  <si>
    <t xml:space="preserve">The waitlist has a limit and then registration closes. Case: Registration stays open below the waitlist limit</t>
  </si>
  <si>
    <t xml:space="preserve">1. Set a waitlist limit of 2 on a full run
2. Add 1 applicant to the waitlist
3. Register a second applicant</t>
  </si>
  <si>
    <t xml:space="preserve">1. The second applicant is added to the waitlist
2. Registration stays open</t>
  </si>
  <si>
    <t xml:space="preserve">8.5.7 closes only when the waitlist is full</t>
  </si>
  <si>
    <t xml:space="preserve">TC-SCN-096-01</t>
  </si>
  <si>
    <t xml:space="preserve">8.5.8</t>
  </si>
  <si>
    <t xml:space="preserve">SCN-096</t>
  </si>
  <si>
    <t xml:space="preserve">Withdraw, replace or transfer</t>
  </si>
  <si>
    <t xml:space="preserve">Learner withdraws within the period with a reason</t>
  </si>
  <si>
    <t xml:space="preserve">A learner changes the enrolment within the period. Case: Learner withdraws within the period with a reason</t>
  </si>
  <si>
    <t xml:space="preserve">1. An enrolled learner and an open withdrawal period (ASM-01)</t>
  </si>
  <si>
    <t xml:space="preserve">Reason: schedule conflict</t>
  </si>
  <si>
    <t xml:space="preserve">1. Sign in as an enrolled learner
2. Open the withdrawal
3. Enter a reason in the remark field
4. Submit within the period
5. Open the enrolment</t>
  </si>
  <si>
    <t xml:space="preserve">1. The withdrawal is accepted
2. The remark is saved</t>
  </si>
  <si>
    <t xml:space="preserve">Tender 8.5.8 (Enrolment, Sprint 2)</t>
  </si>
  <si>
    <t xml:space="preserve">CP-096</t>
  </si>
  <si>
    <t xml:space="preserve">ASM-36</t>
  </si>
  <si>
    <t xml:space="preserve">8.5.8 requires a remark field and a period</t>
  </si>
  <si>
    <t xml:space="preserve">TC-SCN-096-02</t>
  </si>
  <si>
    <t xml:space="preserve">Withdrawal after the period is not accepted</t>
  </si>
  <si>
    <t xml:space="preserve">A learner changes the enrolment within the period. Case: Withdrawal after the period is not accepted</t>
  </si>
  <si>
    <t xml:space="preserve">1. An enrolled learner and a closed period (ASM-01)</t>
  </si>
  <si>
    <t xml:space="preserve">Date: one day after the period</t>
  </si>
  <si>
    <t xml:space="preserve">1. Open the withdrawal after the last day of the specified period
2. Submit</t>
  </si>
  <si>
    <t xml:space="preserve">1. The withdrawal is not accepted</t>
  </si>
  <si>
    <t xml:space="preserve">8.5.8 limits the action to the specified period</t>
  </si>
  <si>
    <t xml:space="preserve">TC-SCN-096-03</t>
  </si>
  <si>
    <t xml:space="preserve">Transferred learner particulars follow to the new schedule</t>
  </si>
  <si>
    <t xml:space="preserve">A learner changes the enrolment within the period. Case: Transferred learner particulars follow to the new schedule</t>
  </si>
  <si>
    <t xml:space="preserve">1. An enrolled learner and a second schedule exist (ASM-01)</t>
  </si>
  <si>
    <t xml:space="preserve">1. Transfer an enrolled learner to another schedule
2. Open the learner in the new schedule</t>
  </si>
  <si>
    <t xml:space="preserve">1. The learner's particulars are included in the new schedule automatically</t>
  </si>
  <si>
    <t xml:space="preserve">8.5.8 second sentence requires the particulars to be included automatically</t>
  </si>
  <si>
    <t xml:space="preserve">TC-SCN-097-01</t>
  </si>
  <si>
    <t xml:space="preserve">8.5.9</t>
  </si>
  <si>
    <t xml:space="preserve">SCN-097</t>
  </si>
  <si>
    <t xml:space="preserve">Reassign after withdrawal or reschedule</t>
  </si>
  <si>
    <t xml:space="preserve">Approved reschedule assigns the learner to a new class</t>
  </si>
  <si>
    <t xml:space="preserve">An approved reschedule moves the learner to another class. Case: Approved reschedule assigns the learner to a new class</t>
  </si>
  <si>
    <t xml:space="preserve">1. A learner and a second class exist (ASM-01)</t>
  </si>
  <si>
    <t xml:space="preserve">1. Submit a reschedule request
2. Approve it as the authorising user
3. Open the learner's class</t>
  </si>
  <si>
    <t xml:space="preserve">1. The learner is assigned to the different class only after approval</t>
  </si>
  <si>
    <t xml:space="preserve">Tender 8.5.9 (Enrolment, Sprint 2)</t>
  </si>
  <si>
    <t xml:space="preserve">CP-097</t>
  </si>
  <si>
    <t xml:space="preserve">8.5.9 requires assignment subject to approval</t>
  </si>
  <si>
    <t xml:space="preserve">TC-SCN-097-02</t>
  </si>
  <si>
    <t xml:space="preserve">Unapproved reschedule does not move the learner</t>
  </si>
  <si>
    <t xml:space="preserve">An approved reschedule moves the learner to another class. Case: Unapproved reschedule does not move the learner</t>
  </si>
  <si>
    <t xml:space="preserve">1. Submit a reschedule request
2. Do not approve it
3. Open the learner's class</t>
  </si>
  <si>
    <t xml:space="preserve">1. The learner stays in the original class</t>
  </si>
  <si>
    <t xml:space="preserve">8.5.9 says subject to approval</t>
  </si>
  <si>
    <t xml:space="preserve">TC-SCN-098-01</t>
  </si>
  <si>
    <t xml:space="preserve">8.5.10</t>
  </si>
  <si>
    <t xml:space="preserve">SCN-098</t>
  </si>
  <si>
    <t xml:space="preserve">Deferment</t>
  </si>
  <si>
    <t xml:space="preserve">Approved deferment is tracked</t>
  </si>
  <si>
    <t xml:space="preserve">A deferment needs approval and is tracked. Case: Approved deferment is tracked</t>
  </si>
  <si>
    <t xml:space="preserve">1. Submit a deferment request
2. Approve it as the authorising department
3. Open the deferment tracking list</t>
  </si>
  <si>
    <t xml:space="preserve">1. The deferment is approved and tracked</t>
  </si>
  <si>
    <t xml:space="preserve">Tender 8.5.10 (Enrolment, Sprint 2)</t>
  </si>
  <si>
    <t xml:space="preserve">CP-098</t>
  </si>
  <si>
    <t xml:space="preserve">8.5.10 requires approval and tracking</t>
  </si>
  <si>
    <t xml:space="preserve">TC-SCN-098-02</t>
  </si>
  <si>
    <t xml:space="preserve">Deferment without approval is not applied</t>
  </si>
  <si>
    <t xml:space="preserve">A deferment needs approval and is tracked. Case: Deferment without approval is not applied</t>
  </si>
  <si>
    <t xml:space="preserve">1. Submit a deferment request
2. Do not approve
3. Open the enrolment</t>
  </si>
  <si>
    <t xml:space="preserve">1. The enrolment is not changed before approval</t>
  </si>
  <si>
    <t xml:space="preserve">8.5.10 says subject to approval</t>
  </si>
  <si>
    <t xml:space="preserve">TC-SCN-099-01</t>
  </si>
  <si>
    <t xml:space="preserve">8.5.11</t>
  </si>
  <si>
    <t xml:space="preserve">SCN-099</t>
  </si>
  <si>
    <t xml:space="preserve">Account for the LMS</t>
  </si>
  <si>
    <t xml:space="preserve">Credit bearing enrolment creates a student account</t>
  </si>
  <si>
    <t xml:space="preserve">A learner enrolled successfully gets an account. Case: Credit bearing enrolment creates a student account</t>
  </si>
  <si>
    <t xml:space="preserve">1. A credit bearing course and a learner exist (ASM-01)</t>
  </si>
  <si>
    <t xml:space="preserve">Course: Semester Long Test 01</t>
  </si>
  <si>
    <t xml:space="preserve">1. Enrol a learner in a credit bearing course
2. Open the learner's accounts</t>
  </si>
  <si>
    <t xml:space="preserve">1. A student account is created automatically</t>
  </si>
  <si>
    <t xml:space="preserve">Tender 8.5.11 (Enrolment, Sprint 3)</t>
  </si>
  <si>
    <t xml:space="preserve">CP-099</t>
  </si>
  <si>
    <t xml:space="preserve">ASM-37</t>
  </si>
  <si>
    <t xml:space="preserve">8.5.11 requires a student account for credit bearing courses</t>
  </si>
  <si>
    <t xml:space="preserve">TC-SCN-099-02</t>
  </si>
  <si>
    <t xml:space="preserve">Non credit bearing enrolment creates an associate account</t>
  </si>
  <si>
    <t xml:space="preserve">A learner enrolled successfully gets an account. Case: Non credit bearing enrolment creates an associate account</t>
  </si>
  <si>
    <t xml:space="preserve">1. A non credit bearing course and a learner exist (ASM-01)</t>
  </si>
  <si>
    <t xml:space="preserve">Course: Short Course Test 01</t>
  </si>
  <si>
    <t xml:space="preserve">1. Enrol a learner in a non credit bearing course
2. Open the learner's accounts</t>
  </si>
  <si>
    <t xml:space="preserve">1. An associate account is created automatically</t>
  </si>
  <si>
    <t xml:space="preserve">8.5.11 requires an associate account for non credit bearing courses</t>
  </si>
  <si>
    <t xml:space="preserve">TC-SCN-100-01</t>
  </si>
  <si>
    <t xml:space="preserve">8.5.12</t>
  </si>
  <si>
    <t xml:space="preserve">SCN-100</t>
  </si>
  <si>
    <t xml:space="preserve">Student Management System integration</t>
  </si>
  <si>
    <t xml:space="preserve">Credit bearing enrolment is sent to the Student Management System</t>
  </si>
  <si>
    <t xml:space="preserve">Enrolment, scoring and result viewing go through the Student Management System. Case: Credit bearing enrolment is sent to the Student Management System</t>
  </si>
  <si>
    <t xml:space="preserve">1. A credit bearing enrolment exists (ASM-01)</t>
  </si>
  <si>
    <t xml:space="preserve">1. Enrol a learner in a credit bearing course
2. Check the Student Management System test endpoint</t>
  </si>
  <si>
    <t xml:space="preserve">1. The enrolment is available in the Student Management System</t>
  </si>
  <si>
    <t xml:space="preserve">Tender 8.5.12 (Enrolment, Sprint 3)</t>
  </si>
  <si>
    <t xml:space="preserve">CP-100</t>
  </si>
  <si>
    <t xml:space="preserve">8.5.12 requires integration for programme course enrolment</t>
  </si>
  <si>
    <t xml:space="preserve">TC-SCN-100-02</t>
  </si>
  <si>
    <t xml:space="preserve">Learner appeals a course result</t>
  </si>
  <si>
    <t xml:space="preserve">Enrolment, scoring and result viewing go through the Student Management System. Case: Learner appeals a course result</t>
  </si>
  <si>
    <t xml:space="preserve">1. A learner with a published result exists (ASM-01)</t>
  </si>
  <si>
    <t xml:space="preserve">1. Sign in as a learner with a result
2. Open the appeal
3. Submit an appeal to the School</t>
  </si>
  <si>
    <t xml:space="preserve">1. The appeal is created and sent to the School</t>
  </si>
  <si>
    <t xml:space="preserve">8.5.12 allows learners to appeal course results</t>
  </si>
  <si>
    <t xml:space="preserve">TC-SCN-101-01</t>
  </si>
  <si>
    <t xml:space="preserve">8.5.13</t>
  </si>
  <si>
    <t xml:space="preserve">SCN-101</t>
  </si>
  <si>
    <t xml:space="preserve">Matriculation data</t>
  </si>
  <si>
    <t xml:space="preserve">Matriculation number is created and the data is sent</t>
  </si>
  <si>
    <t xml:space="preserve">A new credit bearing learner gets a matriculation number and the data is sent. Case: Matriculation number is created and the data is sent</t>
  </si>
  <si>
    <t xml:space="preserve">1. A new learner and a credit bearing course exist (ASM-01)</t>
  </si>
  <si>
    <t xml:space="preserve">1. Enrol a new learner in a credit bearing course
2. Open the learner
3. Check the data received by the Student Management System test endpoint</t>
  </si>
  <si>
    <t xml:space="preserve">1. A student matriculation number is created automatically
2. The Student Management System receives personal data, matriculation number, course code, student type, admission year offer, admission year actual and admission semester</t>
  </si>
  <si>
    <t xml:space="preserve">Tender 8.5.13 (Enrolment, Sprint 3)</t>
  </si>
  <si>
    <t xml:space="preserve">CP-101</t>
  </si>
  <si>
    <t xml:space="preserve">8.5.13 lists the data to send as such as but not limited to</t>
  </si>
  <si>
    <t xml:space="preserve">TC-SCN-102-01</t>
  </si>
  <si>
    <t xml:space="preserve">8.5.14</t>
  </si>
  <si>
    <t xml:space="preserve">SCN-102</t>
  </si>
  <si>
    <t xml:space="preserve">Course registration data</t>
  </si>
  <si>
    <t xml:space="preserve">Registration data is sent using the course index</t>
  </si>
  <si>
    <t xml:space="preserve">The registration data is sent with the course index. Case: Registration data is sent using the course index</t>
  </si>
  <si>
    <t xml:space="preserve">1. A learner with a matriculation number exists (ASM-01)</t>
  </si>
  <si>
    <t xml:space="preserve">Course index: Test Index 01</t>
  </si>
  <si>
    <t xml:space="preserve">1. Enrol a learner with a matriculation number
2. Check the data received by the Student Management System test endpoint</t>
  </si>
  <si>
    <t xml:space="preserve">1. The Student Management System receives academic year, semester, matriculation number, index number, programme code and user ID using the course index</t>
  </si>
  <si>
    <t xml:space="preserve">Tender 8.5.14 (Enrolment, Sprint 3)</t>
  </si>
  <si>
    <t xml:space="preserve">CP-102</t>
  </si>
  <si>
    <t xml:space="preserve">8.5.14 lists the data to send</t>
  </si>
  <si>
    <t xml:space="preserve">TC-SCN-103-01</t>
  </si>
  <si>
    <t xml:space="preserve">8.5.15</t>
  </si>
  <si>
    <t xml:space="preserve">SCN-103</t>
  </si>
  <si>
    <t xml:space="preserve">Park and post</t>
  </si>
  <si>
    <t xml:space="preserve">Verify park and post and the independent review workflow</t>
  </si>
  <si>
    <t xml:space="preserve">Park and post is described only by its name. Case: Verify park and post and the independent review workflow</t>
  </si>
  <si>
    <t xml:space="preserve">Tender 8.5.15 (Enrolment, Sprint Unscheduled)</t>
  </si>
  <si>
    <t xml:space="preserve">CP-103</t>
  </si>
  <si>
    <t xml:space="preserve">The Tender names park and post but gives no steps, roles or expected result and has no Sprint #</t>
  </si>
  <si>
    <t xml:space="preserve">TC-SCN-104-01</t>
  </si>
  <si>
    <t xml:space="preserve">8.5.16</t>
  </si>
  <si>
    <t xml:space="preserve">SCN-104</t>
  </si>
  <si>
    <t xml:space="preserve">Enrolment to TPGateway</t>
  </si>
  <si>
    <t xml:space="preserve">Confirmed enrolment is sent to TPGateway automatically</t>
  </si>
  <si>
    <t xml:space="preserve">A confirmed enrolment is sent to TPGateway. Case: Confirmed enrolment is sent to TPGateway automatically</t>
  </si>
  <si>
    <t xml:space="preserve">1. A confirmed enrolment and a TPGateway test endpoint exist (ASM-01)</t>
  </si>
  <si>
    <t xml:space="preserve">Enrolment: Test Run 01</t>
  </si>
  <si>
    <t xml:space="preserve">1. Confirm an enrolment for an SSG funded course
2. Wait for the interface run
3. Check the TPGateway test endpoint</t>
  </si>
  <si>
    <t xml:space="preserve">1. The enrolment is sent to TPGateway automatically without manual action</t>
  </si>
  <si>
    <t xml:space="preserve">Tender 8.5.16 (Enrolment, Sprint 2)</t>
  </si>
  <si>
    <t xml:space="preserve">CP-104</t>
  </si>
  <si>
    <t xml:space="preserve">8.5.16 requires the automatic interface of enrolments</t>
  </si>
  <si>
    <t xml:space="preserve">TC-SCN-104-02</t>
  </si>
  <si>
    <t xml:space="preserve">Interface failure is not silent</t>
  </si>
  <si>
    <t xml:space="preserve">A confirmed enrolment is sent to TPGateway. Case: Interface failure is not silent</t>
  </si>
  <si>
    <t xml:space="preserve">1. TPGateway test endpoint is off (ASM-01)</t>
  </si>
  <si>
    <t xml:space="preserve">Enrolment: Test Run 02</t>
  </si>
  <si>
    <t xml:space="preserve">1. Switch the TPGateway test endpoint off
2. Confirm an enrolment
3. Check the interface log and the enrolment</t>
  </si>
  <si>
    <t xml:space="preserve">1. The failure is logged
2. The enrolment is not lost and can be sent again</t>
  </si>
  <si>
    <t xml:space="preserve">8.5.16 requires an automatic interface. A failure must not lose the enrolment. The Tender does not say so</t>
  </si>
  <si>
    <t xml:space="preserve">TC-SCN-105-01</t>
  </si>
  <si>
    <t xml:space="preserve">8.6.1</t>
  </si>
  <si>
    <t xml:space="preserve">SCN-105</t>
  </si>
  <si>
    <t xml:space="preserve">Blacklist and screening</t>
  </si>
  <si>
    <t xml:space="preserve">Individual on the blacklist is screened at registration</t>
  </si>
  <si>
    <t xml:space="preserve">Registrations are screened against the blacklists and suspensions. Case: Individual on the blacklist is screened at registration</t>
  </si>
  <si>
    <t xml:space="preserve">1. A blacklisted person exists (ASM-01)</t>
  </si>
  <si>
    <t xml:space="preserve">Person: blacklisted person 01</t>
  </si>
  <si>
    <t xml:space="preserve">1. Blacklist a person
2. Register the person
3. Observe the result</t>
  </si>
  <si>
    <t xml:space="preserve">1. The registration is screened and the person is flagged as blacklisted</t>
  </si>
  <si>
    <t xml:space="preserve">Tender 8.6.1 (Enrolment, Sprint 3)</t>
  </si>
  <si>
    <t xml:space="preserve">CP-105</t>
  </si>
  <si>
    <t xml:space="preserve">ASM-38</t>
  </si>
  <si>
    <t xml:space="preserve">8.6.1 item 1 Blacklist individual</t>
  </si>
  <si>
    <t xml:space="preserve">TC-SCN-105-02</t>
  </si>
  <si>
    <t xml:space="preserve">Organisation on the blacklist is screened</t>
  </si>
  <si>
    <t xml:space="preserve">Registrations are screened against the blacklists and suspensions. Case: Organisation on the blacklist is screened</t>
  </si>
  <si>
    <t xml:space="preserve">1. A blacklisted organisation exists (ASM-01)</t>
  </si>
  <si>
    <t xml:space="preserve">Organisation: Blacklisted Company 01</t>
  </si>
  <si>
    <t xml:space="preserve">1. Blacklist an organisation
2. Register a learner sponsored by it
3. Observe the result</t>
  </si>
  <si>
    <t xml:space="preserve">1. The registration is screened and flagged</t>
  </si>
  <si>
    <t xml:space="preserve">8.6.1 item 2 Blacklist organisations</t>
  </si>
  <si>
    <t xml:space="preserve">TC-SCN-105-03</t>
  </si>
  <si>
    <t xml:space="preserve">Suspended trainee is screened</t>
  </si>
  <si>
    <t xml:space="preserve">Registrations are screened against the blacklists and suspensions. Case: Suspended trainee is screened</t>
  </si>
  <si>
    <t xml:space="preserve">1. A suspended trainee exists (ASM-01)</t>
  </si>
  <si>
    <t xml:space="preserve">Person: suspended trainee 01</t>
  </si>
  <si>
    <t xml:space="preserve">1. Record an SSG trainee suspension
2. Register the person for a walk in or open access course
3. Observe the result</t>
  </si>
  <si>
    <t xml:space="preserve">1. The registration is screened against the suspension</t>
  </si>
  <si>
    <t xml:space="preserve">8.6.1 item 3 suspensions</t>
  </si>
  <si>
    <t xml:space="preserve">TC-SCN-105-04</t>
  </si>
  <si>
    <t xml:space="preserve">Learner with a written off fee is flagged on a new sign up</t>
  </si>
  <si>
    <t xml:space="preserve">Registrations are screened against the blacklists and suspensions. Case: Learner with a written off fee is flagged on a new sign up</t>
  </si>
  <si>
    <t xml:space="preserve">1. A learner with a written off fee exists (ASM-01)</t>
  </si>
  <si>
    <t xml:space="preserve">Learner: learner.test10</t>
  </si>
  <si>
    <t xml:space="preserve">1. Write off the fee of a past course of a learner
2. Sign the learner up for a new course</t>
  </si>
  <si>
    <t xml:space="preserve">1. The System stores the history and flags or prompts the staff about the earlier write off</t>
  </si>
  <si>
    <t xml:space="preserve">8.6.1 item 4 history of written off fees</t>
  </si>
  <si>
    <t xml:space="preserve">TC-SCN-106-01</t>
  </si>
  <si>
    <t xml:space="preserve">8.6.2</t>
  </si>
  <si>
    <t xml:space="preserve">SCN-106</t>
  </si>
  <si>
    <t xml:space="preserve">Blacklist sync</t>
  </si>
  <si>
    <t xml:space="preserve">SSG blacklist record reaches the System</t>
  </si>
  <si>
    <t xml:space="preserve">Blacklists from SSG and finance records are in sync. Case: SSG blacklist record reaches the System</t>
  </si>
  <si>
    <t xml:space="preserve">1. An SSG test blacklist source exists (ASM-01)</t>
  </si>
  <si>
    <t xml:space="preserve">Company: Blacklisted Company 02</t>
  </si>
  <si>
    <t xml:space="preserve">1. Add a record to the SSG blacklist test source
2. Run the sync
3. Search the System for the record</t>
  </si>
  <si>
    <t xml:space="preserve">1. The System holds the SSG blacklist record after the sync</t>
  </si>
  <si>
    <t xml:space="preserve">Tender 8.6.2 (Enrolment, Sprint 3)</t>
  </si>
  <si>
    <t xml:space="preserve">CP-106</t>
  </si>
  <si>
    <t xml:space="preserve">8.6.2 requires syncing with the SSG blacklist</t>
  </si>
  <si>
    <t xml:space="preserve">TC-SCN-106-02</t>
  </si>
  <si>
    <t xml:space="preserve">Company with unpaid fees is blacklisted for CET courses</t>
  </si>
  <si>
    <t xml:space="preserve">Blacklists from SSG and finance records are in sync. Case: Company with unpaid fees is blacklisted for CET courses</t>
  </si>
  <si>
    <t xml:space="preserve">1. A company with unpaid fee records exists (ASM-01)</t>
  </si>
  <si>
    <t xml:space="preserve">Company: Blacklisted Company 03</t>
  </si>
  <si>
    <t xml:space="preserve">1. Set unpaid fee records for a company
2. Run the sync
3. Register a learner of the company</t>
  </si>
  <si>
    <t xml:space="preserve">1. The System recognises the company as blacklisted because of earlier non payment</t>
  </si>
  <si>
    <t xml:space="preserve">8.6.2 uses finance payment records for company sponsored applicants</t>
  </si>
  <si>
    <t xml:space="preserve">TC-SCN-107-01</t>
  </si>
  <si>
    <t xml:space="preserve">8.7.1</t>
  </si>
  <si>
    <t xml:space="preserve">SCN-107</t>
  </si>
  <si>
    <t xml:space="preserve">Staff tracking and cap</t>
  </si>
  <si>
    <t xml:space="preserve">Staff registration is tracked automatically</t>
  </si>
  <si>
    <t xml:space="preserve">Staff registrations are tracked against the configured cap. Case: Staff registration is tracked automatically</t>
  </si>
  <si>
    <t xml:space="preserve">1. A staff member and a course (ASM-01)</t>
  </si>
  <si>
    <t xml:space="preserve">1. Register a Training provider staff member for an SSG funded course sponsored by the provider
2. Open the tracking list</t>
  </si>
  <si>
    <t xml:space="preserve">1. The registration is tracked automatically</t>
  </si>
  <si>
    <t xml:space="preserve">Tender 8.7.1 (Funding, Sprint 3)</t>
  </si>
  <si>
    <t xml:space="preserve">CP-107</t>
  </si>
  <si>
    <t xml:space="preserve">8.7.1 first sentence</t>
  </si>
  <si>
    <t xml:space="preserve">TC-SCN-107-02</t>
  </si>
  <si>
    <t xml:space="preserve">Cap is configured by percentage</t>
  </si>
  <si>
    <t xml:space="preserve">Staff registrations are tracked against the configured cap. Case: Cap is configured by percentage</t>
  </si>
  <si>
    <t xml:space="preserve">1. An assigned Administrator (ASM-01)</t>
  </si>
  <si>
    <t xml:space="preserve">Cap: 5 percent</t>
  </si>
  <si>
    <t xml:space="preserve">1. Sign in as the assigned Administrator
2. Set the cap to 5 percent
3. Save
4. Reopen it</t>
  </si>
  <si>
    <t xml:space="preserve">1. The cap is saved as 5 percent</t>
  </si>
  <si>
    <t xml:space="preserve">8.7.1 allows percentage</t>
  </si>
  <si>
    <t xml:space="preserve">TC-SCN-107-03</t>
  </si>
  <si>
    <t xml:space="preserve">Cap is configured by a pre defined number</t>
  </si>
  <si>
    <t xml:space="preserve">Staff registrations are tracked against the configured cap. Case: Cap is configured by a pre defined number</t>
  </si>
  <si>
    <t xml:space="preserve">Cap: 3 places</t>
  </si>
  <si>
    <t xml:space="preserve">1. Set the cap to 3 places
2. Save
3. Reopen it</t>
  </si>
  <si>
    <t xml:space="preserve">1. The cap is saved as 3</t>
  </si>
  <si>
    <t xml:space="preserve">8.7.1 allows a number</t>
  </si>
  <si>
    <t xml:space="preserve">TC-SCN-107-04</t>
  </si>
  <si>
    <t xml:space="preserve">Staff registration after the cap is reached is flagged</t>
  </si>
  <si>
    <t xml:space="preserve">Staff registrations are tracked against the configured cap. Case: Staff registration after the cap is reached is flagged</t>
  </si>
  <si>
    <t xml:space="preserve">1. A cap of 3 (ASM-01)</t>
  </si>
  <si>
    <t xml:space="preserve">Staff registrations: 4</t>
  </si>
  <si>
    <t xml:space="preserve">1. Set the cap to 3
2. Register 3 staff
3. Register a fourth staff member
4. Open the tracking list</t>
  </si>
  <si>
    <t xml:space="preserve">1. The fourth registration is flagged for the Administrator</t>
  </si>
  <si>
    <t xml:space="preserve">ASM-66, ASM-78</t>
  </si>
  <si>
    <t xml:space="preserve">8.7.1 configures a cap. The effect at the cap is assumed</t>
  </si>
  <si>
    <t xml:space="preserve">TC-SCN-108-01</t>
  </si>
  <si>
    <t xml:space="preserve">8.8.1</t>
  </si>
  <si>
    <t xml:space="preserve">SCN-108</t>
  </si>
  <si>
    <t xml:space="preserve">Course switching</t>
  </si>
  <si>
    <t xml:space="preserve">Learner transfers to another session and the fee report is generated</t>
  </si>
  <si>
    <t xml:space="preserve">A learner switches and a fee adjustment report is produced. Case: Learner transfers to another session and the fee report is generated</t>
  </si>
  <si>
    <t xml:space="preserve">1. An enrolled learner and a second session exist (ASM-01)</t>
  </si>
  <si>
    <t xml:space="preserve">1. Sign in as an enrolled learner
2. Transfer to another session online
3. Sign in as Finance
4. Open the fee adjustment report</t>
  </si>
  <si>
    <t xml:space="preserve">1. The transfer is done online
2. A report for the fee adjustment for FIN is generated</t>
  </si>
  <si>
    <t xml:space="preserve">Tender 8.8.1 (Enrolment, Sprint 3)</t>
  </si>
  <si>
    <t xml:space="preserve">CP-108</t>
  </si>
  <si>
    <t xml:space="preserve">ASM-81</t>
  </si>
  <si>
    <t xml:space="preserve">8.8.1 requires online transfer and a fee adjustment report. The report content is not described</t>
  </si>
  <si>
    <t xml:space="preserve">TC-SCN-109-01</t>
  </si>
  <si>
    <t xml:space="preserve">8.8.2</t>
  </si>
  <si>
    <t xml:space="preserve">SCN-109</t>
  </si>
  <si>
    <t xml:space="preserve">Prerequisite advisory</t>
  </si>
  <si>
    <t xml:space="preserve">Advisory is shown at registration</t>
  </si>
  <si>
    <t xml:space="preserve">The prerequisite check runs at registration and at a switch. Case: Advisory is shown at registration</t>
  </si>
  <si>
    <t xml:space="preserve">1. Register a learner without the prerequisite
2. Observe the page</t>
  </si>
  <si>
    <t xml:space="preserve">1. The System performs the prerequisite check automatically and shows advisory information to the learner</t>
  </si>
  <si>
    <t xml:space="preserve">Tender 8.8.2 (Enrolment, Sprint 3)</t>
  </si>
  <si>
    <t xml:space="preserve">CP-109</t>
  </si>
  <si>
    <t xml:space="preserve">8.8.2 requires the automatic check and advisory at registration</t>
  </si>
  <si>
    <t xml:space="preserve">TC-SCN-109-02</t>
  </si>
  <si>
    <t xml:space="preserve">Advisory is shown at a course switch</t>
  </si>
  <si>
    <t xml:space="preserve">The prerequisite check runs at registration and at a switch. Case: Advisory is shown at a course switch</t>
  </si>
  <si>
    <t xml:space="preserve">1. A learner and a course with a prerequisite exist (ASM-01)</t>
  </si>
  <si>
    <t xml:space="preserve">1. Start a course switch to a course the learner does not qualify for
2. Observe the page</t>
  </si>
  <si>
    <t xml:space="preserve">1. The System performs the prerequisite check and shows advisory information</t>
  </si>
  <si>
    <t xml:space="preserve">8.8.2 requires the check at registration or switch</t>
  </si>
  <si>
    <t xml:space="preserve">TC-SCN-110-01</t>
  </si>
  <si>
    <t xml:space="preserve">9.1.1</t>
  </si>
  <si>
    <t xml:space="preserve">SCN-110</t>
  </si>
  <si>
    <t xml:space="preserve">Invoice and receipt templates</t>
  </si>
  <si>
    <t xml:space="preserve">SchoolA invoice uses the SchoolA template</t>
  </si>
  <si>
    <t xml:space="preserve">Invoices and receipts follow the template of the School. Case: SchoolA invoice uses the SchoolA template</t>
  </si>
  <si>
    <t xml:space="preserve">1. Templates for SchoolA and SchoolB (ASM-01)</t>
  </si>
  <si>
    <t xml:space="preserve">School: SchoolA</t>
  </si>
  <si>
    <t xml:space="preserve">1. Enrol a learner in a SchoolA course
2. Open the electronic invoice</t>
  </si>
  <si>
    <t xml:space="preserve">1. The invoice uses the SchoolA template</t>
  </si>
  <si>
    <t xml:space="preserve">Tender 9.1.1 (Funding, Sprint 2)</t>
  </si>
  <si>
    <t xml:space="preserve">CP-110</t>
  </si>
  <si>
    <t xml:space="preserve">ASM-72</t>
  </si>
  <si>
    <t xml:space="preserve">9.1.1 requires templates by School. The layout is not checked</t>
  </si>
  <si>
    <t xml:space="preserve">TC-SCN-110-02</t>
  </si>
  <si>
    <t xml:space="preserve">SchoolB receipt uses the SchoolB template</t>
  </si>
  <si>
    <t xml:space="preserve">Invoices and receipts follow the template of the School. Case: SchoolB receipt uses the SchoolB template</t>
  </si>
  <si>
    <t xml:space="preserve">School: SchoolB</t>
  </si>
  <si>
    <t xml:space="preserve">1. Pay an invoice of a SchoolB course
2. Open the electronic receipt</t>
  </si>
  <si>
    <t xml:space="preserve">1. The receipt uses the SchoolB template</t>
  </si>
  <si>
    <t xml:space="preserve">9.1.1 requires templates by School</t>
  </si>
  <si>
    <t xml:space="preserve">TC-SCN-110-03</t>
  </si>
  <si>
    <t xml:space="preserve">Invoice shows the item level details</t>
  </si>
  <si>
    <t xml:space="preserve">Invoices and receipts follow the template of the School. Case: Invoice shows the item level details</t>
  </si>
  <si>
    <t xml:space="preserve">1. A learner with all items (ASM-01)</t>
  </si>
  <si>
    <t xml:space="preserve">Items: grant, ACC, discount, PSEA, GST, SFC</t>
  </si>
  <si>
    <t xml:space="preserve">1. Enrol a learner who has an SSG grant, an alumni credit, a discount, PSEA and GST
2. Open the invoice</t>
  </si>
  <si>
    <t xml:space="preserve">1. The invoice has a line for the subsidy or SSG grant, the alumni course credit, the discount, PSEA, GST, SkillsFuture Credit and the course name and dates</t>
  </si>
  <si>
    <t xml:space="preserve">Tender 9.1.1 (Funding, Sprint 3)</t>
  </si>
  <si>
    <t xml:space="preserve">9.1.1 items 1 to 7</t>
  </si>
  <si>
    <t xml:space="preserve">TC-SCN-111-01</t>
  </si>
  <si>
    <t xml:space="preserve">9.1.3</t>
  </si>
  <si>
    <t xml:space="preserve">SCN-111</t>
  </si>
  <si>
    <t xml:space="preserve">Invoice breakdown and template choice</t>
  </si>
  <si>
    <t xml:space="preserve">Invoice is generated with the billing items</t>
  </si>
  <si>
    <t xml:space="preserve">The invoice is generated with items, remarks and the chosen template. Case: Invoice is generated with the billing items</t>
  </si>
  <si>
    <t xml:space="preserve">1. A funded learner (ASM-01)</t>
  </si>
  <si>
    <t xml:space="preserve">Items: grant, SFC</t>
  </si>
  <si>
    <t xml:space="preserve">1. Enrol a learner with an SSG grant and an SFC
2. Open the invoice</t>
  </si>
  <si>
    <t xml:space="preserve">1. The invoice lists the billing items of the learner</t>
  </si>
  <si>
    <t xml:space="preserve">Tender 9.1.3 (Funding, Sprint 2,3)</t>
  </si>
  <si>
    <t xml:space="preserve">CP-111</t>
  </si>
  <si>
    <t xml:space="preserve">9.1.3 billing items</t>
  </si>
  <si>
    <t xml:space="preserve">TC-SCN-111-02</t>
  </si>
  <si>
    <t xml:space="preserve">Remark is captured on the invoice</t>
  </si>
  <si>
    <t xml:space="preserve">The invoice is generated with items, remarks and the chosen template. Case: Remark is captured on the invoice</t>
  </si>
  <si>
    <t xml:space="preserve">1. An invoice being created (ASM-01)</t>
  </si>
  <si>
    <t xml:space="preserve">Remark: Test remark 01</t>
  </si>
  <si>
    <t xml:space="preserve">1. Create an invoice
2. Enter a remark
3. Save
4. Reopen the invoice</t>
  </si>
  <si>
    <t xml:space="preserve">1. The remark is saved on the invoice</t>
  </si>
  <si>
    <t xml:space="preserve">9.1.3 allows remarks</t>
  </si>
  <si>
    <t xml:space="preserve">TC-SCN-111-03</t>
  </si>
  <si>
    <t xml:space="preserve">Direct discounting template is selected by a business rule</t>
  </si>
  <si>
    <t xml:space="preserve">The invoice is generated with items, remarks and the chosen template. Case: Direct discounting template is selected by a business rule</t>
  </si>
  <si>
    <t xml:space="preserve">1. A business rule for the template (ASM-01)</t>
  </si>
  <si>
    <t xml:space="preserve">Template: direct</t>
  </si>
  <si>
    <t xml:space="preserve">1. Create an invoice for a course whose rule selects direct discounting
2. Open the invoice</t>
  </si>
  <si>
    <t xml:space="preserve">1. The invoice shows the discount as a separate line</t>
  </si>
  <si>
    <t xml:space="preserve">9.1.3 template per business rule</t>
  </si>
  <si>
    <t xml:space="preserve">TC-SCN-111-04</t>
  </si>
  <si>
    <t xml:space="preserve">Indirect discounting template is selected by a business rule</t>
  </si>
  <si>
    <t xml:space="preserve">The invoice is generated with items, remarks and the chosen template. Case: Indirect discounting template is selected by a business rule</t>
  </si>
  <si>
    <t xml:space="preserve">Template: indirect</t>
  </si>
  <si>
    <t xml:space="preserve">1. Create an invoice for a course whose rule selects indirect discounting
2. Open the invoice</t>
  </si>
  <si>
    <t xml:space="preserve">1. The invoice shows the net fee without a separate discount line</t>
  </si>
  <si>
    <t xml:space="preserve">TC-SCN-112-01</t>
  </si>
  <si>
    <t xml:space="preserve">9.1.4</t>
  </si>
  <si>
    <t xml:space="preserve">SCN-112</t>
  </si>
  <si>
    <t xml:space="preserve">TPGateway nett fee</t>
  </si>
  <si>
    <t xml:space="preserve">Nett course fee is generated from the SFC approved amount</t>
  </si>
  <si>
    <t xml:space="preserve">The nett fee is computed with the SFC approved amount. Case: Nett course fee is generated from the SFC approved amount</t>
  </si>
  <si>
    <t xml:space="preserve">1. A learner with SFC and a test endpoint (ASM-01)</t>
  </si>
  <si>
    <t xml:space="preserve">Fee: 1000
Approved: 400</t>
  </si>
  <si>
    <t xml:space="preserve">1. Enrol a learner using SFC
2. Wait for the interface
3. Open the nett course fee</t>
  </si>
  <si>
    <t xml:space="preserve">1. The nett fee equals the course fee less the SFC approved amount returned by TPGateway</t>
  </si>
  <si>
    <t xml:space="preserve">Tender 9.1.4 (Funding, Sprint 2)</t>
  </si>
  <si>
    <t xml:space="preserve">CP-112</t>
  </si>
  <si>
    <t xml:space="preserve">ASM-79</t>
  </si>
  <si>
    <t xml:space="preserve">9.1.4 requires the interface and the nett fee</t>
  </si>
  <si>
    <t xml:space="preserve">TC-SCN-112-02</t>
  </si>
  <si>
    <t xml:space="preserve">Failure of the interface does not create a wrong nett fee</t>
  </si>
  <si>
    <t xml:space="preserve">The nett fee is computed with the SFC approved amount. Case: Failure of the interface does not create a wrong nett fee</t>
  </si>
  <si>
    <t xml:space="preserve">1. A learner with SFC (ASM-01)</t>
  </si>
  <si>
    <t xml:space="preserve">Endpoint: stopped</t>
  </si>
  <si>
    <t xml:space="preserve">1. Stop the TPGateway test endpoint
2. Enrol a learner using SFC
3. Open the nett course fee</t>
  </si>
  <si>
    <t xml:space="preserve">1. No nett fee based on an approved amount is created
2. The failure is logged and can be sent again</t>
  </si>
  <si>
    <t xml:space="preserve">TC-SCN-113-01</t>
  </si>
  <si>
    <t xml:space="preserve">9.1.9</t>
  </si>
  <si>
    <t xml:space="preserve">SCN-113</t>
  </si>
  <si>
    <t xml:space="preserve">Automatic billing items</t>
  </si>
  <si>
    <t xml:space="preserve">Eligible learner gets all provisioned billing items</t>
  </si>
  <si>
    <t xml:space="preserve">Eligible items appear in the invoice without manual input. Case: Eligible learner gets all provisioned billing items</t>
  </si>
  <si>
    <t xml:space="preserve">1. A fee setup with a grant and a discount (ASM-01)</t>
  </si>
  <si>
    <t xml:space="preserve">1. Enrol a learner who is eligible for a grant and a discount in a course with these items provisioned
2. Open the invoice</t>
  </si>
  <si>
    <t xml:space="preserve">1. The invoice contains every item provisioned in the fee setup that the learner is eligible for</t>
  </si>
  <si>
    <t xml:space="preserve">Tender 9.1.9 (Funding, Sprint 2)</t>
  </si>
  <si>
    <t xml:space="preserve">CP-113</t>
  </si>
  <si>
    <t xml:space="preserve">9.1.9 requires all items for eligible profiles</t>
  </si>
  <si>
    <t xml:space="preserve">TC-SCN-113-02</t>
  </si>
  <si>
    <t xml:space="preserve">Item for which the learner is not eligible is not generated</t>
  </si>
  <si>
    <t xml:space="preserve">Eligible items appear in the invoice without manual input. Case: Item for which the learner is not eligible is not generated</t>
  </si>
  <si>
    <t xml:space="preserve">1. A fee setup with a discount (ASM-01)</t>
  </si>
  <si>
    <t xml:space="preserve">1. Enrol a learner who is not eligible for the discount
2. Open the invoice</t>
  </si>
  <si>
    <t xml:space="preserve">1. The discount item is not on the invoice</t>
  </si>
  <si>
    <t xml:space="preserve">9.1.9 says when the profile falls within the eligible criteria</t>
  </si>
  <si>
    <t xml:space="preserve">TC-SCN-114-01</t>
  </si>
  <si>
    <t xml:space="preserve">9.1.12</t>
  </si>
  <si>
    <t xml:space="preserve">SCN-114</t>
  </si>
  <si>
    <t xml:space="preserve">Invoice breakdown and School separation</t>
  </si>
  <si>
    <t xml:space="preserve">Breakdown shows fee, funding, other discounts and remarks</t>
  </si>
  <si>
    <t xml:space="preserve">The breakdown adds up and Schools are separated. Case: Breakdown shows fee, funding, other discounts and remarks</t>
  </si>
  <si>
    <t xml:space="preserve">1. A learner with funding and a discount (ASM-01)</t>
  </si>
  <si>
    <t xml:space="preserve">Fee: 1000
Funding: 400
Discount: 100</t>
  </si>
  <si>
    <t xml:space="preserve">1. Enrol a learner with funding and a discount
2. Open the invoice</t>
  </si>
  <si>
    <t xml:space="preserve">1. The invoice shows the course fee, less funding or subsidies, less other discounts or grants and the remark for SFC or alumni credits
2. The total is the course fee less all reductions</t>
  </si>
  <si>
    <t xml:space="preserve">Tender 9.1.12 (Funding, Sprint 2)</t>
  </si>
  <si>
    <t xml:space="preserve">CP-114</t>
  </si>
  <si>
    <t xml:space="preserve">ASM-64, ASM-72</t>
  </si>
  <si>
    <t xml:space="preserve">9.1.12 items 1 to 4. The amounts are configured</t>
  </si>
  <si>
    <t xml:space="preserve">TC-SCN-114-02</t>
  </si>
  <si>
    <t xml:space="preserve">Outstanding debts of SchoolA and SchoolB are tracked separately</t>
  </si>
  <si>
    <t xml:space="preserve">The breakdown adds up and Schools are separated. Case: Outstanding debts of SchoolA and SchoolB are tracked separately</t>
  </si>
  <si>
    <t xml:space="preserve">1. One unpaid invoice in each School (ASM-01)</t>
  </si>
  <si>
    <t xml:space="preserve">1. Leave one invoice unpaid in SchoolA and one in SchoolB
2. Open the outstanding debts of each School</t>
  </si>
  <si>
    <t xml:space="preserve">1. Each School shows only its own outstanding invoice</t>
  </si>
  <si>
    <t xml:space="preserve">9.1.12 last sentence</t>
  </si>
  <si>
    <t xml:space="preserve">TC-SCN-114-03</t>
  </si>
  <si>
    <t xml:space="preserve">Receipt templates are separate for the two Schools</t>
  </si>
  <si>
    <t xml:space="preserve">The breakdown adds up and Schools are separated. Case: Receipt templates are separate for the two Schools</t>
  </si>
  <si>
    <t xml:space="preserve">1. One invoice in each School (ASM-01)</t>
  </si>
  <si>
    <t xml:space="preserve">1. Pay one invoice in each School
2. Open both receipts</t>
  </si>
  <si>
    <t xml:space="preserve">1. Each receipt uses the template of its School</t>
  </si>
  <si>
    <t xml:space="preserve">9.1.12 requires separate templates</t>
  </si>
  <si>
    <t xml:space="preserve">TC-SCN-115-01</t>
  </si>
  <si>
    <t xml:space="preserve">9.1.13</t>
  </si>
  <si>
    <t xml:space="preserve">SCN-115</t>
  </si>
  <si>
    <t xml:space="preserve">GST setup</t>
  </si>
  <si>
    <t xml:space="preserve">GST is charged on a fee type and not on a grant</t>
  </si>
  <si>
    <t xml:space="preserve">GST follows the setup per customer group and item. Case: GST is charged on a fee type and not on a grant</t>
  </si>
  <si>
    <t xml:space="preserve">1. A GST setup by item (ASM-01)</t>
  </si>
  <si>
    <t xml:space="preserve">Fee: 1000
Grant: 400</t>
  </si>
  <si>
    <t xml:space="preserve">1. Set GST on the course fee and no GST on the grant
2. Enrol a learner with a grant
3. Open the invoice</t>
  </si>
  <si>
    <t xml:space="preserve">1. The GST is charged on the course fee line and none on the grant line</t>
  </si>
  <si>
    <t xml:space="preserve">Tender 9.1.13 (Funding, Sprint 2)</t>
  </si>
  <si>
    <t xml:space="preserve">CP-115</t>
  </si>
  <si>
    <t xml:space="preserve">9.1.13 requires GST by item. The values are configured</t>
  </si>
  <si>
    <t xml:space="preserve">TC-SCN-115-02</t>
  </si>
  <si>
    <t xml:space="preserve">GST differs by customer group</t>
  </si>
  <si>
    <t xml:space="preserve">GST follows the setup per customer group and item. Case: GST differs by customer group</t>
  </si>
  <si>
    <t xml:space="preserve">1. Two customer groups (ASM-01)</t>
  </si>
  <si>
    <t xml:space="preserve">Groups: individual, corporate</t>
  </si>
  <si>
    <t xml:space="preserve">1. Set GST for individuals and no GST for one other customer group
2. Enrol one learner of each group
3. Open both invoices</t>
  </si>
  <si>
    <t xml:space="preserve">1. The invoice of each group follows its GST setting</t>
  </si>
  <si>
    <t xml:space="preserve">9.1.13 item 1</t>
  </si>
  <si>
    <t xml:space="preserve">TC-SCN-116-01</t>
  </si>
  <si>
    <t xml:space="preserve">9.1.15</t>
  </si>
  <si>
    <t xml:space="preserve">SCN-116</t>
  </si>
  <si>
    <t xml:space="preserve">Invoice change on date or sponsor change</t>
  </si>
  <si>
    <t xml:space="preserve">Change of course date generates a credit note and a new invoice</t>
  </si>
  <si>
    <t xml:space="preserve">A change creates the new invoice and the credit note. Case: Change of course date generates a credit note and a new invoice</t>
  </si>
  <si>
    <t xml:space="preserve">1. An invoiced learner (ASM-01)</t>
  </si>
  <si>
    <t xml:space="preserve">Case: course date</t>
  </si>
  <si>
    <t xml:space="preserve">1. Change the date of a course with an invoiced learner
2. Open the finance records</t>
  </si>
  <si>
    <t xml:space="preserve">1. A credit note and a new invoice with the new date are generated</t>
  </si>
  <si>
    <t xml:space="preserve">Tender 9.1.15 (Funding, Sprint 2)</t>
  </si>
  <si>
    <t xml:space="preserve">CP-116</t>
  </si>
  <si>
    <t xml:space="preserve">ASM-80</t>
  </si>
  <si>
    <t xml:space="preserve">9.1.15 first sentence</t>
  </si>
  <si>
    <t xml:space="preserve">TC-SCN-116-02</t>
  </si>
  <si>
    <t xml:space="preserve">Change of assessment date generates a credit note and a new invoice</t>
  </si>
  <si>
    <t xml:space="preserve">A change creates the new invoice and the credit note. Case: Change of assessment date generates a credit note and a new invoice</t>
  </si>
  <si>
    <t xml:space="preserve">Case: assessment date</t>
  </si>
  <si>
    <t xml:space="preserve">1. Change the assessment date of an invoiced learner
2. Open the finance records</t>
  </si>
  <si>
    <t xml:space="preserve">TC-SCN-116-03</t>
  </si>
  <si>
    <t xml:space="preserve">Change of sponsor issues a new invoice and a credit note to the old sponsor</t>
  </si>
  <si>
    <t xml:space="preserve">A change creates the new invoice and the credit note. Case: Change of sponsor issues a new invoice and a credit note to the old sponsor</t>
  </si>
  <si>
    <t xml:space="preserve">1. A company sponsored invoice (ASM-01)</t>
  </si>
  <si>
    <t xml:space="preserve">From: Company A
To: learner.test01</t>
  </si>
  <si>
    <t xml:space="preserve">1. Change the sponsor from company A to the learner
2. Open the finance records</t>
  </si>
  <si>
    <t xml:space="preserve">1. A new invoice goes to the learner
2. A credit note is issued to company A</t>
  </si>
  <si>
    <t xml:space="preserve">9.1.15 second sentence</t>
  </si>
  <si>
    <t xml:space="preserve">TC-SCN-117-01</t>
  </si>
  <si>
    <t xml:space="preserve">9.4.1</t>
  </si>
  <si>
    <t xml:space="preserve">SCN-117</t>
  </si>
  <si>
    <t xml:space="preserve">Payment modes</t>
  </si>
  <si>
    <t xml:space="preserve">Upfront payment is set for the registration</t>
  </si>
  <si>
    <t xml:space="preserve">Each payment mode is set up and works. Case: Upfront payment is set for the registration</t>
  </si>
  <si>
    <t xml:space="preserve">Mode: upfront</t>
  </si>
  <si>
    <t xml:space="preserve">1. Set the payment mode to upfront on registration
2. Register a learner
3. Open the payment request</t>
  </si>
  <si>
    <t xml:space="preserve">1. The payment is requested upon registration or enrolment offer</t>
  </si>
  <si>
    <t xml:space="preserve">Tender 9.4.1 (Funding, Sprint 2)</t>
  </si>
  <si>
    <t xml:space="preserve">CP-117</t>
  </si>
  <si>
    <t xml:space="preserve">9.4.1 item 1</t>
  </si>
  <si>
    <t xml:space="preserve">TC-SCN-117-02</t>
  </si>
  <si>
    <t xml:space="preserve">Course level payment is set</t>
  </si>
  <si>
    <t xml:space="preserve">Each payment mode is set up and works. Case: Course level payment is set</t>
  </si>
  <si>
    <t xml:space="preserve">Mode: course level</t>
  </si>
  <si>
    <t xml:space="preserve">1. Set the payment mode to course level
2. Register a learner
3. Open the payment request</t>
  </si>
  <si>
    <t xml:space="preserve">1. The payment is requested at course level</t>
  </si>
  <si>
    <t xml:space="preserve">9.4.1 item 2</t>
  </si>
  <si>
    <t xml:space="preserve">TC-SCN-117-03</t>
  </si>
  <si>
    <t xml:space="preserve">Installment payment is set</t>
  </si>
  <si>
    <t xml:space="preserve">Each payment mode is set up and works. Case: Installment payment is set</t>
  </si>
  <si>
    <t xml:space="preserve">Mode: installments, 2 parts</t>
  </si>
  <si>
    <t xml:space="preserve">1. Set the payment mode to installments of 2 parts
2. Register a learner
3. Open the payment schedule</t>
  </si>
  <si>
    <t xml:space="preserve">1. The payment schedule shows 2 parts</t>
  </si>
  <si>
    <t xml:space="preserve">9.4.1 item 3</t>
  </si>
  <si>
    <t xml:space="preserve">TC-SCN-117-04</t>
  </si>
  <si>
    <t xml:space="preserve">Lump sum payment is set</t>
  </si>
  <si>
    <t xml:space="preserve">Each payment mode is set up and works. Case: Lump sum payment is set</t>
  </si>
  <si>
    <t xml:space="preserve">Mode: lump sum</t>
  </si>
  <si>
    <t xml:space="preserve">1. Set the payment mode to lump sum
2. Register a learner
3. Open the payment request</t>
  </si>
  <si>
    <t xml:space="preserve">1. One payment for the full net fee is requested</t>
  </si>
  <si>
    <t xml:space="preserve">9.4.1 item 4</t>
  </si>
  <si>
    <t xml:space="preserve">TC-SCN-117-05</t>
  </si>
  <si>
    <t xml:space="preserve">SFC payment is credited automatically to the correct School</t>
  </si>
  <si>
    <t xml:space="preserve">Each payment mode is set up and works. Case: SFC payment is credited automatically to the correct School</t>
  </si>
  <si>
    <t xml:space="preserve">1. A SchoolA course and an SFC learner (ASM-01)</t>
  </si>
  <si>
    <t xml:space="preserve">School: SchoolA
Mode: SFC</t>
  </si>
  <si>
    <t xml:space="preserve">1. Pay a SchoolA course fee by SFC
2. Open the accounts of SchoolA and SchoolB</t>
  </si>
  <si>
    <t xml:space="preserve">1. The payment is credited to SchoolA automatically and not to SchoolB</t>
  </si>
  <si>
    <t xml:space="preserve">ASM-74</t>
  </si>
  <si>
    <t xml:space="preserve">9.4.1 last paragraph</t>
  </si>
  <si>
    <t xml:space="preserve">TC-SCN-117-06</t>
  </si>
  <si>
    <t xml:space="preserve">PSEA payment is credited automatically to the correct School</t>
  </si>
  <si>
    <t xml:space="preserve">Each payment mode is set up and works. Case: PSEA payment is credited automatically to the correct School</t>
  </si>
  <si>
    <t xml:space="preserve">1. A SchoolB course and a PSEA learner (ASM-01)</t>
  </si>
  <si>
    <t xml:space="preserve">School: SchoolB
Mode: PSEA</t>
  </si>
  <si>
    <t xml:space="preserve">1. Pay a SchoolB course fee by PSEA
2. Open the accounts of SchoolA and SchoolB</t>
  </si>
  <si>
    <t xml:space="preserve">1. The payment is credited to SchoolB automatically and not to SchoolA</t>
  </si>
  <si>
    <t xml:space="preserve">ASM-74, ASM-77</t>
  </si>
  <si>
    <t xml:space="preserve">TC-SCN-118-01</t>
  </si>
  <si>
    <t xml:space="preserve">10.1.1</t>
  </si>
  <si>
    <t xml:space="preserve">SCN-118</t>
  </si>
  <si>
    <t xml:space="preserve">Online attendance marking</t>
  </si>
  <si>
    <t xml:space="preserve">Learner is marked present by QR code</t>
  </si>
  <si>
    <t xml:space="preserve">A learner is marked present online. Case: Learner is marked present by QR code</t>
  </si>
  <si>
    <t xml:space="preserve">1. A class session with a QR code (ASM-01)</t>
  </si>
  <si>
    <t xml:space="preserve">1. Open a class session
2. Show the SSG QR code
3. Scan it with the learner's device
4. Open the attendance list</t>
  </si>
  <si>
    <t xml:space="preserve">1. The learner is marked present online</t>
  </si>
  <si>
    <t xml:space="preserve">Tender 10.1.1 (Assessment, Sprint 3)</t>
  </si>
  <si>
    <t xml:space="preserve">CP-118</t>
  </si>
  <si>
    <t xml:space="preserve">ASM-53</t>
  </si>
  <si>
    <t xml:space="preserve">10.1.1 lists QR code as a method</t>
  </si>
  <si>
    <t xml:space="preserve">TC-SCN-118-02</t>
  </si>
  <si>
    <t xml:space="preserve">Attendance is marked for an assessment and an examination</t>
  </si>
  <si>
    <t xml:space="preserve">A learner is marked present online. Case: Attendance is marked for an assessment and an examination</t>
  </si>
  <si>
    <t xml:space="preserve">1. An assessment and an examination session exist (ASM-01)</t>
  </si>
  <si>
    <t xml:space="preserve">1. Open an assessment session
2. Mark attendance online
3. Open an examination session
4. Mark attendance online</t>
  </si>
  <si>
    <t xml:space="preserve">1. Attendance is marked online for the assessment and for the examination</t>
  </si>
  <si>
    <t xml:space="preserve">10.1.1 includes assessments and examinations</t>
  </si>
  <si>
    <t xml:space="preserve">TC-SCN-119-01</t>
  </si>
  <si>
    <t xml:space="preserve">10.1.2</t>
  </si>
  <si>
    <t xml:space="preserve">SCN-119</t>
  </si>
  <si>
    <t xml:space="preserve">E attendance by SingPass</t>
  </si>
  <si>
    <t xml:space="preserve">Attendance is marked with SingPass</t>
  </si>
  <si>
    <t xml:space="preserve">A learner marks attendance with SingPass. Case: Attendance is marked with SingPass</t>
  </si>
  <si>
    <t xml:space="preserve">1. An SSG funded class session and a SingPass test identity (ASM-01)</t>
  </si>
  <si>
    <t xml:space="preserve">1. Open a class session of an SSG funded course
2. Mark attendance through SingPass as the test resident
3. Open the attendance list</t>
  </si>
  <si>
    <t xml:space="preserve">1. The attendance is recorded through SingPass according to the SSG criteria</t>
  </si>
  <si>
    <t xml:space="preserve">Tender 10.1.2 (Assessment, Sprint 3)</t>
  </si>
  <si>
    <t xml:space="preserve">CP-119</t>
  </si>
  <si>
    <t xml:space="preserve">10.1.2 requires SingPass e attendance. The SSG criteria are not listed</t>
  </si>
  <si>
    <t xml:space="preserve">TC-SCN-120-01</t>
  </si>
  <si>
    <t xml:space="preserve">10.1.3</t>
  </si>
  <si>
    <t xml:space="preserve">SCN-120</t>
  </si>
  <si>
    <t xml:space="preserve">Attendance rate computation</t>
  </si>
  <si>
    <t xml:space="preserve">Attendance rate equals attended over held sessions</t>
  </si>
  <si>
    <t xml:space="preserve">The attendance rate follows the sessions attended. Case: Attendance rate equals attended over held sessions</t>
  </si>
  <si>
    <t xml:space="preserve">1. A course with 4 held sessions (ASM-01)</t>
  </si>
  <si>
    <t xml:space="preserve">Attended: 3 of 4</t>
  </si>
  <si>
    <t xml:space="preserve">1. Hold 4 sessions
2. Mark a learner present in 3
3. Open the attendance rate</t>
  </si>
  <si>
    <t xml:space="preserve">1. The attendance rate is 75 percent</t>
  </si>
  <si>
    <t xml:space="preserve">Tender 10.1.3 (Assessment, Sprint 3)</t>
  </si>
  <si>
    <t xml:space="preserve">CP-120</t>
  </si>
  <si>
    <t xml:space="preserve">10.1.3 requires an automatic rate. The formula is assumed</t>
  </si>
  <si>
    <t xml:space="preserve">TC-SCN-120-02</t>
  </si>
  <si>
    <t xml:space="preserve">Attendance rate updates after an added session</t>
  </si>
  <si>
    <t xml:space="preserve">The attendance rate follows the sessions attended. Case: Attendance rate updates after an added session</t>
  </si>
  <si>
    <t xml:space="preserve">1. A course with 4 held sessions and a learner with 3 present (ASM-01)</t>
  </si>
  <si>
    <t xml:space="preserve">Attended: 3 of 5</t>
  </si>
  <si>
    <t xml:space="preserve">1. Add a fifth session where the learner is absent
2. Open the attendance rate</t>
  </si>
  <si>
    <t xml:space="preserve">1. The rate is recalculated to 60 percent (3 of 5)</t>
  </si>
  <si>
    <t xml:space="preserve">10.1.3 requires automated computation</t>
  </si>
  <si>
    <t xml:space="preserve">TC-SCN-121-01</t>
  </si>
  <si>
    <t xml:space="preserve">10.1.4</t>
  </si>
  <si>
    <t xml:space="preserve">SCN-121</t>
  </si>
  <si>
    <t xml:space="preserve">Minimum attendance flag</t>
  </si>
  <si>
    <t xml:space="preserve">Learner at 74 percent is flagged</t>
  </si>
  <si>
    <t xml:space="preserve">Learners below the minimum are flagged. Case: Learner at 74 percent is flagged</t>
  </si>
  <si>
    <t xml:space="preserve">1. An SSG funded course with a learner at 74 percent (ASM-01)</t>
  </si>
  <si>
    <t xml:space="preserve">Rate: 74 percent</t>
  </si>
  <si>
    <t xml:space="preserve">1. Set the minimum attendance rate to 75 percent for an SSG funded course
2. Give a learner 74 percent
3. Open the flags of the learner and of the Administrator</t>
  </si>
  <si>
    <t xml:space="preserve">1. The learner is flagged
2. The Administrator sees the flag</t>
  </si>
  <si>
    <t xml:space="preserve">Tender 10.1.4 (Assessment, Sprint 3)</t>
  </si>
  <si>
    <t xml:space="preserve">CP-121</t>
  </si>
  <si>
    <t xml:space="preserve">6.4.4 gives 75 percent as the minimum. 10.1.4 requires the flag</t>
  </si>
  <si>
    <t xml:space="preserve">TC-SCN-121-02</t>
  </si>
  <si>
    <t xml:space="preserve">Learner at 75 percent is not flagged</t>
  </si>
  <si>
    <t xml:space="preserve">Learners below the minimum are flagged. Case: Learner at 75 percent is not flagged</t>
  </si>
  <si>
    <t xml:space="preserve">1. An SSG funded course with a learner at 75 percent (ASM-01)</t>
  </si>
  <si>
    <t xml:space="preserve">Rate: 75 percent</t>
  </si>
  <si>
    <t xml:space="preserve">1. Give a learner exactly 75 percent
2. Open the flags</t>
  </si>
  <si>
    <t xml:space="preserve">1. The learner is not flagged</t>
  </si>
  <si>
    <t xml:space="preserve">6.4.4 says minimum 75 percent, so 75 meets it</t>
  </si>
  <si>
    <t xml:space="preserve">TC-SCN-122-01</t>
  </si>
  <si>
    <t xml:space="preserve">10.1.5</t>
  </si>
  <si>
    <t xml:space="preserve">SCN-122</t>
  </si>
  <si>
    <t xml:space="preserve">Attendance sheet</t>
  </si>
  <si>
    <t xml:space="preserve">Attendance sheet is generated, exported and printed</t>
  </si>
  <si>
    <t xml:space="preserve">An attendance sheet is generated and exported. Case: Attendance sheet is generated, exported and printed</t>
  </si>
  <si>
    <t xml:space="preserve">1. A course with learners (ASM-01)</t>
  </si>
  <si>
    <t xml:space="preserve">Course: Test Course A</t>
  </si>
  <si>
    <t xml:space="preserve">1. Open a course
2. Generate the attendance sheet
3. Export it
4. Print it</t>
  </si>
  <si>
    <t xml:space="preserve">1. The attendance sheet is generated
2. It can be exported
3. It can be printed</t>
  </si>
  <si>
    <t xml:space="preserve">Tender 10.1.5 (Assessment, Sprint 3)</t>
  </si>
  <si>
    <t xml:space="preserve">CP-122</t>
  </si>
  <si>
    <t xml:space="preserve">10.1.5 requires generate, export and print</t>
  </si>
  <si>
    <t xml:space="preserve">TC-SCN-123-01</t>
  </si>
  <si>
    <t xml:space="preserve">10.1.6</t>
  </si>
  <si>
    <t xml:space="preserve">SCN-123</t>
  </si>
  <si>
    <t xml:space="preserve">Manual attendance upload</t>
  </si>
  <si>
    <t xml:space="preserve">Marked attendance list is uploaded for a non SSG course</t>
  </si>
  <si>
    <t xml:space="preserve">A marked list is uploaded for a non SSG course. Case: Marked attendance list is uploaded for a non SSG course</t>
  </si>
  <si>
    <t xml:space="preserve">1. A non SSG course and a prepared list (ASM-01)</t>
  </si>
  <si>
    <t xml:space="preserve">List: three learners</t>
  </si>
  <si>
    <t xml:space="preserve">1. Open a non SSG course
2. Upload a marked attendance list
3. Open the attendance</t>
  </si>
  <si>
    <t xml:space="preserve">1. The attendance of the list is recorded</t>
  </si>
  <si>
    <t xml:space="preserve">Tender 10.1.6 (Assessment, Sprint 3)</t>
  </si>
  <si>
    <t xml:space="preserve">CP-123</t>
  </si>
  <si>
    <t xml:space="preserve">10.1.6 requires manual upload. The file format is not given</t>
  </si>
  <si>
    <t xml:space="preserve">TC-SCN-123-02</t>
  </si>
  <si>
    <t xml:space="preserve">Manual upload is not offered for an SSG course</t>
  </si>
  <si>
    <t xml:space="preserve">A marked list is uploaded for a non SSG course. Case: Manual upload is not offered for an SSG course</t>
  </si>
  <si>
    <t xml:space="preserve">1. An SSG funded course (ASM-01)</t>
  </si>
  <si>
    <t xml:space="preserve">1. Open an SSG funded course
2. Look for the manual upload of a marked list</t>
  </si>
  <si>
    <t xml:space="preserve">1. The manual upload of a marked list is not offered for the SSG funded course</t>
  </si>
  <si>
    <t xml:space="preserve">10.1.6 limits the manual upload to non SSG courses</t>
  </si>
  <si>
    <t xml:space="preserve">TC-SCN-124-01</t>
  </si>
  <si>
    <t xml:space="preserve">10.2.1</t>
  </si>
  <si>
    <t xml:space="preserve">SCN-124</t>
  </si>
  <si>
    <t xml:space="preserve">Assessment components and weightage</t>
  </si>
  <si>
    <t xml:space="preserve">All listed component types can be set up with a weightage</t>
  </si>
  <si>
    <t xml:space="preserve">Components with weightage are set up. Case: All listed component types can be set up with a weightage</t>
  </si>
  <si>
    <t xml:space="preserve">Components: quiz, online test, presentation, class participation, essay, peer evaluation, final examination</t>
  </si>
  <si>
    <t xml:space="preserve">1. Create an assessment for a course
2. Add components of the 7 listed types
3. Enter a weightage for each
4. Save
5. Reopen</t>
  </si>
  <si>
    <t xml:space="preserve">1. All 7 component types are available
2. Each saved weightage is shown</t>
  </si>
  <si>
    <t xml:space="preserve">Tender 10.2.1 (Assessment, Sprint 3)</t>
  </si>
  <si>
    <t xml:space="preserve">CP-124</t>
  </si>
  <si>
    <t xml:space="preserve">10.2.1 lists the seven component types</t>
  </si>
  <si>
    <t xml:space="preserve">TC-SCN-125-01</t>
  </si>
  <si>
    <t xml:space="preserve">10.2.2</t>
  </si>
  <si>
    <t xml:space="preserve">SCN-125</t>
  </si>
  <si>
    <t xml:space="preserve">Weightage total</t>
  </si>
  <si>
    <t xml:space="preserve">Total of 100 percent is accepted</t>
  </si>
  <si>
    <t xml:space="preserve">The total weightage must be 100 percent. Case: Total of 100 percent is accepted</t>
  </si>
  <si>
    <t xml:space="preserve">1. A course with three components (ASM-01)</t>
  </si>
  <si>
    <t xml:space="preserve">Weightages: 40, 30, 30</t>
  </si>
  <si>
    <t xml:space="preserve">1. Enter weightages 40, 30 and 30
2. Save</t>
  </si>
  <si>
    <t xml:space="preserve">1. The System accepts the total of 100 percent</t>
  </si>
  <si>
    <t xml:space="preserve">Tender 10.2.2 (Assessment, Sprint 3)</t>
  </si>
  <si>
    <t xml:space="preserve">CP-125</t>
  </si>
  <si>
    <t xml:space="preserve">10.2.2 requires the total to be 100 percent</t>
  </si>
  <si>
    <t xml:space="preserve">TC-SCN-125-02</t>
  </si>
  <si>
    <t xml:space="preserve">Total of 99 percent is rejected</t>
  </si>
  <si>
    <t xml:space="preserve">The total weightage must be 100 percent. Case: Total of 99 percent is rejected</t>
  </si>
  <si>
    <t xml:space="preserve">Weightages: 40, 30, 29</t>
  </si>
  <si>
    <t xml:space="preserve">1. Enter weightages 40, 30 and 29
2. Save</t>
  </si>
  <si>
    <t xml:space="preserve">1. The System does not accept the total of 99 percent</t>
  </si>
  <si>
    <t xml:space="preserve">10.2.2 requires 100 percent exactly</t>
  </si>
  <si>
    <t xml:space="preserve">TC-SCN-125-03</t>
  </si>
  <si>
    <t xml:space="preserve">Total of 101 percent is rejected</t>
  </si>
  <si>
    <t xml:space="preserve">The total weightage must be 100 percent. Case: Total of 101 percent is rejected</t>
  </si>
  <si>
    <t xml:space="preserve">Weightages: 40, 30, 31</t>
  </si>
  <si>
    <t xml:space="preserve">1. Enter weightages 40, 30 and 31
2. Save</t>
  </si>
  <si>
    <t xml:space="preserve">1. The System does not accept the total of 101 percent</t>
  </si>
  <si>
    <t xml:space="preserve">TC-SCN-126-01</t>
  </si>
  <si>
    <t xml:space="preserve">10.2.3</t>
  </si>
  <si>
    <t xml:space="preserve">SCN-126</t>
  </si>
  <si>
    <t xml:space="preserve">Track the pattern</t>
  </si>
  <si>
    <t xml:space="preserve">Assessment pattern of a course is shown</t>
  </si>
  <si>
    <t xml:space="preserve">The pattern of a course is tracked. Case: Assessment pattern of a course is shown</t>
  </si>
  <si>
    <t xml:space="preserve">1. A course with a pattern (ASM-01)</t>
  </si>
  <si>
    <t xml:space="preserve">1. Open a course with an assessment pattern
2. Open the pattern tracking</t>
  </si>
  <si>
    <t xml:space="preserve">1. The pattern of the course is tracked and shown</t>
  </si>
  <si>
    <t xml:space="preserve">Tender 10.2.3 (Assessment, Sprint 3)</t>
  </si>
  <si>
    <t xml:space="preserve">CP-126</t>
  </si>
  <si>
    <t xml:space="preserve">10.2.3 requires tracking of the pattern for each course</t>
  </si>
  <si>
    <t xml:space="preserve">TC-SCN-127-01</t>
  </si>
  <si>
    <t xml:space="preserve">10.2.4</t>
  </si>
  <si>
    <t xml:space="preserve">SCN-127</t>
  </si>
  <si>
    <t xml:space="preserve">Individual and group share</t>
  </si>
  <si>
    <t xml:space="preserve">Individual and group percentages add up from the components</t>
  </si>
  <si>
    <t xml:space="preserve">The share of individual and group assessment is monitored. Case: Individual and group percentages add up from the components</t>
  </si>
  <si>
    <t xml:space="preserve">1. A course with two components (ASM-01)</t>
  </si>
  <si>
    <t xml:space="preserve">Components: 60 individual, 40 group</t>
  </si>
  <si>
    <t xml:space="preserve">1. Mark a component of 60 percent as individual and a component of 40 percent as group
2. Open the monitor</t>
  </si>
  <si>
    <t xml:space="preserve">1. The monitor shows 60 percent individual and 40 percent group</t>
  </si>
  <si>
    <t xml:space="preserve">Tender 10.2.4 (Assessment, Sprint 3)</t>
  </si>
  <si>
    <t xml:space="preserve">CP-127</t>
  </si>
  <si>
    <t xml:space="preserve">10.2.4 requires the indication and the monitoring</t>
  </si>
  <si>
    <t xml:space="preserve">TC-SCN-128-01</t>
  </si>
  <si>
    <t xml:space="preserve">10.2.5</t>
  </si>
  <si>
    <t xml:space="preserve">SCN-128</t>
  </si>
  <si>
    <t xml:space="preserve">Book, change and cancel an assessment session</t>
  </si>
  <si>
    <t xml:space="preserve">Candidate books an assessment session</t>
  </si>
  <si>
    <t xml:space="preserve">A candidate manages an assessment booking. Case: Candidate books an assessment session</t>
  </si>
  <si>
    <t xml:space="preserve">1. An assessment session with seats exists (ASM-01)</t>
  </si>
  <si>
    <t xml:space="preserve">Candidate: learner.test01</t>
  </si>
  <si>
    <t xml:space="preserve">1. Sign in as a candidate
2. Open the assessment sessions
3. Book one</t>
  </si>
  <si>
    <t xml:space="preserve">1. The booking is confirmed</t>
  </si>
  <si>
    <t xml:space="preserve">Tender 10.2.5 (Assessment, Sprint 3)</t>
  </si>
  <si>
    <t xml:space="preserve">CP-128</t>
  </si>
  <si>
    <t xml:space="preserve">10.2.5 requires booking</t>
  </si>
  <si>
    <t xml:space="preserve">TC-SCN-128-02</t>
  </si>
  <si>
    <t xml:space="preserve">Change of a booking imposes the configured fee</t>
  </si>
  <si>
    <t xml:space="preserve">A candidate manages an assessment booking. Case: Change of a booking imposes the configured fee</t>
  </si>
  <si>
    <t xml:space="preserve">1. A booked candidate and a configured change fee (ASM-01)</t>
  </si>
  <si>
    <t xml:space="preserve">Fee: configured change fee</t>
  </si>
  <si>
    <t xml:space="preserve">1. Change the booking to another session
2. Open the fee</t>
  </si>
  <si>
    <t xml:space="preserve">1. The fee for the change is imposed</t>
  </si>
  <si>
    <t xml:space="preserve">ASM-54</t>
  </si>
  <si>
    <t xml:space="preserve">10.2.5 imposes a fee for changes where necessary</t>
  </si>
  <si>
    <t xml:space="preserve">TC-SCN-128-03</t>
  </si>
  <si>
    <t xml:space="preserve">Candidate cancels a booking</t>
  </si>
  <si>
    <t xml:space="preserve">A candidate manages an assessment booking. Case: Candidate cancels a booking</t>
  </si>
  <si>
    <t xml:space="preserve">1. A booked candidate (ASM-01)</t>
  </si>
  <si>
    <t xml:space="preserve">1. Cancel the booking
2. Open the session</t>
  </si>
  <si>
    <t xml:space="preserve">1. The booking is cancelled and the seat is free</t>
  </si>
  <si>
    <t xml:space="preserve">10.2.5 requires cancellation. A fee rule for cancellation is not given</t>
  </si>
  <si>
    <t xml:space="preserve">TC-SCN-129-01</t>
  </si>
  <si>
    <t xml:space="preserve">10.2.6</t>
  </si>
  <si>
    <t xml:space="preserve">SCN-129</t>
  </si>
  <si>
    <t xml:space="preserve">Not passed reminders</t>
  </si>
  <si>
    <t xml:space="preserve">Reminder is sent when the period has passed without a pass</t>
  </si>
  <si>
    <t xml:space="preserve">A reminder is sent at the end of the period. Case: Reminder is sent when the period has passed without a pass</t>
  </si>
  <si>
    <t xml:space="preserve">1. A learner who has not passed for 3 months (ASM-01)</t>
  </si>
  <si>
    <t xml:space="preserve">Period: 3 months</t>
  </si>
  <si>
    <t xml:space="preserve">1. Set a period of 3 months for a course
2. Set a learner who has not passed for 3 months
3. Run the monitor
4. Check the learner's email</t>
  </si>
  <si>
    <t xml:space="preserve">1. The learner is on the monitor list
2. An automated reminder is sent to the candidate</t>
  </si>
  <si>
    <t xml:space="preserve">Tender 10.2.6 (Assessment, Sprint 3)</t>
  </si>
  <si>
    <t xml:space="preserve">CP-129</t>
  </si>
  <si>
    <t xml:space="preserve">ASM-21, ASM-55</t>
  </si>
  <si>
    <t xml:space="preserve">10.2.6 requires monitoring and reminders</t>
  </si>
  <si>
    <t xml:space="preserve">TC-SCN-129-02</t>
  </si>
  <si>
    <t xml:space="preserve">No reminder before the period ends</t>
  </si>
  <si>
    <t xml:space="preserve">A reminder is sent at the end of the period. Case: No reminder before the period ends</t>
  </si>
  <si>
    <t xml:space="preserve">1. A learner who has not passed for less than the period (ASM-01)</t>
  </si>
  <si>
    <t xml:space="preserve">Period: 3 months minus 1 day</t>
  </si>
  <si>
    <t xml:space="preserve">1. Use a learner who has not passed for 3 months minus 1 day
2. Run the monitor</t>
  </si>
  <si>
    <t xml:space="preserve">1. No reminder is sent yet</t>
  </si>
  <si>
    <t xml:space="preserve">ASM-55</t>
  </si>
  <si>
    <t xml:space="preserve">10.2.6 uses a predetermined period</t>
  </si>
  <si>
    <t xml:space="preserve">TC-SCN-130-01</t>
  </si>
  <si>
    <t xml:space="preserve">10.2.7</t>
  </si>
  <si>
    <t xml:space="preserve">SCN-130</t>
  </si>
  <si>
    <t xml:space="preserve">Assessor and cover</t>
  </si>
  <si>
    <t xml:space="preserve">Assessor and covering assessor are appointed</t>
  </si>
  <si>
    <t xml:space="preserve">An assessor and a covering assessor are appointed. Case: Assessor and covering assessor are appointed</t>
  </si>
  <si>
    <t xml:space="preserve">1. An assessment and two trainers exist (ASM-01)</t>
  </si>
  <si>
    <t xml:space="preserve">Assessors: trainer 01, trainer 02</t>
  </si>
  <si>
    <t xml:space="preserve">1. Open an assessment
2. Appoint an assessor
3. Appoint a covering assessor
4. Save
5. Reopen</t>
  </si>
  <si>
    <t xml:space="preserve">1. Both the assessor and the covering assessor are saved on the assessment</t>
  </si>
  <si>
    <t xml:space="preserve">Tender 10.2.7 (Assessment, Sprint 3)</t>
  </si>
  <si>
    <t xml:space="preserve">CP-130</t>
  </si>
  <si>
    <t xml:space="preserve">10.2.7 requires the appointment and the cover</t>
  </si>
  <si>
    <t xml:space="preserve">TC-SCN-131-01</t>
  </si>
  <si>
    <t xml:space="preserve">10.2.8</t>
  </si>
  <si>
    <t xml:space="preserve">SCN-131</t>
  </si>
  <si>
    <t xml:space="preserve">Grade submission tracking</t>
  </si>
  <si>
    <t xml:space="preserve">Grade submission by a trainer is tracked</t>
  </si>
  <si>
    <t xml:space="preserve">Trainers submit grades and the submission is tracked. Case: Grade submission by a trainer is tracked</t>
  </si>
  <si>
    <t xml:space="preserve">1. A trainer with a course (ASM-01)</t>
  </si>
  <si>
    <t xml:space="preserve">Trainer: trainer 01</t>
  </si>
  <si>
    <t xml:space="preserve">1. Sign in as a Trainer
2. Submit grades for a course
3. Sign in as Course Administrator
4. Open the grade submission tracking</t>
  </si>
  <si>
    <t xml:space="preserve">1. The submission is updated
2. The tracking shows the trainer, the time and the status of the submission</t>
  </si>
  <si>
    <t xml:space="preserve">Tender 10.2.8 (Assessment, Sprint 3)</t>
  </si>
  <si>
    <t xml:space="preserve">CP-131</t>
  </si>
  <si>
    <t xml:space="preserve">10.2.8 requires update and tracking of grade submission</t>
  </si>
  <si>
    <t xml:space="preserve">TC-SCN-132-01</t>
  </si>
  <si>
    <t xml:space="preserve">10.2.9</t>
  </si>
  <si>
    <t xml:space="preserve">SCN-132</t>
  </si>
  <si>
    <t xml:space="preserve">Assessment results to TPGateway</t>
  </si>
  <si>
    <t xml:space="preserve">Final assessment result is sent to TPGateway automatically</t>
  </si>
  <si>
    <t xml:space="preserve">Final results are sent to TPGateway. Case: Final assessment result is sent to TPGateway automatically</t>
  </si>
  <si>
    <t xml:space="preserve">1. A finalised result and a TPGateway test endpoint (ASM-01)</t>
  </si>
  <si>
    <t xml:space="preserve">1. Finalise the result of an SSG funded course
2. Wait for the interface run
3. Check the TPGateway test endpoint</t>
  </si>
  <si>
    <t xml:space="preserve">1. The result is sent to TPGateway automatically</t>
  </si>
  <si>
    <t xml:space="preserve">Tender 10.2.9 (Assessment, Sprint 3)</t>
  </si>
  <si>
    <t xml:space="preserve">CP-132</t>
  </si>
  <si>
    <t xml:space="preserve">10.2.9 requires the automatic interface of results</t>
  </si>
  <si>
    <t xml:space="preserve">TC-SCN-132-02</t>
  </si>
  <si>
    <t xml:space="preserve">Interface failure of a result is not silent</t>
  </si>
  <si>
    <t xml:space="preserve">Final results are sent to TPGateway. Case: Interface failure of a result is not silent</t>
  </si>
  <si>
    <t xml:space="preserve">1. Switch the TPGateway test endpoint off
2. Finalise a result
3. Check the log and the result</t>
  </si>
  <si>
    <t xml:space="preserve">1. The failure is logged
2. The result is not lost and can be sent again</t>
  </si>
  <si>
    <t xml:space="preserve">10.2.9 requires an automatic interface. Loss of a result is not acceptable. The Tender does not say so</t>
  </si>
  <si>
    <t xml:space="preserve">TC-SCN-133-01</t>
  </si>
  <si>
    <t xml:space="preserve">10.2.10</t>
  </si>
  <si>
    <t xml:space="preserve">SCN-133</t>
  </si>
  <si>
    <t xml:space="preserve">Reassessment request</t>
  </si>
  <si>
    <t xml:space="preserve">Valid reason inside the period gets a new schedule after approval</t>
  </si>
  <si>
    <t xml:space="preserve">A reassessment request with a valid reason inside the period gets a new schedule. Case: Valid reason inside the period gets a new schedule after approval</t>
  </si>
  <si>
    <t xml:space="preserve">1. A candidate who failed an assessment (ASM-01)</t>
  </si>
  <si>
    <t xml:space="preserve">Reason: valid reason</t>
  </si>
  <si>
    <t xml:space="preserve">1. Submit a reassessment request with a valid reason inside the permissible period
2. Approve it
3. Open the schedule</t>
  </si>
  <si>
    <t xml:space="preserve">1. A new assessment schedule is provided after the approval</t>
  </si>
  <si>
    <t xml:space="preserve">Tender 10.2.10 (Assessment, Sprint 3)</t>
  </si>
  <si>
    <t xml:space="preserve">CP-133</t>
  </si>
  <si>
    <t xml:space="preserve">10.2.10 gives the conditions</t>
  </si>
  <si>
    <t xml:space="preserve">TC-SCN-133-02</t>
  </si>
  <si>
    <t xml:space="preserve">Request after the maximum period gets no schedule</t>
  </si>
  <si>
    <t xml:space="preserve">A reassessment request with a valid reason inside the period gets a new schedule. Case: Request after the maximum period gets no schedule</t>
  </si>
  <si>
    <t xml:space="preserve">1. Submit the request one day after the permissible maximum period
2. Open the result</t>
  </si>
  <si>
    <t xml:space="preserve">1. No new assessment schedule is provided</t>
  </si>
  <si>
    <t xml:space="preserve">10.2.10 limits it to the permissible period</t>
  </si>
  <si>
    <t xml:space="preserve">TC-SCN-133-03</t>
  </si>
  <si>
    <t xml:space="preserve">Request without a valid reason gets no schedule</t>
  </si>
  <si>
    <t xml:space="preserve">A reassessment request with a valid reason inside the period gets a new schedule. Case: Request without a valid reason gets no schedule</t>
  </si>
  <si>
    <t xml:space="preserve">Reason: none</t>
  </si>
  <si>
    <t xml:space="preserve">1. Submit the request without a valid reason
2. Open the result</t>
  </si>
  <si>
    <t xml:space="preserve">10.2.10 requires a valid reason</t>
  </si>
  <si>
    <t xml:space="preserve">TC-SCN-134-01</t>
  </si>
  <si>
    <t xml:space="preserve">10.2.11</t>
  </si>
  <si>
    <t xml:space="preserve">SCN-134</t>
  </si>
  <si>
    <t xml:space="preserve">No show for reassessment</t>
  </si>
  <si>
    <t xml:space="preserve">No show without a new booking is captured as a status</t>
  </si>
  <si>
    <t xml:space="preserve">A no show is captured. Case: No show without a new booking is captured as a status</t>
  </si>
  <si>
    <t xml:space="preserve">1. A learner with a reassessment session (ASM-01)</t>
  </si>
  <si>
    <t xml:space="preserve">Learner: learner.test12</t>
  </si>
  <si>
    <t xml:space="preserve">1. Mark a learner as not present at a reassessment
2. Do not book a new date
3. Open the status of the learner</t>
  </si>
  <si>
    <t xml:space="preserve">1. The status shows no show for reassessment and no effort to book a new date</t>
  </si>
  <si>
    <t xml:space="preserve">Tender 10.2.11 (Assessment, Sprint 3)</t>
  </si>
  <si>
    <t xml:space="preserve">CP-134</t>
  </si>
  <si>
    <t xml:space="preserve">ASM-57</t>
  </si>
  <si>
    <t xml:space="preserve">10.2.11 requires the status. The status name is not given</t>
  </si>
  <si>
    <t xml:space="preserve">TC-SCN-135-01</t>
  </si>
  <si>
    <t xml:space="preserve">10.2.12</t>
  </si>
  <si>
    <t xml:space="preserve">SCN-135</t>
  </si>
  <si>
    <t xml:space="preserve">Release of marks</t>
  </si>
  <si>
    <t xml:space="preserve">Marks are not shown when release is off</t>
  </si>
  <si>
    <t xml:space="preserve">The release setting controls what the learner sees. Case: Marks are not shown when release is off</t>
  </si>
  <si>
    <t xml:space="preserve">1. A course with marks and release off (ASM-01)</t>
  </si>
  <si>
    <t xml:space="preserve">1. Set the release of marks to off
2. Sign in as the learner
3. Open the result</t>
  </si>
  <si>
    <t xml:space="preserve">1. The learner does not see the marks</t>
  </si>
  <si>
    <t xml:space="preserve">Tender 10.2.12 (Assessment, Sprint 3)</t>
  </si>
  <si>
    <t xml:space="preserve">CP-135</t>
  </si>
  <si>
    <t xml:space="preserve">10.2.12 allows marks not to be released</t>
  </si>
  <si>
    <t xml:space="preserve">TC-SCN-135-02</t>
  </si>
  <si>
    <t xml:space="preserve">Status completed is shown without marks</t>
  </si>
  <si>
    <t xml:space="preserve">The release setting controls what the learner sees. Case: Status completed is shown without marks</t>
  </si>
  <si>
    <t xml:space="preserve">1. A course with a completed learner and release off (ASM-01)</t>
  </si>
  <si>
    <t xml:space="preserve">1. Set the status to show completed without release of marks
2. Sign in as the learner
3. Open the result</t>
  </si>
  <si>
    <t xml:space="preserve">1. The learner sees the status completed and no marks</t>
  </si>
  <si>
    <t xml:space="preserve">10.2.12 second sentence</t>
  </si>
  <si>
    <t xml:space="preserve">TC-SCN-135-03</t>
  </si>
  <si>
    <t xml:space="preserve">Marks are shown when release is on</t>
  </si>
  <si>
    <t xml:space="preserve">The release setting controls what the learner sees. Case: Marks are shown when release is on</t>
  </si>
  <si>
    <t xml:space="preserve">1. A course with marks and release on (ASM-01)</t>
  </si>
  <si>
    <t xml:space="preserve">1. Set the release of marks to on
2. Sign in as the learner
3. Open the result</t>
  </si>
  <si>
    <t xml:space="preserve">1. The learner sees the marks</t>
  </si>
  <si>
    <t xml:space="preserve">10.2.12 allows marks to be released</t>
  </si>
  <si>
    <t xml:space="preserve">TC-SCN-136-01</t>
  </si>
  <si>
    <t xml:space="preserve">10.2.13</t>
  </si>
  <si>
    <t xml:space="preserve">SCN-136</t>
  </si>
  <si>
    <t xml:space="preserve">Export marks by batch</t>
  </si>
  <si>
    <t xml:space="preserve">Batch export holds the marks of the selected learners</t>
  </si>
  <si>
    <t xml:space="preserve">Marks are exported to Excel by batch. Case: Batch export holds the marks of the selected learners</t>
  </si>
  <si>
    <t xml:space="preserve">1. A course with five learners and marks (ASM-01)</t>
  </si>
  <si>
    <t xml:space="preserve">Batch: three learners</t>
  </si>
  <si>
    <t xml:space="preserve">1. Select a batch of three learners
2. Export the marks and results to Excel
3. Open the file</t>
  </si>
  <si>
    <t xml:space="preserve">1. The file holds the marks and results of the three selected learners only</t>
  </si>
  <si>
    <t xml:space="preserve">Tender 10.2.13 (Assessment, Sprint 3)</t>
  </si>
  <si>
    <t xml:space="preserve">CP-136</t>
  </si>
  <si>
    <t xml:space="preserve">10.2.13 requires export by batch</t>
  </si>
  <si>
    <t xml:space="preserve">TC-SCN-137-01</t>
  </si>
  <si>
    <t xml:space="preserve">10.3.1</t>
  </si>
  <si>
    <t xml:space="preserve">SCN-137</t>
  </si>
  <si>
    <t xml:space="preserve">Journey tracking</t>
  </si>
  <si>
    <t xml:space="preserve">Journey of a learner with bundled courses is tracked</t>
  </si>
  <si>
    <t xml:space="preserve">The journey of a learner is tracked. Case: Journey of a learner with bundled courses is tracked</t>
  </si>
  <si>
    <t xml:space="preserve">1. A learner with a bundle (ASM-01)</t>
  </si>
  <si>
    <t xml:space="preserve">1. Enrol a learner in a bundle of three stackable courses
2. Complete one
3. Open the journey</t>
  </si>
  <si>
    <t xml:space="preserve">1. The journey shows the bundle and the progress towards the certificate</t>
  </si>
  <si>
    <t xml:space="preserve">Tender 10.3.1 (Assessment, Sprint 3)</t>
  </si>
  <si>
    <t xml:space="preserve">CP-137</t>
  </si>
  <si>
    <t xml:space="preserve">10.3.1 requires tracking of the entire journey</t>
  </si>
  <si>
    <t xml:space="preserve">TC-SCN-138-01</t>
  </si>
  <si>
    <t xml:space="preserve">10.3.2</t>
  </si>
  <si>
    <t xml:space="preserve">SCN-138</t>
  </si>
  <si>
    <t xml:space="preserve">Progression and recommendation</t>
  </si>
  <si>
    <t xml:space="preserve">Progression shows passed, enrolled and outstanding courses and a recommendation</t>
  </si>
  <si>
    <t xml:space="preserve">The progression and the recommended courses are shown. Case: Progression shows passed, enrolled and outstanding courses and a recommendation</t>
  </si>
  <si>
    <t xml:space="preserve">1. A learner with a qualification path (ASM-01)</t>
  </si>
  <si>
    <t xml:space="preserve">1. Open the progression of a learner with courses passed, enrolled and outstanding
2. Read the page</t>
  </si>
  <si>
    <t xml:space="preserve">1. The page shows the courses passed, enrolled in and outstanding
2. The page shows the equivalent courses and the remaining candidature
3. The System recommends the courses still to complete</t>
  </si>
  <si>
    <t xml:space="preserve">Tender 10.3.2 (Assessment, Sprint 1)</t>
  </si>
  <si>
    <t xml:space="preserve">CP-138</t>
  </si>
  <si>
    <t xml:space="preserve">10.3.2 lists the items. How the recommendation is made is not stated</t>
  </si>
  <si>
    <t xml:space="preserve">TC-SCN-139-01</t>
  </si>
  <si>
    <t xml:space="preserve">10.3.3</t>
  </si>
  <si>
    <t xml:space="preserve">SCN-139</t>
  </si>
  <si>
    <t xml:space="preserve">Prerequisite tracking</t>
  </si>
  <si>
    <t xml:space="preserve">Learner without the prerequisite is not accepted into the next course</t>
  </si>
  <si>
    <t xml:space="preserve">A learner needs the prerequisite course before the next one. Case: Learner without the prerequisite is not accepted into the next course</t>
  </si>
  <si>
    <t xml:space="preserve">1. A programme with two ordered courses (ASM-01)</t>
  </si>
  <si>
    <t xml:space="preserve">1. Apply to the next course of a programme without the prerequisite course
2. Observe the result</t>
  </si>
  <si>
    <t xml:space="preserve">1. The System tracks the prerequisite and the learner is not accepted into the next course</t>
  </si>
  <si>
    <t xml:space="preserve">Tender 10.3.3 (Assessment, Sprint 3)</t>
  </si>
  <si>
    <t xml:space="preserve">CP-139</t>
  </si>
  <si>
    <t xml:space="preserve">10.3.3 requires tracking before acceptance</t>
  </si>
  <si>
    <t xml:space="preserve">TC-SCN-139-02</t>
  </si>
  <si>
    <t xml:space="preserve">Learner with the prerequisite is accepted</t>
  </si>
  <si>
    <t xml:space="preserve">A learner needs the prerequisite course before the next one. Case: Learner with the prerequisite is accepted</t>
  </si>
  <si>
    <t xml:space="preserve">1. Apply to the next course after completing the prerequisite
2. Observe the result</t>
  </si>
  <si>
    <t xml:space="preserve">1. The learner is accepted into the next course</t>
  </si>
  <si>
    <t xml:space="preserve">10.3.3 accepts learners who met the requirement</t>
  </si>
  <si>
    <t xml:space="preserve">TC-SCN-140-01</t>
  </si>
  <si>
    <t xml:space="preserve">10.3.4</t>
  </si>
  <si>
    <t xml:space="preserve">SCN-140</t>
  </si>
  <si>
    <t xml:space="preserve">Template versions</t>
  </si>
  <si>
    <t xml:space="preserve">Template change creates a new version with an effective date</t>
  </si>
  <si>
    <t xml:space="preserve">A template keeps its version history and period. Case: Template change creates a new version with an effective date</t>
  </si>
  <si>
    <t xml:space="preserve">1. A certificate template exists (ASM-01)</t>
  </si>
  <si>
    <t xml:space="preserve">Template: Certificate 01</t>
  </si>
  <si>
    <t xml:space="preserve">1. Open a certificate template
2. Change it with a new effective date
3. Save
4. Open the version history</t>
  </si>
  <si>
    <t xml:space="preserve">1. A new version is created
2. The history shows the earlier version and the effective dates</t>
  </si>
  <si>
    <t xml:space="preserve">Tender 10.3.4 (Assessment, Sprint 3)</t>
  </si>
  <si>
    <t xml:space="preserve">CP-140</t>
  </si>
  <si>
    <t xml:space="preserve">10.3.4 requires version history and effective date</t>
  </si>
  <si>
    <t xml:space="preserve">TC-SCN-141-01</t>
  </si>
  <si>
    <t xml:space="preserve">10.3.5</t>
  </si>
  <si>
    <t xml:space="preserve">SCN-141</t>
  </si>
  <si>
    <t xml:space="preserve">OpenCerts issuance</t>
  </si>
  <si>
    <t xml:space="preserve">E certificate is issued for an SSG funded course</t>
  </si>
  <si>
    <t xml:space="preserve">Certificates are issued through OpenCerts. Case: E certificate is issued for an SSG funded course</t>
  </si>
  <si>
    <t xml:space="preserve">1. A completed learner of an SSG funded course (ASM-01)</t>
  </si>
  <si>
    <t xml:space="preserve">1. Issue the e certificate of a learner of an SSG funded course
2. Check the OpenCerts test service</t>
  </si>
  <si>
    <t xml:space="preserve">1. The e certificate is issued securely through OpenCerts</t>
  </si>
  <si>
    <t xml:space="preserve">Tender 10.3.5 (Assessment, Sprint 3)</t>
  </si>
  <si>
    <t xml:space="preserve">CP-141</t>
  </si>
  <si>
    <t xml:space="preserve">10.3.5 includes SSG funded courses</t>
  </si>
  <si>
    <t xml:space="preserve">TC-SCN-141-02</t>
  </si>
  <si>
    <t xml:space="preserve">E certificate is issued for a non funded course</t>
  </si>
  <si>
    <t xml:space="preserve">Certificates are issued through OpenCerts. Case: E certificate is issued for a non funded course</t>
  </si>
  <si>
    <t xml:space="preserve">1. A completed learner of a non funded course (ASM-01)</t>
  </si>
  <si>
    <t xml:space="preserve">1. Issue the e certificate of a learner of a non funded course
2. Check the OpenCerts test service</t>
  </si>
  <si>
    <t xml:space="preserve">10.3.5 includes non funded courses</t>
  </si>
  <si>
    <t xml:space="preserve">TC-SCN-142-01</t>
  </si>
  <si>
    <t xml:space="preserve">10.3.6</t>
  </si>
  <si>
    <t xml:space="preserve">SCN-142</t>
  </si>
  <si>
    <t xml:space="preserve">External issuance and secure storage</t>
  </si>
  <si>
    <t xml:space="preserve">Stored marks and certificates are available for re issuance</t>
  </si>
  <si>
    <t xml:space="preserve">Documents are issued and stored securely. Case: Stored marks and certificates are available for re issuance</t>
  </si>
  <si>
    <t xml:space="preserve">1. An issued certificate (ASM-01)</t>
  </si>
  <si>
    <t xml:space="preserve">1. Issue an e certificate
2. Open the secure store
3. Re issue the certificate</t>
  </si>
  <si>
    <t xml:space="preserve">1. The marks, result slip and e certificate are stored
2. The certificate can be re issued</t>
  </si>
  <si>
    <t xml:space="preserve">Tender 10.3.6 (Assessment, Sprint 3)</t>
  </si>
  <si>
    <t xml:space="preserve">CP-142</t>
  </si>
  <si>
    <t xml:space="preserve">10.3.6 requires storage for graduation checks and re issuance</t>
  </si>
  <si>
    <t xml:space="preserve">TC-SCN-142-02</t>
  </si>
  <si>
    <t xml:space="preserve">A user without access cannot open the secure store</t>
  </si>
  <si>
    <t xml:space="preserve">Documents are issued and stored securely. Case: A user without access cannot open the secure store</t>
  </si>
  <si>
    <t xml:space="preserve">1. Two learners with stored certificates (ASM-01)</t>
  </si>
  <si>
    <t xml:space="preserve">Learners: learner.test01, learner.test02</t>
  </si>
  <si>
    <t xml:space="preserve">1. Sign in as a learner of another course
2. Try to open the secure store of the first learner</t>
  </si>
  <si>
    <t xml:space="preserve">1. The access is refused</t>
  </si>
  <si>
    <t xml:space="preserve">10.3.6 requires a secured platform</t>
  </si>
  <si>
    <t xml:space="preserve">TC-SCN-143-01</t>
  </si>
  <si>
    <t xml:space="preserve">10.3.7</t>
  </si>
  <si>
    <t xml:space="preserve">SCN-143</t>
  </si>
  <si>
    <t xml:space="preserve">Result appeal</t>
  </si>
  <si>
    <t xml:space="preserve">Appeal notifies the CET Administrators</t>
  </si>
  <si>
    <t xml:space="preserve">An appeal triggers a notification and review. Case: Appeal notifies the CET Administrators</t>
  </si>
  <si>
    <t xml:space="preserve">1. Sign in as a learner with a result
2. Submit an appeal
3. Sign in as CET Administrator
4. Open the notifications</t>
  </si>
  <si>
    <t xml:space="preserve">1. The CET Administrator receives a notification of the appeal</t>
  </si>
  <si>
    <t xml:space="preserve">Tender 10.3.7 (Assessment, Sprint 3)</t>
  </si>
  <si>
    <t xml:space="preserve">CP-143</t>
  </si>
  <si>
    <t xml:space="preserve">10.3.7 requires the notification</t>
  </si>
  <si>
    <t xml:space="preserve">TC-SCN-143-02</t>
  </si>
  <si>
    <t xml:space="preserve">Approved appeal re issues result and certificate</t>
  </si>
  <si>
    <t xml:space="preserve">An appeal triggers a notification and review. Case: Approved appeal re issues result and certificate</t>
  </si>
  <si>
    <t xml:space="preserve">1. A pending appeal (ASM-01)</t>
  </si>
  <si>
    <t xml:space="preserve">1. Approve the appeal as faculty and approver
2. Open the result and the certificate</t>
  </si>
  <si>
    <t xml:space="preserve">1. The result and the certificate are re issued if necessary</t>
  </si>
  <si>
    <t xml:space="preserve">10.3.7 requires review and re issue</t>
  </si>
  <si>
    <t xml:space="preserve">TC-SCN-144-01</t>
  </si>
  <si>
    <t xml:space="preserve">11.1.2</t>
  </si>
  <si>
    <t xml:space="preserve">SCN-144</t>
  </si>
  <si>
    <t xml:space="preserve">Refund by funding source</t>
  </si>
  <si>
    <t xml:space="preserve">SFC refund is made</t>
  </si>
  <si>
    <t xml:space="preserve">A refund is made for each funding source. Case: SFC refund is made</t>
  </si>
  <si>
    <t xml:space="preserve">1. A learner paid by SFC (ASM-01)</t>
  </si>
  <si>
    <t xml:space="preserve">Source: SFC</t>
  </si>
  <si>
    <t xml:space="preserve">1. Withdraw a learner who paid by SFC
2. Approve the refund
3. Open the refund record</t>
  </si>
  <si>
    <t xml:space="preserve">1. The refund is made for the SFC amount and recorded</t>
  </si>
  <si>
    <t xml:space="preserve">Tender 11.1.2 (Funding, Sprint 2)</t>
  </si>
  <si>
    <t xml:space="preserve">CP-144</t>
  </si>
  <si>
    <t xml:space="preserve">11.1.2 item 1</t>
  </si>
  <si>
    <t xml:space="preserve">TC-SCN-144-02</t>
  </si>
  <si>
    <t xml:space="preserve">PSEA refund is made</t>
  </si>
  <si>
    <t xml:space="preserve">A refund is made for each funding source. Case: PSEA refund is made</t>
  </si>
  <si>
    <t xml:space="preserve">1. A learner paid by PSEA (ASM-01)</t>
  </si>
  <si>
    <t xml:space="preserve">Source: PSEA</t>
  </si>
  <si>
    <t xml:space="preserve">1. Withdraw a learner who paid by PSEA
2. Approve the refund
3. Open the refund record</t>
  </si>
  <si>
    <t xml:space="preserve">1. The refund is made for the PSEA amount and recorded</t>
  </si>
  <si>
    <t xml:space="preserve">ASM-69, ASM-77</t>
  </si>
  <si>
    <t xml:space="preserve">11.1.2 item 2</t>
  </si>
  <si>
    <t xml:space="preserve">TC-SCN-144-03</t>
  </si>
  <si>
    <t xml:space="preserve">Refund for a company sponsored course is made</t>
  </si>
  <si>
    <t xml:space="preserve">A refund is made for each funding source. Case: Refund for a company sponsored course is made</t>
  </si>
  <si>
    <t xml:space="preserve">1. A company sponsored paid enrolment (ASM-01)</t>
  </si>
  <si>
    <t xml:space="preserve">Source: company</t>
  </si>
  <si>
    <t xml:space="preserve">1. Withdraw a learner of a company sponsored course
2. Approve the refund
3. Open the refund record</t>
  </si>
  <si>
    <t xml:space="preserve">1. The refund is made to the company and recorded</t>
  </si>
  <si>
    <t xml:space="preserve">11.1.2 item 3</t>
  </si>
  <si>
    <t xml:space="preserve">TC-SCN-145-01</t>
  </si>
  <si>
    <t xml:space="preserve">11.5.3</t>
  </si>
  <si>
    <t xml:space="preserve">SCN-145</t>
  </si>
  <si>
    <t xml:space="preserve">Account mapping</t>
  </si>
  <si>
    <t xml:space="preserve">Course fee posts to the configured account code, fund code and cost centre</t>
  </si>
  <si>
    <t xml:space="preserve">Each billing item posts with its configured codes. Case: Course fee posts to the configured account code, fund code and cost centre</t>
  </si>
  <si>
    <t xml:space="preserve">1. A mapping and an invoice (ASM-01)</t>
  </si>
  <si>
    <t xml:space="preserve">Item: course fee</t>
  </si>
  <si>
    <t xml:space="preserve">1. Configure codes for the course fee
2. Post an invoice
3. Open the posting</t>
  </si>
  <si>
    <t xml:space="preserve">1. The posting carries the configured account code, fund code, funding source and cost centre</t>
  </si>
  <si>
    <t xml:space="preserve">Tender 11.5.3 (Funding, Sprint 3)</t>
  </si>
  <si>
    <t xml:space="preserve">CP-145</t>
  </si>
  <si>
    <t xml:space="preserve">ASM-75</t>
  </si>
  <si>
    <t xml:space="preserve">11.5.3 requires the mapping. The codes are configured</t>
  </si>
  <si>
    <t xml:space="preserve">TC-SCN-145-02</t>
  </si>
  <si>
    <t xml:space="preserve">Grant, SFC and PSEA map to different account codes</t>
  </si>
  <si>
    <t xml:space="preserve">Each billing item posts with its configured codes. Case: Grant, SFC and PSEA map to different account codes</t>
  </si>
  <si>
    <t xml:space="preserve">1. Three mappings (ASM-01)</t>
  </si>
  <si>
    <t xml:space="preserve">Items: grant, SFC, PSEA</t>
  </si>
  <si>
    <t xml:space="preserve">1. Configure different codes for a grant, SFC and PSEA
2. Post one item of each
3. Open the postings</t>
  </si>
  <si>
    <t xml:space="preserve">1. Each item posts with its own account code</t>
  </si>
  <si>
    <t xml:space="preserve">11.5.3 last sentence</t>
  </si>
  <si>
    <t xml:space="preserve">TC-SCN-146-01</t>
  </si>
  <si>
    <t xml:space="preserve">11.8.3</t>
  </si>
  <si>
    <t xml:space="preserve">SCN-146</t>
  </si>
  <si>
    <t xml:space="preserve">Funding report</t>
  </si>
  <si>
    <t xml:space="preserve">Report shows the amount for each funding source</t>
  </si>
  <si>
    <t xml:space="preserve">The report shows each funding amount in the range. Case: Report shows the amount for each funding source</t>
  </si>
  <si>
    <t xml:space="preserve">1. Five funded enrolments (ASM-01)</t>
  </si>
  <si>
    <t xml:space="preserve">Sources: base grant, MCES, ETSS, NSA, AFS</t>
  </si>
  <si>
    <t xml:space="preserve">1. Fund learners from base grant, MCES, ETSS, NSA and AFS
2. Open the funding report for the course and the range</t>
  </si>
  <si>
    <t xml:space="preserve">1. The report shows the amount of each of the five sources for the course</t>
  </si>
  <si>
    <t xml:space="preserve">Tender 11.8.3 (Funding, Sprint 3)</t>
  </si>
  <si>
    <t xml:space="preserve">CP-146</t>
  </si>
  <si>
    <t xml:space="preserve">11.8.3 items 1 to 5</t>
  </si>
  <si>
    <t xml:space="preserve">TC-SCN-146-02</t>
  </si>
  <si>
    <t xml:space="preserve">Funding on the end date of the range is included</t>
  </si>
  <si>
    <t xml:space="preserve">The report shows each funding amount in the range. Case: Funding on the end date of the range is included</t>
  </si>
  <si>
    <t xml:space="preserve">1. An enrolment on the last day (ASM-01)</t>
  </si>
  <si>
    <t xml:space="preserve">End date: the funding date</t>
  </si>
  <si>
    <t xml:space="preserve">1. Fund an enrolment on the last day of a range
2. Run the report with that last day as the end date</t>
  </si>
  <si>
    <t xml:space="preserve">1. The funding of the last day is included</t>
  </si>
  <si>
    <t xml:space="preserve">11.8.3 date range</t>
  </si>
  <si>
    <t xml:space="preserve">TC-SCN-146-03</t>
  </si>
  <si>
    <t xml:space="preserve">Funding outside the range is not included</t>
  </si>
  <si>
    <t xml:space="preserve">The report shows each funding amount in the range. Case: Funding outside the range is not included</t>
  </si>
  <si>
    <t xml:space="preserve">1. An enrolment one day after the range (ASM-01)</t>
  </si>
  <si>
    <t xml:space="preserve">Date: end date plus one day</t>
  </si>
  <si>
    <t xml:space="preserve">1. Fund an enrolment one day after the range
2. Run the report for the range</t>
  </si>
  <si>
    <t xml:space="preserve">1. The later funding is not included</t>
  </si>
  <si>
    <t xml:space="preserve">TC-SCN-147-01</t>
  </si>
  <si>
    <t xml:space="preserve">12.1.1</t>
  </si>
  <si>
    <t xml:space="preserve">SCN-147</t>
  </si>
  <si>
    <t xml:space="preserve">Alumni indicator</t>
  </si>
  <si>
    <t xml:space="preserve">Learner is marked as an alumnus with an identification</t>
  </si>
  <si>
    <t xml:space="preserve">A learner is marked as an alumnus. Case: Learner is marked as an alumnus with an identification</t>
  </si>
  <si>
    <t xml:space="preserve">1. A learner exists (ASM-01)</t>
  </si>
  <si>
    <t xml:space="preserve">1. Sign in as Course Administrator
2. Open a learner
3. Mark the learner as an alumnus
4. Save
5. Reopen the learner</t>
  </si>
  <si>
    <t xml:space="preserve">1. The learner shows the alumni indicator and an identification for alumni status</t>
  </si>
  <si>
    <t xml:space="preserve">Tender 12.1.1 (Funding, Sprint 3)</t>
  </si>
  <si>
    <t xml:space="preserve">CP-147</t>
  </si>
  <si>
    <t xml:space="preserve">12.1.1 requires the indication and identification</t>
  </si>
  <si>
    <t xml:space="preserve">TC-SCN-147-02</t>
  </si>
  <si>
    <t xml:space="preserve">Learner who is not marked is not an alumnus</t>
  </si>
  <si>
    <t xml:space="preserve">A learner is marked as an alumnus. Case: Learner who is not marked is not an alumnus</t>
  </si>
  <si>
    <t xml:space="preserve">1. Open a learner who was not marked
2. Check the alumni indicator</t>
  </si>
  <si>
    <t xml:space="preserve">1. The learner shows no alumni indicator</t>
  </si>
  <si>
    <t xml:space="preserve">12.1.1 indicates only the marked learner</t>
  </si>
  <si>
    <t xml:space="preserve">TC-SCN-148-01</t>
  </si>
  <si>
    <t xml:space="preserve">12.2.1</t>
  </si>
  <si>
    <t xml:space="preserve">SCN-148</t>
  </si>
  <si>
    <t xml:space="preserve">Alumni credit balance</t>
  </si>
  <si>
    <t xml:space="preserve">Balance is reduced after a credit is used in billing</t>
  </si>
  <si>
    <t xml:space="preserve">The balance changes with each use. Case: Balance is reduced after a credit is used in billing</t>
  </si>
  <si>
    <t xml:space="preserve">1. An alumnus with a 200 credit (ASM-01)</t>
  </si>
  <si>
    <t xml:space="preserve">Credit: 200
Used: 100</t>
  </si>
  <si>
    <t xml:space="preserve">1. Bill a course using 100 of a 200 credit
2. Open the balance</t>
  </si>
  <si>
    <t xml:space="preserve">1. The balance is 100</t>
  </si>
  <si>
    <t xml:space="preserve">Tender 12.2.1 (Funding, Sprint 3)</t>
  </si>
  <si>
    <t xml:space="preserve">CP-148</t>
  </si>
  <si>
    <t xml:space="preserve">12.2.1 requires tracking and maintenance for billing</t>
  </si>
  <si>
    <t xml:space="preserve">TC-SCN-148-02</t>
  </si>
  <si>
    <t xml:space="preserve">Credit cannot be used beyond the balance</t>
  </si>
  <si>
    <t xml:space="preserve">The balance changes with each use. Case: Credit cannot be used beyond the balance</t>
  </si>
  <si>
    <t xml:space="preserve">Credit: 200
Requested: 250</t>
  </si>
  <si>
    <t xml:space="preserve">1. Bill a course using 250 of a 200 credit
2. Open the billing</t>
  </si>
  <si>
    <t xml:space="preserve">1. At most 200 is used and the balance is 0</t>
  </si>
  <si>
    <t xml:space="preserve">12.2.1 maintains the balance</t>
  </si>
  <si>
    <t xml:space="preserve">TC-SCN-149-01</t>
  </si>
  <si>
    <t xml:space="preserve">12.2.2</t>
  </si>
  <si>
    <t xml:space="preserve">SCN-149</t>
  </si>
  <si>
    <t xml:space="preserve">Balance in the record</t>
  </si>
  <si>
    <t xml:space="preserve">Student record shows the balance</t>
  </si>
  <si>
    <t xml:space="preserve">The student record shows the balance. Case: Student record shows the balance</t>
  </si>
  <si>
    <t xml:space="preserve">1. An alumnus with a credit (ASM-01)</t>
  </si>
  <si>
    <t xml:space="preserve">1. Use a credit in billing
2. Open the student record of the alumnus</t>
  </si>
  <si>
    <t xml:space="preserve">1. The student record shows the updated balance</t>
  </si>
  <si>
    <t xml:space="preserve">Tender 12.2.2 (Funding, Sprint 3)</t>
  </si>
  <si>
    <t xml:space="preserve">CP-149</t>
  </si>
  <si>
    <t xml:space="preserve">12.2.2 requires the balance in the student record</t>
  </si>
  <si>
    <t xml:space="preserve">TC-SCN-150-01</t>
  </si>
  <si>
    <t xml:space="preserve">12.2.3</t>
  </si>
  <si>
    <t xml:space="preserve">SCN-150</t>
  </si>
  <si>
    <t xml:space="preserve">ACC cap</t>
  </si>
  <si>
    <t xml:space="preserve">Credit up to the cap of 50 percent is applied</t>
  </si>
  <si>
    <t xml:space="preserve">The credit used does not exceed the cap. Case: Credit up to the cap of 50 percent is applied</t>
  </si>
  <si>
    <t xml:space="preserve">1. An alumnus with a credit of 800 (ASM-01)</t>
  </si>
  <si>
    <t xml:space="preserve">Fee: 1000
Cap: 50 percent
Credit: 500</t>
  </si>
  <si>
    <t xml:space="preserve">1. Set the cap to 50 percent
2. Bill a course of fee 1000 using a credit of 500
3. Open the billing</t>
  </si>
  <si>
    <t xml:space="preserve">1. The credit of 500 is applied</t>
  </si>
  <si>
    <t xml:space="preserve">Tender 12.2.3 (Funding, Sprint 3)</t>
  </si>
  <si>
    <t xml:space="preserve">CP-150</t>
  </si>
  <si>
    <t xml:space="preserve">12.2.3 example 50 percent. The cap value is configured</t>
  </si>
  <si>
    <t xml:space="preserve">TC-SCN-150-02</t>
  </si>
  <si>
    <t xml:space="preserve">Credit above the cap is limited to the cap</t>
  </si>
  <si>
    <t xml:space="preserve">The credit used does not exceed the cap. Case: Credit above the cap is limited to the cap</t>
  </si>
  <si>
    <t xml:space="preserve">Fee: 1000
Cap: 50 percent
Credit: 501</t>
  </si>
  <si>
    <t xml:space="preserve">1. Bill the same course using a credit of 501
2. Open the billing</t>
  </si>
  <si>
    <t xml:space="preserve">1. Only 500 is applied and the extra 1 is not used</t>
  </si>
  <si>
    <t xml:space="preserve">12.2.3 requires the cap</t>
  </si>
  <si>
    <t xml:space="preserve">TC-SCN-150-03</t>
  </si>
  <si>
    <t xml:space="preserve">Total utilisation is tracked</t>
  </si>
  <si>
    <t xml:space="preserve">The credit used does not exceed the cap. Case: Total utilisation is tracked</t>
  </si>
  <si>
    <t xml:space="preserve">Used: 300 and 200</t>
  </si>
  <si>
    <t xml:space="preserve">1. Use 300 in one course and 200 in another course
2. Open the total utilisation</t>
  </si>
  <si>
    <t xml:space="preserve">1. The total utilisation is 500</t>
  </si>
  <si>
    <t xml:space="preserve">12.2.3 requires tracking</t>
  </si>
  <si>
    <t xml:space="preserve">TC-SCN-151-01</t>
  </si>
  <si>
    <t xml:space="preserve">18.1.1</t>
  </si>
  <si>
    <t xml:space="preserve">SCN-151</t>
  </si>
  <si>
    <t xml:space="preserve">SSG and TPGateway connection</t>
  </si>
  <si>
    <t xml:space="preserve">System connects to the SSG test endpoint</t>
  </si>
  <si>
    <t xml:space="preserve">The System connects to both systems. Case: System connects to the SSG test endpoint</t>
  </si>
  <si>
    <t xml:space="preserve">1. An SSG test endpoint (ASM-01)</t>
  </si>
  <si>
    <t xml:space="preserve">Endpoint: SSG test</t>
  </si>
  <si>
    <t xml:space="preserve">1. Open the integration status
2. Run a connection check to SSG</t>
  </si>
  <si>
    <t xml:space="preserve">1. The connection to the SSG test endpoint succeeds</t>
  </si>
  <si>
    <t xml:space="preserve">Tender 18.1.1 (Funding, Sprint 1)</t>
  </si>
  <si>
    <t xml:space="preserve">CP-151</t>
  </si>
  <si>
    <t xml:space="preserve">18.1.1 requires the integration</t>
  </si>
  <si>
    <t xml:space="preserve">TC-SCN-151-02</t>
  </si>
  <si>
    <t xml:space="preserve">System connects to the TPGateway test endpoint</t>
  </si>
  <si>
    <t xml:space="preserve">The System connects to both systems. Case: System connects to the TPGateway test endpoint</t>
  </si>
  <si>
    <t xml:space="preserve">1. A TPGateway test endpoint (ASM-01)</t>
  </si>
  <si>
    <t xml:space="preserve">Endpoint: TPGateway test</t>
  </si>
  <si>
    <t xml:space="preserve">1. Open the integration status
2. Run a connection check to TPGateway</t>
  </si>
  <si>
    <t xml:space="preserve">1. The connection to the TPGateway test endpoint succeeds</t>
  </si>
  <si>
    <t xml:space="preserve">TC-SCN-152-01</t>
  </si>
  <si>
    <t xml:space="preserve">18.1.2</t>
  </si>
  <si>
    <t xml:space="preserve">SCN-152</t>
  </si>
  <si>
    <t xml:space="preserve">Funding integrations</t>
  </si>
  <si>
    <t xml:space="preserve">Grant Calculator integration returns the grant</t>
  </si>
  <si>
    <t xml:space="preserve">The funding data is exchanged with the integrations. Case: Grant Calculator integration returns the grant</t>
  </si>
  <si>
    <t xml:space="preserve">1. An eligible learner (ASM-01)</t>
  </si>
  <si>
    <t xml:space="preserve">1. Register an eligible learner
2. Run the grant calculation
3. Check the Grant Calculator test endpoint</t>
  </si>
  <si>
    <t xml:space="preserve">1. The grant is taken from the Grant Calculator and used in the fee</t>
  </si>
  <si>
    <t xml:space="preserve">Tender 18.1.2 (Funding, Sprint 1,2,3)</t>
  </si>
  <si>
    <t xml:space="preserve">CP-152</t>
  </si>
  <si>
    <t xml:space="preserve">18.1.2 item 2</t>
  </si>
  <si>
    <t xml:space="preserve">TC-SCN-152-02</t>
  </si>
  <si>
    <t xml:space="preserve">SFC gateway integration returns the SFC balance</t>
  </si>
  <si>
    <t xml:space="preserve">The funding data is exchanged with the integrations. Case: SFC gateway integration returns the SFC balance</t>
  </si>
  <si>
    <t xml:space="preserve">1. Register a learner with SFC
2. Check the SFC balance from the gateway</t>
  </si>
  <si>
    <t xml:space="preserve">1. The SFC balance of the gateway is used</t>
  </si>
  <si>
    <t xml:space="preserve">18.1.2 item 3</t>
  </si>
  <si>
    <t xml:space="preserve">TC-SCN-152-03</t>
  </si>
  <si>
    <t xml:space="preserve">Grant integration sends the grant claim</t>
  </si>
  <si>
    <t xml:space="preserve">The funding data is exchanged with the integrations. Case: Grant integration sends the grant claim</t>
  </si>
  <si>
    <t xml:space="preserve">1. Complete a funded course
2. Send the grant claim
3. Check the test endpoint</t>
  </si>
  <si>
    <t xml:space="preserve">1. The grant claim is sent through the Grant integration</t>
  </si>
  <si>
    <t xml:space="preserve">18.1.2 item 8</t>
  </si>
  <si>
    <t xml:space="preserve">TC-SCN-153-01</t>
  </si>
  <si>
    <t xml:space="preserve">SCN-153</t>
  </si>
  <si>
    <t xml:space="preserve">Enrolment integration point</t>
  </si>
  <si>
    <t xml:space="preserve">Enrolment reaches TPGateway after it is confirmed</t>
  </si>
  <si>
    <t xml:space="preserve">An enrolment is sent through the SSG and TPGateway integration. Case: Enrolment reaches TPGateway after it is confirmed</t>
  </si>
  <si>
    <t xml:space="preserve">Enrolment: Test Run 01, learner.test01</t>
  </si>
  <si>
    <t xml:space="preserve">1. Confirm an enrolment in SIT
2. Check the integration log
3. Check the TPGateway test endpoint</t>
  </si>
  <si>
    <t xml:space="preserve">1. The enrolment is sent through the enrolment integration
2. The test endpoint holds the enrolment</t>
  </si>
  <si>
    <t xml:space="preserve">Tender 18.1.2 (Enrolment, Sprint 1,2,3)</t>
  </si>
  <si>
    <t xml:space="preserve">CP-153</t>
  </si>
  <si>
    <t xml:space="preserve">18.1.2 item 4 names enrolment integration as an integration point. The data sent is described in 8.5.16</t>
  </si>
  <si>
    <t xml:space="preserve">TC-SCN-154-01</t>
  </si>
  <si>
    <t xml:space="preserve">SCN-154</t>
  </si>
  <si>
    <t xml:space="preserve">SSG integration points for assessment</t>
  </si>
  <si>
    <t xml:space="preserve">Attendance is sent through the eAttendance integration</t>
  </si>
  <si>
    <t xml:space="preserve">Attendance, results and e certificates are exchanged with SSG. Case: Attendance is sent through the eAttendance integration</t>
  </si>
  <si>
    <t xml:space="preserve">1. An SSG funded class and a test endpoint (ASM-01)</t>
  </si>
  <si>
    <t xml:space="preserve">1. Mark attendance of a class of an SSG funded course
2. Check the SSG test endpoint</t>
  </si>
  <si>
    <t xml:space="preserve">1. The attendance is sent through the eAttendance integration</t>
  </si>
  <si>
    <t xml:space="preserve">Tender 18.1.2 (Assessment, Sprint 1,2,3)</t>
  </si>
  <si>
    <t xml:space="preserve">CP-154</t>
  </si>
  <si>
    <t xml:space="preserve">18.1.2 item 5 eAttendance integration</t>
  </si>
  <si>
    <t xml:space="preserve">TC-SCN-154-02</t>
  </si>
  <si>
    <t xml:space="preserve">Result is sent through the Assessment integration</t>
  </si>
  <si>
    <t xml:space="preserve">Attendance, results and e certificates are exchanged with SSG. Case: Result is sent through the Assessment integration</t>
  </si>
  <si>
    <t xml:space="preserve">1. A finalised result and a test endpoint (ASM-01)</t>
  </si>
  <si>
    <t xml:space="preserve">1. Finalise a result of an SSG funded course
2. Check the SSG test endpoint</t>
  </si>
  <si>
    <t xml:space="preserve">1. The result is sent through the Assessment integration</t>
  </si>
  <si>
    <t xml:space="preserve">18.1.2 item 6 Assessment integration</t>
  </si>
  <si>
    <t xml:space="preserve">TC-SCN-154-03</t>
  </si>
  <si>
    <t xml:space="preserve">Verify the eCert integration with SSG</t>
  </si>
  <si>
    <t xml:space="preserve">Attendance, results and e certificates are exchanged with SSG. Case: Verify the eCert integration with SSG</t>
  </si>
  <si>
    <t xml:space="preserve">The Tender names eCert integration as item 7 but has no Sprint # and gives no data or flow</t>
  </si>
  <si>
    <t xml:space="preserve">TC-SCN-155-01</t>
  </si>
  <si>
    <t xml:space="preserve">18.2.1</t>
  </si>
  <si>
    <t xml:space="preserve">SCN-155</t>
  </si>
  <si>
    <t xml:space="preserve">MyInfo integration</t>
  </si>
  <si>
    <t xml:space="preserve">System retrieves data from MyInfo</t>
  </si>
  <si>
    <t xml:space="preserve">The System reads data from MyInfo. Case: System retrieves data from MyInfo</t>
  </si>
  <si>
    <t xml:space="preserve">1. A MyInfo test identity exists (ASM-01)</t>
  </si>
  <si>
    <t xml:space="preserve">1. Sign in with SingPass as a test resident
2. Authorise the MyInfo data retrieval
3. Observe the data shown</t>
  </si>
  <si>
    <t xml:space="preserve">1. The System retrieves the learner data from MyInfo
2. The retrieved data is shown in the portal</t>
  </si>
  <si>
    <t xml:space="preserve">Tender 18.2.1 (Enrolment, Sprint 1)</t>
  </si>
  <si>
    <t xml:space="preserve">CP-155</t>
  </si>
  <si>
    <t xml:space="preserve">18.2.1 requires integration with MyInfo</t>
  </si>
  <si>
    <t xml:space="preserve">TC-SCN-156-01</t>
  </si>
  <si>
    <t xml:space="preserve">18.2.2</t>
  </si>
  <si>
    <t xml:space="preserve">SCN-156</t>
  </si>
  <si>
    <t xml:space="preserve">SingPass integration</t>
  </si>
  <si>
    <t xml:space="preserve">SingPass session ends with the System session</t>
  </si>
  <si>
    <t xml:space="preserve">The System authenticates through SingPass. Case: SingPass session ends with the System session</t>
  </si>
  <si>
    <t xml:space="preserve">1. A SingPass test identity exists (ASM-01)</t>
  </si>
  <si>
    <t xml:space="preserve">1. Sign in with SingPass
2. Sign out of the System
3. Press the browser back button
4. Observe the page</t>
  </si>
  <si>
    <t xml:space="preserve">1. The System session ends after sign out
2. The back button does not show a signed in page</t>
  </si>
  <si>
    <t xml:space="preserve">Tender 18.2.2 (Enrolment, Sprint 1)</t>
  </si>
  <si>
    <t xml:space="preserve">CP-156</t>
  </si>
  <si>
    <t xml:space="preserve">18.2.2 requires SingPass integration. Session end is part of safe authentication but is not stated</t>
  </si>
  <si>
    <t xml:space="preserve">TC-SCN-157-01</t>
  </si>
  <si>
    <t xml:space="preserve">18.2.4</t>
  </si>
  <si>
    <t xml:space="preserve">SCN-157</t>
  </si>
  <si>
    <t xml:space="preserve">SME status by MyInfo and ACRA</t>
  </si>
  <si>
    <t xml:space="preserve">SME employer is proven and ETSS is applied</t>
  </si>
  <si>
    <t xml:space="preserve">The employer SME status is proven by the external check. Case: SME employer is proven and ETSS is applied</t>
  </si>
  <si>
    <t xml:space="preserve">1. An employee of an SME company and test endpoints (ASM-01)</t>
  </si>
  <si>
    <t xml:space="preserve">1. Enrol an employee of an SME company
2. Check the SME status
3. Open the fee</t>
  </si>
  <si>
    <t xml:space="preserve">1. The SME status is proven through MyInfo and ACRA and ETSS is applied</t>
  </si>
  <si>
    <t xml:space="preserve">Tender 18.2.4 (Funding, Sprint 2)</t>
  </si>
  <si>
    <t xml:space="preserve">CP-157</t>
  </si>
  <si>
    <t xml:space="preserve">18.2.4 requires the proof</t>
  </si>
  <si>
    <t xml:space="preserve">TC-SCN-157-02</t>
  </si>
  <si>
    <t xml:space="preserve">Non SME employer gets no ETSS</t>
  </si>
  <si>
    <t xml:space="preserve">The employer SME status is proven by the external check. Case: Non SME employer gets no ETSS</t>
  </si>
  <si>
    <t xml:space="preserve">1. An employee of a non SME company (ASM-01)</t>
  </si>
  <si>
    <t xml:space="preserve">1. Enrol an employee of a company that is not SME
2. Check the SME status
3. Open the fee</t>
  </si>
  <si>
    <t xml:space="preserve">1. The status is not SME and ETSS is not applied</t>
  </si>
  <si>
    <t xml:space="preserve">18.2.4 ETSS is for SME</t>
  </si>
  <si>
    <t xml:space="preserve">TC-SCN-158-01</t>
  </si>
  <si>
    <t xml:space="preserve">18.3.1</t>
  </si>
  <si>
    <t xml:space="preserve">SCN-158</t>
  </si>
  <si>
    <t xml:space="preserve">PSEA application and claim</t>
  </si>
  <si>
    <t xml:space="preserve">PSEA application is submitted</t>
  </si>
  <si>
    <t xml:space="preserve">A PSEA application and claim are submitted automatically. Case: PSEA application is submitted</t>
  </si>
  <si>
    <t xml:space="preserve">1. A PSEA learner and a stub (ASM-01)</t>
  </si>
  <si>
    <t xml:space="preserve">1. Register a learner who wants to pay by PSEA
2. Submit the PSEA application
3. Check the PSEA test endpoint</t>
  </si>
  <si>
    <t xml:space="preserve">1. The PSEA application is sent through the integration</t>
  </si>
  <si>
    <t xml:space="preserve">Tender 18.3.1 (Funding, Sprint Unscheduled)</t>
  </si>
  <si>
    <t xml:space="preserve">CP-158</t>
  </si>
  <si>
    <t xml:space="preserve">ASM-77</t>
  </si>
  <si>
    <t xml:space="preserve">18.3.1 requires PSEA application</t>
  </si>
  <si>
    <t xml:space="preserve">TC-SCN-158-02</t>
  </si>
  <si>
    <t xml:space="preserve">PSEA claim is submitted automatically</t>
  </si>
  <si>
    <t xml:space="preserve">A PSEA application and claim are submitted automatically. Case: PSEA claim is submitted automatically</t>
  </si>
  <si>
    <t xml:space="preserve">1. A PSEA enrolment (ASM-01)</t>
  </si>
  <si>
    <t xml:space="preserve">1. Complete a PSEA funded enrolment
2. Wait for the integration
3. Check the PSEA test endpoint</t>
  </si>
  <si>
    <t xml:space="preserve">1. The claim is submitted automatically without a manual step</t>
  </si>
  <si>
    <t xml:space="preserve">18.3.1 requires automatic claim submission</t>
  </si>
  <si>
    <t xml:space="preserve">TC-SCN-159-01</t>
  </si>
  <si>
    <t xml:space="preserve">18.3.2</t>
  </si>
  <si>
    <t xml:space="preserve">SCN-159</t>
  </si>
  <si>
    <t xml:space="preserve">PSEA claim file</t>
  </si>
  <si>
    <t xml:space="preserve">Claim file lists only learners who requested PSEA</t>
  </si>
  <si>
    <t xml:space="preserve">The claim file lists the PSEA learners. Case: Claim file lists only learners who requested PSEA</t>
  </si>
  <si>
    <t xml:space="preserve">PSEA: 2
Others: 1</t>
  </si>
  <si>
    <t xml:space="preserve">1. Register 2 learners who use PSEA and 1 who does not
2. Generate the claim file
3. Open the file</t>
  </si>
  <si>
    <t xml:space="preserve">1. The file lists the 2 PSEA learners and not the third</t>
  </si>
  <si>
    <t xml:space="preserve">Tender 18.3.2 (Funding, Sprint Unscheduled)</t>
  </si>
  <si>
    <t xml:space="preserve">CP-159</t>
  </si>
  <si>
    <t xml:space="preserve">18.3.2 requires claim details for learners who request PSEA</t>
  </si>
  <si>
    <t xml:space="preserve">TC-SCN-159-02</t>
  </si>
  <si>
    <t xml:space="preserve">Claim amount is the part of the fee paid by PSEA</t>
  </si>
  <si>
    <t xml:space="preserve">The claim file lists the PSEA learners. Case: Claim amount is the part of the fee paid by PSEA</t>
  </si>
  <si>
    <t xml:space="preserve">1. A learner paying part by PSEA (ASM-01)</t>
  </si>
  <si>
    <t xml:space="preserve">Fee: 1000
PSEA: 300</t>
  </si>
  <si>
    <t xml:space="preserve">1. Register a learner who pays 300 of a 1000 fee by PSEA
2. Generate the claim file
3. Open the file</t>
  </si>
  <si>
    <t xml:space="preserve">1. The claim amount is 300</t>
  </si>
  <si>
    <t xml:space="preserve">18.3.2 says all or part of the course fees</t>
  </si>
  <si>
    <t xml:space="preserve">TC-SCN-160-01</t>
  </si>
  <si>
    <t xml:space="preserve">18.3.3</t>
  </si>
  <si>
    <t xml:space="preserve">SCN-160</t>
  </si>
  <si>
    <t xml:space="preserve">PSEA disbursement status</t>
  </si>
  <si>
    <t xml:space="preserve">Disbursement status is updated from the MOE file</t>
  </si>
  <si>
    <t xml:space="preserve">The status follows the MOE file. Case: Disbursement status is updated from the MOE file</t>
  </si>
  <si>
    <t xml:space="preserve">1. A submitted PSEA claim and a status file (ASM-01)</t>
  </si>
  <si>
    <t xml:space="preserve">Status: disbursed</t>
  </si>
  <si>
    <t xml:space="preserve">1. Load a MOE status file that shows a claim as disbursed
2. Open the PSEA claim</t>
  </si>
  <si>
    <t xml:space="preserve">1. The claim status is disbursed</t>
  </si>
  <si>
    <t xml:space="preserve">Tender 18.3.3 (Funding, Sprint 2)</t>
  </si>
  <si>
    <t xml:space="preserve">CP-160</t>
  </si>
  <si>
    <t xml:space="preserve">18.3.3 requires the update from the file</t>
  </si>
  <si>
    <t xml:space="preserve">TC-SCN-160-02</t>
  </si>
  <si>
    <t xml:space="preserve">Rejected status is shown for a rejected claim</t>
  </si>
  <si>
    <t xml:space="preserve">The status follows the MOE file. Case: Rejected status is shown for a rejected claim</t>
  </si>
  <si>
    <t xml:space="preserve">Status: rejected</t>
  </si>
  <si>
    <t xml:space="preserve">1. Load a MOE status file that shows a claim as rejected
2. Open the PSEA claim</t>
  </si>
  <si>
    <t xml:space="preserve">1. The claim status shows the claim as rejected</t>
  </si>
  <si>
    <t xml:space="preserve">18.3.3 requires tracking of the status. The rejected value is assumed</t>
  </si>
  <si>
    <t xml:space="preserve">TC-SCN-161-01</t>
  </si>
  <si>
    <t xml:space="preserve">18.3.4</t>
  </si>
  <si>
    <t xml:space="preserve">SCN-161</t>
  </si>
  <si>
    <t xml:space="preserve">PSEA reports</t>
  </si>
  <si>
    <t xml:space="preserve">Report lists the PSEA file exchanges</t>
  </si>
  <si>
    <t xml:space="preserve">The reports list the files and the transactions. Case: Report lists the PSEA file exchanges</t>
  </si>
  <si>
    <t xml:space="preserve">1. Two PSEA files exchanged (ASM-01)</t>
  </si>
  <si>
    <t xml:space="preserve">Files: 2</t>
  </si>
  <si>
    <t xml:space="preserve">1. Exchange two PSEA files
2. Sign in as Course Administrator
3. Open the PSEA file exchange report</t>
  </si>
  <si>
    <t xml:space="preserve">1. The report lists both files with their dates</t>
  </si>
  <si>
    <t xml:space="preserve">Tender 18.3.4 (Funding, Sprint 3)</t>
  </si>
  <si>
    <t xml:space="preserve">CP-161</t>
  </si>
  <si>
    <t xml:space="preserve">ASM-76, ASM-77</t>
  </si>
  <si>
    <t xml:space="preserve">18.3.4 file exchanges</t>
  </si>
  <si>
    <t xml:space="preserve">TC-SCN-161-02</t>
  </si>
  <si>
    <t xml:space="preserve">Report lists the PSEA financial transactions</t>
  </si>
  <si>
    <t xml:space="preserve">The reports list the files and the transactions. Case: Report lists the PSEA financial transactions</t>
  </si>
  <si>
    <t xml:space="preserve">1. A claim and a disbursement (ASM-01)</t>
  </si>
  <si>
    <t xml:space="preserve">Transactions: 2</t>
  </si>
  <si>
    <t xml:space="preserve">1. Record a PSEA claim and a disbursement
2. Open the PSEA financial transaction report</t>
  </si>
  <si>
    <t xml:space="preserve">1. The claim and the disbursement are listed</t>
  </si>
  <si>
    <t xml:space="preserve">18.3.4 financial transactions</t>
  </si>
  <si>
    <t xml:space="preserve">TC-SCN-162-01</t>
  </si>
  <si>
    <t xml:space="preserve">18.4.5</t>
  </si>
  <si>
    <t xml:space="preserve">SCN-162</t>
  </si>
  <si>
    <t xml:space="preserve">Latest PSEA requirements</t>
  </si>
  <si>
    <t xml:space="preserve">Verify the System meets the latest MOE PSEA integration requirements</t>
  </si>
  <si>
    <t xml:space="preserve">The latest requirements are met. Case: Verify the System meets the latest MOE PSEA integration requirements</t>
  </si>
  <si>
    <t xml:space="preserve">Tender 18.4.5 (Funding, Sprint Unscheduled)</t>
  </si>
  <si>
    <t xml:space="preserve">CP-162</t>
  </si>
  <si>
    <t xml:space="preserve">The clause says always enhanced and latest and gives no requirement, version or date to test against</t>
  </si>
  <si>
    <t xml:space="preserve">Checkpoint</t>
  </si>
  <si>
    <t xml:space="preserve">Condition</t>
  </si>
  <si>
    <t xml:space="preserve">Evidence</t>
  </si>
  <si>
    <t xml:space="preserve">Open ASM or NEG</t>
  </si>
  <si>
    <t xml:space="preserve">Test cases</t>
  </si>
  <si>
    <t xml:space="preserve">A Singapore Resident authenticates through SingPass and is signed in</t>
  </si>
  <si>
    <t xml:space="preserve">Tender 2.2: "The System shall provide integration with SingPass for authentication of Singapore Residents for login."</t>
  </si>
  <si>
    <t xml:space="preserve">ASM-03, ASM-10</t>
  </si>
  <si>
    <t xml:space="preserve">A user without SingPass or CorpPass signs in with ID, password and a one time password</t>
  </si>
  <si>
    <t xml:space="preserve">Tender 2.4: "The System shall cater for credential login ID, password and 2FA through One Time Password (OTP) for Learners, Corporate Customers and external users (external trainers, both local &amp; overseas) who cannot be authenticated using SingPass and CorpPass for login."</t>
  </si>
  <si>
    <t xml:space="preserve">A registered learner uses the portal to browse the catalogue and see own course progress, attendance, assessments and payments</t>
  </si>
  <si>
    <t xml:space="preserve">Tender 5.3.1: "Learners shall have access to browse the course catalogue, their course progress including attendance, assessments, payments and make requests via a portal. SingPass MyInfo integration should be done to allow users to retrieve personal particulars information easily."</t>
  </si>
  <si>
    <t xml:space="preserve">A course offers both a credit bearing and a non credit bearing route</t>
  </si>
  <si>
    <t xml:space="preserve">Tender 6.1.5: "The System shall allow the differentiation between Credit Bearing and Non-Credit Bearing routes to a course and allow learners to pursue register accordingly."</t>
  </si>
  <si>
    <t xml:space="preserve">Assessment types and their components are configured per course</t>
  </si>
  <si>
    <t xml:space="preserve">Tender 6.1.6: "The System shall have the capability to differentiate the different courses and types of assessments created and allow configuration of assessment components and subcomponents. This would include peer evaluation, multiple choice questions, project work, etc."</t>
  </si>
  <si>
    <t xml:space="preserve">Fee profiles are created for each sponsorship type</t>
  </si>
  <si>
    <t xml:space="preserve">Tender 6.3.1: "The System shall allow course fee profile creation for self-sponsored and company sponsorships cases."</t>
  </si>
  <si>
    <t xml:space="preserve">The fee and the GST follow the configured rules</t>
  </si>
  <si>
    <t xml:space="preserve">Tender 6.3.2: "The System shall allow the creation of rules for calculation of course fees and GST."</t>
  </si>
  <si>
    <t xml:space="preserve">Each case changes the fee and needs approval</t>
  </si>
  <si>
    <t xml:space="preserve">Tender 6.3.3: "The System shall allow fee changes and approval in cases including but not limited to: // 1) Withdrawals // 2) Leave of Absence (LOA) // 3) Deferrals // 4) Termination"</t>
  </si>
  <si>
    <t xml:space="preserve">Applicant and sponsor payments follow their own process</t>
  </si>
  <si>
    <t xml:space="preserve">Tender 6.3.4: "The System shall allow different payment processes for: 1) Applicant Payments, 2) Sponsor Payments."</t>
  </si>
  <si>
    <t xml:space="preserve">A fee is generated when a class or an assessment is rescheduled</t>
  </si>
  <si>
    <t xml:space="preserve">Tender 6.3.5: "The System shall have the capability to generate fees in cases including but not limited to: // 1) Rescheduling; // 2) Reassessment."</t>
  </si>
  <si>
    <t xml:space="preserve">The fee payable changes with the learner or company criteria</t>
  </si>
  <si>
    <t xml:space="preserve">Tender 6.3.6: "The System shall have the capability to generate fees payable with automatic calculation based on criteria including but not limited to: // 1) Nationality/citizenship of candidates; // 2) Age/Date of Birth; // 3) Income; // 4) Alumni status // 5) Alumni credits // 6) Company SME ..."</t>
  </si>
  <si>
    <t xml:space="preserve">A fee structure is set up and approved by a checker and an approver</t>
  </si>
  <si>
    <t xml:space="preserve">Tender 6.3.7: "The System shall have the capability to setup various course fee structures and associated administration fee, volume discount, material fee, reassessment fee, registration fee, course exemption fee, etc including but not limited to: 1) Installment payments; 2) Late payments. The..."</t>
  </si>
  <si>
    <t xml:space="preserve">ASM-63, ASM-73</t>
  </si>
  <si>
    <t xml:space="preserve">The profile for each sponsor and subsidy type is available</t>
  </si>
  <si>
    <t xml:space="preserve">Tender 6.4.1: "The System shall allow the setup of different fee profiles with different fee types for self-sponsored and corporate sponsored for SkillsFuture subsidised and nonsubsidised courses, with details including but not limited to each different eligibility rule around subsidies, grants..."</t>
  </si>
  <si>
    <t xml:space="preserve">Each discount type is configured and its use is tracked</t>
  </si>
  <si>
    <t xml:space="preserve">Tender 6.4.2: "The System shall allow the Course Administrators to configure various types of discounts with complex and multi-tier hierarchical business rules and eligibility criteria, which include: // 1) Special discount, e.g. staff, alumni, Singapore citizens, etc // 2) Promotional discount..."</t>
  </si>
  <si>
    <t xml:space="preserve">ASM-64, ASM-76</t>
  </si>
  <si>
    <t xml:space="preserve">Funding items are applied automatically in the stated order</t>
  </si>
  <si>
    <t xml:space="preserve">Tender 6.4.3: "The System shall allow automation for application of grant, subsidies, SFC, SFC (mid-career) top up, ETSS, credits, discounts, PSEA, Alumni Course Credit (ACC), and Additional Funding Support (AFS applicable for SkillsFuture Career Transition Programme) for fee calculation. // Fo..."</t>
  </si>
  <si>
    <t xml:space="preserve">ASM-62, ASM-64, ASM-71</t>
  </si>
  <si>
    <t xml:space="preserve">Funding depends on the attendance rate and the assessment result</t>
  </si>
  <si>
    <t xml:space="preserve">Tender 6.4.4: "The System shall support automated outcome based SkillsFuture Singapore (SSG) funding based on the following requirements: // 1) Minimum 75% attendance // 2) Passing the assessment"</t>
  </si>
  <si>
    <t xml:space="preserve">ASM-52, ASM-65, NEG-01</t>
  </si>
  <si>
    <t xml:space="preserve">A completed course draws down its block grant</t>
  </si>
  <si>
    <t xml:space="preserve">Tender 6.4.5: "The System shall support the integration with Training Partners Gateway’s (TPGateway) Financial Management System for automated drawing down of block grants for completed courses."</t>
  </si>
  <si>
    <t xml:space="preserve">ASM-03, ASM-40</t>
  </si>
  <si>
    <t xml:space="preserve">A discretionary discount reduces the fee and a refund needs approval</t>
  </si>
  <si>
    <t xml:space="preserve">Tender 6.4.6: "The System shall allow the option to apply a discretionary discount by percentage or a flat rate with automated calculation of fees after applying the discount. The System shall facilitate the refunds of fees with necessary approvals."</t>
  </si>
  <si>
    <t xml:space="preserve">A repeat application gets no funding and staff registrations are monitored against the cap</t>
  </si>
  <si>
    <t xml:space="preserve">Tender 6.4.7: "The System shall allow the automatic detection of Learners applying for the same course more than once and exclude funding for SkillsFuture Singapore (SSG) funded courses. The System shall automatically monitor/detect the registration of Training provider staff registration in SS..."</t>
  </si>
  <si>
    <t xml:space="preserve">ASM-66, ASM-78, NEG-02</t>
  </si>
  <si>
    <t xml:space="preserve">SME references are entered to record the SME status</t>
  </si>
  <si>
    <t xml:space="preserve">Tender 6.4.8: "The System shall allow inputs of the Vendor@Gov Business Unit reference and Government Electronic Business (GeBIZ) purchase order number for the Small and Medium-sized Enterprises (SME) to record their status as SME status to be entitled for Enhanced Training Support for SMEs (ET..."</t>
  </si>
  <si>
    <t xml:space="preserve">A grant structure is set up by criteria and tagged to the right version</t>
  </si>
  <si>
    <t xml:space="preserve">Tender 6.4.9: "The System shall allow the setup of different multi-tier Grant structures and funding schemes based on details of different eligibility criteria including not but limited to: 1) Citizenship // 2) Age // 3) Income // 4) Organisation // 5) Learner’s course history // 6) Subsidy by ..."</t>
  </si>
  <si>
    <t xml:space="preserve">ASM-62, ASM-68</t>
  </si>
  <si>
    <t xml:space="preserve">The discount type is configured for each course type</t>
  </si>
  <si>
    <t xml:space="preserve">Tender 6.4.10: "The System shall allow configuration of discount type by percentage or by flat rate for each course type."</t>
  </si>
  <si>
    <t xml:space="preserve">Several sponsors are billed by their allocation</t>
  </si>
  <si>
    <t xml:space="preserve">Tender 6.4.11: "The System shall allow the setting up of multiple funding agencies, schemes, and/or multiple sponsorships per course/programme. // For multiple sponsorships per course, the System shall support multiple billing of sponsors with pre-configured billing allocation automatically."</t>
  </si>
  <si>
    <t xml:space="preserve">Courses use different mark patterns</t>
  </si>
  <si>
    <t xml:space="preserve">Tender 6.5.1: "The System shall allow each course to have their own assessment patterns for pass/fail, letter grade or number mark entry, i.e., pass/fail, A+/A/B, F, absolute mark, mark range."</t>
  </si>
  <si>
    <t xml:space="preserve">Marks convert by configured bands and the result follows the weightings</t>
  </si>
  <si>
    <t xml:space="preserve">Tender 6.5.2: "The System shall allow the automated conversion of number marks into the grades (such as 0-100 to A-F or pass/fail) and grade point (5.00 to 0.00), and automated calculation of the overall course result based on assessment weightings."</t>
  </si>
  <si>
    <t xml:space="preserve">CGPA follows the grade points and credits</t>
  </si>
  <si>
    <t xml:space="preserve">Tender 6.5.3: "The System shall allow the automated calculation of cumulative grade point average (CGPA)."</t>
  </si>
  <si>
    <t xml:space="preserve">A School generates the results report</t>
  </si>
  <si>
    <t xml:space="preserve">Tender 6.5.4: "The System shall enable Schools to generate reports with learners’ records, mark/grade/pass-fail and grade point so Schools can get approval of results from Approving Body, e.g., Board of Examiners and Board of Studies."</t>
  </si>
  <si>
    <t xml:space="preserve">Marks pass through moderation, upload, checking and approval</t>
  </si>
  <si>
    <t xml:space="preserve">Tender 6.5.5: "The System shall allow moderation of marks for course. // The System shall allow uploading of marks/grades from Excel files. // The System shall allow the exporting of marks/grades to Excel files. // The System shall allow various levels of authorizations, checking from checkers ..."</t>
  </si>
  <si>
    <t xml:space="preserve">ASM-26, ASM-50</t>
  </si>
  <si>
    <t xml:space="preserve">A learner meets all criteria for a certificate</t>
  </si>
  <si>
    <t xml:space="preserve">Tender 6.6.1: "The System shall allow the set-up of academic and graduation criteria (such as stackable courses, attendance rate, passing of assessment for professional development short courses, minimum CGPA, maximum candidature period, credit transfer, course exemption, recognition of prior l..."</t>
  </si>
  <si>
    <t xml:space="preserve">A learner who completes gets a prompt and can download the certificate</t>
  </si>
  <si>
    <t xml:space="preserve">Tender 6.6.2: "The System shall allow the tracking of the Learner’s progression and have an automated prompt to issue the respective certificate type upon successful completion. // The System shall allow Learners to track their progression and allow them to access/print them to download their c..."</t>
  </si>
  <si>
    <t xml:space="preserve">A template carries logos and signatories</t>
  </si>
  <si>
    <t xml:space="preserve">Tender 6.6.3: "The System shall have the capability to allow the creation and maintenance of different certificate templates in various formats (e.g., Word, PDF, etc.) using either SchoolA or SchoolB composite logos, and/or external collaborating partner(s)’ logo(s), and signatories."</t>
  </si>
  <si>
    <t xml:space="preserve">Result slips and transcripts are generated and sent</t>
  </si>
  <si>
    <t xml:space="preserve">Tender 6.6.4: "The System shall have the capability to allow the creation and maintenance of various result slips, and transcript. The System shall allow automatic email templates to be sent to course applicants. The email templates in various format (e.g., Word, PDF, etc.) using either SchoolA..."</t>
  </si>
  <si>
    <t xml:space="preserve">XML files are created for OpenCerts</t>
  </si>
  <si>
    <t xml:space="preserve">Tender 6.6.5: "The System shall have the capability to create the XML files to facilitate the issuance of OpenCerts (certificate and transcripts)."</t>
  </si>
  <si>
    <t xml:space="preserve">The Course Administrator sets intake size and registration period of a course run</t>
  </si>
  <si>
    <t xml:space="preserve">Tender 7.1.1: "3) Course Run intake size configuration // 4) Course registration period configuration"</t>
  </si>
  <si>
    <t xml:space="preserve">The Administrator schedules an assessment for a course run</t>
  </si>
  <si>
    <t xml:space="preserve">Tender 7.1.1: "7) Assessment scheduling"</t>
  </si>
  <si>
    <t xml:space="preserve">A venue is tagged to an assessment</t>
  </si>
  <si>
    <t xml:space="preserve">Tender 7.1.5: "The System shall have the capability to tag resources and facilities to courses and assessments."</t>
  </si>
  <si>
    <t xml:space="preserve">A schedule is uploaded from the template</t>
  </si>
  <si>
    <t xml:space="preserve">Tender 7.1.6: "The System shall have the capability to allow administrators to create course / assessment schedule in template form with upload function."</t>
  </si>
  <si>
    <t xml:space="preserve">An approval workflow applies to a course offer and its status is tracked</t>
  </si>
  <si>
    <t xml:space="preserve">Tender 8.1.1: "The System shall allow the set-up of different workflows for approval with status tracking of programmes/courses to be offered, with course application management by course level and by course run."</t>
  </si>
  <si>
    <t xml:space="preserve">Different registration forms are available by course type and by School</t>
  </si>
  <si>
    <t xml:space="preserve">Tender 8.1.2: "The System shall allow multiple individual learner and corporate registration forms for the various types of courses by respective Schools."</t>
  </si>
  <si>
    <t xml:space="preserve">A sponsor or staff member imports a file of registrations and the System processes it</t>
  </si>
  <si>
    <t xml:space="preserve">Tender 8.1.3: "The System shall allow import functions for batch registration by Sponsor (Employers) or by Staff. // The System shall have the capability to automatically perform batch processing of registration."</t>
  </si>
  <si>
    <t xml:space="preserve">The registration form rejects invalid input of each listed validation type</t>
  </si>
  <si>
    <t xml:space="preserve">Tender 8.1.4: "The System shall perform basic registration form validation which includes mandatory field data entry, data types, format, minimum and maximum length, within predefined ranges, consistency, look up (validate data against predefined values), etc."</t>
  </si>
  <si>
    <t xml:space="preserve">Each request type starts its own workflow</t>
  </si>
  <si>
    <t xml:space="preserve">Tender 8.1.5: "The System shall allow learners to review offer decisions, appeals, request change of programme/courses, request for leave of absence, request for withdrawal, request for deferment, request for waiver, etc. via a self-service portal. Relevant workflow processing shall be triggere..."</t>
  </si>
  <si>
    <t xml:space="preserve">A course run is cloned several times</t>
  </si>
  <si>
    <t xml:space="preserve">Tender 8.1.6: "The System shall allow course runs to be cloned for several subsequent new course runs."</t>
  </si>
  <si>
    <t xml:space="preserve">A learner uploads a document with the application</t>
  </si>
  <si>
    <t xml:space="preserve">Tender 8.1.7: "The System shall have the capability to allow uploading documents to support course application."</t>
  </si>
  <si>
    <t xml:space="preserve">A change of the application triggers the finance function</t>
  </si>
  <si>
    <t xml:space="preserve">Tender 8.1.8: "The System shall have the capability to automatically trigger finance functions upon changes to course application, including but not limited to: // 1) Invoicing // 2) Credit Notes 3) Refunds."</t>
  </si>
  <si>
    <t xml:space="preserve">Two runs of one course exist with different parameters</t>
  </si>
  <si>
    <t xml:space="preserve">Tender 8.1.9: "The System shall have the capability to allow multiple and parallel runs of the same course or assessment to be conducted with different parameter values such as period, training resource, fees, and grants."</t>
  </si>
  <si>
    <t xml:space="preserve">The maximum number of learners limits the confirmed registrations of a run</t>
  </si>
  <si>
    <t xml:space="preserve">Tender 8.1.10: "The System shall have the capability to configure and set up a minimum and maximum number of Learners for each course or assessment."</t>
  </si>
  <si>
    <t xml:space="preserve">Learners beyond the maximum go to a waitlist in order of application</t>
  </si>
  <si>
    <t xml:space="preserve">Tender 8.1.11: "The System shall have the capability to configure waitlists if meet the maximum number of learners for each course or assessment. And able to prioritize the applicants on a first come first serve basis."</t>
  </si>
  <si>
    <t xml:space="preserve">A waitlisted application is moved to another course</t>
  </si>
  <si>
    <t xml:space="preserve">Tender 8.1.12: "The System shall have the capability to channel the applications on the waitlist to another course for confirmation."</t>
  </si>
  <si>
    <t xml:space="preserve">The report counts students by status</t>
  </si>
  <si>
    <t xml:space="preserve">Tender 8.1.13: "The System shall allow reports on the course registration for Course Administrators to have an overview on ongoing registration such as: // 1) No of students on SFC // 2) No of students on ETSS // 3) No of students who have paid course fee // 4) No of students who are pending on ..."</t>
  </si>
  <si>
    <t xml:space="preserve">Each outcome sends a notification</t>
  </si>
  <si>
    <t xml:space="preserve">Tender 8.1.14: "The System shall have the capability to notify Learners and Corporate Customers of the outcome of the application, enrolment, withdrawal, deferment, course switching processing, whenever applicable."</t>
  </si>
  <si>
    <t xml:space="preserve">An applicant without an account starts a registration</t>
  </si>
  <si>
    <t xml:space="preserve">Tender 8.2.1: "The System shall ensure and lead all course applicants to create a new user account first when they register for the course."</t>
  </si>
  <si>
    <t xml:space="preserve">Consent and acknowledgement are captured for individual, company sponsored applicants and the company representative</t>
  </si>
  <si>
    <t xml:space="preserve">Tender 8.2.2: "The System shall allow Indemnity and Personal Data Protection Act (PDPA) declaration and consent to use personal data for course/ programme administration to be captured during registration for individual applicant, company-sponsored applicant, and company representative that sub..."</t>
  </si>
  <si>
    <t xml:space="preserve">A learner opts out of marketing</t>
  </si>
  <si>
    <t xml:space="preserve">Tender 8.2.3: "The System shall allow Learners to opt out of receiving marketing material campaign."</t>
  </si>
  <si>
    <t xml:space="preserve">A registrant with an account logs in to register</t>
  </si>
  <si>
    <t xml:space="preserve">Tender 8.2.4: "The System shall allow registrants to log in with their existing user account if they already have one and populate their information."</t>
  </si>
  <si>
    <t xml:space="preserve">A learner with MyInfo verified data starts a registration</t>
  </si>
  <si>
    <t xml:space="preserve">Tender 8.2.5: "The System shall populate applicant’s personal information (verified by SingPass MyInfo) from user account to registration form."</t>
  </si>
  <si>
    <t xml:space="preserve">ASM-03, ASM-20, ASM-23</t>
  </si>
  <si>
    <t xml:space="preserve">An applicant saves an incomplete application and returns later</t>
  </si>
  <si>
    <t xml:space="preserve">Tender 8.2.6: "The System shall allow both mandatory and optional fields in the registration form and have a mechanism for applicants to save the application, if not completed in stipulated time or Learners need to revisit later."</t>
  </si>
  <si>
    <t xml:space="preserve">Incomplete applications are tracked and reminded</t>
  </si>
  <si>
    <t xml:space="preserve">Tender 8.2.7: "The System shall have a mechanism to track incomplete registration forms, send automatic reminders to applicants to complete; alert and allow Course Administrators to run reports for monitoring."</t>
  </si>
  <si>
    <t xml:space="preserve">A learner registers for a course and for a programme</t>
  </si>
  <si>
    <t xml:space="preserve">Tender 8.2.8: "The System shall allow registration at both course and programme level."</t>
  </si>
  <si>
    <t xml:space="preserve">The learner selects the sponsorship and sees the costing</t>
  </si>
  <si>
    <t xml:space="preserve">Tender 8.2.9: "The System shall allow individual learners to register as self-sponsored or company sponsored and have the capability to provide costing accordingly. For company sponsored, the System shall allow learner to provide the company details such as company name, address, and contact pe..."</t>
  </si>
  <si>
    <t xml:space="preserve">The System checks that every required document is submitted</t>
  </si>
  <si>
    <t xml:space="preserve">Tender 8.2.10: "The System shall allow uploading of supporting documents for registration and automated checking for the list of required documents to be submitted."</t>
  </si>
  <si>
    <t xml:space="preserve">A user uploads learner data in Excel and supporting documents</t>
  </si>
  <si>
    <t xml:space="preserve">Tender 8.2.11: "The System shall allow bulk registrations by uploading learner information in Excel file and have a mechanism to upload all supporting documents."</t>
  </si>
  <si>
    <t xml:space="preserve">The discount applies from 3 people and for early bird registration</t>
  </si>
  <si>
    <t xml:space="preserve">Tender 8.2.12: "The System shall allow group registrations for 3 people or more, early bird registration, for applicants to enjoy respective discounts."</t>
  </si>
  <si>
    <t xml:space="preserve">Eligible and ineligible applicants get a different fee</t>
  </si>
  <si>
    <t xml:space="preserve">Tender 8.2.13: "The System shall facilitate and check the eligibility of SSG grant for applicants and compute the course fee for registration."</t>
  </si>
  <si>
    <t xml:space="preserve">An applicant is checked against both blacklists</t>
  </si>
  <si>
    <t xml:space="preserve">Tender 8.2.14: "The System shall check if applicants are in the SSG and Schools’ blacklisting and compute the overview of course fee for registration."</t>
  </si>
  <si>
    <t xml:space="preserve">Data entered at registration is reused in later steps</t>
  </si>
  <si>
    <t xml:space="preserve">Tender 8.2.15: "The System shall capture all information in structured fields for downstream processing of activities and avoid re-entering of information."</t>
  </si>
  <si>
    <t xml:space="preserve">A company sponsored applicant declares the SME status</t>
  </si>
  <si>
    <t xml:space="preserve">Tender 8.2.16: "The System shall facilitate company sponsored applicants to do SME declaration."</t>
  </si>
  <si>
    <t xml:space="preserve">The applicant sees the available alumni credit</t>
  </si>
  <si>
    <t xml:space="preserve">Tender 8.2.17: "The System shall facilitate applicants to check on the available Alumni Credits (AC) for Training provider alumni."</t>
  </si>
  <si>
    <t xml:space="preserve">The applicant sees the SFC balance and the top up</t>
  </si>
  <si>
    <t xml:space="preserve">Tender 8.2.18: "The System shall facilitate applicants to check on the available Skills Future Credit (SFC) including SFC (mid-career) top-up."</t>
  </si>
  <si>
    <t xml:space="preserve">ASM-03</t>
  </si>
  <si>
    <t xml:space="preserve">The overview lists the fee and each reduction</t>
  </si>
  <si>
    <t xml:space="preserve">Tender 8.2.19: "The System shall provide an overview of course fees, taking into consideration SFC, SSG grant, &amp; Alumni Credits."</t>
  </si>
  <si>
    <t xml:space="preserve">The registration form captures the 18 listed fields</t>
  </si>
  <si>
    <t xml:space="preserve">Tender 8.2.19 (unnumbered paragraph): "The System shall ensure all information is captured for processing the course application which includes the following but not limited to: // 1. Salutation // 2. Full name as per NRIC/FIN/Passport // 3. NRIC/FIN/Passport No // 4. Date of birth // 5. Nationality // 6. Address // 7..."</t>
  </si>
  <si>
    <t xml:space="preserve">A learner who does not meet the criteria fails validation</t>
  </si>
  <si>
    <t xml:space="preserve">Tender 8.2.20: "The System shall validate the prerequisites and enrolment criteria of courses and programmes during application registration. If Learners do not meet the validation criteria, the System shall alert Administrators and provide them with descriptive reasons for the failed applicatio..."</t>
  </si>
  <si>
    <t xml:space="preserve">The corporate form captures the company and learner fields</t>
  </si>
  <si>
    <t xml:space="preserve">Tender 8.3.1: "The System shall ensure important information is captured for processing the application which includes the following but not limited to: // (A) Company HR Contact: - 1. Company Name // 2. Department // 3. Company website // 4. Company address // 5. Billing address // 6. HR Conta..."</t>
  </si>
  <si>
    <t xml:space="preserve">A corporate applicant registers</t>
  </si>
  <si>
    <t xml:space="preserve">Tender 8.3.2: "The System shall ensure and lead corporate applicants to create a new user account first when they register for the course. // The System shall allow corporate registrants to log in with their existing user account if they already have one."</t>
  </si>
  <si>
    <t xml:space="preserve">The UEN entered is checked automatically</t>
  </si>
  <si>
    <t xml:space="preserve">Tender 8.3.3: "For company sponsored registrations, the System shall do an automatic check on the UEN number entered by applicant."</t>
  </si>
  <si>
    <t xml:space="preserve">The corporate account data fills the form</t>
  </si>
  <si>
    <t xml:space="preserve">Tender 8.3.4: "The System shall populate corporate applicant’s company information from user account to registration form and consent to the PDPA and privacy statement on the course registration form."</t>
  </si>
  <si>
    <t xml:space="preserve">A corporate applicant saves and resumes</t>
  </si>
  <si>
    <t xml:space="preserve">Tender 8.3.5: "The System shall allow both mandatory and optional fields in the registration form and have a mechanism for corporate applicants to save the application, if not completed in stipulated time or Learners need to revisit later."</t>
  </si>
  <si>
    <t xml:space="preserve">Incomplete corporate applications are tracked</t>
  </si>
  <si>
    <t xml:space="preserve">Tender 8.3.6: "The System shall have a mechanism to track incomplete registration forms and alert Course Administrators. The System shall allow them to run reports for monitoring."</t>
  </si>
  <si>
    <t xml:space="preserve">A company registers for a course and a programme</t>
  </si>
  <si>
    <t xml:space="preserve">Tender 8.3.7: "The System shall allow registration at both course and programme level."</t>
  </si>
  <si>
    <t xml:space="preserve">The required documents are checked</t>
  </si>
  <si>
    <t xml:space="preserve">Tender 8.3.8: "The System shall allow uploading of supporting documents for registration and automated checking for the list of required documents to be submitted."</t>
  </si>
  <si>
    <t xml:space="preserve">A company uploads an Excel file of learners</t>
  </si>
  <si>
    <t xml:space="preserve">Tender 8.3.9: "The System shall allow bulk registrations by uploading learner information in Excel file and have a mechanism to upload all supporting documents."</t>
  </si>
  <si>
    <t xml:space="preserve">The UEN entered by a corporate applicant is checked</t>
  </si>
  <si>
    <t xml:space="preserve">Tender 8.3.10: "For company sponsored registrations, the System shall do an automatic check on the UEN number entered by corporate applicant."</t>
  </si>
  <si>
    <t xml:space="preserve">Corporate data is reused</t>
  </si>
  <si>
    <t xml:space="preserve">Tender 8.3.11: "The System shall capture all information in structured fields for downstream processing of activities and avoid re-entering data."</t>
  </si>
  <si>
    <t xml:space="preserve">The declaration of a corporate applicant is verified</t>
  </si>
  <si>
    <t xml:space="preserve">Tender 8.3.12: "The System shall facilitate/verify corporate applicants with SME declaration."</t>
  </si>
  <si>
    <t xml:space="preserve">ASM-03, ASM-67</t>
  </si>
  <si>
    <t xml:space="preserve">Tender 8.3.13: "The System shall allow supporting documents for registrations to be uploaded and automated checking for list of required documents to be submitted."</t>
  </si>
  <si>
    <t xml:space="preserve">An applicant submits pre assessment requirements</t>
  </si>
  <si>
    <t xml:space="preserve">Tender 8.4.1: "The System shall allow settings for applicants to submit pre-assessment requirements for different shortlisting criteria assessment process (Same to be applicable for FlexiMasters and SkillsFuture Career Transition Programmes that require shortlisting)."</t>
  </si>
  <si>
    <t xml:space="preserve">The list or survey is sent after the application</t>
  </si>
  <si>
    <t xml:space="preserve">Tender 8.4.2: "The System shall allow automated sending of list/survey for pre-assessment requirements to the applicants upon their application"</t>
  </si>
  <si>
    <t xml:space="preserve">An interview is scheduled and communicated</t>
  </si>
  <si>
    <t xml:space="preserve">Tender 8.4.3: "The System shall support scheduling of assessment and interview between shortlisted applicants and Training provider staff/faculty for in-person/online interviews. // The System shall have the capability to send automatic communication to applicants for scheduling interviews and ..."</t>
  </si>
  <si>
    <t xml:space="preserve">An application is confirmed automatically while seats remain</t>
  </si>
  <si>
    <t xml:space="preserve">Tender 8.5.1: "The System shall have the capability based on capacity-based auto confirmation and on first-come-first-serve basis."</t>
  </si>
  <si>
    <t xml:space="preserve">ASM-33, NEG-03</t>
  </si>
  <si>
    <t xml:space="preserve">A learner enrolled in a parent course is enrolled in each bite sized course</t>
  </si>
  <si>
    <t xml:space="preserve">Tender 8.5.2: "The System shall have an automated process to auto register and enroll those who are in the parent course into its individual multiple courses for courses that have bitesized courses."</t>
  </si>
  <si>
    <t xml:space="preserve">A full class waitlists new applicants and notifies when seats open</t>
  </si>
  <si>
    <t xml:space="preserve">Tender 8.5.3: "The System shall allow the capability to automatically put Learners on a waitlist if the class is full and notify candidates when seats are available and channel them to another course."</t>
  </si>
  <si>
    <t xml:space="preserve">ASM-17, ASM-18, ASM-21</t>
  </si>
  <si>
    <t xml:space="preserve">A letter of offer differs by School</t>
  </si>
  <si>
    <t xml:space="preserve">Tender 8.5.4: "The System shall support course offer management where letter of offer is customizable for various courses by respective Schools."</t>
  </si>
  <si>
    <t xml:space="preserve">Each restriction stops an enrolment that does not meet it</t>
  </si>
  <si>
    <t xml:space="preserve">Tender 8.5.5: "The System shall include the capability to configure and set up enrolment restriction based on criteria including but not limited to: // 1) Age; // 2) Course/Assessment Prerequisites; // 3) Penalty; // 4) Capacity of course/assessment."</t>
  </si>
  <si>
    <t xml:space="preserve">The Administrator enrols a learner by exception</t>
  </si>
  <si>
    <t xml:space="preserve">Tender 8.5.6: "The System shall allow Course Administrator to perform ad-hoc enrolment for selfsponsored or corporate sponsored Learners for exception cases."</t>
  </si>
  <si>
    <t xml:space="preserve">The waitlist has a limit and then registration closes</t>
  </si>
  <si>
    <t xml:space="preserve">Tender 8.5.7: "The System shall have the capability to set a limit of waitlist slots and automatically close registration for the course when waitlist is full."</t>
  </si>
  <si>
    <t xml:space="preserve">A learner changes the enrolment within the period</t>
  </si>
  <si>
    <t xml:space="preserve">Tender 8.5.8: "The System shall have the capability for Learners to withdraw, send replacement or transfer to another training schedule with remark field to capture the reason, within specified period of time. // The System shall have the capability to automatically include Learners’ particular..."</t>
  </si>
  <si>
    <t xml:space="preserve">An approved reschedule moves the learner to another class</t>
  </si>
  <si>
    <t xml:space="preserve">Tender 8.5.9: "The System shall have the capability to assign to different classes or assessment for Learners who choose to withdraw or re-schedule course or assessment, subject to approval."</t>
  </si>
  <si>
    <t xml:space="preserve">A deferment needs approval and is tracked</t>
  </si>
  <si>
    <t xml:space="preserve">Tender 8.5.10: "The System shall have the capability for Learners to defer courses and assessments subject to approval by the authorizing department and track them accordingly."</t>
  </si>
  <si>
    <t xml:space="preserve">A learner enrolled successfully gets an account</t>
  </si>
  <si>
    <t xml:space="preserve">Tender 8.5.11: "To access Training provider Learning Management System, the System shall automatically create student account for learners who have successfully enrolled to programmmes/courses eg. the credit bearing courses such as Semester Long Courses and Fleximasters, and associate account fo..."</t>
  </si>
  <si>
    <t xml:space="preserve">Enrolment, scoring and result viewing go through the Student Management System</t>
  </si>
  <si>
    <t xml:space="preserve">Tender 8.5.12: "The System shall support integration with the Training provider Student Management System for credit bearing and stackable Semester Long Courses and FlexiMasters to facilitate programme course enrolment, examination scoring, and examination results viewing. // The System shall al..."</t>
  </si>
  <si>
    <t xml:space="preserve">A new credit bearing learner gets a matriculation number and the data is sent</t>
  </si>
  <si>
    <t xml:space="preserve">Tender 8.5.13: "For new Learner who enrolled to credit bearing and stackable Semester Long Courses and Fleximasters, the System shall automatically create student matriculation number and send the below data to Training provider Student Management System such as but not limited to: // 1) Learner..."</t>
  </si>
  <si>
    <t xml:space="preserve">The registration data is sent with the course index</t>
  </si>
  <si>
    <t xml:space="preserve">Tender 8.5.14: "To perform course registration in the Training provider Student Management System, the System shall send the below data to Training provider Student Management System using the course index provided via interface API, such as but not limited to: // 1) Academic year // 2) Semester..."</t>
  </si>
  <si>
    <t xml:space="preserve">Park and post is described only by its name</t>
  </si>
  <si>
    <t xml:space="preserve">Tender 8.5.15: "Per the auditor’s requirements, system shall have the capability to incorporate the park and post functionality and workflow for independent review"</t>
  </si>
  <si>
    <t xml:space="preserve">NEG-04</t>
  </si>
  <si>
    <t xml:space="preserve">A confirmed enrolment is sent to TPGateway</t>
  </si>
  <si>
    <t xml:space="preserve">Tender 8.5.16: "The System shall have the capability to automatically interface Enrolments to Training Partners Gateway (TPGateway)."</t>
  </si>
  <si>
    <t xml:space="preserve">Registrations are screened against the blacklists and suspensions</t>
  </si>
  <si>
    <t xml:space="preserve">Tender 8.6.1: "The System shall allow the function of automated Penalty Management including but not limited to: // 1) Blacklist individual by SkillsFuture Singapore and Training provider Continuing Education and Training (CET) units; // 2) Blacklist Organizations by Continuing Education and Tr..."</t>
  </si>
  <si>
    <t xml:space="preserve">Blacklists from SSG and finance records are in sync</t>
  </si>
  <si>
    <t xml:space="preserve">Tender 8.6.2: "The System shall have the capability to sync to SSG given’s blacklist records, as well as the finance payment records for potential enrolled company sponsored applicants if they are blacklisted for CET courses (due to earlier non-payments)."</t>
  </si>
  <si>
    <t xml:space="preserve">ASM-03, ASM-38</t>
  </si>
  <si>
    <t xml:space="preserve">Staff registrations are tracked against the configured cap</t>
  </si>
  <si>
    <t xml:space="preserve">Tender 8.7.1: "The System shall allow automatic tracking of Training provider employees taking SkillsFuture Singapore (SSG) funded courses sponsored by Training provider. // The System shall allow the configuration of the cap based on the placement target by // % or by pre-defined number which ..."</t>
  </si>
  <si>
    <t xml:space="preserve">ASM-66, ASM-78, NEG-05</t>
  </si>
  <si>
    <t xml:space="preserve">A learner switches and a fee adjustment report is produced</t>
  </si>
  <si>
    <t xml:space="preserve">Tender 8.8.1: "The System shall have the capability to perform transfers between different sessions, different courses or assessment, and different programs to the Learner online. A report to be generated for fee adjustment for FIN."</t>
  </si>
  <si>
    <t xml:space="preserve">The prerequisite check runs at registration and at a switch</t>
  </si>
  <si>
    <t xml:space="preserve">Tender 8.8.2: "The System shall have the capability to perform pre-requisite checks automatically and display advisory information to the Learner during course registration or switch."</t>
  </si>
  <si>
    <t xml:space="preserve">Invoices and receipts follow the template of the School</t>
  </si>
  <si>
    <t xml:space="preserve">Tender 9.1.1: "The System shall allow the set-up of multiple invoice and receipt templates by SchoolA and SchoolB, as well as automated generation of electronic invoice and receipt containing item-level details including but not limited to: // 1) Subsidy/SSG Grants; // 2) Alumni course credit; ..."</t>
  </si>
  <si>
    <t xml:space="preserve">The invoice is generated with items, remarks and the chosen template</t>
  </si>
  <si>
    <t xml:space="preserve">Tender 9.1.3: "The System shall allow the automated generation of invoice with detailed breakdown of billing items and allow for remarks to be captured. Specific templates (e.g. using direct discounting methods or indirect discounting methods) can be selected during invoice creation based on bu..."</t>
  </si>
  <si>
    <t xml:space="preserve">The nett fee is computed with the SFC approved amount</t>
  </si>
  <si>
    <t xml:space="preserve">Tender 9.1.4: "The system shall have the capability to automatically interface to Training Partners Gateway (TPGateway) Nett Course Fee payable computation for checking of the SkillsFuture Credit (SFC) Approved amount and to generate the nettt course fee payable."</t>
  </si>
  <si>
    <t xml:space="preserve">ASM-03, ASM-40, ASM-79</t>
  </si>
  <si>
    <t xml:space="preserve">Eligible items appear in the invoice without manual input</t>
  </si>
  <si>
    <t xml:space="preserve">Tender 9.1.9: "The System shall have the capability to automatically generate all billing items in the Learner’s invoice provisioned under the course fee setup when the Learner’s profiles fall within eligible criteria for auto application."</t>
  </si>
  <si>
    <t xml:space="preserve">The breakdown adds up and Schools are separated</t>
  </si>
  <si>
    <t xml:space="preserve">Tender 9.1.12: "The System shall provide the capability to clearly indicate the breakdown of billing items invoices with automated calculation but not limited to below: // 1) Course Fees: Different type of course fee structures depend on the type of courses and programmes // 2) Less: Fundings/su..."</t>
  </si>
  <si>
    <t xml:space="preserve">ASM-64, ASM-72, NEG-06</t>
  </si>
  <si>
    <t xml:space="preserve">GST follows the setup per customer group and item</t>
  </si>
  <si>
    <t xml:space="preserve">Tender 9.1.13: "The System shall have the capability to set up GST charging for different billing fee types, discounts, subsidies and/or grants including but not limited to: // 1) Different customer groups // 2) Different billing items // 3) Charge items (fee types, subsidies, grants and/or disc..."</t>
  </si>
  <si>
    <t xml:space="preserve">A change creates the new invoice and the credit note</t>
  </si>
  <si>
    <t xml:space="preserve">Tender 9.1.15: "The System shall have the capability to generate a new invoice/credit note when there is a change in the course or assessment date. In the event of a change in sponsorship, the System shall allow generation of new invoice to individual/another sponsor and issue credit note to the..."</t>
  </si>
  <si>
    <t xml:space="preserve">Each payment mode is set up and works</t>
  </si>
  <si>
    <t xml:space="preserve">Tender 9.4.1: "The System shall allow the set-up of different types of payment modes according to course and assessment structure including but not limited to: // 1) Upfront upon course registration or enrolment offer; // 2) Course level; // 3) Installments; // 4) Lump Sum; // 5) Deductible via..."</t>
  </si>
  <si>
    <t xml:space="preserve">ASM-73, ASM-74, ASM-77</t>
  </si>
  <si>
    <t xml:space="preserve">A learner is marked present online</t>
  </si>
  <si>
    <t xml:space="preserve">Tender 10.1.1: "The System shall allow online attendance marking via facial recognition, in-house and/or SSG QR codes, or digital ID for classes, assessments, and examinations."</t>
  </si>
  <si>
    <t xml:space="preserve">A learner marks attendance with SingPass</t>
  </si>
  <si>
    <t xml:space="preserve">Tender 10.1.2: "The System shall allow e-attendance marking via SingPass with requirements according to latest SSG mandatory attendance criteria."</t>
  </si>
  <si>
    <t xml:space="preserve">ASM-03, ASM-53</t>
  </si>
  <si>
    <t xml:space="preserve">The attendance rate follows the sessions attended</t>
  </si>
  <si>
    <t xml:space="preserve">Tender 10.1.3: "The System shall allow automated computation of attendance rate of individual Learner by programme/course."</t>
  </si>
  <si>
    <t xml:space="preserve">Learners below the minimum are flagged</t>
  </si>
  <si>
    <t xml:space="preserve">Tender 10.1.4: "The System shall allow automated flagging out of Learners who fail to meet the minimum attendance rate, to the respective Learners and Course Administrators."</t>
  </si>
  <si>
    <t xml:space="preserve">An attendance sheet is generated and exported</t>
  </si>
  <si>
    <t xml:space="preserve">Tender 10.1.5: "The System shall have the capability to generate, export and print attendance sheet for course and assessment."</t>
  </si>
  <si>
    <t xml:space="preserve">A marked list is uploaded for a non SSG course</t>
  </si>
  <si>
    <t xml:space="preserve">Tender 10.1.6: "The System shall allow manual upload of marked attendance list by User for nonSSG courses."</t>
  </si>
  <si>
    <t xml:space="preserve">ASM-26, ASM-52</t>
  </si>
  <si>
    <t xml:space="preserve">Components with weightage are set up</t>
  </si>
  <si>
    <t xml:space="preserve">Tender 10.2.1: "The System shall allow the set-up of assessment activities and components and its associated weightage for each course. The assessment component may consist of but not limited to: // 1) Quizzes; // 2) Online tests; // 3) Presentations; // 4) Class participation; // 5) Essay; // 6..."</t>
  </si>
  <si>
    <t xml:space="preserve">The total weightage must be 100 percent</t>
  </si>
  <si>
    <t xml:space="preserve">Tender 10.2.2: "The System shall be able to automatically check that the total weightage of all assessment components add up to 100%."</t>
  </si>
  <si>
    <t xml:space="preserve">The pattern of a course is tracked</t>
  </si>
  <si>
    <t xml:space="preserve">Tender 10.2.3: "The System shall allow the tracking of Assessment Pattern for each Course."</t>
  </si>
  <si>
    <t xml:space="preserve">The share of individual and group assessment is monitored</t>
  </si>
  <si>
    <t xml:space="preserve">Tender 10.2.4: "The System shall allow User to indicate if the assessment component is individual or group effort and monitor the percentage of individual and group assessment."</t>
  </si>
  <si>
    <t xml:space="preserve">A candidate manages an assessment booking</t>
  </si>
  <si>
    <t xml:space="preserve">Tender 10.2.5: "The System shall have the capability for candidates to book, change and cancel the course assessment session with fee imposed for changes where necessary."</t>
  </si>
  <si>
    <t xml:space="preserve">A reminder is sent at the end of the period</t>
  </si>
  <si>
    <t xml:space="preserve">Tender 10.2.6: "The System shall have the capability to monitor Learner who has not passed assessment for a pre-determined period (e.g. 3 months for course A or 6 months for course B) and send automated reminders to candidate."</t>
  </si>
  <si>
    <t xml:space="preserve">An assessor and a covering assessor are appointed</t>
  </si>
  <si>
    <t xml:space="preserve">Tender 10.2.7: "The System shall have the capability to appoint course assessor and maintain covering assessor."</t>
  </si>
  <si>
    <t xml:space="preserve">Trainers submit grades and the submission is tracked</t>
  </si>
  <si>
    <t xml:space="preserve">Tender 10.2.8: "The System shall have the capability to update and tracking of grades submission by Trainers."</t>
  </si>
  <si>
    <t xml:space="preserve">Final results are sent to TPGateway</t>
  </si>
  <si>
    <t xml:space="preserve">Tender 10.2.9: "The System shall have the capability to automatically interface Assessment results to Training Partners Gateway (TPGateway)."</t>
  </si>
  <si>
    <t xml:space="preserve">A reassessment request with a valid reason inside the period gets a new schedule</t>
  </si>
  <si>
    <t xml:space="preserve">Tender 10.2.10: "The System shall have the capability to automatically manage reassessment requests from candidates. Candidates with valid reasons and are within the permissible maximum period will be provided with a new assessment schedule subject to approval."</t>
  </si>
  <si>
    <t xml:space="preserve">A no show is captured</t>
  </si>
  <si>
    <t xml:space="preserve">Tender 10.2.11: "The System shall have the capability to capture status of where Learners did not turn up for reassessment and no effort is made to book a new assessment date."</t>
  </si>
  <si>
    <t xml:space="preserve">The release setting controls what the learner sees</t>
  </si>
  <si>
    <t xml:space="preserve">Tender 10.2.12: "The System shall allow the configuration of the assessment marks/results to be or not to be released to the Learners. // The System shall have a user configuration setting to show the status as completed without the release of any assessment marks if required."</t>
  </si>
  <si>
    <t xml:space="preserve">Marks are exported to Excel by batch</t>
  </si>
  <si>
    <t xml:space="preserve">Tender 10.2.13: "The System shall allow the course administrators to export the assessment marks/results into an Excel format by batch of Learners."</t>
  </si>
  <si>
    <t xml:space="preserve">The journey of a learner is tracked</t>
  </si>
  <si>
    <t xml:space="preserve">Tender 10.3.1: "The System shall allow the tracking of the entire Continuing Education and Training (CET) journey of Learners, including the progression of Learners (especially for Learners taking bundled courses that stack to a certain certificate)."</t>
  </si>
  <si>
    <t xml:space="preserve">The progression and the recommended courses are shown</t>
  </si>
  <si>
    <t xml:space="preserve">Tender 10.3.2: "The System shall include the capability to track and recommend the progression of courses a Learner must complete in order to attain the relevant qualification including the courses passed, enrolled in, outstanding, and different course equivalency and remaining candidature."</t>
  </si>
  <si>
    <t xml:space="preserve">A learner needs the prerequisite course before the next one</t>
  </si>
  <si>
    <t xml:space="preserve">Tender 10.3.3: "The System shall be able to monitor at programme level and automatically track if Learners have met the requirement of pre-requisite courses before being accepted into the next course."</t>
  </si>
  <si>
    <t xml:space="preserve">A template keeps its version history and period</t>
  </si>
  <si>
    <t xml:space="preserve">Tender 10.3.4: "The System shall allow the set-up of templates for generation of transcripts/result slips/ statement of accomplishments/certificates and tracking of version history as well as effective date/applicability period."</t>
  </si>
  <si>
    <t xml:space="preserve">Certificates are issued through OpenCerts</t>
  </si>
  <si>
    <t xml:space="preserve">Tender 10.3.5: "The System shall allow secured issuance of e-certificates and e-transcripts/result slips/statement of accomplishment to course learners using OpenCerts for both SkillsFuture Singapore (SSG) funded and non-funded courses."</t>
  </si>
  <si>
    <t xml:space="preserve">Documents are issued and stored securely</t>
  </si>
  <si>
    <t xml:space="preserve">Tender 10.3.6: "The System shall allow integration with external systems for secured issuance of eresult slips and/or e-certificates. // The System shall have the capability to store marks/grades, results slips and ecertificates in a secured platform for graduation checks, re-issuance of certifi..."</t>
  </si>
  <si>
    <t xml:space="preserve">An appeal triggers a notification and review</t>
  </si>
  <si>
    <t xml:space="preserve">Tender 10.3.7: "The System shall allow Learner to appeal for results. The System will then trigger a notification of the appeal request to CET Administrators to check and get approvals from faculty and approvers for the review of results and re-issue results and certificates, if necessary."</t>
  </si>
  <si>
    <t xml:space="preserve">A refund is made for each funding source</t>
  </si>
  <si>
    <t xml:space="preserve">Tender 11.1.2: "The System shall have the capability to make refunds for the following external fundings including but not limited to: // 1) SkillsFuture Credits; 2) PSEA; // 3) Courses sponsored by company."</t>
  </si>
  <si>
    <t xml:space="preserve">Each billing item posts with its configured codes</t>
  </si>
  <si>
    <t xml:space="preserve">Tender 11.5.3: "The System shall have the capability to map billing items to a different account code, fund code, funding source and cost centre for a particular course, including course fee amounts, grants, subsidies, and discounts respectively for Training provider. E.g. Grants, skillsFuture C..."</t>
  </si>
  <si>
    <t xml:space="preserve">The report shows each funding amount in the range</t>
  </si>
  <si>
    <t xml:space="preserve">Tender 11.8.3: "The System shall be able to generate reports of funding amount by course and selected date range, with funding coming from: // 1) Base grant; // 2) Mid-Career Enhanced Subsidy (MCES); // 3) Enhanced Training Support for SMEs (ETSS); 4) National Silver Academy (NSA); // 5) Additio..."</t>
  </si>
  <si>
    <t xml:space="preserve">A learner is marked as an alumnus</t>
  </si>
  <si>
    <t xml:space="preserve">Tender 12.1.1: "The System shall have the capability to allow a Learner to be indicated as an alumnus with an identification for alumni status."</t>
  </si>
  <si>
    <t xml:space="preserve">The balance changes with each use</t>
  </si>
  <si>
    <t xml:space="preserve">Tender 12.2.1: "The System shall be able to automatically track alumni course credit balance for Continuing Education and Training (CET) programmes/courses and maintain alumni credit balance for billing."</t>
  </si>
  <si>
    <t xml:space="preserve">The student record shows the balance</t>
  </si>
  <si>
    <t xml:space="preserve">Tender 12.2.2: "The System shall automatically reflect the balance alumni course credit in alumni's student record."</t>
  </si>
  <si>
    <t xml:space="preserve">The credit used does not exceed the cap</t>
  </si>
  <si>
    <t xml:space="preserve">Tender 12.2.3: "The System shall automatically track the total utilisatoin of Alumni Course Credit (ACC) and be able to cap the total ACC utilization at the specified (for example 50%) percentage of the full course fee."</t>
  </si>
  <si>
    <t xml:space="preserve">The System connects to both systems</t>
  </si>
  <si>
    <t xml:space="preserve">Tender 18.1.1: "The System shall support integration with the SkillsFuture Singapore (SSG) System and Training Partners Gateway (TPGateway)."</t>
  </si>
  <si>
    <t xml:space="preserve">The funding data is exchanged with the integrations</t>
  </si>
  <si>
    <t xml:space="preserve">Tender 18.1.2: "2) Grant Calculator integration // 3) SFC gateway integration // 8) Grant integration"</t>
  </si>
  <si>
    <t xml:space="preserve">An enrolment is sent through the SSG and TPGateway integration</t>
  </si>
  <si>
    <t xml:space="preserve">Tender 18.1.2: "4) Enrolment integration"</t>
  </si>
  <si>
    <t xml:space="preserve">Attendance, results and e certificates are exchanged with SSG</t>
  </si>
  <si>
    <t xml:space="preserve">Tender 18.1.2: "5) eAttendance integration // 6) Assessment integration // 7) eCert integration"</t>
  </si>
  <si>
    <t xml:space="preserve">ASM-03, NEG-07</t>
  </si>
  <si>
    <t xml:space="preserve">The System reads data from MyInfo</t>
  </si>
  <si>
    <t xml:space="preserve">Tender 18.2.1: "The System shall support integration with the external entity MyInfo."</t>
  </si>
  <si>
    <t xml:space="preserve">The System authenticates through SingPass</t>
  </si>
  <si>
    <t xml:space="preserve">Tender 18.2.2: "The System shall support integration with the external entity SingPass."</t>
  </si>
  <si>
    <t xml:space="preserve">The employer SME status is proven by the external check</t>
  </si>
  <si>
    <t xml:space="preserve">Tender 18.2.4: "The system shall support integration with the external entity to prove employer SME status to have the SSG's ETSS funding support for employees enrol into SSG funded courses. It is via MyInfo and cross check with ACRA."</t>
  </si>
  <si>
    <t xml:space="preserve">A PSEA application and claim are submitted automatically</t>
  </si>
  <si>
    <t xml:space="preserve">Tender 18.3.1: "The System shall support integration with the PSEA system for PSEA application and automatic Claim Submission for PSEA fund disbursement processes"</t>
  </si>
  <si>
    <t xml:space="preserve">The claim file lists the PSEA learners</t>
  </si>
  <si>
    <t xml:space="preserve">Tender 18.3.2: "The System shall automatically generate files with a list of PSEA claim details for Learners who have requesting to utilise their PSEA balance to fund all or part of their course fees, to MOE, via integration whenever available."</t>
  </si>
  <si>
    <t xml:space="preserve">The status follows the MOE file</t>
  </si>
  <si>
    <t xml:space="preserve">Tender 18.3.3: "The System shall automatically track and update the PSEA Fund Disbursement status based on the payment disbursement file or status received from MOE."</t>
  </si>
  <si>
    <t xml:space="preserve">The reports list the files and the transactions</t>
  </si>
  <si>
    <t xml:space="preserve">Tender 18.3.4: "The System shall allow the Course Administrator to view reports on PSEA file exchanges and financial transactions for managing PSEA related claim and disbursement processes."</t>
  </si>
  <si>
    <t xml:space="preserve">The latest requirements are met</t>
  </si>
  <si>
    <t xml:space="preserve">Tender 18.4.5: "The System shall be always enhanced and updated with the latest MOE PSEA integration requirements."</t>
  </si>
  <si>
    <t xml:space="preserve">NEG-08</t>
  </si>
  <si>
    <t xml:space="preserve">CP ID</t>
  </si>
  <si>
    <t xml:space="preserve">Location in Tender</t>
  </si>
  <si>
    <t xml:space="preserve">Point to test</t>
  </si>
  <si>
    <t xml:space="preserve">Test case can be generated</t>
  </si>
  <si>
    <t xml:space="preserve">Open ASM or NEG and Dependency</t>
  </si>
  <si>
    <t xml:space="preserve">Expected test case status</t>
  </si>
  <si>
    <t xml:space="preserve">Short reason</t>
  </si>
  <si>
    <t xml:space="preserve">TC IDs</t>
  </si>
  <si>
    <t xml:space="preserve">Defect IDs</t>
  </si>
  <si>
    <t xml:space="preserve">Tender row 24</t>
  </si>
  <si>
    <t xml:space="preserve">Singapore Residents are authenticated through SingPass for login</t>
  </si>
  <si>
    <t xml:space="preserve">The expected result is read from the clause text</t>
  </si>
  <si>
    <t xml:space="preserve">TC-SCN-001-01, TC-SCN-001-02</t>
  </si>
  <si>
    <t xml:space="preserve">DEF-001</t>
  </si>
  <si>
    <t xml:space="preserve">Tender row 26</t>
  </si>
  <si>
    <t xml:space="preserve">Learners, Corporate Customers and external users who cannot use SingPass or CorpPass log in with ID, password and OTP</t>
  </si>
  <si>
    <t xml:space="preserve">Draft cases need ASM-10 to write the expected result</t>
  </si>
  <si>
    <t xml:space="preserve">TC-SCN-002-01, TC-SCN-002-02</t>
  </si>
  <si>
    <t xml:space="preserve">Tender row 180</t>
  </si>
  <si>
    <t xml:space="preserve">Registered learners browse the catalogue, their progress, attendance, assessments and payments, and make requests in the portal</t>
  </si>
  <si>
    <t xml:space="preserve">Tender row 202</t>
  </si>
  <si>
    <t xml:space="preserve">Credit bearing and non credit bearing routes are different and learners register for the route they choose</t>
  </si>
  <si>
    <t xml:space="preserve">TC-SCN-004-01, TC-SCN-004-02</t>
  </si>
  <si>
    <t xml:space="preserve">Tender row 203</t>
  </si>
  <si>
    <t xml:space="preserve">Assessments of different courses and types are differentiated and components and subcomponents are configurable (peer evaluation, multiple choice, project work)</t>
  </si>
  <si>
    <t xml:space="preserve">Tender row 222</t>
  </si>
  <si>
    <t xml:space="preserve">Course fee profiles are created for self sponsored and company sponsored cases</t>
  </si>
  <si>
    <t xml:space="preserve">TC-SCN-006-01, TC-SCN-006-02</t>
  </si>
  <si>
    <t xml:space="preserve">Tender row 223</t>
  </si>
  <si>
    <t xml:space="preserve">Rules for calculation of course fees and GST are created</t>
  </si>
  <si>
    <t xml:space="preserve">Draft cases need ASM-60 to write the expected result</t>
  </si>
  <si>
    <t xml:space="preserve">TC-SCN-007-01, TC-SCN-007-02</t>
  </si>
  <si>
    <t xml:space="preserve">DEF-002</t>
  </si>
  <si>
    <t xml:space="preserve">Tender rows 224 to 228</t>
  </si>
  <si>
    <t xml:space="preserve">Fee changes and approval for withdrawals, leave of absence, deferrals and termination</t>
  </si>
  <si>
    <t xml:space="preserve">Draft cases need ASM-61 to write the expected result</t>
  </si>
  <si>
    <t xml:space="preserve">TC-SCN-008-01, TC-SCN-008-02, TC-SCN-008-03, TC-SCN-008-04, TC-SCN-008-05</t>
  </si>
  <si>
    <t xml:space="preserve">DEF-003</t>
  </si>
  <si>
    <t xml:space="preserve">Tender row 229</t>
  </si>
  <si>
    <t xml:space="preserve">Different payment processes for applicant payments and sponsor payments</t>
  </si>
  <si>
    <t xml:space="preserve">TC-SCN-009-01, TC-SCN-009-02</t>
  </si>
  <si>
    <t xml:space="preserve">Tender rows 230 to 232</t>
  </si>
  <si>
    <t xml:space="preserve">Fees are generated for rescheduling and reassessment</t>
  </si>
  <si>
    <t xml:space="preserve">TC-SCN-010-01, TC-SCN-010-02</t>
  </si>
  <si>
    <t xml:space="preserve">Tender rows 233 to 240</t>
  </si>
  <si>
    <t xml:space="preserve">Fees payable are calculated automatically by nationality, age, income, alumni status, alumni credits, company SME status and MOE teacher</t>
  </si>
  <si>
    <t xml:space="preserve">Draft cases need ASM-62, ASM-71 to write the expected result</t>
  </si>
  <si>
    <t xml:space="preserve">TC-SCN-011-01, TC-SCN-011-02, TC-SCN-011-03, TC-SCN-011-04, TC-SCN-011-05, TC-SCN-011-06</t>
  </si>
  <si>
    <t xml:space="preserve">DEF-004, DEF-005</t>
  </si>
  <si>
    <t xml:space="preserve">Tender row 241</t>
  </si>
  <si>
    <t xml:space="preserve">Fee structures with administration, volume discount, material, reassessment, registration and exemption fees, installments, late payments and checker and approver</t>
  </si>
  <si>
    <t xml:space="preserve">Draft cases need ASM-63, ASM-73 to write the expected result</t>
  </si>
  <si>
    <t xml:space="preserve">TC-SCN-012-01, TC-SCN-012-02, TC-SCN-012-03, TC-SCN-012-04, TC-SCN-012-05</t>
  </si>
  <si>
    <t xml:space="preserve">DEF-006</t>
  </si>
  <si>
    <t xml:space="preserve">Tender row 243</t>
  </si>
  <si>
    <t xml:space="preserve">Fee profiles with different fee types for self sponsored and corporate sponsored, subsidised and non subsidised courses with eligibility rules</t>
  </si>
  <si>
    <t xml:space="preserve">Draft cases need ASM-62 to write the expected result</t>
  </si>
  <si>
    <t xml:space="preserve">TC-SCN-013-01, TC-SCN-013-02</t>
  </si>
  <si>
    <t xml:space="preserve">Tender rows 244 to 249</t>
  </si>
  <si>
    <t xml:space="preserve">Special, promotional, ad hoc and group discounts with multi tier rules and tracking of grant and discount use</t>
  </si>
  <si>
    <t xml:space="preserve">Draft cases need ASM-64, ASM-76 to write the expected result</t>
  </si>
  <si>
    <t xml:space="preserve">TC-SCN-014-01, TC-SCN-014-02, TC-SCN-014-03, TC-SCN-014-04, TC-SCN-014-05</t>
  </si>
  <si>
    <t xml:space="preserve">DEF-007</t>
  </si>
  <si>
    <t xml:space="preserve">Tender rows 250 to 251</t>
  </si>
  <si>
    <t xml:space="preserve">Automatic application of grants, subsidies, SFC, SFC mid career top up, ETSS, credits, discounts, PSEA, ACC and AFS, with ACC deducted from the full fee before the SSG grant</t>
  </si>
  <si>
    <t xml:space="preserve">Draft cases need ASM-62, ASM-64, ASM-71 to write the expected result</t>
  </si>
  <si>
    <t xml:space="preserve">TC-SCN-015-01, TC-SCN-015-02, TC-SCN-015-03, TC-SCN-015-04, TC-SCN-015-05</t>
  </si>
  <si>
    <t xml:space="preserve">DEF-008, DEF-009</t>
  </si>
  <si>
    <t xml:space="preserve">Tender rows 252 to 254</t>
  </si>
  <si>
    <t xml:space="preserve">Outcome based SSG funding with a minimum of 75 percent attendance and a passed assessment</t>
  </si>
  <si>
    <t xml:space="preserve">Draft cases need ASM-52, ASM-65, NEG-01 to write the expected result</t>
  </si>
  <si>
    <t xml:space="preserve">TC-SCN-016-01, TC-SCN-016-02, TC-SCN-016-03</t>
  </si>
  <si>
    <t xml:space="preserve">DEF-010, DEF-011</t>
  </si>
  <si>
    <t xml:space="preserve">Tender row 255</t>
  </si>
  <si>
    <t xml:space="preserve">Integration with the TPGateway Financial Management System for automated drawing down of block grants for completed courses</t>
  </si>
  <si>
    <t xml:space="preserve">Draft cases need ASM-03, ASM-40 to write the expected result</t>
  </si>
  <si>
    <t xml:space="preserve">TC-SCN-017-01, TC-SCN-017-02, TC-SCN-017-03</t>
  </si>
  <si>
    <t xml:space="preserve">DEF-012</t>
  </si>
  <si>
    <t xml:space="preserve">Tender row 256</t>
  </si>
  <si>
    <t xml:space="preserve">Discretionary discount by percentage or flat rate with automatic fee calculation and refund of fees with approvals</t>
  </si>
  <si>
    <t xml:space="preserve">Draft cases need ASM-63, ASM-69 to write the expected result</t>
  </si>
  <si>
    <t xml:space="preserve">TC-SCN-018-01, TC-SCN-018-02, TC-SCN-018-03, TC-SCN-018-04</t>
  </si>
  <si>
    <t xml:space="preserve">DEF-013, DEF-014</t>
  </si>
  <si>
    <t xml:space="preserve">Tender rows 257 to 258</t>
  </si>
  <si>
    <t xml:space="preserve">Detection of repeat applications for the same course, exclusion of funding, monitoring of staff registrations and the 5 percent cap with an email alert</t>
  </si>
  <si>
    <t xml:space="preserve">The clause has no base for the percentage and no threshold</t>
  </si>
  <si>
    <t xml:space="preserve">TC-SCN-019-01, TC-SCN-019-02, TC-SCN-019-03, TC-SCN-019-04</t>
  </si>
  <si>
    <t xml:space="preserve">DEF-015, DEF-016</t>
  </si>
  <si>
    <t xml:space="preserve">Tender row 259</t>
  </si>
  <si>
    <t xml:space="preserve">Entry of the Vendor@Gov Business Unit reference and the GeBIZ purchase order number to record SME status for ETSS</t>
  </si>
  <si>
    <t xml:space="preserve">Draft cases need ASM-67 to write the expected result</t>
  </si>
  <si>
    <t xml:space="preserve">TC-SCN-020-01, TC-SCN-020-02</t>
  </si>
  <si>
    <t xml:space="preserve">Tender rows 260 to 267</t>
  </si>
  <si>
    <t xml:space="preserve">Multi tier grant structures and funding schemes by citizenship, age, income, organisation, course history, other funding, LTVP+ and grant version by SSG LOA</t>
  </si>
  <si>
    <t xml:space="preserve">Draft cases need ASM-62, ASM-68 to write the expected result</t>
  </si>
  <si>
    <t xml:space="preserve">TC-SCN-021-01, TC-SCN-021-02, TC-SCN-021-03, TC-SCN-021-04</t>
  </si>
  <si>
    <t xml:space="preserve">DEF-017</t>
  </si>
  <si>
    <t xml:space="preserve">Tender row 268</t>
  </si>
  <si>
    <t xml:space="preserve">Discount type by percentage or by flat rate for each course type</t>
  </si>
  <si>
    <t xml:space="preserve">TC-SCN-022-01, TC-SCN-022-02</t>
  </si>
  <si>
    <t xml:space="preserve">Tender rows 269 to 270</t>
  </si>
  <si>
    <t xml:space="preserve">Multiple funding agencies, schemes and sponsorships per course with automatic billing of several sponsors</t>
  </si>
  <si>
    <t xml:space="preserve">Draft cases need ASM-70 to write the expected result</t>
  </si>
  <si>
    <t xml:space="preserve">TC-SCN-023-01, TC-SCN-023-02, TC-SCN-023-03</t>
  </si>
  <si>
    <t xml:space="preserve">DEF-018</t>
  </si>
  <si>
    <t xml:space="preserve">Tender row 272</t>
  </si>
  <si>
    <t xml:space="preserve">Each course has its own assessment pattern: pass or fail, letter grade or number mark</t>
  </si>
  <si>
    <t xml:space="preserve">Draft cases need ASM-50 to write the expected result</t>
  </si>
  <si>
    <t xml:space="preserve">TC-SCN-024-01, TC-SCN-024-02</t>
  </si>
  <si>
    <t xml:space="preserve">Tender row 273</t>
  </si>
  <si>
    <t xml:space="preserve">Marks convert automatically into grades and grade points and the overall course result is calculated from the weightings</t>
  </si>
  <si>
    <t xml:space="preserve">TC-SCN-025-01, TC-SCN-025-02</t>
  </si>
  <si>
    <t xml:space="preserve">DEF-019</t>
  </si>
  <si>
    <t xml:space="preserve">Tender row 274</t>
  </si>
  <si>
    <t xml:space="preserve">The cumulative grade point average is calculated automatically</t>
  </si>
  <si>
    <t xml:space="preserve">Draft cases need ASM-51 to write the expected result</t>
  </si>
  <si>
    <t xml:space="preserve">Tender row 275</t>
  </si>
  <si>
    <t xml:space="preserve">Schools generate reports of learners' records, marks, grades, pass or fail and grade points for approval by the Approving Body</t>
  </si>
  <si>
    <t xml:space="preserve">Tender rows 276 to 280</t>
  </si>
  <si>
    <t xml:space="preserve">Marks are moderated, uploaded from Excel, exported to Excel, checked and approved in levels and reported</t>
  </si>
  <si>
    <t xml:space="preserve">Draft cases need ASM-26, ASM-50 to write the expected result</t>
  </si>
  <si>
    <t xml:space="preserve">TC-SCN-028-01, TC-SCN-028-02, TC-SCN-028-03, TC-SCN-028-04</t>
  </si>
  <si>
    <t xml:space="preserve">DEF-020</t>
  </si>
  <si>
    <t xml:space="preserve">Tender row 282</t>
  </si>
  <si>
    <t xml:space="preserve">Academic and graduation criteria are set up and tracked automatically to the fulfilment of the requirements</t>
  </si>
  <si>
    <t xml:space="preserve">Draft cases need ASM-52 to write the expected result</t>
  </si>
  <si>
    <t xml:space="preserve">TC-SCN-029-01, TC-SCN-029-02</t>
  </si>
  <si>
    <t xml:space="preserve">DEF-021</t>
  </si>
  <si>
    <t xml:space="preserve">Tender rows 283 to 284</t>
  </si>
  <si>
    <t xml:space="preserve">Progression is tracked, a prompt to issue the certificate appears and learners can access, print or download certificates</t>
  </si>
  <si>
    <t xml:space="preserve">Draft cases need ASM-56 to write the expected result</t>
  </si>
  <si>
    <t xml:space="preserve">TC-SCN-030-01, TC-SCN-030-02</t>
  </si>
  <si>
    <t xml:space="preserve">Tender row 285</t>
  </si>
  <si>
    <t xml:space="preserve">Certificate templates are created and maintained in several formats with School logos, partner logos and signatories</t>
  </si>
  <si>
    <t xml:space="preserve">DEF-022</t>
  </si>
  <si>
    <t xml:space="preserve">Tender row 286</t>
  </si>
  <si>
    <t xml:space="preserve">Result slip and transcript templates are maintained and automatic email templates are sent to course applicants</t>
  </si>
  <si>
    <t xml:space="preserve">Draft cases need ASM-21 to write the expected result</t>
  </si>
  <si>
    <t xml:space="preserve">Tender row 287</t>
  </si>
  <si>
    <t xml:space="preserve">The System creates the XML files for the issuance of OpenCerts for certificates and transcripts</t>
  </si>
  <si>
    <t xml:space="preserve">Tender rows 302 to 303</t>
  </si>
  <si>
    <t xml:space="preserve">The Course Administrator configures the course run intake size and the registration period</t>
  </si>
  <si>
    <t xml:space="preserve">Draft cases need ASM-14 to write the expected result</t>
  </si>
  <si>
    <t xml:space="preserve">TC-SCN-034-01, TC-SCN-034-02</t>
  </si>
  <si>
    <t xml:space="preserve">Tender row 306</t>
  </si>
  <si>
    <t xml:space="preserve">The Course Administrator schedules assessments</t>
  </si>
  <si>
    <t xml:space="preserve">Tender row 311</t>
  </si>
  <si>
    <t xml:space="preserve">Resources and facilities are tagged to courses and assessments</t>
  </si>
  <si>
    <t xml:space="preserve">Tender row 312</t>
  </si>
  <si>
    <t xml:space="preserve">Administrators create a course or assessment schedule from a template with upload</t>
  </si>
  <si>
    <t xml:space="preserve">Draft cases need ASM-26 to write the expected result</t>
  </si>
  <si>
    <t xml:space="preserve">Tender row 317</t>
  </si>
  <si>
    <t xml:space="preserve">Different approval workflows with status tracking exist for programmes and courses to be offered, by course level and course run</t>
  </si>
  <si>
    <t xml:space="preserve">Draft cases need ASM-15 to write the expected result</t>
  </si>
  <si>
    <t xml:space="preserve">Tender row 318</t>
  </si>
  <si>
    <t xml:space="preserve">Multiple individual and corporate registration forms exist for the types of courses by respective Schools</t>
  </si>
  <si>
    <t xml:space="preserve">Tender rows 319 to 320</t>
  </si>
  <si>
    <t xml:space="preserve">Sponsors or staff import registrations in batch and the System processes the batch automatically</t>
  </si>
  <si>
    <t xml:space="preserve">Draft cases need ASM-16 to write the expected result</t>
  </si>
  <si>
    <t xml:space="preserve">DEF-023</t>
  </si>
  <si>
    <t xml:space="preserve">Tender row 321</t>
  </si>
  <si>
    <t xml:space="preserve">Basic validation of the registration form: mandatory fields, data types, format, length, range, consistency and look up</t>
  </si>
  <si>
    <t xml:space="preserve">Draft cases need ASM-11 to write the expected result</t>
  </si>
  <si>
    <t xml:space="preserve">TC-SCN-041-01, TC-SCN-041-02, TC-SCN-041-03</t>
  </si>
  <si>
    <t xml:space="preserve">DEF-024</t>
  </si>
  <si>
    <t xml:space="preserve">Tender row 322</t>
  </si>
  <si>
    <t xml:space="preserve">Learners review offer decisions, appeals and make requests (change course, leave, withdrawal, deferment, waiver) in the portal and the right workflow starts</t>
  </si>
  <si>
    <t xml:space="preserve">Draft cases need ASM-31 to write the expected result</t>
  </si>
  <si>
    <t xml:space="preserve">TC-SCN-042-01, TC-SCN-042-02, TC-SCN-042-03</t>
  </si>
  <si>
    <t xml:space="preserve">Tender row 323</t>
  </si>
  <si>
    <t xml:space="preserve">Course runs can be cloned to create several subsequent new course runs</t>
  </si>
  <si>
    <t xml:space="preserve">Tender row 324</t>
  </si>
  <si>
    <t xml:space="preserve">Documents can be uploaded to support a course application</t>
  </si>
  <si>
    <t xml:space="preserve">Tender rows 325 to 327</t>
  </si>
  <si>
    <t xml:space="preserve">Finance functions are triggered automatically when a course application changes: invoicing, credit notes and refunds</t>
  </si>
  <si>
    <t xml:space="preserve">Draft cases need ASM-69 to write the expected result</t>
  </si>
  <si>
    <t xml:space="preserve">TC-SCN-045-01, TC-SCN-045-02, TC-SCN-045-03</t>
  </si>
  <si>
    <t xml:space="preserve">DEF-025</t>
  </si>
  <si>
    <t xml:space="preserve">Tender row 328</t>
  </si>
  <si>
    <t xml:space="preserve">Parallel runs of the same course or assessment can run with different period, training resource, fees and grants</t>
  </si>
  <si>
    <t xml:space="preserve">Tender row 329</t>
  </si>
  <si>
    <t xml:space="preserve">A minimum and a maximum number of learners are configured for each course or assessment</t>
  </si>
  <si>
    <t xml:space="preserve">Draft cases need ASM-13 to write the expected result</t>
  </si>
  <si>
    <t xml:space="preserve">TC-SCN-047-01, TC-SCN-047-02</t>
  </si>
  <si>
    <t xml:space="preserve">DEF-026</t>
  </si>
  <si>
    <t xml:space="preserve">Tender row 330</t>
  </si>
  <si>
    <t xml:space="preserve">Waitlists are configured when the maximum is reached and applicants are prioritised first come first serve</t>
  </si>
  <si>
    <t xml:space="preserve">Draft cases need ASM-17 to write the expected result</t>
  </si>
  <si>
    <t xml:space="preserve">DEF-027</t>
  </si>
  <si>
    <t xml:space="preserve">Tender row 331</t>
  </si>
  <si>
    <t xml:space="preserve">Applications on the waitlist can be channelled to another course for confirmation</t>
  </si>
  <si>
    <t xml:space="preserve">Draft cases need ASM-18 to write the expected result</t>
  </si>
  <si>
    <t xml:space="preserve">Tender rows 332 to 336</t>
  </si>
  <si>
    <t xml:space="preserve">Reports on course registration: number of students on SFC, on ETSS, who paid and who are pending documents</t>
  </si>
  <si>
    <t xml:space="preserve">Draft cases need ASM-76 to write the expected result</t>
  </si>
  <si>
    <t xml:space="preserve">TC-SCN-050-01, TC-SCN-050-02</t>
  </si>
  <si>
    <t xml:space="preserve">Tender row 337</t>
  </si>
  <si>
    <t xml:space="preserve">Learners and Corporate Customers are notified of the outcome of application, enrolment, withdrawal, deferment and course switching</t>
  </si>
  <si>
    <t xml:space="preserve">TC-SCN-051-01, TC-SCN-051-02</t>
  </si>
  <si>
    <t xml:space="preserve">Tender row 339</t>
  </si>
  <si>
    <t xml:space="preserve">Course applicants are led to create a new user account first when they register</t>
  </si>
  <si>
    <t xml:space="preserve">TC-SCN-052-01, TC-SCN-052-02</t>
  </si>
  <si>
    <t xml:space="preserve">Tender rows 340 to 341</t>
  </si>
  <si>
    <t xml:space="preserve">PDPA declaration, consent and Terms and Conditions acknowledgement are captured in registration</t>
  </si>
  <si>
    <t xml:space="preserve">Draft cases need ASM-19 to write the expected result</t>
  </si>
  <si>
    <t xml:space="preserve">TC-SCN-053-01, TC-SCN-053-02, TC-SCN-053-03</t>
  </si>
  <si>
    <t xml:space="preserve">DEF-028</t>
  </si>
  <si>
    <t xml:space="preserve">Tender row 342</t>
  </si>
  <si>
    <t xml:space="preserve">Learners can opt out of marketing material campaigns</t>
  </si>
  <si>
    <t xml:space="preserve">Tender row 343</t>
  </si>
  <si>
    <t xml:space="preserve">Registrants with an existing account log in and their information is populated</t>
  </si>
  <si>
    <t xml:space="preserve">Tender row 344</t>
  </si>
  <si>
    <t xml:space="preserve">Personal information verified by SingPass MyInfo is filled from the account into the registration form</t>
  </si>
  <si>
    <t xml:space="preserve">Draft cases need ASM-03, ASM-20, ASM-23 to write the expected result</t>
  </si>
  <si>
    <t xml:space="preserve">TC-SCN-056-01, TC-SCN-056-02</t>
  </si>
  <si>
    <t xml:space="preserve">DEF-029</t>
  </si>
  <si>
    <t xml:space="preserve">Tender row 345</t>
  </si>
  <si>
    <t xml:space="preserve">Mandatory and optional fields exist and an incomplete application can be saved and resumed</t>
  </si>
  <si>
    <t xml:space="preserve">Draft cases need ASM-12 to write the expected result</t>
  </si>
  <si>
    <t xml:space="preserve">TC-SCN-057-01, TC-SCN-057-02</t>
  </si>
  <si>
    <t xml:space="preserve">Tender row 346</t>
  </si>
  <si>
    <t xml:space="preserve">Incomplete registration forms are tracked, applicants are reminded and Administrators get an alert and reports</t>
  </si>
  <si>
    <t xml:space="preserve">Draft cases need ASM-12, ASM-21 to write the expected result</t>
  </si>
  <si>
    <t xml:space="preserve">TC-SCN-058-01, TC-SCN-058-02</t>
  </si>
  <si>
    <t xml:space="preserve">DEF-030</t>
  </si>
  <si>
    <t xml:space="preserve">Tender row 347</t>
  </si>
  <si>
    <t xml:space="preserve">Registration is possible at course and programme level</t>
  </si>
  <si>
    <t xml:space="preserve">TC-SCN-059-01, TC-SCN-059-02</t>
  </si>
  <si>
    <t xml:space="preserve">Tender row 348</t>
  </si>
  <si>
    <t xml:space="preserve">Learners register as self sponsored or company sponsored with costing and company details</t>
  </si>
  <si>
    <t xml:space="preserve">TC-SCN-060-01, TC-SCN-060-02, TC-SCN-060-03</t>
  </si>
  <si>
    <t xml:space="preserve">Tender row 349</t>
  </si>
  <si>
    <t xml:space="preserve">Supporting documents are uploaded and the System checks the list of required documents</t>
  </si>
  <si>
    <t xml:space="preserve">Draft cases need ASM-24 to write the expected result</t>
  </si>
  <si>
    <t xml:space="preserve">TC-SCN-061-01, TC-SCN-061-02</t>
  </si>
  <si>
    <t xml:space="preserve">Tender row 350</t>
  </si>
  <si>
    <t xml:space="preserve">Bulk registrations are uploaded in an Excel file with supporting documents</t>
  </si>
  <si>
    <t xml:space="preserve">TC-SCN-062-01, TC-SCN-062-02</t>
  </si>
  <si>
    <t xml:space="preserve">Tender row 351</t>
  </si>
  <si>
    <t xml:space="preserve">Group registrations of 3 people or more and early bird registrations get their discounts</t>
  </si>
  <si>
    <t xml:space="preserve">Draft cases need ASM-27 to write the expected result</t>
  </si>
  <si>
    <t xml:space="preserve">TC-SCN-063-01, TC-SCN-063-02, TC-SCN-063-03</t>
  </si>
  <si>
    <t xml:space="preserve">DEF-031</t>
  </si>
  <si>
    <t xml:space="preserve">Tender row 352</t>
  </si>
  <si>
    <t xml:space="preserve">The eligibility for the SSG grant is checked and the course fee is computed at registration</t>
  </si>
  <si>
    <t xml:space="preserve">TC-SCN-064-01, TC-SCN-064-02</t>
  </si>
  <si>
    <t xml:space="preserve">DEF-032</t>
  </si>
  <si>
    <t xml:space="preserve">Tender row 353</t>
  </si>
  <si>
    <t xml:space="preserve">The System checks applicants against the SSG and School blacklists and computes the fee overview</t>
  </si>
  <si>
    <t xml:space="preserve">Draft cases need ASM-28 to write the expected result</t>
  </si>
  <si>
    <t xml:space="preserve">TC-SCN-065-01, TC-SCN-065-02, TC-SCN-065-03</t>
  </si>
  <si>
    <t xml:space="preserve">DEF-033</t>
  </si>
  <si>
    <t xml:space="preserve">Tender row 354</t>
  </si>
  <si>
    <t xml:space="preserve">All information is captured in structured fields for downstream processing without re entering</t>
  </si>
  <si>
    <t xml:space="preserve">Tender row 355</t>
  </si>
  <si>
    <t xml:space="preserve">Company sponsored applicants make an SME declaration</t>
  </si>
  <si>
    <t xml:space="preserve">TC-SCN-067-01, TC-SCN-067-02</t>
  </si>
  <si>
    <t xml:space="preserve">DEF-034</t>
  </si>
  <si>
    <t xml:space="preserve">Tender row 356</t>
  </si>
  <si>
    <t xml:space="preserve">Applicants check the available Alumni Credits for Training provider alumni</t>
  </si>
  <si>
    <t xml:space="preserve">Draft cases need ASM-71 to write the expected result</t>
  </si>
  <si>
    <t xml:space="preserve">TC-SCN-068-01, TC-SCN-068-02</t>
  </si>
  <si>
    <t xml:space="preserve">DEF-035</t>
  </si>
  <si>
    <t xml:space="preserve">Tender row 357</t>
  </si>
  <si>
    <t xml:space="preserve">Applicants check the available SkillsFuture Credit including the mid career top up</t>
  </si>
  <si>
    <t xml:space="preserve">TC-SCN-069-01, TC-SCN-069-02</t>
  </si>
  <si>
    <t xml:space="preserve">DEF-036</t>
  </si>
  <si>
    <t xml:space="preserve">Tender row 358</t>
  </si>
  <si>
    <t xml:space="preserve">An overview of course fees is given with SFC, SSG grant and Alumni Credits</t>
  </si>
  <si>
    <t xml:space="preserve">Draft cases need ASM-64, ASM-71 to write the expected result</t>
  </si>
  <si>
    <t xml:space="preserve">TC-SCN-070-01, TC-SCN-070-02</t>
  </si>
  <si>
    <t xml:space="preserve">DEF-037</t>
  </si>
  <si>
    <t xml:space="preserve">Tender rows 359 to 378</t>
  </si>
  <si>
    <t xml:space="preserve">The registration captures the listed personal, education, alumni, company and billing fields</t>
  </si>
  <si>
    <t xml:space="preserve">Draft cases need ASM-25 to write the expected result</t>
  </si>
  <si>
    <t xml:space="preserve">TC-SCN-071-01, TC-SCN-071-02</t>
  </si>
  <si>
    <t xml:space="preserve">Tender row 379</t>
  </si>
  <si>
    <t xml:space="preserve">Prerequisites and enrolment criteria are validated at registration and Administrators are alerted with descriptive reasons when they fail</t>
  </si>
  <si>
    <t xml:space="preserve">Draft cases need ASM-29 to write the expected result</t>
  </si>
  <si>
    <t xml:space="preserve">TC-SCN-072-01, TC-SCN-072-02</t>
  </si>
  <si>
    <t xml:space="preserve">DEF-038</t>
  </si>
  <si>
    <t xml:space="preserve">Tender rows 381 to 405</t>
  </si>
  <si>
    <t xml:space="preserve">Corporate registration captures the company HR contact and learner fields</t>
  </si>
  <si>
    <t xml:space="preserve">Tender rows 406 to 407</t>
  </si>
  <si>
    <t xml:space="preserve">Corporate applicants create an account first or log in with an existing account</t>
  </si>
  <si>
    <t xml:space="preserve">TC-SCN-074-01, TC-SCN-074-02</t>
  </si>
  <si>
    <t xml:space="preserve">Tender row 408</t>
  </si>
  <si>
    <t xml:space="preserve">Company sponsored registrations get an automatic check of the UEN entered by the applicant</t>
  </si>
  <si>
    <t xml:space="preserve">Draft cases need ASM-32 to write the expected result</t>
  </si>
  <si>
    <t xml:space="preserve">TC-SCN-075-01, TC-SCN-075-02</t>
  </si>
  <si>
    <t xml:space="preserve">Tender row 409</t>
  </si>
  <si>
    <t xml:space="preserve">Company information from the account fills the corporate registration form with PDPA and privacy consent</t>
  </si>
  <si>
    <t xml:space="preserve">Tender row 410</t>
  </si>
  <si>
    <t xml:space="preserve">Corporate applicants have mandatory and optional fields and can save an incomplete application</t>
  </si>
  <si>
    <t xml:space="preserve">Tender row 411</t>
  </si>
  <si>
    <t xml:space="preserve">Incomplete corporate forms are tracked, Administrators are alerted and can run reports</t>
  </si>
  <si>
    <t xml:space="preserve">DEF-039</t>
  </si>
  <si>
    <t xml:space="preserve">Tender row 412</t>
  </si>
  <si>
    <t xml:space="preserve">Corporate registration is possible at course and programme level</t>
  </si>
  <si>
    <t xml:space="preserve">Tender row 413</t>
  </si>
  <si>
    <t xml:space="preserve">Corporate supporting documents are uploaded and the required list is checked</t>
  </si>
  <si>
    <t xml:space="preserve">Tender row 414</t>
  </si>
  <si>
    <t xml:space="preserve">Corporate bulk registrations are uploaded in Excel with supporting documents</t>
  </si>
  <si>
    <t xml:space="preserve">Tender row 415</t>
  </si>
  <si>
    <t xml:space="preserve">Company sponsored registrations get an automatic UEN check on the corporate applicant</t>
  </si>
  <si>
    <t xml:space="preserve">Tender row 416</t>
  </si>
  <si>
    <t xml:space="preserve">Corporate registration data is captured in structured fields and not re entered</t>
  </si>
  <si>
    <t xml:space="preserve">Tender row 417</t>
  </si>
  <si>
    <t xml:space="preserve">Corporate applicants are verified with the SME declaration</t>
  </si>
  <si>
    <t xml:space="preserve">Draft cases need ASM-03, ASM-67 to write the expected result</t>
  </si>
  <si>
    <t xml:space="preserve">TC-SCN-084-01, TC-SCN-084-02</t>
  </si>
  <si>
    <t xml:space="preserve">Tender row 418</t>
  </si>
  <si>
    <t xml:space="preserve">Supporting documents for registrations are uploaded and the required list is checked</t>
  </si>
  <si>
    <t xml:space="preserve">Tender row 420</t>
  </si>
  <si>
    <t xml:space="preserve">Applicants submit pre assessment requirements for shortlisting criteria, also for FlexiMasters and SkillsFuture Career Transition Programmes</t>
  </si>
  <si>
    <t xml:space="preserve">Draft cases need ASM-30 to write the expected result</t>
  </si>
  <si>
    <t xml:space="preserve">Tender row 421</t>
  </si>
  <si>
    <t xml:space="preserve">A list or survey of pre assessment requirements is sent automatically to the applicant after the application</t>
  </si>
  <si>
    <t xml:space="preserve">Draft cases need ASM-21, ASM-30 to write the expected result</t>
  </si>
  <si>
    <t xml:space="preserve">Tender rows 422 to 423</t>
  </si>
  <si>
    <t xml:space="preserve">Assessment and interviews are scheduled for shortlisted applicants and communication is sent automatically</t>
  </si>
  <si>
    <t xml:space="preserve">Tender row 425</t>
  </si>
  <si>
    <t xml:space="preserve">Applications are confirmed automatically by capacity on a first come first serve basis</t>
  </si>
  <si>
    <t xml:space="preserve">The sentence is incomplete, so the requirement cannot be read as one rule</t>
  </si>
  <si>
    <t xml:space="preserve">TC-SCN-089-01, TC-SCN-089-02</t>
  </si>
  <si>
    <t xml:space="preserve">DEF-040</t>
  </si>
  <si>
    <t xml:space="preserve">Tender row 426</t>
  </si>
  <si>
    <t xml:space="preserve">Learners in a parent course are registered and enrolled automatically into the individual bite sized courses</t>
  </si>
  <si>
    <t xml:space="preserve">Draft cases need ASM-39 to write the expected result</t>
  </si>
  <si>
    <t xml:space="preserve">Tender row 427</t>
  </si>
  <si>
    <t xml:space="preserve">Learners go automatically to a waitlist when the class is full and are notified when seats are free and channelled to another course</t>
  </si>
  <si>
    <t xml:space="preserve">Draft cases need ASM-17, ASM-18, ASM-21 to write the expected result</t>
  </si>
  <si>
    <t xml:space="preserve">TC-SCN-091-01, TC-SCN-091-02, TC-SCN-091-03</t>
  </si>
  <si>
    <t xml:space="preserve">DEF-041</t>
  </si>
  <si>
    <t xml:space="preserve">Tender row 428</t>
  </si>
  <si>
    <t xml:space="preserve">Course offer management with a letter of offer that is customisable per School</t>
  </si>
  <si>
    <t xml:space="preserve">Draft cases need ASM-34 to write the expected result</t>
  </si>
  <si>
    <t xml:space="preserve">Tender rows 429 to 433</t>
  </si>
  <si>
    <t xml:space="preserve">Enrolment restrictions are configured by age, prerequisites, penalty and capacity</t>
  </si>
  <si>
    <t xml:space="preserve">Draft cases need ASM-35, ASM-38 to write the expected result</t>
  </si>
  <si>
    <t xml:space="preserve">TC-SCN-093-01, TC-SCN-093-02, TC-SCN-093-03, TC-SCN-093-04</t>
  </si>
  <si>
    <t xml:space="preserve">DEF-042</t>
  </si>
  <si>
    <t xml:space="preserve">Tender row 434</t>
  </si>
  <si>
    <t xml:space="preserve">The Course Administrator can enrol self sponsored or corporate sponsored learners ad hoc for exception cases</t>
  </si>
  <si>
    <t xml:space="preserve">TC-SCN-094-01, TC-SCN-094-02</t>
  </si>
  <si>
    <t xml:space="preserve">Tender row 435</t>
  </si>
  <si>
    <t xml:space="preserve">A limit on waitlist slots is configured and registration closes automatically when the waitlist is full</t>
  </si>
  <si>
    <t xml:space="preserve">TC-SCN-095-01, TC-SCN-095-02</t>
  </si>
  <si>
    <t xml:space="preserve">DEF-043</t>
  </si>
  <si>
    <t xml:space="preserve">Tender rows 436 to 437</t>
  </si>
  <si>
    <t xml:space="preserve">Learners withdraw, send a replacement or transfer to another schedule with a reason within a period and the particulars follow</t>
  </si>
  <si>
    <t xml:space="preserve">Draft cases need ASM-36 to write the expected result</t>
  </si>
  <si>
    <t xml:space="preserve">TC-SCN-096-01, TC-SCN-096-02, TC-SCN-096-03</t>
  </si>
  <si>
    <t xml:space="preserve">Tender row 438</t>
  </si>
  <si>
    <t xml:space="preserve">Learners who withdraw or reschedule are assigned to different classes or assessments after approval</t>
  </si>
  <si>
    <t xml:space="preserve">TC-SCN-097-01, TC-SCN-097-02</t>
  </si>
  <si>
    <t xml:space="preserve">Tender row 439</t>
  </si>
  <si>
    <t xml:space="preserve">Learners defer courses and assessments subject to approval and the deferments are tracked</t>
  </si>
  <si>
    <t xml:space="preserve">TC-SCN-098-01, TC-SCN-098-02</t>
  </si>
  <si>
    <t xml:space="preserve">Tender row 440</t>
  </si>
  <si>
    <t xml:space="preserve">Student and associate accounts are created automatically for learners who enrolled successfully</t>
  </si>
  <si>
    <t xml:space="preserve">Draft cases need ASM-37 to write the expected result</t>
  </si>
  <si>
    <t xml:space="preserve">TC-SCN-099-01, TC-SCN-099-02</t>
  </si>
  <si>
    <t xml:space="preserve">Tender rows 441 to 442</t>
  </si>
  <si>
    <t xml:space="preserve">The System integrates with the Student Management System for enrolment, scoring and results, and learners appeal course results</t>
  </si>
  <si>
    <t xml:space="preserve">TC-SCN-100-01, TC-SCN-100-02</t>
  </si>
  <si>
    <t xml:space="preserve">Tender rows 443 to 450</t>
  </si>
  <si>
    <t xml:space="preserve">A matriculation number is created for new learners in credit bearing courses and the listed data is sent to the Student Management System</t>
  </si>
  <si>
    <t xml:space="preserve">Tender rows 451 to 457</t>
  </si>
  <si>
    <t xml:space="preserve">Course registration data is sent to the Student Management System using the course index</t>
  </si>
  <si>
    <t xml:space="preserve">Tender row 458</t>
  </si>
  <si>
    <t xml:space="preserve">The System supports park and post and a workflow for independent review as required by auditors</t>
  </si>
  <si>
    <t xml:space="preserve">A new workflow would have to be invented to have an expectation</t>
  </si>
  <si>
    <t xml:space="preserve">Tender row 459</t>
  </si>
  <si>
    <t xml:space="preserve">Enrolments are interfaced to the Training Partners Gateway automatically</t>
  </si>
  <si>
    <t xml:space="preserve">TC-SCN-104-01, TC-SCN-104-02</t>
  </si>
  <si>
    <t xml:space="preserve">DEF-044</t>
  </si>
  <si>
    <t xml:space="preserve">Tender rows 461 to 465</t>
  </si>
  <si>
    <t xml:space="preserve">Penalty management: blacklist individuals and organisations, screen registrations against suspensions, flag learners whose fees were written off</t>
  </si>
  <si>
    <t xml:space="preserve">Draft cases need ASM-38 to write the expected result</t>
  </si>
  <si>
    <t xml:space="preserve">TC-SCN-105-01, TC-SCN-105-02, TC-SCN-105-03, TC-SCN-105-04</t>
  </si>
  <si>
    <t xml:space="preserve">DEF-045</t>
  </si>
  <si>
    <t xml:space="preserve">Tender row 466</t>
  </si>
  <si>
    <t xml:space="preserve">The System syncs the SSG blacklist and the finance payment records for company sponsored applicants</t>
  </si>
  <si>
    <t xml:space="preserve">Draft cases need ASM-03, ASM-38 to write the expected result</t>
  </si>
  <si>
    <t xml:space="preserve">TC-SCN-106-01, TC-SCN-106-02</t>
  </si>
  <si>
    <t xml:space="preserve">Tender rows 468 to 470</t>
  </si>
  <si>
    <t xml:space="preserve">Tracking of Training provider employees on SSG funded courses and configuration of the cap by percentage or number</t>
  </si>
  <si>
    <t xml:space="preserve">The clause configures the cap but not the effect of reaching it</t>
  </si>
  <si>
    <t xml:space="preserve">TC-SCN-107-01, TC-SCN-107-02, TC-SCN-107-03, TC-SCN-107-04</t>
  </si>
  <si>
    <t xml:space="preserve">DEF-046</t>
  </si>
  <si>
    <t xml:space="preserve">Tender row 472</t>
  </si>
  <si>
    <t xml:space="preserve">Learners transfer online between sessions, courses, assessments and programmes and a report is generated for the fee adjustment</t>
  </si>
  <si>
    <t xml:space="preserve">Draft cases need ASM-81 to write the expected result</t>
  </si>
  <si>
    <t xml:space="preserve">Tender row 473</t>
  </si>
  <si>
    <t xml:space="preserve">Prerequisites are checked automatically and advisory information is displayed during registration or switching</t>
  </si>
  <si>
    <t xml:space="preserve">TC-SCN-109-01, TC-SCN-109-02</t>
  </si>
  <si>
    <t xml:space="preserve">Tender rows 476 to 482</t>
  </si>
  <si>
    <t xml:space="preserve">Multiple invoice and receipt templates by SchoolA and SchoolB and automatic electronic invoice and receipt with item level details</t>
  </si>
  <si>
    <t xml:space="preserve">Draft cases need ASM-72 to write the expected result</t>
  </si>
  <si>
    <t xml:space="preserve">TC-SCN-110-01, TC-SCN-110-02, TC-SCN-110-03</t>
  </si>
  <si>
    <t xml:space="preserve">DEF-047, DEF-048</t>
  </si>
  <si>
    <t xml:space="preserve">Tender rows 487 to 492</t>
  </si>
  <si>
    <t xml:space="preserve">Automated invoice with breakdown of billing items, remarks, and templates for direct or indirect discounting</t>
  </si>
  <si>
    <t xml:space="preserve">TC-SCN-111-01, TC-SCN-111-02, TC-SCN-111-03, TC-SCN-111-04</t>
  </si>
  <si>
    <t xml:space="preserve">DEF-049</t>
  </si>
  <si>
    <t xml:space="preserve">Tender row 493</t>
  </si>
  <si>
    <t xml:space="preserve">Interface to the TPGateway nett course fee payable computation to check the SFC approved amount and generate the nett fee</t>
  </si>
  <si>
    <t xml:space="preserve">Draft cases need ASM-03, ASM-40, ASM-79 to write the expected result</t>
  </si>
  <si>
    <t xml:space="preserve">TC-SCN-112-01, TC-SCN-112-02</t>
  </si>
  <si>
    <t xml:space="preserve">DEF-050</t>
  </si>
  <si>
    <t xml:space="preserve">Tender row 508</t>
  </si>
  <si>
    <t xml:space="preserve">All billing items are generated automatically in the invoice when the learner profile is eligible</t>
  </si>
  <si>
    <t xml:space="preserve">TC-SCN-113-01, TC-SCN-113-02</t>
  </si>
  <si>
    <t xml:space="preserve">Tender rows 511 to 516</t>
  </si>
  <si>
    <t xml:space="preserve">Breakdown of billing items with automatic calculation and separate invoice and receipt templates and outstanding debts for SchoolA and SchoolB</t>
  </si>
  <si>
    <t xml:space="preserve">Draft cases need ASM-64, ASM-72, NEG-06 to write the expected result</t>
  </si>
  <si>
    <t xml:space="preserve">TC-SCN-114-01, TC-SCN-114-02, TC-SCN-114-03</t>
  </si>
  <si>
    <t xml:space="preserve">DEF-051</t>
  </si>
  <si>
    <t xml:space="preserve">Tender rows 517 to 520</t>
  </si>
  <si>
    <t xml:space="preserve">GST charging is set up for billing fee types, discounts, subsidies and grants by customer group and billing item</t>
  </si>
  <si>
    <t xml:space="preserve">TC-SCN-115-01, TC-SCN-115-02</t>
  </si>
  <si>
    <t xml:space="preserve">DEF-052</t>
  </si>
  <si>
    <t xml:space="preserve">Tender row 522</t>
  </si>
  <si>
    <t xml:space="preserve">A new invoice or credit note is generated when the course or assessment date changes, and a new invoice to the new sponsor with a credit note to the old sponsor when the sponsorship changes</t>
  </si>
  <si>
    <t xml:space="preserve">Draft cases need ASM-80 to write the expected result</t>
  </si>
  <si>
    <t xml:space="preserve">TC-SCN-116-01, TC-SCN-116-02, TC-SCN-116-03</t>
  </si>
  <si>
    <t xml:space="preserve">DEF-053</t>
  </si>
  <si>
    <t xml:space="preserve">Tender rows 534 to 540</t>
  </si>
  <si>
    <t xml:space="preserve">Payment modes by course and assessment structure: upfront, course level, installments, lump sum, SFC and PSEA, with automatic credit to the correct School</t>
  </si>
  <si>
    <t xml:space="preserve">Draft cases need ASM-73, ASM-74, ASM-77 to write the expected result</t>
  </si>
  <si>
    <t xml:space="preserve">TC-SCN-117-01, TC-SCN-117-02, TC-SCN-117-03, TC-SCN-117-04, TC-SCN-117-05, TC-SCN-117-06</t>
  </si>
  <si>
    <t xml:space="preserve">DEF-054</t>
  </si>
  <si>
    <t xml:space="preserve">Tender row 547</t>
  </si>
  <si>
    <t xml:space="preserve">Online attendance is marked by facial recognition, in house or SSG QR codes or digital ID for classes, assessments and examinations</t>
  </si>
  <si>
    <t xml:space="preserve">Draft cases need ASM-53 to write the expected result</t>
  </si>
  <si>
    <t xml:space="preserve">TC-SCN-118-01, TC-SCN-118-02</t>
  </si>
  <si>
    <t xml:space="preserve">Tender row 548</t>
  </si>
  <si>
    <t xml:space="preserve">E attendance through SingPass according to the latest SSG mandatory attendance criteria</t>
  </si>
  <si>
    <t xml:space="preserve">Draft cases need ASM-03, ASM-53 to write the expected result</t>
  </si>
  <si>
    <t xml:space="preserve">Tender row 549</t>
  </si>
  <si>
    <t xml:space="preserve">The attendance rate of each learner by programme or course is computed automatically</t>
  </si>
  <si>
    <t xml:space="preserve">TC-SCN-120-01, TC-SCN-120-02</t>
  </si>
  <si>
    <t xml:space="preserve">DEF-055</t>
  </si>
  <si>
    <t xml:space="preserve">Tender row 550</t>
  </si>
  <si>
    <t xml:space="preserve">Learners who fail the minimum attendance rate are flagged automatically to the learner and the Course Administrator</t>
  </si>
  <si>
    <t xml:space="preserve">TC-SCN-121-01, TC-SCN-121-02</t>
  </si>
  <si>
    <t xml:space="preserve">DEF-056</t>
  </si>
  <si>
    <t xml:space="preserve">Tender row 551</t>
  </si>
  <si>
    <t xml:space="preserve">Attendance sheets for course and assessment are generated, exported and printed</t>
  </si>
  <si>
    <t xml:space="preserve">DEF-057</t>
  </si>
  <si>
    <t xml:space="preserve">Tender row 552</t>
  </si>
  <si>
    <t xml:space="preserve">A user uploads a marked attendance list for non SSG courses</t>
  </si>
  <si>
    <t xml:space="preserve">Draft cases need ASM-26, ASM-52 to write the expected result</t>
  </si>
  <si>
    <t xml:space="preserve">TC-SCN-123-01, TC-SCN-123-02</t>
  </si>
  <si>
    <t xml:space="preserve">Tender rows 554 to 561</t>
  </si>
  <si>
    <t xml:space="preserve">Assessment activities and components with weightage are set up per course (quizzes, online tests, presentations, participation, essay, peer evaluation, final examination)</t>
  </si>
  <si>
    <t xml:space="preserve">Tender row 562</t>
  </si>
  <si>
    <t xml:space="preserve">The System checks automatically that all weightages add up to 100 percent</t>
  </si>
  <si>
    <t xml:space="preserve">TC-SCN-125-01, TC-SCN-125-02, TC-SCN-125-03</t>
  </si>
  <si>
    <t xml:space="preserve">DEF-058</t>
  </si>
  <si>
    <t xml:space="preserve">Tender row 563</t>
  </si>
  <si>
    <t xml:space="preserve">The assessment pattern of each course is tracked</t>
  </si>
  <si>
    <t xml:space="preserve">Tender row 564</t>
  </si>
  <si>
    <t xml:space="preserve">Components are marked individual or group and the percentage of each is monitored</t>
  </si>
  <si>
    <t xml:space="preserve">Tender row 565</t>
  </si>
  <si>
    <t xml:space="preserve">Candidates book, change and cancel an assessment session and a fee is imposed for changes where necessary</t>
  </si>
  <si>
    <t xml:space="preserve">Draft cases need ASM-54 to write the expected result</t>
  </si>
  <si>
    <t xml:space="preserve">TC-SCN-128-01, TC-SCN-128-02, TC-SCN-128-03</t>
  </si>
  <si>
    <t xml:space="preserve">DEF-059</t>
  </si>
  <si>
    <t xml:space="preserve">Tender row 566</t>
  </si>
  <si>
    <t xml:space="preserve">Learners who have not passed within a predetermined period are monitored and reminders are sent</t>
  </si>
  <si>
    <t xml:space="preserve">Draft cases need ASM-21, ASM-55 to write the expected result</t>
  </si>
  <si>
    <t xml:space="preserve">TC-SCN-129-01, TC-SCN-129-02</t>
  </si>
  <si>
    <t xml:space="preserve">Tender row 567</t>
  </si>
  <si>
    <t xml:space="preserve">A course assessor is appointed and a covering assessor is maintained</t>
  </si>
  <si>
    <t xml:space="preserve">Tender row 568</t>
  </si>
  <si>
    <t xml:space="preserve">Grade submission by Trainers is updated and tracked</t>
  </si>
  <si>
    <t xml:space="preserve">Tender row 569</t>
  </si>
  <si>
    <t xml:space="preserve">Assessment results are interfaced to the Training Partners Gateway automatically</t>
  </si>
  <si>
    <t xml:space="preserve">TC-SCN-132-01, TC-SCN-132-02</t>
  </si>
  <si>
    <t xml:space="preserve">DEF-060</t>
  </si>
  <si>
    <t xml:space="preserve">Tender row 570</t>
  </si>
  <si>
    <t xml:space="preserve">Reassessment requests are managed automatically: valid reasons within the permissible maximum period get a new schedule subject to approval</t>
  </si>
  <si>
    <t xml:space="preserve">TC-SCN-133-01, TC-SCN-133-02, TC-SCN-133-03</t>
  </si>
  <si>
    <t xml:space="preserve">Tender row 571</t>
  </si>
  <si>
    <t xml:space="preserve">The status of learners who did not turn up for reassessment and made no effort to book again is captured</t>
  </si>
  <si>
    <t xml:space="preserve">Draft cases need ASM-57 to write the expected result</t>
  </si>
  <si>
    <t xml:space="preserve">Tender rows 572 to 573</t>
  </si>
  <si>
    <t xml:space="preserve">Marks and results are released or not released to learners by configuration, and the status can show completed without marks</t>
  </si>
  <si>
    <t xml:space="preserve">TC-SCN-135-01, TC-SCN-135-02, TC-SCN-135-03</t>
  </si>
  <si>
    <t xml:space="preserve">DEF-061</t>
  </si>
  <si>
    <t xml:space="preserve">Tender row 574</t>
  </si>
  <si>
    <t xml:space="preserve">Course administrators export assessment marks and results to Excel in batches of learners</t>
  </si>
  <si>
    <t xml:space="preserve">Tender row 576</t>
  </si>
  <si>
    <t xml:space="preserve">The entire CET journey and progression of learners are tracked, including bundled courses that stack to a certificate</t>
  </si>
  <si>
    <t xml:space="preserve">Tender row 577</t>
  </si>
  <si>
    <t xml:space="preserve">The System tracks and recommends the progression of courses to attain the qualification: passed, enrolled, outstanding, equivalency and remaining candidature</t>
  </si>
  <si>
    <t xml:space="preserve">Tender row 578</t>
  </si>
  <si>
    <t xml:space="preserve">Programme level monitoring tracks whether learners met the prerequisite courses before being accepted into the next course</t>
  </si>
  <si>
    <t xml:space="preserve">TC-SCN-139-01, TC-SCN-139-02</t>
  </si>
  <si>
    <t xml:space="preserve">Tender row 579</t>
  </si>
  <si>
    <t xml:space="preserve">Templates for transcripts, result slips, statements of accomplishment and certificates with version history and effective date</t>
  </si>
  <si>
    <t xml:space="preserve">Tender row 580</t>
  </si>
  <si>
    <t xml:space="preserve">E certificates and e transcripts are issued securely using OpenCerts for SSG funded and non funded courses</t>
  </si>
  <si>
    <t xml:space="preserve">TC-SCN-141-01, TC-SCN-141-02</t>
  </si>
  <si>
    <t xml:space="preserve">Tender rows 581 to 582</t>
  </si>
  <si>
    <t xml:space="preserve">Integration with external systems for secured issuance of e result slips and e certificates, and secure storage of marks, result slips and e certificates</t>
  </si>
  <si>
    <t xml:space="preserve">TC-SCN-142-01, TC-SCN-142-02</t>
  </si>
  <si>
    <t xml:space="preserve">Tender row 583</t>
  </si>
  <si>
    <t xml:space="preserve">Learners appeal for results and a notification goes to CET Administrators to check and get approvals</t>
  </si>
  <si>
    <t xml:space="preserve">TC-SCN-143-01, TC-SCN-143-02</t>
  </si>
  <si>
    <t xml:space="preserve">Tender rows 589 to 591</t>
  </si>
  <si>
    <t xml:space="preserve">Refunds for SkillsFuture Credits, PSEA and courses sponsored by a company</t>
  </si>
  <si>
    <t xml:space="preserve">Draft cases need ASM-69, ASM-77 to write the expected result</t>
  </si>
  <si>
    <t xml:space="preserve">TC-SCN-144-01, TC-SCN-144-02, TC-SCN-144-03</t>
  </si>
  <si>
    <t xml:space="preserve">DEF-062</t>
  </si>
  <si>
    <t xml:space="preserve">Tender row 621</t>
  </si>
  <si>
    <t xml:space="preserve">Billing items are mapped to account code, fund code, funding source and cost centre</t>
  </si>
  <si>
    <t xml:space="preserve">Draft cases need ASM-75 to write the expected result</t>
  </si>
  <si>
    <t xml:space="preserve">TC-SCN-145-01, TC-SCN-145-02</t>
  </si>
  <si>
    <t xml:space="preserve">DEF-063</t>
  </si>
  <si>
    <t xml:space="preserve">Tender rows 641 to 645</t>
  </si>
  <si>
    <t xml:space="preserve">Funding report by course and date range for base grant, MCES, ETSS, NSA and AFS</t>
  </si>
  <si>
    <t xml:space="preserve">TC-SCN-146-01, TC-SCN-146-02, TC-SCN-146-03</t>
  </si>
  <si>
    <t xml:space="preserve">DEF-064</t>
  </si>
  <si>
    <t xml:space="preserve">Tender row 657</t>
  </si>
  <si>
    <t xml:space="preserve">A learner is indicated as an alumnus with an identification for alumni status</t>
  </si>
  <si>
    <t xml:space="preserve">TC-SCN-147-01, TC-SCN-147-02</t>
  </si>
  <si>
    <t xml:space="preserve">Tender row 659</t>
  </si>
  <si>
    <t xml:space="preserve">The alumni course credit balance for CET courses is tracked and maintained for billing</t>
  </si>
  <si>
    <t xml:space="preserve">TC-SCN-148-01, TC-SCN-148-02</t>
  </si>
  <si>
    <t xml:space="preserve">DEF-065</t>
  </si>
  <si>
    <t xml:space="preserve">Tender row 660</t>
  </si>
  <si>
    <t xml:space="preserve">The balance alumni course credit is reflected in the alumni's student record</t>
  </si>
  <si>
    <t xml:space="preserve">Tender row 661</t>
  </si>
  <si>
    <t xml:space="preserve">Total utilisation of Alumni Course Credit is tracked and capped at a specified percentage, for example 50 percent, of the full course fee</t>
  </si>
  <si>
    <t xml:space="preserve">TC-SCN-150-01, TC-SCN-150-02, TC-SCN-150-03</t>
  </si>
  <si>
    <t xml:space="preserve">DEF-066</t>
  </si>
  <si>
    <t xml:space="preserve">Tender row 947</t>
  </si>
  <si>
    <t xml:space="preserve">Integration with the SSG System and the TPGateway</t>
  </si>
  <si>
    <t xml:space="preserve">Draft cases need ASM-03 to write the expected result</t>
  </si>
  <si>
    <t xml:space="preserve">TC-SCN-151-01, TC-SCN-151-02</t>
  </si>
  <si>
    <t xml:space="preserve">Tender rows 950 to 956</t>
  </si>
  <si>
    <t xml:space="preserve">Integration points with SSG: Grant Calculator, SFC gateway and Grant integration</t>
  </si>
  <si>
    <t xml:space="preserve">TC-SCN-152-01, TC-SCN-152-02, TC-SCN-152-03</t>
  </si>
  <si>
    <t xml:space="preserve">DEF-067</t>
  </si>
  <si>
    <t xml:space="preserve">Tender row 952</t>
  </si>
  <si>
    <t xml:space="preserve">Enrolment integration with the SSG and Training Partners Gateway</t>
  </si>
  <si>
    <t xml:space="preserve">Tender rows 953 to 955</t>
  </si>
  <si>
    <t xml:space="preserve">Integration points with SSG: eAttendance, Assessment and eCert integration</t>
  </si>
  <si>
    <t xml:space="preserve">Draft cases need ASM-03, NEG-07 to write the expected result</t>
  </si>
  <si>
    <t xml:space="preserve">TC-SCN-154-01, TC-SCN-154-02, TC-SCN-154-03</t>
  </si>
  <si>
    <t xml:space="preserve">Tender row 960</t>
  </si>
  <si>
    <t xml:space="preserve">The System integrates with MyInfo</t>
  </si>
  <si>
    <t xml:space="preserve">Tender row 961</t>
  </si>
  <si>
    <t xml:space="preserve">The System integrates with SingPass</t>
  </si>
  <si>
    <t xml:space="preserve">Tender row 963</t>
  </si>
  <si>
    <t xml:space="preserve">Integration with an external entity to prove employer SME status for ETSS through MyInfo and ACRA</t>
  </si>
  <si>
    <t xml:space="preserve">TC-SCN-157-01, TC-SCN-157-02</t>
  </si>
  <si>
    <t xml:space="preserve">DEF-068</t>
  </si>
  <si>
    <t xml:space="preserve">Tender row 965</t>
  </si>
  <si>
    <t xml:space="preserve">Integration with the PSEA system for PSEA application and automatic claim submission for disbursement</t>
  </si>
  <si>
    <t xml:space="preserve">Draft cases need ASM-77 to write the expected result</t>
  </si>
  <si>
    <t xml:space="preserve">TC-SCN-158-01, TC-SCN-158-02</t>
  </si>
  <si>
    <t xml:space="preserve">Tender row 966</t>
  </si>
  <si>
    <t xml:space="preserve">Files with PSEA claim details are generated for learners who want to use PSEA, sent to MOE</t>
  </si>
  <si>
    <t xml:space="preserve">TC-SCN-159-01, TC-SCN-159-02</t>
  </si>
  <si>
    <t xml:space="preserve">DEF-069</t>
  </si>
  <si>
    <t xml:space="preserve">Tender row 967</t>
  </si>
  <si>
    <t xml:space="preserve">The PSEA disbursement status is tracked and updated from the file or status received from MOE</t>
  </si>
  <si>
    <t xml:space="preserve">TC-SCN-160-01, TC-SCN-160-02</t>
  </si>
  <si>
    <t xml:space="preserve">DEF-070</t>
  </si>
  <si>
    <t xml:space="preserve">Tender row 968</t>
  </si>
  <si>
    <t xml:space="preserve">The Course Administrator views reports on PSEA file exchanges and financial transactions</t>
  </si>
  <si>
    <t xml:space="preserve">Draft cases need ASM-76, ASM-77 to write the expected result</t>
  </si>
  <si>
    <t xml:space="preserve">TC-SCN-161-01, TC-SCN-161-02</t>
  </si>
  <si>
    <t xml:space="preserve">Tender row 969</t>
  </si>
  <si>
    <t xml:space="preserve">The System is always enhanced and updated with the latest MOE PSEA integration requirements</t>
  </si>
  <si>
    <t xml:space="preserve">No expected result can be written from this clause</t>
  </si>
  <si>
    <t xml:space="preserve">Defect ID</t>
  </si>
  <si>
    <t xml:space="preserve">Tender clause</t>
  </si>
  <si>
    <t xml:space="preserve">Flow step (draft)</t>
  </si>
  <si>
    <t xml:space="preserve">Related TC IDs</t>
  </si>
  <si>
    <t xml:space="preserve">Summary</t>
  </si>
  <si>
    <t xml:space="preserve">Environment</t>
  </si>
  <si>
    <t xml:space="preserve">Preconditions</t>
  </si>
  <si>
    <t xml:space="preserve">Steps to Reproduce</t>
  </si>
  <si>
    <t xml:space="preserve">Potential Actual Result (hypothetical)</t>
  </si>
  <si>
    <t xml:space="preserve">Business impact</t>
  </si>
  <si>
    <t xml:space="preserve">Triage rationale</t>
  </si>
  <si>
    <t xml:space="preserve">Suggested regression suite</t>
  </si>
  <si>
    <t xml:space="preserve">1 Login and MyInfo</t>
  </si>
  <si>
    <t xml:space="preserve">[Login] Resident is not signed in after successful SingPass authentication, the login page reloads</t>
  </si>
  <si>
    <t xml:space="preserve">SIT (assumed, ASM-01)</t>
  </si>
  <si>
    <t xml:space="preserve">1. A test resident identity exists in the SingPass test service</t>
  </si>
  <si>
    <t xml:space="preserve">The login page loads again after SingPass returns success; no session is created</t>
  </si>
  <si>
    <t xml:space="preserve">Residents cannot reach the learner portal, so self enrolment cannot start</t>
  </si>
  <si>
    <t xml:space="preserve">Blocks the first step of Self-Enrol. Severity 1: Blocker, or money, funding or compliance break. Urgency High by ASM-92.</t>
  </si>
  <si>
    <t xml:space="preserve">Potential</t>
  </si>
  <si>
    <t xml:space="preserve">6 Net fee and invoice</t>
  </si>
  <si>
    <t xml:space="preserve">[Funding] GST is charged twice on the course fee</t>
  </si>
  <si>
    <t xml:space="preserve">1. A fee profile with the rule</t>
  </si>
  <si>
    <t xml:space="preserve">The GST is 180.00 and the total is 1180.00 for a fee of 1000 with a rate of 9 percent</t>
  </si>
  <si>
    <t xml:space="preserve">The learner is overcharged and the finance records are wrong</t>
  </si>
  <si>
    <t xml:space="preserve">Money is calculated wrongly on every invoice. Severity 1: Blocker, or money, funding or compliance break. Urgency High by ASM-92.</t>
  </si>
  <si>
    <t xml:space="preserve">4 Grant eligibility and fee</t>
  </si>
  <si>
    <t xml:space="preserve">[Funding] Fee change of a withdrawal is applied before the approver approves</t>
  </si>
  <si>
    <t xml:space="preserve">1. A paid enrolment and a configured rule</t>
  </si>
  <si>
    <t xml:space="preserve">The fee is already changed while the request is pending approval</t>
  </si>
  <si>
    <t xml:space="preserve">A fee is reduced without the required approval, an audit finding</t>
  </si>
  <si>
    <t xml:space="preserve">Control for money is bypassed. Severity 1: Blocker, or money, funding or compliance break. Urgency High by ASM-92.</t>
  </si>
  <si>
    <t xml:space="preserve">DEF-004</t>
  </si>
  <si>
    <t xml:space="preserve">[Funding] Learner at the age limit gets the fee of the younger band</t>
  </si>
  <si>
    <t xml:space="preserve">1. An age limit of 40 is configured</t>
  </si>
  <si>
    <t xml:space="preserve">The learner aged exactly 40 is charged the fee of the below 40 band</t>
  </si>
  <si>
    <t xml:space="preserve">The learner is charged the wrong fee at the boundary</t>
  </si>
  <si>
    <t xml:space="preserve">Boundary error on a money rule. Severity 2: Critical or major function fails. Urgency High by ASM-92.</t>
  </si>
  <si>
    <t xml:space="preserve">DEF-005</t>
  </si>
  <si>
    <t xml:space="preserve">[Funding] SME company is charged the fee of a non SME company</t>
  </si>
  <si>
    <t xml:space="preserve">1. An SME rule is configured</t>
  </si>
  <si>
    <t xml:space="preserve">The fee payable of the SME company equals the full fee</t>
  </si>
  <si>
    <t xml:space="preserve">The company loses the SME entitlement and complains</t>
  </si>
  <si>
    <t xml:space="preserve">Wrong fee for one group of customers. Severity 2: Critical or major function fails. Urgency High by ASM-92.</t>
  </si>
  <si>
    <t xml:space="preserve">[Funding] The user who prepared a fee structure can approve it</t>
  </si>
  <si>
    <t xml:space="preserve">1. A fee structure prepared by one user</t>
  </si>
  <si>
    <t xml:space="preserve">The same user approves the own setup and it becomes active</t>
  </si>
  <si>
    <t xml:space="preserve">Check and balance is lost and fees can be changed without a second person</t>
  </si>
  <si>
    <t xml:space="preserve">Audit control fails on fee setup. Severity 1: Blocker, or money, funding or compliance break. Urgency High by ASM-92.</t>
  </si>
  <si>
    <t xml:space="preserve">[Funding] Group discount is not applied to the third member of a group</t>
  </si>
  <si>
    <t xml:space="preserve">1. A configured group discount</t>
  </si>
  <si>
    <t xml:space="preserve">The first two members get the discount and the third pays the full fee</t>
  </si>
  <si>
    <t xml:space="preserve">Some learners are overcharged</t>
  </si>
  <si>
    <t xml:space="preserve">Part of a group is charged wrongly. Severity 2: Critical or major function fails. Urgency High by ASM-92.</t>
  </si>
  <si>
    <t xml:space="preserve">DEF-008</t>
  </si>
  <si>
    <t xml:space="preserve">[Funding] Alumni Course Credit is deducted after the SSG grant instead of before</t>
  </si>
  <si>
    <t xml:space="preserve">1. A course with an SSG grant and an alumnus with credit</t>
  </si>
  <si>
    <t xml:space="preserve">The grant is computed on the full fee of 1000 and the credit is then deducted</t>
  </si>
  <si>
    <t xml:space="preserve">The net fee and the grant claimed from SSG are wrong</t>
  </si>
  <si>
    <t xml:space="preserve">The order is stated in the Tender and affects the funding claim. Severity 1: Blocker, or money, funding or compliance break. Urgency High by ASM-92.</t>
  </si>
  <si>
    <t xml:space="preserve">DEF-009</t>
  </si>
  <si>
    <t xml:space="preserve">[Funding] A non eligible learner receives the SSG grant</t>
  </si>
  <si>
    <t xml:space="preserve">1. An ineligible learner</t>
  </si>
  <si>
    <t xml:space="preserve">The fee shows the SSG grant for an ineligible learner</t>
  </si>
  <si>
    <t xml:space="preserve">SSG funds are claimed without entitlement, a compliance break</t>
  </si>
  <si>
    <t xml:space="preserve">Funding compliance break. Severity 1: Blocker, or money, funding or compliance break. Urgency High by ASM-92.</t>
  </si>
  <si>
    <t xml:space="preserve">DEF-010</t>
  </si>
  <si>
    <t xml:space="preserve">7 Outcome based funding</t>
  </si>
  <si>
    <t xml:space="preserve">[Funding] Learner with 74 percent attendance is marked eligible for SSG funding</t>
  </si>
  <si>
    <t xml:space="preserve">1. A completed SSG funded course and a learner</t>
  </si>
  <si>
    <t xml:space="preserve">The learner with 74 percent attendance and a pass is shown as funded</t>
  </si>
  <si>
    <t xml:space="preserve">SSG funding is claimed for a learner who does not qualify</t>
  </si>
  <si>
    <t xml:space="preserve">Compliance break that can lead to a claw back. Severity 1: Blocker, or money, funding or compliance break. Urgency High by ASM-92.</t>
  </si>
  <si>
    <t xml:space="preserve">DEF-011</t>
  </si>
  <si>
    <t xml:space="preserve">[Funding] Learner who failed the assessment is marked eligible for SSG funding</t>
  </si>
  <si>
    <t xml:space="preserve">The learner with 100 percent attendance and a fail is shown as funded</t>
  </si>
  <si>
    <t xml:space="preserve">Funding is claimed without a pass</t>
  </si>
  <si>
    <t xml:space="preserve">Compliance break. Severity 1: Blocker, or money, funding or compliance break. Urgency High by ASM-92.</t>
  </si>
  <si>
    <t xml:space="preserve">[Funding] Block grant is drawn down twice for one completed course</t>
  </si>
  <si>
    <t xml:space="preserve">1. A completed funded course and a test endpoint</t>
  </si>
  <si>
    <t xml:space="preserve">The TPGateway test endpoint receives two draw downs for the same course</t>
  </si>
  <si>
    <t xml:space="preserve">Grant is over claimed</t>
  </si>
  <si>
    <t xml:space="preserve">Money and compliance. Severity 1: Blocker, or money, funding or compliance break. Urgency High by ASM-92.</t>
  </si>
  <si>
    <t xml:space="preserve">DEF-013</t>
  </si>
  <si>
    <t xml:space="preserve">[Funding] Refund is paid before the approver approves</t>
  </si>
  <si>
    <t xml:space="preserve">1. A paid enrolment</t>
  </si>
  <si>
    <t xml:space="preserve">The refund shows paid while it is pending approval</t>
  </si>
  <si>
    <t xml:space="preserve">Money leaves without approval</t>
  </si>
  <si>
    <t xml:space="preserve">Money control bypassed. Severity 1: Blocker, or money, funding or compliance break. Urgency High by ASM-92.</t>
  </si>
  <si>
    <t xml:space="preserve">DEF-014</t>
  </si>
  <si>
    <t xml:space="preserve">[Funding] Percentage discount is calculated on the net fee instead of the full fee</t>
  </si>
  <si>
    <t xml:space="preserve">1. An enrolment with a fee of 1000</t>
  </si>
  <si>
    <t xml:space="preserve">The fee after a 10 percent discount is 910.00 instead of 900.00 when a prior item reduces the fee</t>
  </si>
  <si>
    <t xml:space="preserve">The learner is charged wrongly</t>
  </si>
  <si>
    <t xml:space="preserve">Calculation error with a limited case. Severity 3: Normal: wrong result with a workaround. Urgency High by ASM-92.</t>
  </si>
  <si>
    <t xml:space="preserve">DEF-015</t>
  </si>
  <si>
    <t xml:space="preserve">3 Prerequisite and restriction check</t>
  </si>
  <si>
    <t xml:space="preserve">[Funding] Repeat application for the same SSG funded course receives funding</t>
  </si>
  <si>
    <t xml:space="preserve">1. A learner and an SSG funded course</t>
  </si>
  <si>
    <t xml:space="preserve">The second application shows the SSG grant</t>
  </si>
  <si>
    <t xml:space="preserve">The learner is funded twice, a compliance break</t>
  </si>
  <si>
    <t xml:space="preserve">Duplicate funding. Severity 1: Blocker, or money, funding or compliance break. Urgency High by ASM-92.</t>
  </si>
  <si>
    <t xml:space="preserve">DEF-016</t>
  </si>
  <si>
    <t xml:space="preserve">[Funding] No email is sent when the staff cap is almost fully used</t>
  </si>
  <si>
    <t xml:space="preserve">1. A cap and a mailbox for the System Administrator</t>
  </si>
  <si>
    <t xml:space="preserve">No email reaches the System Administrator at 90 percent of the cap</t>
  </si>
  <si>
    <t xml:space="preserve">The cap is exceeded without warning</t>
  </si>
  <si>
    <t xml:space="preserve">Control missing. Severity 2: Critical or major function fails. Urgency Low by ASM-92.</t>
  </si>
  <si>
    <t xml:space="preserve">[Funding] Enrolment is tagged to the newer grant version on the last day of the older version</t>
  </si>
  <si>
    <t xml:space="preserve">1. Two grant versions</t>
  </si>
  <si>
    <t xml:space="preserve">The enrolment shows version 2 although the course starts on the last day of version 1</t>
  </si>
  <si>
    <t xml:space="preserve">The claim is made under the wrong grant rules</t>
  </si>
  <si>
    <t xml:space="preserve">Funding claim under a wrong version. Severity 1: Blocker, or money, funding or compliance break. Urgency High by ASM-92.</t>
  </si>
  <si>
    <t xml:space="preserve">[Funding] Allocation of two sponsors is not applied and one sponsor is billed the full fee</t>
  </si>
  <si>
    <t xml:space="preserve">1. Two sponsors with allocation</t>
  </si>
  <si>
    <t xml:space="preserve">The first sponsor is billed 1000.00</t>
  </si>
  <si>
    <t xml:space="preserve">Sponsors are billed wrongly</t>
  </si>
  <si>
    <t xml:space="preserve">Wrong billing of money. Severity 1: Blocker, or money, funding or compliance break. Urgency High by ASM-92.</t>
  </si>
  <si>
    <t xml:space="preserve">[Assessment] Overall result ignores the weightings and averages the component marks</t>
  </si>
  <si>
    <t xml:space="preserve">1. A course with two components weighted 40 and 60</t>
  </si>
  <si>
    <t xml:space="preserve">The overall result is 65 instead of 68 for marks 50 and 80 weighted 40 and 60</t>
  </si>
  <si>
    <t xml:space="preserve">Learners receive wrong results, pass or fail may flip and funding depends on it</t>
  </si>
  <si>
    <t xml:space="preserve">Wrong results affect pass decisions and funding. Severity 1: Blocker, or money, funding or compliance break. Urgency High by ASM-92.</t>
  </si>
  <si>
    <t xml:space="preserve">[Assessment] Marks become final after the checker step without the approver</t>
  </si>
  <si>
    <t xml:space="preserve">1. A checker and an approver exist</t>
  </si>
  <si>
    <t xml:space="preserve">The marks show as final after checking and approval is skipped</t>
  </si>
  <si>
    <t xml:space="preserve">Results are released without the required second approval, an audit finding</t>
  </si>
  <si>
    <t xml:space="preserve">Authorisation control bypassed. Severity 1: Blocker, or money, funding or compliance break. Urgency High by ASM-92.</t>
  </si>
  <si>
    <t xml:space="preserve">[Assessment] Learner with attendance below the minimum is marked as fulfilled</t>
  </si>
  <si>
    <t xml:space="preserve">1. A short course with criteria and a learner who misses attendance</t>
  </si>
  <si>
    <t xml:space="preserve">The learner is shown as fulfilled although attendance is below the minimum</t>
  </si>
  <si>
    <t xml:space="preserve">A certificate prompt is issued wrongly</t>
  </si>
  <si>
    <t xml:space="preserve">Certification rule is broken. Severity 1: Blocker, or money, funding or compliance break. Urgency High by ASM-92.</t>
  </si>
  <si>
    <t xml:space="preserve">[Assessment] Signatory name prints in capital letters on the certificate when it was entered in mixed case</t>
  </si>
  <si>
    <t xml:space="preserve">1. A SchoolA logo, a partner logo and a signatory exist</t>
  </si>
  <si>
    <t xml:space="preserve">The generated certificate shows the signatory in capital letters</t>
  </si>
  <si>
    <t xml:space="preserve">Cosmetic difference, the certificate stays valid</t>
  </si>
  <si>
    <t xml:space="preserve">Appearance only, no wrong data. Severity 4: Minor or cosmetic. Urgency Low by ASM-92.</t>
  </si>
  <si>
    <t xml:space="preserve">[Registration] Batch import creates fewer registrations than the rows in the file with no error shown</t>
  </si>
  <si>
    <t xml:space="preserve">1. A course run is open and a prepared file exists</t>
  </si>
  <si>
    <t xml:space="preserve">The list shows two registrations after importing three valid rows and no message explains the missing row</t>
  </si>
  <si>
    <t xml:space="preserve">One learner is not registered and the sponsor does not know</t>
  </si>
  <si>
    <t xml:space="preserve">Silent data loss on a core function. Severity 2: Critical or major function fails. Urgency High by ASM-92.</t>
  </si>
  <si>
    <t xml:space="preserve">[Registration] Form accepts text in the telephone number field and saves the application</t>
  </si>
  <si>
    <t xml:space="preserve">1. The registration form is open</t>
  </si>
  <si>
    <t xml:space="preserve">The application is saved with abcdefg as the telephone number</t>
  </si>
  <si>
    <t xml:space="preserve">Invalid contact data enters downstream processing and notifications fail</t>
  </si>
  <si>
    <t xml:space="preserve">Validation gap with a workaround, the Administrator can correct the data. Severity 3: Normal: wrong result with a workaround. Urgency High by ASM-92.</t>
  </si>
  <si>
    <t xml:space="preserve">[Funding] Withdrawn paid application does not generate a credit note</t>
  </si>
  <si>
    <t xml:space="preserve">1. A paid application</t>
  </si>
  <si>
    <t xml:space="preserve">No credit note exists after the withdrawal</t>
  </si>
  <si>
    <t xml:space="preserve">The learner stays billed for a course not taken</t>
  </si>
  <si>
    <t xml:space="preserve">Finance records are wrong. Severity 2: Critical or major function fails. Urgency High by ASM-92.</t>
  </si>
  <si>
    <t xml:space="preserve">5 Seat confirm or waitlist</t>
  </si>
  <si>
    <t xml:space="preserve">[Enrolment] Third learner is confirmed on a run with a maximum of 2 learners</t>
  </si>
  <si>
    <t xml:space="preserve">1. A course run with maximum 2 and no registrations</t>
  </si>
  <si>
    <t xml:space="preserve">The third registration shows as confirmed and the run holds 3 learners</t>
  </si>
  <si>
    <t xml:space="preserve">The run is over capacity and funding or seats are wrong</t>
  </si>
  <si>
    <t xml:space="preserve">Capacity limit broken, affects seat allocation and fees. Severity 1: Blocker, or money, funding or compliance break. Urgency High by ASM-92.</t>
  </si>
  <si>
    <t xml:space="preserve">[Enrolment] Waitlist is ordered by learner name instead of application time</t>
  </si>
  <si>
    <t xml:space="preserve">1. A course run with maximum 2 and waitlist configured</t>
  </si>
  <si>
    <t xml:space="preserve">Learner 4 is placed before learner 3 on the waitlist</t>
  </si>
  <si>
    <t xml:space="preserve">Seats are offered to the wrong learner and complaints follow</t>
  </si>
  <si>
    <t xml:space="preserve">Fairness rule of the Tender is broken, workaround is manual reorder. Severity 2: Critical or major function fails. Urgency High by ASM-92.</t>
  </si>
  <si>
    <t xml:space="preserve">[Registration] Application is submitted when the PDPA consent is not selected</t>
  </si>
  <si>
    <t xml:space="preserve">The application is saved with consent empty</t>
  </si>
  <si>
    <t xml:space="preserve">Personal data is processed without consent, a compliance breach</t>
  </si>
  <si>
    <t xml:space="preserve">Legal compliance (PDPA). Severity 1: Blocker, or money, funding or compliance break. Urgency High by ASM-92.</t>
  </si>
  <si>
    <t xml:space="preserve">[Registration] MyInfo data is not filled and the form opens empty for a signed in resident</t>
  </si>
  <si>
    <t xml:space="preserve">1. A test resident has MyInfo test data and an account</t>
  </si>
  <si>
    <t xml:space="preserve">Personal fields are empty after SingPass login</t>
  </si>
  <si>
    <t xml:space="preserve">Learner types the data again, which is the problem 8.2.15 wants to avoid</t>
  </si>
  <si>
    <t xml:space="preserve">Workaround exists, manual entry. Severity 3: Normal: wrong result with a workaround. Urgency High by ASM-92.</t>
  </si>
  <si>
    <t xml:space="preserve">[Registration] Incomplete application is missing from the Administrator report</t>
  </si>
  <si>
    <t xml:space="preserve">1. An incomplete saved application exists</t>
  </si>
  <si>
    <t xml:space="preserve">The report is empty although an incomplete application exists</t>
  </si>
  <si>
    <t xml:space="preserve">Administrators cannot monitor drop out</t>
  </si>
  <si>
    <t xml:space="preserve">Reporting gap, the data can be found another way. Severity 3: Normal: wrong result with a workaround. Urgency High by ASM-92.</t>
  </si>
  <si>
    <t xml:space="preserve">[Registration] Group of 2 receives the group discount that starts at 3 people</t>
  </si>
  <si>
    <t xml:space="preserve">1. A course run with a group discount configured</t>
  </si>
  <si>
    <t xml:space="preserve">The fee overview shows the group discount for a group of 2</t>
  </si>
  <si>
    <t xml:space="preserve">Revenue is lost on every small group</t>
  </si>
  <si>
    <t xml:space="preserve">Money leak, limited by group size. Severity 2: Critical or major function fails. Urgency High by ASM-92.</t>
  </si>
  <si>
    <t xml:space="preserve">[Funding] Computed fee at registration ignores the SSG grant for an eligible applicant</t>
  </si>
  <si>
    <t xml:space="preserve">1. An eligible applicant and a funded course</t>
  </si>
  <si>
    <t xml:space="preserve">The registration shows the full fee 1000 for an eligible applicant</t>
  </si>
  <si>
    <t xml:space="preserve">Applicants see a wrong amount and may drop out</t>
  </si>
  <si>
    <t xml:space="preserve">Wrong amount shown before payment. Severity 2: Critical or major function fails. Urgency High by ASM-92.</t>
  </si>
  <si>
    <t xml:space="preserve">2 Blacklist check</t>
  </si>
  <si>
    <t xml:space="preserve">[Registration] Applicant on the SSG blacklist is enrolled and funded</t>
  </si>
  <si>
    <t xml:space="preserve">1. A blacklist record exists</t>
  </si>
  <si>
    <t xml:space="preserve">The blacklisted applicant is confirmed and the funding is applied</t>
  </si>
  <si>
    <t xml:space="preserve">Funding is paid for a person who is barred, an audit finding</t>
  </si>
  <si>
    <t xml:space="preserve">Compliance and money impact. Severity 1: Blocker, or money, funding or compliance break. Urgency High by ASM-92.</t>
  </si>
  <si>
    <t xml:space="preserve">[Funding] SME declaration is not saved with the application</t>
  </si>
  <si>
    <t xml:space="preserve">1. A company sponsored registration</t>
  </si>
  <si>
    <t xml:space="preserve">The application shows no SME declaration after submit</t>
  </si>
  <si>
    <t xml:space="preserve">The SME check of 8.3.12 has nothing to verify</t>
  </si>
  <si>
    <t xml:space="preserve">Data lost, the follow up step is blocked. Severity 3: Normal: wrong result with a workaround. Urgency High by ASM-92.</t>
  </si>
  <si>
    <t xml:space="preserve">[Funding] Alumni credit is shown with one decimal place instead of two</t>
  </si>
  <si>
    <t xml:space="preserve">1. An alumnus with a credit of 200</t>
  </si>
  <si>
    <t xml:space="preserve">The credit shows 200.0 instead of 200.00</t>
  </si>
  <si>
    <t xml:space="preserve">Cosmetic, the amount is correct</t>
  </si>
  <si>
    <t xml:space="preserve">Display format only. Severity 4: Minor or cosmetic. Urgency Low by ASM-92.</t>
  </si>
  <si>
    <t xml:space="preserve">[Funding] SFC balance shown is not refreshed after a previous use</t>
  </si>
  <si>
    <t xml:space="preserve">1. An applicant with SFC and a test endpoint</t>
  </si>
  <si>
    <t xml:space="preserve">The balance shows 500 after 200 was used</t>
  </si>
  <si>
    <t xml:space="preserve">The applicant relies on a wrong balance</t>
  </si>
  <si>
    <t xml:space="preserve">Wrong figure shown. Severity 2: Critical or major function fails. Urgency High by ASM-92.</t>
  </si>
  <si>
    <t xml:space="preserve">[Funding] Net fee in the overview differs from the net fee on the invoice</t>
  </si>
  <si>
    <t xml:space="preserve">1. A learner with a funded registration</t>
  </si>
  <si>
    <t xml:space="preserve">The overview shows 700.00 and the invoice shows 800.00</t>
  </si>
  <si>
    <t xml:space="preserve">The learner pays a different amount than shown</t>
  </si>
  <si>
    <t xml:space="preserve">Mismatch seen by the customer. Severity 2: Critical or major function fails. Urgency Low by ASM-92.</t>
  </si>
  <si>
    <t xml:space="preserve">[Registration] Learner without the prerequisite is enrolled and no alert is raised</t>
  </si>
  <si>
    <t xml:space="preserve">1. A course with a prerequisite exists and a learner without it</t>
  </si>
  <si>
    <t xml:space="preserve">The application passes validation for a learner who lacks the prerequisite</t>
  </si>
  <si>
    <t xml:space="preserve">The class holds unqualified learners and results are not valid</t>
  </si>
  <si>
    <t xml:space="preserve">Core eligibility rule bypassed. Severity 1: Blocker, or money, funding or compliance break. Urgency High by ASM-92.</t>
  </si>
  <si>
    <t xml:space="preserve">[Enrolment] Alert on incomplete corporate data shows the date in a different format</t>
  </si>
  <si>
    <t xml:space="preserve">1. An incomplete corporate application exists</t>
  </si>
  <si>
    <t xml:space="preserve">The alert shows the date as YYYY/MM/DD while the rest of the System uses DD/MM/YYYY</t>
  </si>
  <si>
    <t xml:space="preserve">Cosmetic inconsistency</t>
  </si>
  <si>
    <t xml:space="preserve">Format inconsistency only. Severity 4: Minor or cosmetic. Urgency High by ASM-92.</t>
  </si>
  <si>
    <t xml:space="preserve">[Enrolment] Application is not confirmed automatically although seats remain</t>
  </si>
  <si>
    <t xml:space="preserve">1. A course run with 3 free seats</t>
  </si>
  <si>
    <t xml:space="preserve">The application stays pending with free seats on the run</t>
  </si>
  <si>
    <t xml:space="preserve">Learners wait for manual action and the self enrol journey stalls</t>
  </si>
  <si>
    <t xml:space="preserve">Blocks the main enrolment path. Severity 1: Blocker, or money, funding or compliance break. Urgency High by ASM-92.</t>
  </si>
  <si>
    <t xml:space="preserve">[Enrolment] No notification is sent when a seat is freed for a waitlisted applicant</t>
  </si>
  <si>
    <t xml:space="preserve">1. A full run with one waitlisted applicant</t>
  </si>
  <si>
    <t xml:space="preserve">The seat is free but no email is sent and the waitlist does not move</t>
  </si>
  <si>
    <t xml:space="preserve">Seats stay empty and the first applicant is not informed</t>
  </si>
  <si>
    <t xml:space="preserve">Manual workaround exists. Severity 3: Normal: wrong result with a workaround. Urgency High by ASM-92.</t>
  </si>
  <si>
    <t xml:space="preserve">[Enrolment] Learner outside the age limit is enrolled</t>
  </si>
  <si>
    <t xml:space="preserve">1. A course with an age restriction exists</t>
  </si>
  <si>
    <t xml:space="preserve">The enrolment of a learner outside the age restriction is confirmed</t>
  </si>
  <si>
    <t xml:space="preserve">The class holds learners who do not qualify</t>
  </si>
  <si>
    <t xml:space="preserve">Eligibility rule is bypassed with manual correction possible. Severity 2: Critical or major function fails. Urgency High by ASM-92.</t>
  </si>
  <si>
    <t xml:space="preserve">[Enrolment] Registration stays open after the waitlist is full</t>
  </si>
  <si>
    <t xml:space="preserve">1. A full run with a waitlist limit of 2</t>
  </si>
  <si>
    <t xml:space="preserve">A third applicant is added to the waitlist beyond the limit</t>
  </si>
  <si>
    <t xml:space="preserve">The waitlist is longer than allowed and promises cannot be met</t>
  </si>
  <si>
    <t xml:space="preserve">Limit rule not enforced. Severity 2: Critical or major function fails. Urgency High by ASM-92.</t>
  </si>
  <si>
    <t xml:space="preserve">[Enrolment] Confirmed enrolment is not sent to TPGateway and no error is shown</t>
  </si>
  <si>
    <t xml:space="preserve">1. A confirmed enrolment and a TPGateway test endpoint exist</t>
  </si>
  <si>
    <t xml:space="preserve">The enrolment is absent from the TPGateway test endpoint and the log is empty</t>
  </si>
  <si>
    <t xml:space="preserve">The course run funding claim is rejected later</t>
  </si>
  <si>
    <t xml:space="preserve">Compliance and funding claim depend on it. Severity 1: Blocker, or money, funding or compliance break. Urgency High by ASM-92.</t>
  </si>
  <si>
    <t xml:space="preserve">[Enrolment] Registration from a blacklisted organisation is accepted without a flag</t>
  </si>
  <si>
    <t xml:space="preserve">1. A blacklisted organisation exists</t>
  </si>
  <si>
    <t xml:space="preserve">The registration is accepted and nothing is flagged</t>
  </si>
  <si>
    <t xml:space="preserve">Non paying organisations are enrolled again, revenue loss</t>
  </si>
  <si>
    <t xml:space="preserve">Business rule not enforced, workaround is staff review. Severity 2: Critical or major function fails. Urgency Low by ASM-92.</t>
  </si>
  <si>
    <t xml:space="preserve">[Funding] Cap set by number is not enforced and a fourth registration passes unflagged</t>
  </si>
  <si>
    <t xml:space="preserve">1. A cap of 3</t>
  </si>
  <si>
    <t xml:space="preserve">The fourth registration is not flagged</t>
  </si>
  <si>
    <t xml:space="preserve">The cap is exceeded without notice</t>
  </si>
  <si>
    <t xml:space="preserve">DEF-047</t>
  </si>
  <si>
    <t xml:space="preserve">[Funding] SchoolA course invoice is generated with the SchoolB template</t>
  </si>
  <si>
    <t xml:space="preserve">1. Templates for SchoolA and SchoolB</t>
  </si>
  <si>
    <t xml:space="preserve">The invoice shows the SchoolB template</t>
  </si>
  <si>
    <t xml:space="preserve">Invoices carry the wrong School identity</t>
  </si>
  <si>
    <t xml:space="preserve">Wrong document issued to customers. Severity 2: Critical or major function fails. Urgency High by ASM-92.</t>
  </si>
  <si>
    <t xml:space="preserve">DEF-048</t>
  </si>
  <si>
    <t xml:space="preserve">[Funding] Invoice leaves out the PSEA line</t>
  </si>
  <si>
    <t xml:space="preserve">1. A learner with all items</t>
  </si>
  <si>
    <t xml:space="preserve">The invoice has no PSEA line for a PSEA funded learner</t>
  </si>
  <si>
    <t xml:space="preserve">The net fee does not reconcile</t>
  </si>
  <si>
    <t xml:space="preserve">Invoice cannot be reconciled. Severity 2: Critical or major function fails. Urgency Low by ASM-92.</t>
  </si>
  <si>
    <t xml:space="preserve">[Funding] Invoice remark wraps outside the margin in the PDF when it is longer than 100 characters</t>
  </si>
  <si>
    <t xml:space="preserve">1. An invoice being created</t>
  </si>
  <si>
    <t xml:space="preserve">The remark runs over the right margin in the PDF</t>
  </si>
  <si>
    <t xml:space="preserve">Cosmetic, the text can still be read on screen</t>
  </si>
  <si>
    <t xml:space="preserve">Appearance only. Severity 4: Minor or cosmetic. Urgency High by ASM-92.</t>
  </si>
  <si>
    <t xml:space="preserve">[Funding] Invoice is generated at the full fee when TPGateway does not answer</t>
  </si>
  <si>
    <t xml:space="preserve">1. A learner with SFC</t>
  </si>
  <si>
    <t xml:space="preserve">The invoice shows 1000.00 after a TPGateway timeout</t>
  </si>
  <si>
    <t xml:space="preserve">The learner is charged without the SFC reduction</t>
  </si>
  <si>
    <t xml:space="preserve">Money wrongly charged on an interface failure. Severity 1: Blocker, or money, funding or compliance break. Urgency High by ASM-92.</t>
  </si>
  <si>
    <t xml:space="preserve">[Funding] Outstanding debts of SchoolA include invoices of SchoolB</t>
  </si>
  <si>
    <t xml:space="preserve">1. One unpaid invoice in each School</t>
  </si>
  <si>
    <t xml:space="preserve">The SchoolA outstanding list shows the SchoolB invoice</t>
  </si>
  <si>
    <t xml:space="preserve">Debts are reported to the wrong School</t>
  </si>
  <si>
    <t xml:space="preserve">Wrong finance report. Severity 2: Critical or major function fails. Urgency High by ASM-92.</t>
  </si>
  <si>
    <t xml:space="preserve">[Funding] GST is charged on the grant line</t>
  </si>
  <si>
    <t xml:space="preserve">1. A GST setup by item</t>
  </si>
  <si>
    <t xml:space="preserve">The invoice shows GST on the SSG grant</t>
  </si>
  <si>
    <t xml:space="preserve">Invoices carry wrong tax</t>
  </si>
  <si>
    <t xml:space="preserve">Tax calculation error on every funded invoice. Severity 1: Blocker, or money, funding or compliance break. Urgency High by ASM-92.</t>
  </si>
  <si>
    <t xml:space="preserve">[Funding] Sponsor change generates the new invoice but no credit note to the original sponsor</t>
  </si>
  <si>
    <t xml:space="preserve">1. A company sponsored invoice</t>
  </si>
  <si>
    <t xml:space="preserve">The original sponsor still holds the open invoice</t>
  </si>
  <si>
    <t xml:space="preserve">The original sponsor is billed for a learner they no longer sponsor</t>
  </si>
  <si>
    <t xml:space="preserve">Wrong money owed. Severity 1: Blocker, or money, funding or compliance break. Urgency High by ASM-92.</t>
  </si>
  <si>
    <t xml:space="preserve">[Funding] PSEA payment is credited to the wrong School</t>
  </si>
  <si>
    <t xml:space="preserve">1. A SchoolB course and a PSEA learner</t>
  </si>
  <si>
    <t xml:space="preserve">The PSEA payment for a SchoolB course appears in the SchoolA account</t>
  </si>
  <si>
    <t xml:space="preserve">School accounts do not reconcile</t>
  </si>
  <si>
    <t xml:space="preserve">Money is booked to the wrong School. Severity 1: Blocker, or money, funding or compliance break. Urgency High by ASM-92.</t>
  </si>
  <si>
    <t xml:space="preserve">[Assessment] Attendance rate counts absent sessions as present</t>
  </si>
  <si>
    <t xml:space="preserve">1. A course with 4 held sessions</t>
  </si>
  <si>
    <t xml:space="preserve">The rate shows 100 percent for a learner present in 3 of 4 sessions</t>
  </si>
  <si>
    <t xml:space="preserve">Learners pass the attendance rule for funding without attending</t>
  </si>
  <si>
    <t xml:space="preserve">Funding eligibility depends on the rate. Severity 1: Blocker, or money, funding or compliance break. Urgency High by ASM-92.</t>
  </si>
  <si>
    <t xml:space="preserve">[Assessment] Learner at exactly 75 percent attendance is flagged as failing</t>
  </si>
  <si>
    <t xml:space="preserve">1. An SSG funded course with a learner at 75 percent</t>
  </si>
  <si>
    <t xml:space="preserve">The learner at 75 percent is flagged and loses funding eligibility</t>
  </si>
  <si>
    <t xml:space="preserve">Eligible learners are denied funding, complaints follow</t>
  </si>
  <si>
    <t xml:space="preserve">Boundary error with manual override possible. Severity 2: Critical or major function fails. Urgency Low by ASM-92.</t>
  </si>
  <si>
    <t xml:space="preserve">[Assessment] Header of the printed attendance sheet is misaligned in the print view</t>
  </si>
  <si>
    <t xml:space="preserve">1. A course with learners</t>
  </si>
  <si>
    <t xml:space="preserve">The course code and the date overlap in the printed header</t>
  </si>
  <si>
    <t xml:space="preserve">Cosmetic, the list stays readable</t>
  </si>
  <si>
    <t xml:space="preserve">Appearance only. Severity 4: Minor or cosmetic. Urgency Low by ASM-92.</t>
  </si>
  <si>
    <t xml:space="preserve">[Assessment] Weightages that add up to 101 percent are saved without a warning</t>
  </si>
  <si>
    <t xml:space="preserve">1. A course with three components</t>
  </si>
  <si>
    <t xml:space="preserve">The System saves weightages 40, 30 and 31</t>
  </si>
  <si>
    <t xml:space="preserve">Overall results are calculated on a wrong basis</t>
  </si>
  <si>
    <t xml:space="preserve">Wrong basis for every result of the course. Severity 2: Critical or major function fails. Urgency Low by ASM-92.</t>
  </si>
  <si>
    <t xml:space="preserve">[Assessment] Changing an assessment booking does not impose the change fee</t>
  </si>
  <si>
    <t xml:space="preserve">1. A booked candidate and a configured change fee</t>
  </si>
  <si>
    <t xml:space="preserve">The booking changes and no fee is created</t>
  </si>
  <si>
    <t xml:space="preserve">Revenue is lost on every change</t>
  </si>
  <si>
    <t xml:space="preserve">Revenue gap with a manual workaround. Severity 3: Normal: wrong result with a workaround. Urgency Low by ASM-92.</t>
  </si>
  <si>
    <t xml:space="preserve">[Assessment] Final result is not sent to TPGateway and no error is shown</t>
  </si>
  <si>
    <t xml:space="preserve">1. A finalised result and a TPGateway test endpoint</t>
  </si>
  <si>
    <t xml:space="preserve">The TPGateway test endpoint holds no result and the log is empty</t>
  </si>
  <si>
    <t xml:space="preserve">Outcome based funding is not paid because the result is missing</t>
  </si>
  <si>
    <t xml:space="preserve">Funding payment depends on the result. Severity 1: Blocker, or money, funding or compliance break. Urgency High by ASM-92.</t>
  </si>
  <si>
    <t xml:space="preserve">[Assessment] Marks are visible to learners although release is off</t>
  </si>
  <si>
    <t xml:space="preserve">1. A course with marks and release off</t>
  </si>
  <si>
    <t xml:space="preserve">The learner sees the marks with release off</t>
  </si>
  <si>
    <t xml:space="preserve">Results leak before approval</t>
  </si>
  <si>
    <t xml:space="preserve">Confidentiality of results, withdraw is not possible. Severity 2: Critical or major function fails. Urgency Low by ASM-92.</t>
  </si>
  <si>
    <t xml:space="preserve">[Funding] SFC refund is paid to the learner instead of returned to the SFC account</t>
  </si>
  <si>
    <t xml:space="preserve">1. A learner paid by SFC</t>
  </si>
  <si>
    <t xml:space="preserve">The refund record shows the learner as the payee</t>
  </si>
  <si>
    <t xml:space="preserve">The SFC balance is not restored and money goes to the wrong party</t>
  </si>
  <si>
    <t xml:space="preserve">Money goes to the wrong payee. Severity 1: Blocker, or money, funding or compliance break. Urgency High by ASM-92.</t>
  </si>
  <si>
    <t xml:space="preserve">[Funding] SFC items post to the PSEA account code</t>
  </si>
  <si>
    <t xml:space="preserve">1. Three mappings</t>
  </si>
  <si>
    <t xml:space="preserve">The SFC posting shows the PSEA account code</t>
  </si>
  <si>
    <t xml:space="preserve">The finance ledger is wrong</t>
  </si>
  <si>
    <t xml:space="preserve">Ledger error. Severity 2: Critical or major function fails. Urgency Low by ASM-92.</t>
  </si>
  <si>
    <t xml:space="preserve">[Funding] Funding on the end date of the range is left out of the report</t>
  </si>
  <si>
    <t xml:space="preserve">1. An enrolment on the last day</t>
  </si>
  <si>
    <t xml:space="preserve">The report total misses the funding of the end date</t>
  </si>
  <si>
    <t xml:space="preserve">Funding totals are understated</t>
  </si>
  <si>
    <t xml:space="preserve">Report error at a boundary. Severity 3: Normal: wrong result with a workaround. Urgency Low by ASM-92.</t>
  </si>
  <si>
    <t xml:space="preserve">[Funding] Alumni credit balance is not reduced after the credit is used</t>
  </si>
  <si>
    <t xml:space="preserve">1. An alumnus with a 200 credit</t>
  </si>
  <si>
    <t xml:space="preserve">The balance remains 200 after 100 was used</t>
  </si>
  <si>
    <t xml:space="preserve">The credit can be used twice</t>
  </si>
  <si>
    <t xml:space="preserve">Credit can be over used. Severity 2: Critical or major function fails. Urgency Low by ASM-92.</t>
  </si>
  <si>
    <t xml:space="preserve">[Funding] Alumni Course Credit above 50 percent of the full fee is accepted</t>
  </si>
  <si>
    <t xml:space="preserve">1. An alumnus with a credit of 800</t>
  </si>
  <si>
    <t xml:space="preserve">A credit of 600 is applied on a fee of 1000</t>
  </si>
  <si>
    <t xml:space="preserve">Credit is over used and the finance loses money</t>
  </si>
  <si>
    <t xml:space="preserve">Money cap is broken. Severity 1: Blocker, or money, funding or compliance break. Urgency High by ASM-92.</t>
  </si>
  <si>
    <t xml:space="preserve">[Funding] Grant is taken from a fixed value when the Grant Calculator is down</t>
  </si>
  <si>
    <t xml:space="preserve">1. An eligible learner</t>
  </si>
  <si>
    <t xml:space="preserve">The fee shows an old grant value after a Grant Calculator timeout</t>
  </si>
  <si>
    <t xml:space="preserve">The fee and the claim are wrong without warning</t>
  </si>
  <si>
    <t xml:space="preserve">Silent fallback to a wrong value. Severity 2: Critical or major function fails. Urgency High by ASM-92.</t>
  </si>
  <si>
    <t xml:space="preserve">[Funding] ETSS is applied when the ACRA check says the employer is not an SME</t>
  </si>
  <si>
    <t xml:space="preserve">1. An employee of a non SME company</t>
  </si>
  <si>
    <t xml:space="preserve">The fee shows ETSS for a non SME employer</t>
  </si>
  <si>
    <t xml:space="preserve">Funding is given without entitlement</t>
  </si>
  <si>
    <t xml:space="preserve">[Funding] PSEA claim file includes learners who did not request PSEA</t>
  </si>
  <si>
    <t xml:space="preserve">1. Three registrations</t>
  </si>
  <si>
    <t xml:space="preserve">The file lists the third learner</t>
  </si>
  <si>
    <t xml:space="preserve">Claims are made for learners who did not ask</t>
  </si>
  <si>
    <t xml:space="preserve">Wrong claim sent to MOE. Severity 2: Critical or major function fails. Urgency Low by ASM-92.</t>
  </si>
  <si>
    <t xml:space="preserve">[Funding] PSEA claim status stays submitted after the MOE file shows disbursed</t>
  </si>
  <si>
    <t xml:space="preserve">1. A submitted PSEA claim and a status file</t>
  </si>
  <si>
    <t xml:space="preserve">The status is not updated</t>
  </si>
  <si>
    <t xml:space="preserve">The learner and finance see a wrong status</t>
  </si>
  <si>
    <t xml:space="preserve">Status is wrong. Severity 2: Critical or major function fails. Urgency High by ASM-92.</t>
  </si>
  <si>
    <t xml:space="preserve">ASM ID</t>
  </si>
  <si>
    <t xml:space="preserve">Requirement</t>
  </si>
  <si>
    <t xml:space="preserve">Original gap</t>
  </si>
  <si>
    <t xml:space="preserve">Assumption</t>
  </si>
  <si>
    <t xml:space="preserve">Nearest evidence</t>
  </si>
  <si>
    <t xml:space="preserve">If the input differs</t>
  </si>
  <si>
    <t xml:space="preserve">Affected TCs</t>
  </si>
  <si>
    <t xml:space="preserve">Question to confirm</t>
  </si>
  <si>
    <t xml:space="preserve">Resolution</t>
  </si>
  <si>
    <t xml:space="preserve">Dependency</t>
  </si>
  <si>
    <t xml:space="preserve">All clauses</t>
  </si>
  <si>
    <t xml:space="preserve">The Tender does not describe test environments, roles or sign in</t>
  </si>
  <si>
    <t xml:space="preserve">The SIT environment is ready, one account exists for each role named in a test (Learner, Corporate Customer, Course Administrator, Finance Administrator, System Administrator, Trainer) and the tester is signed in with that role</t>
  </si>
  <si>
    <t xml:space="preserve">Tender clause text only; no environment section</t>
  </si>
  <si>
    <t xml:space="preserve">Level 1: a test cannot start without an environment and a role. This is a condition of every test case, not a Tender requirement</t>
  </si>
  <si>
    <t xml:space="preserve">If sign in or roles differ, add a login step to the precondition of the affected test cases</t>
  </si>
  <si>
    <t xml:space="preserve">Open</t>
  </si>
  <si>
    <t xml:space="preserve">All test cases (327)</t>
  </si>
  <si>
    <t xml:space="preserve">Which SIT environment and which role accounts will the tester use?</t>
  </si>
  <si>
    <t xml:space="preserve">2.2, 2.4, 8.2.5, 8.5.16, 18.1.2, 18.2.1, 18.2.2, 6.4.5, 9.1.4, 10.2.9</t>
  </si>
  <si>
    <t xml:space="preserve">External systems are named but their test endpoints are not described</t>
  </si>
  <si>
    <t xml:space="preserve">SingPass, MyInfo, CorpPass, SSG, TPGateway, SFC gateway and PSEA are reachable in SIT through test endpoints or stubs</t>
  </si>
  <si>
    <t xml:space="preserve">Tender section 18, clauses on integration</t>
  </si>
  <si>
    <t xml:space="preserve">Level 1: integration clauses cannot be tested without a test counterpart</t>
  </si>
  <si>
    <t xml:space="preserve">If no test endpoint exists, the integration test cases are blocked and move to Reject</t>
  </si>
  <si>
    <t xml:space="preserve">TC-SCN-001-01, TC-SCN-001-02, TC-SCN-017-01, TC-SCN-017-02, TC-SCN-056-01, TC-SCN-056-02, TC-SCN-069-01, TC-SCN-069-02, TC-SCN-084-01, TC-SCN-084-02, TC-SCN-104-01, TC-SCN-104-02, TC-SCN-106-01, TC-SCN-112-01, TC-SCN-119-01, TC-SCN-132-01, TC-SCN-132-02, TC-SCN-151-01, TC-SCN-151-02, TC-SCN-152-01, TC-SCN-152-02, TC-SCN-152-03, TC-SCN-153-01, TC-SCN-154-01, TC-SCN-154-02, TC-SCN-155-01, TC-SCN-156-01, TC-SCN-157-01, TC-SCN-157-02</t>
  </si>
  <si>
    <t xml:space="preserve">Which external test endpoints or stubs exist in SIT?</t>
  </si>
  <si>
    <t xml:space="preserve">2.2, 2.4</t>
  </si>
  <si>
    <t xml:space="preserve">The Tender does not state the message or page shown when authentication fails</t>
  </si>
  <si>
    <t xml:space="preserve">When authentication fails the user is not signed in and stays on or returns to the login page. The wording of the message is not checked</t>
  </si>
  <si>
    <t xml:space="preserve">Tender 2.2 and 2.4 only state that authentication is provided</t>
  </si>
  <si>
    <t xml:space="preserve">Level 1: not signing in is the least that a failed authentication must do. A message text would be invented</t>
  </si>
  <si>
    <t xml:space="preserve">If the Tender owner defines the message, add the exact text to Expected Result</t>
  </si>
  <si>
    <t xml:space="preserve">TC-SCN-001-02, TC-SCN-002-02</t>
  </si>
  <si>
    <t xml:space="preserve">What does the user see when SingPass or OTP authentication fails?</t>
  </si>
  <si>
    <t xml:space="preserve">8.1.4, 8.2.6</t>
  </si>
  <si>
    <t xml:space="preserve">The Tender lists validation types but gives no limits or messages</t>
  </si>
  <si>
    <t xml:space="preserve">Validation uses the field rules configured for the registration form under test. The test case checks that each listed validation type exists, not the specific limit</t>
  </si>
  <si>
    <t xml:space="preserve">Tender 8.1.4: mandatory field, data type, format, minimum and maximum length, range, consistency, look up</t>
  </si>
  <si>
    <t xml:space="preserve">Level 1: no field limits appear in the Tender</t>
  </si>
  <si>
    <t xml:space="preserve">If limits are defined, add boundary values to Test Data</t>
  </si>
  <si>
    <t xml:space="preserve">What are the field rules of the registration form?</t>
  </si>
  <si>
    <t xml:space="preserve">The Tender does not state how long an application can stay incomplete or when reminders are sent</t>
  </si>
  <si>
    <t xml:space="preserve">The stipulated time and reminder timing are configured by the Administrator for the test and are not fixed by the Tender</t>
  </si>
  <si>
    <t xml:space="preserve">Tender 8.2.6 and 8.2.7 use the words stipulated time and automatic reminders</t>
  </si>
  <si>
    <t xml:space="preserve">Level 1: no duration is given</t>
  </si>
  <si>
    <t xml:space="preserve">If a duration is defined, use it as boundary data</t>
  </si>
  <si>
    <t xml:space="preserve">TC-SCN-057-01, TC-SCN-058-01, TC-SCN-077-01</t>
  </si>
  <si>
    <t xml:space="preserve">What is the stipulated time and the reminder schedule?</t>
  </si>
  <si>
    <t xml:space="preserve">8.1.10, 8.1.11</t>
  </si>
  <si>
    <t xml:space="preserve">The Tender does not state the default minimum or maximum</t>
  </si>
  <si>
    <t xml:space="preserve">Minimum and maximum learner numbers are set by the Administrator for each course run. The test uses small values chosen by the tester</t>
  </si>
  <si>
    <t xml:space="preserve">Tender 8.1.10</t>
  </si>
  <si>
    <t xml:space="preserve">Level 1: only the capability to configure is stated</t>
  </si>
  <si>
    <t xml:space="preserve">None for expected results</t>
  </si>
  <si>
    <t xml:space="preserve">What are the allowed ranges for minimum and maximum?</t>
  </si>
  <si>
    <t xml:space="preserve">The Tender does not state what happens when a learner tries to register outside the registration period</t>
  </si>
  <si>
    <t xml:space="preserve">Registration is not accepted outside the configured period. The wording shown to the learner is not checked</t>
  </si>
  <si>
    <t xml:space="preserve">Tender 7.1.1 item 4 Course registration period configuration</t>
  </si>
  <si>
    <t xml:space="preserve">Level 1: a period that does not stop registration has no meaning</t>
  </si>
  <si>
    <t xml:space="preserve">If the Tender owner defines the message, add it to Expected Result</t>
  </si>
  <si>
    <t xml:space="preserve">What does the learner see when registration is closed?</t>
  </si>
  <si>
    <t xml:space="preserve">The Tender does not name the workflow statuses or approvers</t>
  </si>
  <si>
    <t xml:space="preserve">The workflow has at least a submitted step and an approved step, and each change is shown in a status history. Status names are not checked</t>
  </si>
  <si>
    <t xml:space="preserve">Tender 8.1.1 set up of different workflows for approval with status tracking</t>
  </si>
  <si>
    <t xml:space="preserve">Level 1: status tracking implies a visible status per step</t>
  </si>
  <si>
    <t xml:space="preserve">If statuses are defined, replace the Expected Result with the exact names</t>
  </si>
  <si>
    <t xml:space="preserve">What are the workflow statuses and approvers per course level?</t>
  </si>
  <si>
    <t xml:space="preserve">The Tender gives no file layout for batch import</t>
  </si>
  <si>
    <t xml:space="preserve">The import accepts a file prepared with the columns of the registration form. The exact format is not checked</t>
  </si>
  <si>
    <t xml:space="preserve">Tender 8.1.3 import functions for batch registration</t>
  </si>
  <si>
    <t xml:space="preserve">Level 1: a file layout is needed to run the test</t>
  </si>
  <si>
    <t xml:space="preserve">If a template exists, use it as Test Data</t>
  </si>
  <si>
    <t xml:space="preserve">Is there an import template?</t>
  </si>
  <si>
    <t xml:space="preserve">8.1.11, 8.5.3</t>
  </si>
  <si>
    <t xml:space="preserve">The Tender does not define first come first serve when two applications arrive at the same time</t>
  </si>
  <si>
    <t xml:space="preserve">Application time is the time the application is submitted. Equal times are not tested</t>
  </si>
  <si>
    <t xml:space="preserve">Tender 8.1.11 prioritize the applicants on a first come first serve basis</t>
  </si>
  <si>
    <t xml:space="preserve">Level 1: submit time is the only observable time</t>
  </si>
  <si>
    <t xml:space="preserve">If another time is defined, change the order of test data</t>
  </si>
  <si>
    <t xml:space="preserve">TC-SCN-048-01, TC-SCN-091-02</t>
  </si>
  <si>
    <t xml:space="preserve">Which time decides the order?</t>
  </si>
  <si>
    <t xml:space="preserve">8.1.12, 8.5.3</t>
  </si>
  <si>
    <t xml:space="preserve">The Tender does not say whether the learner or the Administrator confirms the other course</t>
  </si>
  <si>
    <t xml:space="preserve">The channelled application is confirmed on the other course after the channel action when seats exist</t>
  </si>
  <si>
    <t xml:space="preserve">Tender 8.1.12 channel the applications on the waitlist to another course for confirmation</t>
  </si>
  <si>
    <t xml:space="preserve">Level 1: confirmation without a seat is meaningless</t>
  </si>
  <si>
    <t xml:space="preserve">If the learner must accept, add the acceptance step</t>
  </si>
  <si>
    <t xml:space="preserve">TC-SCN-049-01, TC-SCN-091-03</t>
  </si>
  <si>
    <t xml:space="preserve">Who confirms the channelled application?</t>
  </si>
  <si>
    <t xml:space="preserve">The Tender does not give the wording of the PDPA declaration or the Terms and Conditions</t>
  </si>
  <si>
    <t xml:space="preserve">The declaration and consent are shown as acknowledgement controls that the applicant must select before submitting. The text is not checked</t>
  </si>
  <si>
    <t xml:space="preserve">Tender 8.2.2 PDPA declaration and consent captured; acknowledgement of Terms and Conditions</t>
  </si>
  <si>
    <t xml:space="preserve">Level 1: capture implies a recorded choice</t>
  </si>
  <si>
    <t xml:space="preserve">If consent can be optional, remove the block test</t>
  </si>
  <si>
    <t xml:space="preserve">Is the PDPA consent mandatory to submit?</t>
  </si>
  <si>
    <t xml:space="preserve">The Tender does not list which fields are filled from MyInfo</t>
  </si>
  <si>
    <t xml:space="preserve">The personal fields of the account that come from MyInfo (name, NRIC or FIN, date of birth, nationality, address) are filled in the registration form</t>
  </si>
  <si>
    <t xml:space="preserve">Tender 8.2.5 populate personal information verified by SingPass MyInfo; 8.2.19 field list</t>
  </si>
  <si>
    <t xml:space="preserve">Level 1: the field list of 8.2.19 is the nearest list of personal data</t>
  </si>
  <si>
    <t xml:space="preserve">If MyInfo returns fewer fields, reduce the expected fields</t>
  </si>
  <si>
    <t xml:space="preserve">Which fields does MyInfo return?</t>
  </si>
  <si>
    <t xml:space="preserve">The Tender does not state the content or channel of the reminder</t>
  </si>
  <si>
    <t xml:space="preserve">The reminder is an email sent to the applicant. The wording is not checked</t>
  </si>
  <si>
    <t xml:space="preserve">Tender 8.2.7 send automatic reminders to applicants</t>
  </si>
  <si>
    <t xml:space="preserve">Level 1: email is the only channel mentioned in the Tender for applicant messages (8.2.19 email templates)</t>
  </si>
  <si>
    <t xml:space="preserve">If SMS is used, change the channel</t>
  </si>
  <si>
    <t xml:space="preserve">TC-SCN-032-01, TC-SCN-051-01, TC-SCN-051-02, TC-SCN-058-01, TC-SCN-087-01, TC-SCN-088-01, TC-SCN-091-02, TC-SCN-129-01</t>
  </si>
  <si>
    <t xml:space="preserve">Which channel carries the reminder?</t>
  </si>
  <si>
    <t xml:space="preserve">The Tender does not mention direct URL access</t>
  </si>
  <si>
    <t xml:space="preserve">A user who opens the registration form URL without signing in is sent to login or account creation</t>
  </si>
  <si>
    <t xml:space="preserve">Tender 8.2.1 all course applicants</t>
  </si>
  <si>
    <t xml:space="preserve">Level 1: all applicants includes the ones who skip the course page</t>
  </si>
  <si>
    <t xml:space="preserve">If anonymous access is allowed, remove the test</t>
  </si>
  <si>
    <t xml:space="preserve">Can the registration form be opened without signing in?</t>
  </si>
  <si>
    <t xml:space="preserve">The Tender does not describe the behaviour when MyInfo is down</t>
  </si>
  <si>
    <t xml:space="preserve">The registration form still opens and the learner can type the personal fields</t>
  </si>
  <si>
    <t xml:space="preserve">Tender 8.2.5 and 8.2.15</t>
  </si>
  <si>
    <t xml:space="preserve">Level 1: blocking all registration because of one data source would defeat the purpose</t>
  </si>
  <si>
    <t xml:space="preserve">If the Tender owner wants registration blocked, reverse the expected result</t>
  </si>
  <si>
    <t xml:space="preserve">What happens if MyInfo is unavailable?</t>
  </si>
  <si>
    <t xml:space="preserve">8.2.10, 8.3.8, 8.3.13</t>
  </si>
  <si>
    <t xml:space="preserve">The Tender does not say if missing documents block the submit or only flag the application</t>
  </si>
  <si>
    <t xml:space="preserve">A missing required document is reported to the applicant. Whether the submit is blocked is not checked</t>
  </si>
  <si>
    <t xml:space="preserve">Tender 8.2.10 automated checking for the list of required documents</t>
  </si>
  <si>
    <t xml:space="preserve">Level 1: the check exists, the consequence is not stated</t>
  </si>
  <si>
    <t xml:space="preserve">If blocking is required, add a result of submit rejected</t>
  </si>
  <si>
    <t xml:space="preserve">TC-SCN-061-01, TC-SCN-080-01, TC-SCN-085-01</t>
  </si>
  <si>
    <t xml:space="preserve">Does a missing document block submit?</t>
  </si>
  <si>
    <t xml:space="preserve">8.2.19 paragraph, 8.3.1</t>
  </si>
  <si>
    <t xml:space="preserve">The Tender says but not limited to and does not mark mandatory fields</t>
  </si>
  <si>
    <t xml:space="preserve">The listed fields are all present. Which are mandatory is decided by the configured form and is not checked</t>
  </si>
  <si>
    <t xml:space="preserve">Tender paragraph after 8.2.19 and 8.3.1</t>
  </si>
  <si>
    <t xml:space="preserve">Level 1: only the list is given</t>
  </si>
  <si>
    <t xml:space="preserve">If mandatory fields are defined, add negative tests for each</t>
  </si>
  <si>
    <t xml:space="preserve">TC-SCN-060-03, TC-SCN-071-01, TC-SCN-071-02, TC-SCN-073-01</t>
  </si>
  <si>
    <t xml:space="preserve">Which fields are mandatory?</t>
  </si>
  <si>
    <t xml:space="preserve">8.2.11, 8.3.9</t>
  </si>
  <si>
    <t xml:space="preserve">The Tender does not give the Excel layout, the maximum rows or what happens to rows with errors</t>
  </si>
  <si>
    <t xml:space="preserve">The upload accepts an Excel file with the columns of the registration form. Rows with errors are reported and the valid rows are not lost. The exact behaviour is not checked</t>
  </si>
  <si>
    <t xml:space="preserve">Tender 8.2.11 bulk registrations by uploading learner information in Excel file</t>
  </si>
  <si>
    <t xml:space="preserve">Level 1: a layout is needed to test</t>
  </si>
  <si>
    <t xml:space="preserve">If the Tender owner defines it, add rows with errors as boundary data</t>
  </si>
  <si>
    <t xml:space="preserve">TC-SCN-028-01, TC-SCN-037-01, TC-SCN-062-01, TC-SCN-062-02, TC-SCN-081-01, TC-SCN-123-01</t>
  </si>
  <si>
    <t xml:space="preserve">What is the Excel layout and the error handling?</t>
  </si>
  <si>
    <t xml:space="preserve">The Tender does not give the discount value, the definition of early bird or the order of discounts</t>
  </si>
  <si>
    <t xml:space="preserve">The discounts are configured for the test. The expected discount equals the configured value. Early bird is a date before a configured closing date</t>
  </si>
  <si>
    <t xml:space="preserve">Tender 8.2.12 group registrations for 3 people or more, early bird registration, respective discounts</t>
  </si>
  <si>
    <t xml:space="preserve">Level 1: only the thresholds of 3 people is given</t>
  </si>
  <si>
    <t xml:space="preserve">If discount rules are defined, replace the configured values</t>
  </si>
  <si>
    <t xml:space="preserve">What are the group and early bird discount rules?</t>
  </si>
  <si>
    <t xml:space="preserve">The Tender does not say what happens to an applicant found on a blacklist</t>
  </si>
  <si>
    <t xml:space="preserve">An applicant on the SSG or School blacklist is not enrolled and is shown a reason. The fee overview is still computed</t>
  </si>
  <si>
    <t xml:space="preserve">Tender 8.2.14 check if applicants are in the SSG and Schools blacklisting and compute the overview of course fee</t>
  </si>
  <si>
    <t xml:space="preserve">Level 1: a check without a consequence has no purpose</t>
  </si>
  <si>
    <t xml:space="preserve">If blacklisted applicants may continue, reverse the expected result</t>
  </si>
  <si>
    <t xml:space="preserve">TC-SCN-065-01, TC-SCN-065-02</t>
  </si>
  <si>
    <t xml:space="preserve">What happens when an applicant is blacklisted?</t>
  </si>
  <si>
    <t xml:space="preserve">The Tender does not state which user sees the failure reason or the form of the alert</t>
  </si>
  <si>
    <t xml:space="preserve">The failed application is shown in an Administrator alert with a descriptive reason. The Learner message is not checked</t>
  </si>
  <si>
    <t xml:space="preserve">Tender 8.2.20 alert Administrators and provide them with descriptive reasons for the failed application</t>
  </si>
  <si>
    <t xml:space="preserve">Level 1: the Tender names Administrators only</t>
  </si>
  <si>
    <t xml:space="preserve">If the learner must be told, add the message</t>
  </si>
  <si>
    <t xml:space="preserve">Is the learner told why the application failed?</t>
  </si>
  <si>
    <t xml:space="preserve">8.4.1, 8.4.2, 8.4.3</t>
  </si>
  <si>
    <t xml:space="preserve">The Tender does not give shortlisting criteria, survey content or interview slots</t>
  </si>
  <si>
    <t xml:space="preserve">The shortlisting criteria and the pre assessment list are configured for the test</t>
  </si>
  <si>
    <t xml:space="preserve">Tender 8.4.1 to 8.4.3</t>
  </si>
  <si>
    <t xml:space="preserve">Level 1: only capabilities are stated</t>
  </si>
  <si>
    <t xml:space="preserve">If criteria are defined, add them to Test Data</t>
  </si>
  <si>
    <t xml:space="preserve">TC-SCN-086-01, TC-SCN-087-01, TC-SCN-088-01</t>
  </si>
  <si>
    <t xml:space="preserve">What are the shortlisting criteria?</t>
  </si>
  <si>
    <t xml:space="preserve">The Tender does not name the workflows for the request types</t>
  </si>
  <si>
    <t xml:space="preserve">A request creates a workflow instance that is distinct by request type and visible in the request status</t>
  </si>
  <si>
    <t xml:space="preserve">Tender 8.1.5 relevant workflow processing shall be triggered based on the type of learner's request</t>
  </si>
  <si>
    <t xml:space="preserve">Level 1: type based processing requires distinct instances</t>
  </si>
  <si>
    <t xml:space="preserve">If workflows are named, check their names</t>
  </si>
  <si>
    <t xml:space="preserve">TC-SCN-042-01, TC-SCN-042-02</t>
  </si>
  <si>
    <t xml:space="preserve">What are the workflow names per request type?</t>
  </si>
  <si>
    <t xml:space="preserve">8.3.3, 8.3.10</t>
  </si>
  <si>
    <t xml:space="preserve">The Tender does not state the register used to check a UEN or the format</t>
  </si>
  <si>
    <t xml:space="preserve">The UEN is checked against a test register of valid and invalid UENs available in SIT</t>
  </si>
  <si>
    <t xml:space="preserve">Tender 8.3.3 and 8.3.10 automatic check on the UEN number</t>
  </si>
  <si>
    <t xml:space="preserve">Level 1: a check needs a source</t>
  </si>
  <si>
    <t xml:space="preserve">If ACRA is used, use ACRA test data</t>
  </si>
  <si>
    <t xml:space="preserve">TC-SCN-075-01, TC-SCN-075-02, TC-SCN-082-01</t>
  </si>
  <si>
    <t xml:space="preserve">What register verifies the UEN?</t>
  </si>
  <si>
    <t xml:space="preserve">The sentence of 8.5.1 has no subject and gives no criteria for auto confirmation</t>
  </si>
  <si>
    <t xml:space="preserve">Capacity based auto confirmation means that an application is confirmed automatically while seats remain, in order of application. Nothing else is checked</t>
  </si>
  <si>
    <t xml:space="preserve">Tender 8.5.1 capability based on capacity-based auto confirmation and on first-come-first-serve basis</t>
  </si>
  <si>
    <t xml:space="preserve">Level 1: capacity and first come first serve are the only two criteria in the sentence</t>
  </si>
  <si>
    <t xml:space="preserve">If another criterion is meant, the test cases change</t>
  </si>
  <si>
    <t xml:space="preserve">What does 8.5.1 require the System to do?</t>
  </si>
  <si>
    <t xml:space="preserve">The Tender does not describe the letter of offer content or the placeholders</t>
  </si>
  <si>
    <t xml:space="preserve">The letter of offer is generated from a template configured per School for the test course. The wording is not checked</t>
  </si>
  <si>
    <t xml:space="preserve">Tender 8.5.4 course offer management where letter of offer is customizable</t>
  </si>
  <si>
    <t xml:space="preserve">Level 1: customisation by School implies different templates</t>
  </si>
  <si>
    <t xml:space="preserve">If placeholders are defined, check them</t>
  </si>
  <si>
    <t xml:space="preserve">What does a letter of offer contain?</t>
  </si>
  <si>
    <t xml:space="preserve">The Tender does not define the penalty restriction or the age limits</t>
  </si>
  <si>
    <t xml:space="preserve">Age, prerequisite, penalty and capacity restrictions are configured for the test course. A restriction not met stops the enrolment</t>
  </si>
  <si>
    <t xml:space="preserve">Tender 8.5.5 configure enrolment restriction based on age, prerequisites, penalty, capacity</t>
  </si>
  <si>
    <t xml:space="preserve">Level 1: a configured restriction implies a stop</t>
  </si>
  <si>
    <t xml:space="preserve">If restrictions only warn, change the expected result</t>
  </si>
  <si>
    <t xml:space="preserve">Does a restriction stop or only warn?</t>
  </si>
  <si>
    <t xml:space="preserve">8.5.8, 8.5.9, 8.5.10</t>
  </si>
  <si>
    <t xml:space="preserve">The Tender does not give the specified period for withdrawal, replacement or transfer</t>
  </si>
  <si>
    <t xml:space="preserve">The specified period is configured for the test. The boundary is the configured last day</t>
  </si>
  <si>
    <t xml:space="preserve">Tender 8.5.8 within specified period of time</t>
  </si>
  <si>
    <t xml:space="preserve">Level 1: no number is given</t>
  </si>
  <si>
    <t xml:space="preserve">If the period is defined, replace the configured value</t>
  </si>
  <si>
    <t xml:space="preserve">TC-SCN-096-01, TC-SCN-096-02, TC-SCN-097-01, TC-SCN-097-02, TC-SCN-098-01, TC-SCN-098-02</t>
  </si>
  <si>
    <t xml:space="preserve">What is the specified period?</t>
  </si>
  <si>
    <t xml:space="preserve">8.5.11, 8.5.12, 8.5.13, 8.5.14</t>
  </si>
  <si>
    <t xml:space="preserve">The Tender names the Learning Management System and the Student Management System but not their interfaces</t>
  </si>
  <si>
    <t xml:space="preserve">The Learning Management System and the Student Management System have test endpoints in SIT that accept the data listed in the Tender</t>
  </si>
  <si>
    <t xml:space="preserve">Tender 8.5.11 to 8.5.14</t>
  </si>
  <si>
    <t xml:space="preserve">Level 1: integration needs a counterpart</t>
  </si>
  <si>
    <t xml:space="preserve">If no test endpoint exists, the integration tests move to Reject</t>
  </si>
  <si>
    <t xml:space="preserve">TC-SCN-099-01, TC-SCN-099-02, TC-SCN-100-01, TC-SCN-100-02, TC-SCN-101-01, TC-SCN-102-01</t>
  </si>
  <si>
    <t xml:space="preserve">Do the LMS and SMS have SIT endpoints?</t>
  </si>
  <si>
    <t xml:space="preserve">8.6.1, 8.6.2</t>
  </si>
  <si>
    <t xml:space="preserve">The Tender does not state how an entry gets on a blacklist or when suspensions end</t>
  </si>
  <si>
    <t xml:space="preserve">Blacklist and suspension records are created by test data in SIT and are active at test time</t>
  </si>
  <si>
    <t xml:space="preserve">Tender 8.6.1 and 8.6.2</t>
  </si>
  <si>
    <t xml:space="preserve">Level 1: the check needs records</t>
  </si>
  <si>
    <t xml:space="preserve">If an expiry rule exists, add expired records as data</t>
  </si>
  <si>
    <t xml:space="preserve">TC-SCN-093-03, TC-SCN-105-01, TC-SCN-105-02, TC-SCN-105-03, TC-SCN-105-04, TC-SCN-106-01, TC-SCN-106-02</t>
  </si>
  <si>
    <t xml:space="preserve">How do blacklist records get created and end?</t>
  </si>
  <si>
    <t xml:space="preserve">The Tender does not say what happens when one bite sized course is full</t>
  </si>
  <si>
    <t xml:space="preserve">All bite sized courses have free seats. Full courses are not tested</t>
  </si>
  <si>
    <t xml:space="preserve">Tender 8.5.2 auto register and enroll those in the parent course</t>
  </si>
  <si>
    <t xml:space="preserve">Level 1: only the normal path is stated</t>
  </si>
  <si>
    <t xml:space="preserve">If full courses must be handled, add a case</t>
  </si>
  <si>
    <t xml:space="preserve">What happens when a bite sized course is full?</t>
  </si>
  <si>
    <t xml:space="preserve">8.5.16, 6.4.5, 10.2.9</t>
  </si>
  <si>
    <t xml:space="preserve">The Tender does not describe how an interface failure is handled</t>
  </si>
  <si>
    <t xml:space="preserve">A failed interface call is logged and the record can be sent again. No record is lost</t>
  </si>
  <si>
    <t xml:space="preserve">Tender 8.5.16, 6.4.5, 10.2.9 automatically interface</t>
  </si>
  <si>
    <t xml:space="preserve">Level 1: losing a record silently would break funding</t>
  </si>
  <si>
    <t xml:space="preserve">If the Tender owner defines retries, check them</t>
  </si>
  <si>
    <t xml:space="preserve">TC-SCN-017-03, TC-SCN-104-02, TC-SCN-112-02, TC-SCN-132-02</t>
  </si>
  <si>
    <t xml:space="preserve">How are interface failures handled?</t>
  </si>
  <si>
    <t xml:space="preserve">6.5.1, 6.5.2, 10.2.1</t>
  </si>
  <si>
    <t xml:space="preserve">The Tender names grade types (pass or fail, A+ A B F, mark range) and the 0 to 100 and 5.00 to 0.00 ranges but gives no grade bands</t>
  </si>
  <si>
    <t xml:space="preserve">The grade bands and weightings are configured for the test course. The test checks that the conversion follows the configured bands, not specific cut off marks</t>
  </si>
  <si>
    <t xml:space="preserve">Tender 6.5.2 conversion of number marks into grades (0-100 to A-F or pass/fail) and grade point (5.00 to 0.00)</t>
  </si>
  <si>
    <t xml:space="preserve">Level 1: no band is in the Tender</t>
  </si>
  <si>
    <t xml:space="preserve">If bands are defined, add boundary marks at each cut off</t>
  </si>
  <si>
    <t xml:space="preserve">TC-SCN-024-01, TC-SCN-024-02, TC-SCN-025-01, TC-SCN-025-02, TC-SCN-028-02, TC-SCN-028-03</t>
  </si>
  <si>
    <t xml:space="preserve">What are the grade bands and grade points?</t>
  </si>
  <si>
    <t xml:space="preserve">The Tender does not give the CGPA formula</t>
  </si>
  <si>
    <t xml:space="preserve">CGPA is the sum of grade point times credit of each course divided by the sum of credits. This is the common definition</t>
  </si>
  <si>
    <t xml:space="preserve">Tender 6.5.3 automated calculation of cumulative grade point average (CGPA)</t>
  </si>
  <si>
    <t xml:space="preserve">Level 1: the Tender names CGPA only</t>
  </si>
  <si>
    <t xml:space="preserve">If the School uses another formula, change the expected number</t>
  </si>
  <si>
    <t xml:space="preserve">What is the CGPA formula and are credits used?</t>
  </si>
  <si>
    <t xml:space="preserve">10.1.3, 10.1.4</t>
  </si>
  <si>
    <t xml:space="preserve">The Tender does not give the formula of the attendance rate or the minimum for non SSG courses</t>
  </si>
  <si>
    <t xml:space="preserve">Attendance rate is attended sessions divided by held sessions, as a percentage. For an SSG funded course the minimum is 75 percent as stated in clause 6.4.4</t>
  </si>
  <si>
    <t xml:space="preserve">Tender 6.4.4 item 1 Minimum 75% attendance; 10.1.3 and 10.1.4</t>
  </si>
  <si>
    <t xml:space="preserve">Level 1: 6.4.4 is the only number in the Tender</t>
  </si>
  <si>
    <t xml:space="preserve">If the minimum differs by course, set it per course</t>
  </si>
  <si>
    <t xml:space="preserve">TC-SCN-016-01, TC-SCN-029-01, TC-SCN-029-02, TC-SCN-120-01, TC-SCN-120-02, TC-SCN-121-01, TC-SCN-121-02, TC-SCN-123-02</t>
  </si>
  <si>
    <t xml:space="preserve">What is the formula and the minimum attendance rate?</t>
  </si>
  <si>
    <t xml:space="preserve">10.1.1, 10.1.2</t>
  </si>
  <si>
    <t xml:space="preserve">The Tender does not describe the devices, QR format or facial recognition accuracy</t>
  </si>
  <si>
    <t xml:space="preserve">Attendance marking is tested through the test device or test QR code available in SIT. Recognition accuracy is not tested</t>
  </si>
  <si>
    <t xml:space="preserve">Tender 10.1.1 and 10.1.2</t>
  </si>
  <si>
    <t xml:space="preserve">Level 1: no device or accuracy is given</t>
  </si>
  <si>
    <t xml:space="preserve">If accuracy is required, add a performance case</t>
  </si>
  <si>
    <t xml:space="preserve">TC-SCN-118-01, TC-SCN-118-02, TC-SCN-119-01</t>
  </si>
  <si>
    <t xml:space="preserve">Which devices are used in SIT?</t>
  </si>
  <si>
    <t xml:space="preserve">10.2.5, 10.2.10</t>
  </si>
  <si>
    <t xml:space="preserve">The Tender does not give the fee for a change, the permissible maximum period or the valid reasons</t>
  </si>
  <si>
    <t xml:space="preserve">The fee for change, the permissible period and the valid reason list are configured for the test</t>
  </si>
  <si>
    <t xml:space="preserve">Tender 10.2.5 fee imposed for changes where necessary; 10.2.10 valid reasons and permissible maximum period</t>
  </si>
  <si>
    <t xml:space="preserve">Level 1: values are not given</t>
  </si>
  <si>
    <t xml:space="preserve">If values are defined, use them as boundary data</t>
  </si>
  <si>
    <t xml:space="preserve">TC-SCN-128-02, TC-SCN-128-03, TC-SCN-133-01, TC-SCN-133-02, TC-SCN-133-03</t>
  </si>
  <si>
    <t xml:space="preserve">What are the change fee and the permissible period?</t>
  </si>
  <si>
    <t xml:space="preserve">The Tender gives 3 months for course A and 6 months for course B as examples only</t>
  </si>
  <si>
    <t xml:space="preserve">The predetermined period is configured per course. The test uses 3 months as the example given in the clause</t>
  </si>
  <si>
    <t xml:space="preserve">Tender 10.2.6 e.g. 3 months for course A or 6 months for course B</t>
  </si>
  <si>
    <t xml:space="preserve">Level 1: the examples are the only numbers</t>
  </si>
  <si>
    <t xml:space="preserve">If the period differs, change the date data</t>
  </si>
  <si>
    <t xml:space="preserve">What is the predetermined period per course?</t>
  </si>
  <si>
    <t xml:space="preserve">10.3.5, 6.6.5, 10.3.6</t>
  </si>
  <si>
    <t xml:space="preserve">The Tender does not describe the OpenCerts test service or the secure storage</t>
  </si>
  <si>
    <t xml:space="preserve">OpenCerts issuance is tested with an OpenCerts test service. Storage security is checked by access control only</t>
  </si>
  <si>
    <t xml:space="preserve">Tender 10.3.5, 6.6.5, 10.3.6</t>
  </si>
  <si>
    <t xml:space="preserve">Level 1: OpenCerts needs a counterpart</t>
  </si>
  <si>
    <t xml:space="preserve">If no test service exists, the issuance tests are blocked</t>
  </si>
  <si>
    <t xml:space="preserve">TC-SCN-030-01, TC-SCN-030-02, TC-SCN-033-01, TC-SCN-141-01, TC-SCN-141-02, TC-SCN-142-01, TC-SCN-142-02</t>
  </si>
  <si>
    <t xml:space="preserve">Is there an OpenCerts test service?</t>
  </si>
  <si>
    <t xml:space="preserve">The Tender does not describe the appeal period or the outcome states</t>
  </si>
  <si>
    <t xml:space="preserve">An appeal creates a request and sends a notification to CET Administrators. Outcome states are not checked</t>
  </si>
  <si>
    <t xml:space="preserve">Tender 10.3.7</t>
  </si>
  <si>
    <t xml:space="preserve">Level 1: only the notification is stated</t>
  </si>
  <si>
    <t xml:space="preserve">If states are defined, add state transition tests</t>
  </si>
  <si>
    <t xml:space="preserve">TC-SCN-134-01, TC-SCN-138-01, TC-SCN-143-01, TC-SCN-143-02</t>
  </si>
  <si>
    <t xml:space="preserve">What are the appeal states?</t>
  </si>
  <si>
    <t xml:space="preserve">6.3.1, 6.3.2, 6.3.7, 9.1.13</t>
  </si>
  <si>
    <t xml:space="preserve">The Tender gives no fee amounts, no GST rate and no rounding rule</t>
  </si>
  <si>
    <t xml:space="preserve">A test course has a full fee of 1000 dollars and the configured GST rate is 9 percent. Amounts are rounded to the cent. The expected value is what the configured rules produce</t>
  </si>
  <si>
    <t xml:space="preserve">Tender 6.3.2 rules for calculation of course fees and GST</t>
  </si>
  <si>
    <t xml:space="preserve">Level 1: the Tender states that rules exist, not their values</t>
  </si>
  <si>
    <t xml:space="preserve">If the real GST rate or rounding differs, replace the amounts in Test Data and Expected Result</t>
  </si>
  <si>
    <t xml:space="preserve">TC-SCN-007-01, TC-SCN-007-02, TC-SCN-115-01, TC-SCN-115-02</t>
  </si>
  <si>
    <t xml:space="preserve">What are the GST rate and the rounding rule for fees?</t>
  </si>
  <si>
    <t xml:space="preserve">6.3.3, 6.3.5</t>
  </si>
  <si>
    <t xml:space="preserve">The Tender does not give the fee change for withdrawal, LOA, deferral, termination, rescheduling or reassessment</t>
  </si>
  <si>
    <t xml:space="preserve">A fee change rule is configured for each case. The expected change equals the configured value. A fee change takes effect only after approval</t>
  </si>
  <si>
    <t xml:space="preserve">Tender 6.3.3 fee changes and approval; 6.3.5 fees for rescheduling and reassessment</t>
  </si>
  <si>
    <t xml:space="preserve">Level 1: the cases are named but no amount is given</t>
  </si>
  <si>
    <t xml:space="preserve">If a rule is defined, use its amount as expected result</t>
  </si>
  <si>
    <t xml:space="preserve">TC-SCN-008-01, TC-SCN-008-02, TC-SCN-008-03, TC-SCN-008-04, TC-SCN-008-05, TC-SCN-010-01, TC-SCN-010-02</t>
  </si>
  <si>
    <t xml:space="preserve">What is the fee change for each case?</t>
  </si>
  <si>
    <t xml:space="preserve">6.3.6, 6.4.9</t>
  </si>
  <si>
    <t xml:space="preserve">The Tender lists the criteria for fees and grants but gives no bands, ages or income limits</t>
  </si>
  <si>
    <t xml:space="preserve">Each criterion has a configured band for the test (for example an age limit of 40 and an income limit of 3000 dollars). The expected result equals the configured grant or fee for the band</t>
  </si>
  <si>
    <t xml:space="preserve">Tender 6.3.6 criteria 1 to 7; 6.4.9 criteria 1 to 7</t>
  </si>
  <si>
    <t xml:space="preserve">If bands are defined, add boundary values at each limit</t>
  </si>
  <si>
    <t xml:space="preserve">TC-SCN-011-01, TC-SCN-011-02, TC-SCN-011-03, TC-SCN-011-04, TC-SCN-011-05, TC-SCN-011-06, TC-SCN-013-01, TC-SCN-013-02, TC-SCN-015-02, TC-SCN-015-05, TC-SCN-021-01, TC-SCN-021-02, TC-SCN-021-03, TC-SCN-064-01, TC-SCN-064-02, TC-SCN-113-01, TC-SCN-113-02</t>
  </si>
  <si>
    <t xml:space="preserve">What are the age, income and other bands per grant?</t>
  </si>
  <si>
    <t xml:space="preserve">6.3.7, 6.4.6</t>
  </si>
  <si>
    <t xml:space="preserve">The Tender says check and balance and approvals but not who approves</t>
  </si>
  <si>
    <t xml:space="preserve">The setup or refund is prepared by one Finance Administrator and approved by a different one. The same user cannot approve own work</t>
  </si>
  <si>
    <t xml:space="preserve">Tender 6.3.7 checker and approver abide to audit requirements; 6.4.6 refunds with necessary approvals</t>
  </si>
  <si>
    <t xml:space="preserve">Level 1: check and balance means two different people</t>
  </si>
  <si>
    <t xml:space="preserve">If one user may do both, remove the negative case</t>
  </si>
  <si>
    <t xml:space="preserve">TC-SCN-012-04, TC-SCN-012-05, TC-SCN-018-04</t>
  </si>
  <si>
    <t xml:space="preserve">Can the preparer and the approver be the same user?</t>
  </si>
  <si>
    <t xml:space="preserve">6.4.2, 6.4.3, 6.4.6, 6.4.10</t>
  </si>
  <si>
    <t xml:space="preserve">The Tender does not give the discount values or the order of the discounts, except that the Alumni Course Credit is deducted from the full fee before the SSG grant and subsidy</t>
  </si>
  <si>
    <t xml:space="preserve">Discount values are configured for the test. The Alumni Course Credit comes first as stated. The other items follow the configured order</t>
  </si>
  <si>
    <t xml:space="preserve">Tender 6.4.3 second sentence For Alumni Course Credit it is a direct discount from full course fee before SSG grant and subsidy</t>
  </si>
  <si>
    <t xml:space="preserve">Level 1: only one ordering rule is in the Tender</t>
  </si>
  <si>
    <t xml:space="preserve">If the order is defined, change the expected net fee</t>
  </si>
  <si>
    <t xml:space="preserve">TC-SCN-014-01, TC-SCN-014-02, TC-SCN-014-03, TC-SCN-014-04, TC-SCN-015-01, TC-SCN-015-02, TC-SCN-015-03, TC-SCN-015-04, TC-SCN-070-01, TC-SCN-070-02, TC-SCN-114-01</t>
  </si>
  <si>
    <t xml:space="preserve">In which order are grant, subsidy, SFC, discount and credits applied?</t>
  </si>
  <si>
    <t xml:space="preserve">ASM-65</t>
  </si>
  <si>
    <t xml:space="preserve">6.4.4, 18.1.2</t>
  </si>
  <si>
    <t xml:space="preserve">The Tender does not say when the funding is released or claimed</t>
  </si>
  <si>
    <t xml:space="preserve">The outcome based funding is decided when the course has ended and the attendance and the result are final. The minimum attendance rate is 75 percent as written, so 75 percent qualifies. Attendance rate follows ASM-52</t>
  </si>
  <si>
    <t xml:space="preserve">Tender 6.4.4 Minimum 75% attendance, Passing the assessment</t>
  </si>
  <si>
    <t xml:space="preserve">Level 1: 75 percent is the only figure</t>
  </si>
  <si>
    <t xml:space="preserve">If the rate must be above 75 percent, the boundary case changes</t>
  </si>
  <si>
    <t xml:space="preserve">Does 75 percent exactly qualify and when is the funding decided?</t>
  </si>
  <si>
    <t xml:space="preserve">6.4.7, 8.7.1</t>
  </si>
  <si>
    <t xml:space="preserve">The Tender says 5% cap should be monitored and an email sent if the cap is almost fully utilized but does not say 5 percent of what or when almost full is</t>
  </si>
  <si>
    <t xml:space="preserve">The cap is 5 percent of the SSG funded places of a course run taken by Training provider staff. Almost full is 90 percent of the cap. The email goes to the System Administrator</t>
  </si>
  <si>
    <t xml:space="preserve">Tender 6.4.7 5% cap should be monitored; 8.7.1 cap by percent or by number</t>
  </si>
  <si>
    <t xml:space="preserve">Level 1: the base and the threshold are missing</t>
  </si>
  <si>
    <t xml:space="preserve">If the base or the threshold differs, change the data of the cap cases</t>
  </si>
  <si>
    <t xml:space="preserve">TC-SCN-019-03, TC-SCN-107-04</t>
  </si>
  <si>
    <t xml:space="preserve">5 percent of what, and when is the cap almost fully utilized?</t>
  </si>
  <si>
    <t xml:space="preserve">6.4.8, 8.2.16, 8.3.12, 18.2.4</t>
  </si>
  <si>
    <t xml:space="preserve">The Tender does not give the format of the Vendor@Gov reference or the GeBIZ purchase order number or the ACRA test data</t>
  </si>
  <si>
    <t xml:space="preserve">The test accepts one valid reference and one valid purchase order number. The ACRA cross check returns SME or not SME from the test endpoint</t>
  </si>
  <si>
    <t xml:space="preserve">Tender 6.4.8; 8.2.16; 8.3.12; 18.2.4 via MyInfo and cross check with ACRA</t>
  </si>
  <si>
    <t xml:space="preserve">Level 1: formats are not given</t>
  </si>
  <si>
    <t xml:space="preserve">If formats are defined, add invalid format cases</t>
  </si>
  <si>
    <t xml:space="preserve">TC-SCN-020-01, TC-SCN-020-02, TC-SCN-067-02, TC-SCN-084-01, TC-SCN-084-02, TC-SCN-157-01, TC-SCN-157-02</t>
  </si>
  <si>
    <t xml:space="preserve">What are the formats of the Vendor@Gov reference and the GeBIZ number?</t>
  </si>
  <si>
    <t xml:space="preserve">The Tender says the correct version of Grant is tagged based on the SSG LOA but does not say how the version is chosen</t>
  </si>
  <si>
    <t xml:space="preserve">The grant version is chosen by the course start date against the validity dates of each version. A version has a start and an end date</t>
  </si>
  <si>
    <t xml:space="preserve">Tender 6.4.9 last line tagging to the correct version of Grant based on SSG LOA</t>
  </si>
  <si>
    <t xml:space="preserve">Level 1: the rule for choosing is missing</t>
  </si>
  <si>
    <t xml:space="preserve">If the version follows another date, change the date data</t>
  </si>
  <si>
    <t xml:space="preserve">Which date selects the grant version?</t>
  </si>
  <si>
    <t xml:space="preserve">6.4.6, 11.1.2</t>
  </si>
  <si>
    <t xml:space="preserve">The Tender does not describe the refund approval levels or the refund amount</t>
  </si>
  <si>
    <t xml:space="preserve">A refund is requested, approved by an approver and then paid. The amount is the paid amount less the configured fee change. Refunds of SFC and PSEA go back to the funding source</t>
  </si>
  <si>
    <t xml:space="preserve">Tender 6.4.6 refunds with necessary approvals; 11.1.2 refunds for SkillsFuture Credits, PSEA and company sponsored courses</t>
  </si>
  <si>
    <t xml:space="preserve">Level 1: levels and amounts are not given</t>
  </si>
  <si>
    <t xml:space="preserve">If SFC or PSEA refunds go to the learner, change the expected result</t>
  </si>
  <si>
    <t xml:space="preserve">TC-SCN-018-03, TC-SCN-018-04, TC-SCN-045-03, TC-SCN-144-01, TC-SCN-144-02, TC-SCN-144-03</t>
  </si>
  <si>
    <t xml:space="preserve">Where are SFC and PSEA refunds paid to and how many approval levels are there?</t>
  </si>
  <si>
    <t xml:space="preserve">The Tender does not describe the allocation among several sponsors</t>
  </si>
  <si>
    <t xml:space="preserve">Each sponsor has a configured percentage of the net fee. The percentages add up to 100. One invoice is generated per sponsor</t>
  </si>
  <si>
    <t xml:space="preserve">Tender 6.4.11 multiple billing of sponsors with pre configured billing allocation</t>
  </si>
  <si>
    <t xml:space="preserve">Level 1: allocation by percentage is the common reading</t>
  </si>
  <si>
    <t xml:space="preserve">If allocation is by amount, change the data</t>
  </si>
  <si>
    <t xml:space="preserve">TC-SCN-023-02, TC-SCN-023-03</t>
  </si>
  <si>
    <t xml:space="preserve">Is the allocation by percentage or by amount?</t>
  </si>
  <si>
    <t xml:space="preserve">8.2.17, 12.1.1, 12.2.1, 12.2.2, 12.2.3</t>
  </si>
  <si>
    <t xml:space="preserve">The Tender does not say how alumni credit is earned, the unit of the credit or the validity</t>
  </si>
  <si>
    <t xml:space="preserve">Alumni credit is held in dollars. The balance is set by test data. A credit is used once. The cap is 50 percent of the full fee as in the example of 12.2.3</t>
  </si>
  <si>
    <t xml:space="preserve">Tender 12.2.3 cap ACC at the specified (for example 50) percentage of the full course fee</t>
  </si>
  <si>
    <t xml:space="preserve">Level 1: 50 percent is only an example</t>
  </si>
  <si>
    <t xml:space="preserve">If the cap differs, change the amount cases</t>
  </si>
  <si>
    <t xml:space="preserve">TC-SCN-011-04, TC-SCN-015-01, TC-SCN-068-01, TC-SCN-068-02, TC-SCN-070-01, TC-SCN-148-01, TC-SCN-148-02, TC-SCN-149-01, TC-SCN-150-01, TC-SCN-150-02, TC-SCN-150-03</t>
  </si>
  <si>
    <t xml:space="preserve">What is the ACC cap and how is the credit earned?</t>
  </si>
  <si>
    <t xml:space="preserve">9.1.1, 9.1.3, 9.1.12</t>
  </si>
  <si>
    <t xml:space="preserve">The Tender does not describe the layout of the invoice templates or the difference between direct and indirect discounting</t>
  </si>
  <si>
    <t xml:space="preserve">The invoice shows one line for each billing item named in the clause. The layout and the wording are not checked. Direct discounting shows the discount as a line, indirect shows the net fee</t>
  </si>
  <si>
    <t xml:space="preserve">Tender 9.1.1, 9.1.3, 9.1.12 billing items</t>
  </si>
  <si>
    <t xml:space="preserve">Level 1: only the items are named</t>
  </si>
  <si>
    <t xml:space="preserve">If a template layout is defined, add layout checks</t>
  </si>
  <si>
    <t xml:space="preserve">TC-SCN-110-01, TC-SCN-110-02, TC-SCN-110-03, TC-SCN-111-01, TC-SCN-111-03, TC-SCN-111-04, TC-SCN-114-01, TC-SCN-114-03</t>
  </si>
  <si>
    <t xml:space="preserve">What do the direct and indirect templates look like?</t>
  </si>
  <si>
    <t xml:space="preserve">The Tender does not give installment counts, dates or the rule for late payment</t>
  </si>
  <si>
    <t xml:space="preserve">An installment plan of 2 equal parts is configured for the test. A part unpaid after its due date is late</t>
  </si>
  <si>
    <t xml:space="preserve">Tender 9.4.1 payment modes 1 to 6</t>
  </si>
  <si>
    <t xml:space="preserve">If plans are defined, use them</t>
  </si>
  <si>
    <t xml:space="preserve">TC-SCN-012-02, TC-SCN-012-03, TC-SCN-117-03</t>
  </si>
  <si>
    <t xml:space="preserve">What are the installment plans?</t>
  </si>
  <si>
    <t xml:space="preserve">9.4.1, 18.3.2, 18.3.3</t>
  </si>
  <si>
    <t xml:space="preserve">The Tender says PSEA and SkillsFuture credit payments must be credited automatically to the correct School but not how the School is found</t>
  </si>
  <si>
    <t xml:space="preserve">The School is the School that owns the course. The credit appears in the account of that School</t>
  </si>
  <si>
    <t xml:space="preserve">Tender 9.4.1 last paragraph credited automatically to the correct Schools</t>
  </si>
  <si>
    <t xml:space="preserve">Level 1: the course owner is the clear link</t>
  </si>
  <si>
    <t xml:space="preserve">If the School is found another way, change the check</t>
  </si>
  <si>
    <t xml:space="preserve">TC-SCN-117-05, TC-SCN-117-06</t>
  </si>
  <si>
    <t xml:space="preserve">How is the correct School determined?</t>
  </si>
  <si>
    <t xml:space="preserve">The Tender does not give the account codes, fund codes or cost centres</t>
  </si>
  <si>
    <t xml:space="preserve">Codes are configured for the test for each billing item. The expected code equals the configured code</t>
  </si>
  <si>
    <t xml:space="preserve">Tender 11.5.3 map billing items to account code, fund code, funding source and cost centre</t>
  </si>
  <si>
    <t xml:space="preserve">Level 1: no code values are given</t>
  </si>
  <si>
    <t xml:space="preserve">If a mapping is defined, use it as expected</t>
  </si>
  <si>
    <t xml:space="preserve">What are the mapping rules?</t>
  </si>
  <si>
    <t xml:space="preserve">8.1.13, 11.8.3, 18.3.4</t>
  </si>
  <si>
    <t xml:space="preserve">The Tender does not give the layout of the reports or the date range rule</t>
  </si>
  <si>
    <t xml:space="preserve">A report lists the counts or amounts per item named in the clause. The date range includes both the start and the end date. The layout is not checked</t>
  </si>
  <si>
    <t xml:space="preserve">Tender 8.1.13 items 1 to 4; 11.8.3 items 1 to 5; 18.3.4</t>
  </si>
  <si>
    <t xml:space="preserve">Level 1: only the content is named</t>
  </si>
  <si>
    <t xml:space="preserve">If the range excludes the end date, change the boundary case</t>
  </si>
  <si>
    <t xml:space="preserve">TC-SCN-014-05, TC-SCN-050-01, TC-SCN-050-02, TC-SCN-146-01, TC-SCN-146-02, TC-SCN-161-01, TC-SCN-161-02</t>
  </si>
  <si>
    <t xml:space="preserve">Does the date range include the end date?</t>
  </si>
  <si>
    <t xml:space="preserve">18.3.1, 18.3.2, 18.3.3</t>
  </si>
  <si>
    <t xml:space="preserve">The Tender does not describe the PSEA claim file format, the MOE status file or the test counterpart</t>
  </si>
  <si>
    <t xml:space="preserve">PSEA claim files and MOE status files are exchanged with a PSEA test endpoint or a stub in SIT. The file layout is the one of the stub</t>
  </si>
  <si>
    <t xml:space="preserve">Tender 18.3.1, 18.3.2, 18.3.3</t>
  </si>
  <si>
    <t xml:space="preserve">Level 1: PSEA needs a counterpart</t>
  </si>
  <si>
    <t xml:space="preserve">If there is no stub, the PSEA cases are blocked</t>
  </si>
  <si>
    <t xml:space="preserve">TC-SCN-117-06, TC-SCN-144-02, TC-SCN-158-01, TC-SCN-158-02, TC-SCN-159-01, TC-SCN-159-02, TC-SCN-160-01, TC-SCN-160-02, TC-SCN-161-01, TC-SCN-161-02</t>
  </si>
  <si>
    <t xml:space="preserve">Is there a PSEA test endpoint and what is the file layout?</t>
  </si>
  <si>
    <t xml:space="preserve">The Tender does not say who is counted as Training provider employees or what happens when the cap is reached</t>
  </si>
  <si>
    <t xml:space="preserve">Employees are marked with the unique identifier of 6.4.7. When the cap is reached the next staff registration is flagged for the Administrator</t>
  </si>
  <si>
    <t xml:space="preserve">Tender 8.7.1 and 6.4.7 unique identifier tagged to sponsored staff</t>
  </si>
  <si>
    <t xml:space="preserve">Level 1: the identifier is the only link</t>
  </si>
  <si>
    <t xml:space="preserve">If registration is blocked at the cap, change the expected result</t>
  </si>
  <si>
    <t xml:space="preserve">TC-SCN-019-02, TC-SCN-107-01, TC-SCN-107-04</t>
  </si>
  <si>
    <t xml:space="preserve">What happens when the cap is reached?</t>
  </si>
  <si>
    <t xml:space="preserve">The Tender does not describe the TPGateway request or response for the nett course fee</t>
  </si>
  <si>
    <t xml:space="preserve">The TPGateway test endpoint returns the SFC approved amount for a learner. The nett fee payable is the course fee less that amount</t>
  </si>
  <si>
    <t xml:space="preserve">Tender 9.1.4 interface to TPGateway nett course fee payable computation</t>
  </si>
  <si>
    <t xml:space="preserve">Level 1: the endpoint is only named</t>
  </si>
  <si>
    <t xml:space="preserve">If the response is different, change the expected value</t>
  </si>
  <si>
    <t xml:space="preserve">What does the TPGateway nett fee response contain?</t>
  </si>
  <si>
    <t xml:space="preserve">The Tender does not say when the credit note is issued</t>
  </si>
  <si>
    <t xml:space="preserve">A change of dates or of sponsor cancels the old invoice by a credit note of the same amount at once and creates the new invoice</t>
  </si>
  <si>
    <t xml:space="preserve">Tender 9.1.15 new invoice or credit note when there is a change</t>
  </si>
  <si>
    <t xml:space="preserve">Level 1: the timing is not stated</t>
  </si>
  <si>
    <t xml:space="preserve">If the credit note follows approval, change the steps</t>
  </si>
  <si>
    <t xml:space="preserve">When is the credit note issued?</t>
  </si>
  <si>
    <t xml:space="preserve">The Tender does not describe the content of the fee adjustment report for FIN</t>
  </si>
  <si>
    <t xml:space="preserve">The report lists the learner, the old session, the new session and the fee difference. The layout is not checked</t>
  </si>
  <si>
    <t xml:space="preserve">Tender 8.8.1 a report for the fee adjustment for FIN is generated</t>
  </si>
  <si>
    <t xml:space="preserve">Level 1: the content is not given</t>
  </si>
  <si>
    <t xml:space="preserve">If the content is defined, add field checks</t>
  </si>
  <si>
    <t xml:space="preserve">What does the fee adjustment report contain?</t>
  </si>
  <si>
    <t xml:space="preserve">ASM-90</t>
  </si>
  <si>
    <t xml:space="preserve">All test cases</t>
  </si>
  <si>
    <t xml:space="preserve">The Tender has no severity or priority scale</t>
  </si>
  <si>
    <t xml:space="preserve">Severity uses 1 to 4 and a smaller number is more severe: 1 Blocker or money, funding or compliance break, 2 Critical or major, 3 Normal, 4 Minor. Priority keeps the values of the sample (Critical, High, Medium, Low) and is the test case priority</t>
  </si>
  <si>
    <t xml:space="preserve">User request of 2026-10-06 and the sample workbook</t>
  </si>
  <si>
    <t xml:space="preserve">Level 1: the scale was asked for by the user, the meaning of each number is mine</t>
  </si>
  <si>
    <t xml:space="preserve">If the course defines the four levels differently, change the Severity Legend and the Severity column</t>
  </si>
  <si>
    <t xml:space="preserve">Workbook level</t>
  </si>
  <si>
    <t xml:space="preserve">What does each severity number mean in the course?</t>
  </si>
  <si>
    <t xml:space="preserve">ASM-91</t>
  </si>
  <si>
    <t xml:space="preserve">Defects sheet</t>
  </si>
  <si>
    <t xml:space="preserve">The Tender has no defect information</t>
  </si>
  <si>
    <t xml:space="preserve">The Defects sheet lists potential defects: what could go wrong for each clause. None was found by execution. Impact level is High for Severity 1 and 2 and Low for 3 and 4. Defect Priority is Impact x Urgency as in Lesson 4: High impact and High urgency is Critical, High impact and Low urgency is High, Low impact and High urgency is Medium, Low impact and Low urgency is Low. The Severity of a defect rates that failure and can differ from the Severity of the test case that finds it. The test case Severity sets its regression suite and the defect Severity sets the defect priority</t>
  </si>
  <si>
    <t xml:space="preserve">Lesson 4 section 22 (course) and user request</t>
  </si>
  <si>
    <t xml:space="preserve">Level 1: the matrix is from the course, the potential defects are my own</t>
  </si>
  <si>
    <t xml:space="preserve">If Urgency is decided by the team, replace the Urgency column</t>
  </si>
  <si>
    <t xml:space="preserve">Who decides Urgency and when?</t>
  </si>
  <si>
    <t xml:space="preserve">ASM-92</t>
  </si>
  <si>
    <t xml:space="preserve">The Tender gives no release dates</t>
  </si>
  <si>
    <t xml:space="preserve">Urgency is High for Severity 1 and for clauses delivered in Sprint 1 or Sprint 2, and Low for clauses of Sprint 3 only or without a Sprint. Every row of the Defects sheet follows this rule</t>
  </si>
  <si>
    <t xml:space="preserve">Tender column Sprint #</t>
  </si>
  <si>
    <t xml:space="preserve">Level 1: nearer sprints block more work</t>
  </si>
  <si>
    <t xml:space="preserve">If the team uses another rule, change the Urgency column</t>
  </si>
  <si>
    <t xml:space="preserve">Is urgency driven by sprint order?</t>
  </si>
  <si>
    <t xml:space="preserve">ASM-93</t>
  </si>
  <si>
    <t xml:space="preserve">The Tender has no module field</t>
  </si>
  <si>
    <t xml:space="preserve">Test cases cover every clause listed for the three modules in the sheets Sprint 1, Sprint 2, Sprint 3 and Unscheduled. A clause is placed in a module by what it does (see Clause List Notes A1 to A3)</t>
  </si>
  <si>
    <t xml:space="preserve">Slides 43 and 44 and the clause lists</t>
  </si>
  <si>
    <t xml:space="preserve">Level 1: needed to make the three modules separable</t>
  </si>
  <si>
    <t xml:space="preserve">If a clause belongs to another module, change the Module column</t>
  </si>
  <si>
    <t xml:space="preserve">Is the module split of the clause list right?</t>
  </si>
  <si>
    <t xml:space="preserve">ASM-94</t>
  </si>
  <si>
    <t xml:space="preserve">The sample workbook has BA round columns, clarification and change log sheets</t>
  </si>
  <si>
    <t xml:space="preserve">These are left out here because there is no BA round. The Negotiation sheet keeps the open questions for the Tender owner</t>
  </si>
  <si>
    <t xml:space="preserve">Sample workbook Student_Registration_System_TestCases 2</t>
  </si>
  <si>
    <t xml:space="preserve">Level 1: no BA answers exist for the Tender</t>
  </si>
  <si>
    <t xml:space="preserve">If a BA round starts, add the columns again</t>
  </si>
  <si>
    <t xml:space="preserve">Is a BA round planned for the Tender?</t>
  </si>
  <si>
    <t xml:space="preserve">ASM-95</t>
  </si>
  <si>
    <t xml:space="preserve">The sample workbook gives Priority but no rule for it, and the user asked to keep it next to the new Severity</t>
  </si>
  <si>
    <t xml:space="preserve">Priority is the order in which a test case is run. It starts from the Severity (1 is Critical, 2 is High, 3 is Medium, 4 is Low) and moves one level up when the clause is delivered in Sprint 1, because it is needed first, and one level down when the clause is delivered only in Sprint 3 or is unscheduled. Severity is the impact if the test fails</t>
  </si>
  <si>
    <t xml:space="preserve">User request of 2026-10-06 and Tender column Sprint #</t>
  </si>
  <si>
    <t xml:space="preserve">Level 1: a rule is needed so that the two columns are not copies</t>
  </si>
  <si>
    <t xml:space="preserve">If the team sets Priority another way, overwrite the Priority column. Severity does not change</t>
  </si>
  <si>
    <t xml:space="preserve">How does the team set Priority?</t>
  </si>
  <si>
    <t xml:space="preserve">Rules applied</t>
  </si>
  <si>
    <t xml:space="preserve">Approve: the expected result is read from the clause, only test data is chosen. Draft: the expected result needs an assumption. Reject: the clause gives no testable expectation, so steps and results are not written</t>
  </si>
  <si>
    <t xml:space="preserve">Priority and Severity</t>
  </si>
  <si>
    <t xml:space="preserve">Priority (Critical, High, Medium, Low) is kept from the sample and is the order of running (ASM-95). Severity is 1 to 4, 1 is the most severe, and is the impact if the test fails (ASM-90)</t>
  </si>
  <si>
    <t xml:space="preserve">Defect priority</t>
  </si>
  <si>
    <t xml:space="preserve">Impact x Urgency from Lesson 4 section 22 (ASM-91, ASM-92). Priority and Suggested regression suite are formulas on the Defects sheet</t>
  </si>
  <si>
    <t xml:space="preserve">Defect summary</t>
  </si>
  <si>
    <t xml:space="preserve">[Module] Action + Symptom + Condition, from Lesson 4</t>
  </si>
  <si>
    <t xml:space="preserve">Evidence chain</t>
  </si>
  <si>
    <t xml:space="preserve">Checkpoint (CP) to Scenario (SCN) to Test case (TC), as in the sample workbook. Every test case holds the Tender clause as its only requirement source</t>
  </si>
  <si>
    <t xml:space="preserve">Execution</t>
  </si>
  <si>
    <t xml:space="preserve">No test case was executed. Actual Result is Not Executed. The defects are potential and need execution to be confirmed</t>
  </si>
  <si>
    <t xml:space="preserve">References</t>
  </si>
  <si>
    <t xml:space="preserve">Tender_requirements_0232.xlsx</t>
  </si>
  <si>
    <t xml:space="preserve">Only requirement source. Verbatim clause text and Sprint # (see the Clause Overview and Sprint sheets)</t>
  </si>
  <si>
    <t xml:space="preserve">Student_Registration_System_TestCases 2.xlsx</t>
  </si>
  <si>
    <t xml:space="preserve">Template for columns, Status logic and the CP, SCN, TC chain</t>
  </si>
  <si>
    <t xml:space="preserve">Lesson 4 Defect Management (course)</t>
  </si>
  <si>
    <t xml:space="preserve">Severity and Priority, Impact x Urgency, defect summary format, regression</t>
  </si>
  <si>
    <t xml:space="preserve">SIT Test Case Sample.pdf and UAT Test Case Sample.pdf</t>
  </si>
  <si>
    <t xml:space="preserve">Column set for the group assignment, not used for this workbook</t>
  </si>
  <si>
    <t xml:space="preserve">ID</t>
  </si>
  <si>
    <t xml:space="preserve">Content</t>
  </si>
  <si>
    <t xml:space="preserve">Temporary handling</t>
  </si>
  <si>
    <t xml:space="preserve">Why it cannot be decided from the input</t>
  </si>
  <si>
    <t xml:space="preserve">Question for the Tender owner</t>
  </si>
  <si>
    <t xml:space="preserve">Related TCs</t>
  </si>
  <si>
    <t xml:space="preserve">NEG-01</t>
  </si>
  <si>
    <t xml:space="preserve">6.4.4 is in Sprint 2 but the attendance and the assessment results it needs are delivered in Sprint 3 (sections 10.1 and 10.2)</t>
  </si>
  <si>
    <t xml:space="preserve">Draft test cases that set the attendance and the result as test data in Sprint 2</t>
  </si>
  <si>
    <t xml:space="preserve">The Tender gives no way to get attendance and results before Sprint 3</t>
  </si>
  <si>
    <t xml:space="preserve">Is the outcome based funding of Sprint 2 tested with attendance and results entered as data, or moved to Sprint 3?</t>
  </si>
  <si>
    <t xml:space="preserve">Outcome based funding tests of 6.4.4 and step 7 of the flow</t>
  </si>
  <si>
    <t xml:space="preserve">NEG-02</t>
  </si>
  <si>
    <t xml:space="preserve">The base of the 5 percent cap and the meaning of almost fully utilized in 6.4.7</t>
  </si>
  <si>
    <t xml:space="preserve">Draft test cases with the assumption of ASM-66, one Reject case for the base</t>
  </si>
  <si>
    <t xml:space="preserve">5 percent of what and when is the cap almost fully utilized?</t>
  </si>
  <si>
    <t xml:space="preserve">Cap tests of 6.4.7 and 8.7.1</t>
  </si>
  <si>
    <t xml:space="preserve">NEG-03</t>
  </si>
  <si>
    <t xml:space="preserve">The subject and the criteria of 8.5.1</t>
  </si>
  <si>
    <t xml:space="preserve">Treat 8.5.1 as capacity based auto confirmation in order of application (ASM-33)</t>
  </si>
  <si>
    <t xml:space="preserve">What does 8.5.1 require the System to do and under which conditions?</t>
  </si>
  <si>
    <t xml:space="preserve">Auto confirmation tests of Sprint 2 and Self-Enrol step 5</t>
  </si>
  <si>
    <t xml:space="preserve">The meaning of park and post and the workflow for independent review in enrolment</t>
  </si>
  <si>
    <t xml:space="preserve">Test case Reject, steps not written</t>
  </si>
  <si>
    <t xml:space="preserve">What does park and post do in enrolment, which role reviews and what is the Sprint #?</t>
  </si>
  <si>
    <t xml:space="preserve">Auditor requirement for enrolment, no test possible</t>
  </si>
  <si>
    <t xml:space="preserve">NEG-05</t>
  </si>
  <si>
    <t xml:space="preserve">What happens when the cap of 8.7.1 is reached</t>
  </si>
  <si>
    <t xml:space="preserve">Draft test cases with the assumption of ASM-78</t>
  </si>
  <si>
    <t xml:space="preserve">Is the registration blocked or flagged when the cap is reached?</t>
  </si>
  <si>
    <t xml:space="preserve">Cap boundary tests of 8.7.1</t>
  </si>
  <si>
    <t xml:space="preserve">NEG-06</t>
  </si>
  <si>
    <t xml:space="preserve">Data issue</t>
  </si>
  <si>
    <t xml:space="preserve">Row 515 of 9.1.12 has the date 2026-03-02 in the Sprint # cell instead of a sprint number</t>
  </si>
  <si>
    <t xml:space="preserve">Sprint 2 is used for the clause, as the other rows of 9.1.12 say 2</t>
  </si>
  <si>
    <t xml:space="preserve">A date cannot be read as a sprint without guessing</t>
  </si>
  <si>
    <t xml:space="preserve">Which sprint does item 4 of 9.1.12 (remarks for SFC and alumni credits) belong to?</t>
  </si>
  <si>
    <t xml:space="preserve">Remark check of 9.1.12</t>
  </si>
  <si>
    <t xml:space="preserve">NEG-07</t>
  </si>
  <si>
    <t xml:space="preserve">The eCert integration, item 7 of 18.1.2, has no Sprint # and no description</t>
  </si>
  <si>
    <t xml:space="preserve">No data, direction or result is stated for eCert</t>
  </si>
  <si>
    <t xml:space="preserve">What does the eCert integration send and in which sprint?</t>
  </si>
  <si>
    <t xml:space="preserve">eCert integration test of Sprint 3</t>
  </si>
  <si>
    <t xml:space="preserve">The latest MOE PSEA requirements of 18.4.5 have no version, date or sprint</t>
  </si>
  <si>
    <t xml:space="preserve">Which MOE PSEA requirement version applies and from which sprint?</t>
  </si>
  <si>
    <t xml:space="preserve">PSEA tests of 18.3.1 to 18.3.3</t>
  </si>
  <si>
    <t xml:space="preserve">Flow step</t>
  </si>
  <si>
    <t xml:space="preserve">Why in regression</t>
  </si>
  <si>
    <t xml:space="preserve">Regression suite</t>
  </si>
  <si>
    <t xml:space="preserve">TC-SCN-R01-01</t>
  </si>
  <si>
    <t xml:space="preserve">SCN-R01</t>
  </si>
  <si>
    <t xml:space="preserve">Self-enrolment journey end to end</t>
  </si>
  <si>
    <t xml:space="preserve">Resident self-enrols in an SSG funded course and receives a seat and the net fee invoice</t>
  </si>
  <si>
    <t xml:space="preserve">Self-enrolment journey end to end. Case: Resident self-enrols in an SSG funded course and receives a seat and the net fee invoice</t>
  </si>
  <si>
    <t xml:space="preserve">1. A test resident exists in SingPass and MyInfo (ASM-03)
2. An SSG funded run with free seats and no blacklist or prerequisite for the resident</t>
  </si>
  <si>
    <t xml:space="preserve">Resident 01, SSG funded run with 5 seats</t>
  </si>
  <si>
    <t xml:space="preserve">1. Sign in with SingPass as Resident 01
2. Open the registration form and check the MyInfo fields
3. Submit the application
4. Open the seat status and the fee overview
5. Open the invoice</t>
  </si>
  <si>
    <t xml:space="preserve">1. The checks pass in the order of the flow
2. The seat is confirmed
3. The fee overview equals the net fee on the invoice</t>
  </si>
  <si>
    <t xml:space="preserve">Tender 8.2.13 (Funding, Sprint 2); Tender 8.2.5 (Enrolment, Sprint 1); Tender 8.2.14 (Enrolment, Sprint 2); Tender 8.5.1 (Enrolment, Sprint 2); Tender 9.1.9 (Funding, Sprint 2)</t>
  </si>
  <si>
    <t xml:space="preserve">ASM-98</t>
  </si>
  <si>
    <t xml:space="preserve">New test case written for the feature. The grant and fee are computed and shown at once, and the same amounts flow to the seat, the invoice and the funding claim</t>
  </si>
  <si>
    <t xml:space="preserve">The steps follow the flow assumed in ASM-98. Each step is covered by its own clause</t>
  </si>
  <si>
    <t xml:space="preserve">TC-SCN-R01-02</t>
  </si>
  <si>
    <t xml:space="preserve">Company sponsored learner self-enrols and the sponsor is invoiced</t>
  </si>
  <si>
    <t xml:space="preserve">Self-enrolment journey end to end. Case: Company sponsored learner self-enrols and the sponsor is invoiced</t>
  </si>
  <si>
    <t xml:space="preserve">1. A company with a valid UEN exists (ASM-32)
2. A run with free seats</t>
  </si>
  <si>
    <t xml:space="preserve">Learner 02, company 03, SME declaration yes</t>
  </si>
  <si>
    <t xml:space="preserve">1. Sign in as Learner 02
2. Register as company sponsored and give the company details
3. Make the SME declaration
4. Submit the application
5. Open the invoice</t>
  </si>
  <si>
    <t xml:space="preserve">1. The seat is confirmed
2. The invoice goes to company 03 with the SME funding applied
3. The learner has no payment due</t>
  </si>
  <si>
    <t xml:space="preserve">Tender 8.2.9 (Funding, Sprint 1); Tender 8.2.16 (Funding, Sprint 2); Tender 6.3.4 (Funding, Sprint 2); Tender 9.1.9 (Funding, Sprint 2)</t>
  </si>
  <si>
    <t xml:space="preserve">ASM-32, ASM-98</t>
  </si>
  <si>
    <t xml:space="preserve">The steps follow the flow assumed in ASM-98. The sponsor path is read from 8.2.9 and 6.3.4</t>
  </si>
  <si>
    <t xml:space="preserve">TC-SCN-R01-03</t>
  </si>
  <si>
    <t xml:space="preserve">Learner self-enrols when MyInfo is not available and types the personal fields</t>
  </si>
  <si>
    <t xml:space="preserve">Self-enrolment journey end to end. Case: Learner self-enrols when MyInfo is not available and types the personal fields</t>
  </si>
  <si>
    <t xml:space="preserve">1. The MyInfo test endpoint is switched off (ASM-23)</t>
  </si>
  <si>
    <t xml:space="preserve">Resident 04, MyInfo test endpoint off</t>
  </si>
  <si>
    <t xml:space="preserve">1. Sign in with SingPass as Resident 04
2. Open the registration form
3. Type the personal fields
4. Submit the application</t>
  </si>
  <si>
    <t xml:space="preserve">1. The form opens with empty personal fields
2. The typed values are accepted and the flow continues</t>
  </si>
  <si>
    <t xml:space="preserve">Tender 8.2.5 (Enrolment, Sprint 1); Tender 8.2.4 (Enrolment, Sprint 1)</t>
  </si>
  <si>
    <t xml:space="preserve">ASM-23, ASM-98</t>
  </si>
  <si>
    <t xml:space="preserve">New test case written for the feature. Self-enrol makes this sign in the only way in, so a failure here stops every later step</t>
  </si>
  <si>
    <t xml:space="preserve">ASM-23 assumes the form still opens when MyInfo is down. Continuing the flow is assumed in ASM-98</t>
  </si>
  <si>
    <t xml:space="preserve">TC-SCN-R02-01</t>
  </si>
  <si>
    <t xml:space="preserve">SCN-R02</t>
  </si>
  <si>
    <t xml:space="preserve">Checks before a seat is given</t>
  </si>
  <si>
    <t xml:space="preserve">Fee band follows the MyInfo values of the current sign in</t>
  </si>
  <si>
    <t xml:space="preserve">Checks before a seat is given. Case: Fee band follows the MyInfo values of the current sign in</t>
  </si>
  <si>
    <t xml:space="preserve">1. A test resident with different age in the account and in MyInfo (ASM-62)</t>
  </si>
  <si>
    <t xml:space="preserve">Resident 03: account age 45, MyInfo age 35, age limit 40</t>
  </si>
  <si>
    <t xml:space="preserve">1. Sign in with SingPass as Resident 03
2. Open the registration form of an SSG funded course run
3. Read the age and the fee payable shown</t>
  </si>
  <si>
    <t xml:space="preserve">1. The age shown is 35
2. The fee payable and the grant are those of the band that includes age 35</t>
  </si>
  <si>
    <t xml:space="preserve">Tender 8.2.5 (Enrolment, Sprint 1); Tender 6.3.6 (Funding, Sprint 1,2,3)</t>
  </si>
  <si>
    <t xml:space="preserve">ASM-62, ASM-98</t>
  </si>
  <si>
    <t xml:space="preserve">8.2.5 requires MyInfo data in the form and 6.3.6 requires the fee by age. Which value wins is assumed in ASM-98</t>
  </si>
  <si>
    <t xml:space="preserve">TC-SCN-R02-02</t>
  </si>
  <si>
    <t xml:space="preserve">Synced blacklist record blocks the next self-enrolment</t>
  </si>
  <si>
    <t xml:space="preserve">Checks before a seat is given. Case: Synced blacklist record blocks the next self-enrolment</t>
  </si>
  <si>
    <t xml:space="preserve">1. A blacklist sync test file exists in SIT (ASM-38)</t>
  </si>
  <si>
    <t xml:space="preserve">Person: blacklisted person 03 (SSG, synced after the first registration)</t>
  </si>
  <si>
    <t xml:space="preserve">1. Register Person 03 for run A and note the result
2. Run the SSG blacklist sync with a record for Person 03
3. Register Person 03 for run B
4. Observe the result</t>
  </si>
  <si>
    <t xml:space="preserve">1. The second registration is not enrolled
2. A reason for the blacklist is shown to the learner</t>
  </si>
  <si>
    <t xml:space="preserve">Tender 8.6.2 (Enrolment, Sprint 3); Tender 8.2.14 (Enrolment, Sprint 2)</t>
  </si>
  <si>
    <t xml:space="preserve">ASM-38, ASM-98</t>
  </si>
  <si>
    <t xml:space="preserve">New test case written for the feature. No staff review the application, so this check is the only gate against blacklisted learners and organisations</t>
  </si>
  <si>
    <t xml:space="preserve">8.6.2 requires the sync and 8.2.14 requires the check. Using the synced record at the next registration is assumed in ASM-98</t>
  </si>
  <si>
    <t xml:space="preserve">TC-SCN-R02-03</t>
  </si>
  <si>
    <t xml:space="preserve">Blacklisted sponsoring company is not enrolled</t>
  </si>
  <si>
    <t xml:space="preserve">Checks before a seat is given. Case: Blacklisted sponsoring company is not enrolled</t>
  </si>
  <si>
    <t xml:space="preserve">1. A blacklisted company record exists (ASM-38)</t>
  </si>
  <si>
    <t xml:space="preserve">Company: blacklisted company 01; Learner 12</t>
  </si>
  <si>
    <t xml:space="preserve">1. Self-enrol Learner 12 as company sponsored with blacklisted company 01
2. Observe the result</t>
  </si>
  <si>
    <t xml:space="preserve">1. The System finds the company on the blacklist
2. The application is not enrolled</t>
  </si>
  <si>
    <t xml:space="preserve">Tender 8.6.2 (Enrolment, Sprint 3); Tender 8.2.9 (Funding, Sprint 1)</t>
  </si>
  <si>
    <t xml:space="preserve">8.6.2 names company sponsored applicants and 8.2.9 captures the company. Checking the company at self-enrolment is assumed in ASM-98</t>
  </si>
  <si>
    <t xml:space="preserve">TC-SCN-R02-04</t>
  </si>
  <si>
    <t xml:space="preserve">Seat is not confirmed when the prerequisite check fails</t>
  </si>
  <si>
    <t xml:space="preserve">Checks before a seat is given. Case: Seat is not confirmed when the prerequisite check fails</t>
  </si>
  <si>
    <t xml:space="preserve">1. A course with a prerequisite is configured (ASM-35)</t>
  </si>
  <si>
    <t xml:space="preserve">Learner 05 without the prerequisite, seats remaining: 5</t>
  </si>
  <si>
    <t xml:space="preserve">1. Self-enrol Learner 05 in the course run
2. Open the prerequisite check result
3. Open the status of the application and the seats left</t>
  </si>
  <si>
    <t xml:space="preserve">1. The prerequisite check fails
2. The application is not confirmed
3. The seats left stay 5</t>
  </si>
  <si>
    <t xml:space="preserve">Tender 8.5.1 (Enrolment, Sprint 2); Tender 8.2.20 (Enrolment, Sprint 2)</t>
  </si>
  <si>
    <t xml:space="preserve">ASM-35, ASM-98</t>
  </si>
  <si>
    <t xml:space="preserve">New test case written for the feature. No staff enrol the learner, so these checks alone keep out learners who do not qualify or who apply twice</t>
  </si>
  <si>
    <t xml:space="preserve">8.2.20 requires the validation and 8.5.1 requires auto confirmation by capacity. The order of the two checks is assumed in ASM-98</t>
  </si>
  <si>
    <t xml:space="preserve">TC-SCN-R02-05</t>
  </si>
  <si>
    <t xml:space="preserve">Course with shortlisting is not auto confirmed</t>
  </si>
  <si>
    <t xml:space="preserve">Checks before a seat is given. Case: Course with shortlisting is not auto confirmed</t>
  </si>
  <si>
    <t xml:space="preserve">1. Shortlisting criteria are configured (ASM-30)</t>
  </si>
  <si>
    <t xml:space="preserve">Learner 19 without pre-assessment; course with shortlisting</t>
  </si>
  <si>
    <t xml:space="preserve">1. Self-enrol Learner 19 in the course with shortlisting
2. Open the status of the application</t>
  </si>
  <si>
    <t xml:space="preserve">1. The application is pending shortlisting
2. The seat is not confirmed</t>
  </si>
  <si>
    <t xml:space="preserve">Tender 8.4.1 (Enrolment, Sprint 2); Tender 8.5.1 (Enrolment, Sprint 2)</t>
  </si>
  <si>
    <t xml:space="preserve">ASM-30, ASM-98</t>
  </si>
  <si>
    <t xml:space="preserve">8.4.1 sets shortlisting and 8.5.1 confirms by capacity. Shortlisting taking priority is assumed in ASM-98</t>
  </si>
  <si>
    <t xml:space="preserve">TC-SCN-R03-01</t>
  </si>
  <si>
    <t xml:space="preserve">SCN-R03</t>
  </si>
  <si>
    <t xml:space="preserve">Seat confirmation under self-enrolment</t>
  </si>
  <si>
    <t xml:space="preserve">The last seat goes to one of two simultaneous applications</t>
  </si>
  <si>
    <t xml:space="preserve">Seat confirmation under self-enrolment. Case: The last seat goes to one of two simultaneous applications</t>
  </si>
  <si>
    <t xml:space="preserve">1. A course run with a maximum of 2 learners and 1 enrolled (ASM-13)</t>
  </si>
  <si>
    <t xml:space="preserve">Run with maximum 2, 1 seat left; Learner 06 and Learner 07</t>
  </si>
  <si>
    <t xml:space="preserve">1. Open the form for Learner 06 and Learner 07
2. Submit both at the same time
3. Open the enrolment list and the waitlist</t>
  </si>
  <si>
    <t xml:space="preserve">1. One learner is confirmed first by application time
2. The other learner is on the waitlist
3. The enrolment list holds 2 learners</t>
  </si>
  <si>
    <t xml:space="preserve">Tender 8.5.1 (Enrolment, Sprint 2); Tender 8.1.10 (Enrolment, Sprint 1)</t>
  </si>
  <si>
    <t xml:space="preserve">ASM-13, ASM-98</t>
  </si>
  <si>
    <t xml:space="preserve">New test case written for the feature. Many learners register at the same time, so seat confirmation and the waitlist run more often and without staff help</t>
  </si>
  <si>
    <t xml:space="preserve">8.5.1 requires first come first serve and 8.1.10 sets the maximum. Equal submit times are assumed in ASM-98</t>
  </si>
  <si>
    <t xml:space="preserve">TC-SCN-R03-02</t>
  </si>
  <si>
    <t xml:space="preserve">Seat is released when the grant check fails</t>
  </si>
  <si>
    <t xml:space="preserve">Seat confirmation under self-enrolment. Case: Seat is released when the grant check fails</t>
  </si>
  <si>
    <t xml:space="preserve">1. A full run with Learner 14 waitlisted (ASM-17)</t>
  </si>
  <si>
    <t xml:space="preserve">Learner 13 (grant check fails); Learner 14 waitlisted</t>
  </si>
  <si>
    <t xml:space="preserve">1. Self-enrol Learner 13 so that the grant check fails
2. Cancel the application at the fee step
3. Open the seats and the waitlist</t>
  </si>
  <si>
    <t xml:space="preserve">1. The seat of Learner 13 is released
2. Learner 14 is notified of the free seat</t>
  </si>
  <si>
    <t xml:space="preserve">Tender 8.5.3 (Enrolment, Sprint 2); Tender 8.2.13 (Funding, Sprint 2)</t>
  </si>
  <si>
    <t xml:space="preserve">ASM-17, ASM-98</t>
  </si>
  <si>
    <t xml:space="preserve">8.5.3 requires the waitlist and notification and 8.2.13 requires the grant check. Releasing the seat after a failed check is assumed in ASM-98</t>
  </si>
  <si>
    <t xml:space="preserve">TC-SCN-R03-03</t>
  </si>
  <si>
    <t xml:space="preserve">Enrolment is sent to TPGateway only after the seat is confirmed</t>
  </si>
  <si>
    <t xml:space="preserve">Seat confirmation under self-enrolment. Case: Enrolment is sent to TPGateway only after the seat is confirmed</t>
  </si>
  <si>
    <t xml:space="preserve">1. TPGateway is reachable through a test endpoint (ASM-03)</t>
  </si>
  <si>
    <t xml:space="preserve">Learner 10 on the waitlist; TPGateway test endpoint</t>
  </si>
  <si>
    <t xml:space="preserve">1. Self-enrol Learner 10 on a full run
2. Open the TPGateway log for Learner 10
3. Free a seat and open the log again</t>
  </si>
  <si>
    <t xml:space="preserve">1. No record is sent while the learner is waitlisted
2. One record is sent after the promotion</t>
  </si>
  <si>
    <t xml:space="preserve">Tender 8.5.16 (Enrolment, Sprint 2); Tender 8.5.3 (Enrolment, Sprint 2)</t>
  </si>
  <si>
    <t xml:space="preserve">8.5.16 requires the enrolment interface and 8.5.3 requires the waitlist. Sending only on confirmation is assumed in ASM-98</t>
  </si>
  <si>
    <t xml:space="preserve">TC-SCN-R03-04</t>
  </si>
  <si>
    <t xml:space="preserve">Seats count down by one for each self-enrolment and stop at the maximum</t>
  </si>
  <si>
    <t xml:space="preserve">Seat confirmation under self-enrolment. Case: Seats count down by one for each self-enrolment and stop at the maximum</t>
  </si>
  <si>
    <t xml:space="preserve">1. A course run with a maximum of 2 learners (ASM-13)</t>
  </si>
  <si>
    <t xml:space="preserve">Run with maximum 2; Learner 26, 27, 28</t>
  </si>
  <si>
    <t xml:space="preserve">1. Self-enrol Learner 26
2. Self-enrol Learner 27
3. Self-enrol Learner 28
4. Open the enrolment list and the waitlist</t>
  </si>
  <si>
    <t xml:space="preserve">1. Learner 26 and Learner 27 are confirmed
2. Learner 28 is on the waitlist</t>
  </si>
  <si>
    <t xml:space="preserve">Tender 8.1.10 (Enrolment, Sprint 1); Tender 8.5.1 (Enrolment, Sprint 2)</t>
  </si>
  <si>
    <t xml:space="preserve">8.1.10 sets the maximum and 8.5.1 confirms by capacity. The sequence is the boundary of the maximum</t>
  </si>
  <si>
    <t xml:space="preserve">TC-SCN-R04-01</t>
  </si>
  <si>
    <t xml:space="preserve">SCN-R04</t>
  </si>
  <si>
    <t xml:space="preserve">Waitlist under self-enrolment</t>
  </si>
  <si>
    <t xml:space="preserve">Promotion from the waitlist keeps the grant in the net fee</t>
  </si>
  <si>
    <t xml:space="preserve">Waitlist under self-enrolment. Case: Promotion from the waitlist keeps the grant in the net fee</t>
  </si>
  <si>
    <t xml:space="preserve">1. A full SSG funded run and a waitlisted eligible learner (ASM-17)</t>
  </si>
  <si>
    <t xml:space="preserve">Run full; Learner 08 waitlisted and eligible for the grant</t>
  </si>
  <si>
    <t xml:space="preserve">1. Withdraw one enrolled learner from the run
2. Observe the promotion of Learner 08
3. Open the net fee of Learner 08</t>
  </si>
  <si>
    <t xml:space="preserve">1. Learner 08 is promoted to a confirmed seat
2. The net fee shows the course fee less the grant</t>
  </si>
  <si>
    <t xml:space="preserve">Tender 8.5.3 (Enrolment, Sprint 2); Tender 6.4.3 (Funding, Sprint 2,3)</t>
  </si>
  <si>
    <t xml:space="preserve">8.5.3 requires the waitlist and notification and 6.4.3 requires the grant in the fee. The re-check at promotion is assumed in ASM-98</t>
  </si>
  <si>
    <t xml:space="preserve">TC-SCN-R04-02</t>
  </si>
  <si>
    <t xml:space="preserve">Waitlist position updates after a withdrawal</t>
  </si>
  <si>
    <t xml:space="preserve">Waitlist under self-enrolment. Case: Waitlist position updates after a withdrawal</t>
  </si>
  <si>
    <t xml:space="preserve">1. A waitlist with three learners (ASM-17)</t>
  </si>
  <si>
    <t xml:space="preserve">Waitlist of Learner 21, 22, 23</t>
  </si>
  <si>
    <t xml:space="preserve">1. Withdraw Learner 21 from the waitlist
2. Open the waitlist page as Learner 23</t>
  </si>
  <si>
    <t xml:space="preserve">1. Learner 23 is second on the waitlist</t>
  </si>
  <si>
    <t xml:space="preserve">Tender 8.5.3 (Enrolment, Sprint 2); Tender 8.1.11 (Enrolment, Sprint 1)</t>
  </si>
  <si>
    <t xml:space="preserve">8.5.3 and 8.1.11 give the waitlist and the first come first serve order. The page showing the position is assumed in ASM-98</t>
  </si>
  <si>
    <t xml:space="preserve">TC-SCN-R04-03</t>
  </si>
  <si>
    <t xml:space="preserve">Waitlist under self-enrolment. Case: Applicant goes to the waitlist when the class is full</t>
  </si>
  <si>
    <t xml:space="preserve">1. A full course run with a waitlist configured (ASM-13)</t>
  </si>
  <si>
    <t xml:space="preserve">Full run; Learner 29</t>
  </si>
  <si>
    <t xml:space="preserve">1. Self-enrol Learner 29 on the full run
2. Open the status of the application</t>
  </si>
  <si>
    <t xml:space="preserve">1. The application is on the waitlist
2. The learner is told the waitlist position</t>
  </si>
  <si>
    <t xml:space="preserve">8.5.3 states the waitlist for a full class. The message to the learner is not checked</t>
  </si>
  <si>
    <t xml:space="preserve">TC-SCN-R05-01</t>
  </si>
  <si>
    <t xml:space="preserve">SCN-R05</t>
  </si>
  <si>
    <t xml:space="preserve">Fee, funding and invoice of a self-enrolment</t>
  </si>
  <si>
    <t xml:space="preserve">The net fee is never below zero when all deductions apply</t>
  </si>
  <si>
    <t xml:space="preserve">Fee, funding and invoice of a self-enrolment. Case: The net fee is never below zero when all deductions apply</t>
  </si>
  <si>
    <t xml:space="preserve">1. Grant, SFC and alumni credit are available for the learner (ASM-60, ASM-71)</t>
  </si>
  <si>
    <t xml:space="preserve">Fee 1000, grant 700, SFC 400, alumni credit 500</t>
  </si>
  <si>
    <t xml:space="preserve">1. Self-enrol the learner and apply all three deductions
2. Open the net fee payable
3. Open the invoice</t>
  </si>
  <si>
    <t xml:space="preserve">1. The alumni credit used is 500 at most
2. The net fee payable is 0 or more
3. The invoice total is 0 or more</t>
  </si>
  <si>
    <t xml:space="preserve">Tender 6.4.3 (Funding, Sprint 2,3); Tender 8.2.18 (Funding, Sprint 1); Tender 12.2.3 (Funding, Sprint 3)</t>
  </si>
  <si>
    <t xml:space="preserve">ASM-60, ASM-71, ASM-98</t>
  </si>
  <si>
    <t xml:space="preserve">New test case written for the feature. The net fee and invoice are generated automatically after the seat is confirmed, so wrong money is not caught before the learner pays</t>
  </si>
  <si>
    <t xml:space="preserve">6.4.3 requires automatic deductions and 12.2.3 caps the credit. A floor of zero is assumed in ASM-98</t>
  </si>
  <si>
    <t xml:space="preserve">TC-SCN-R05-02</t>
  </si>
  <si>
    <t xml:space="preserve">No invoice while the learner is on the waitlist</t>
  </si>
  <si>
    <t xml:space="preserve">Fee, funding and invoice of a self-enrolment. Case: No invoice while the learner is on the waitlist</t>
  </si>
  <si>
    <t xml:space="preserve">1. A full run (ASM-13)</t>
  </si>
  <si>
    <t xml:space="preserve">Learner 15 on the waitlist</t>
  </si>
  <si>
    <t xml:space="preserve">1. Self-enrol Learner 15 on the full run
2. Open the invoices of Learner 15
3. Free a seat and open the invoices again</t>
  </si>
  <si>
    <t xml:space="preserve">1. No invoice exists while the learner is waitlisted
2. One invoice exists after the promotion</t>
  </si>
  <si>
    <t xml:space="preserve">Tender 9.1.9 (Funding, Sprint 2); Tender 8.5.3 (Enrolment, Sprint 2)</t>
  </si>
  <si>
    <t xml:space="preserve">9.1.9 generates billing items automatically and 8.5.3 sets the waitlist. Invoicing only after confirmation is assumed in ASM-98</t>
  </si>
  <si>
    <t xml:space="preserve">TC-SCN-R05-03</t>
  </si>
  <si>
    <t xml:space="preserve">Company sponsored learner is billed through the sponsor process</t>
  </si>
  <si>
    <t xml:space="preserve">Fee, funding and invoice of a self-enrolment. Case: Company sponsored learner is billed through the sponsor process</t>
  </si>
  <si>
    <t xml:space="preserve">1. A sponsor payment process is configured (ASM-70)</t>
  </si>
  <si>
    <t xml:space="preserve">Learner 16, company sponsored by company 02</t>
  </si>
  <si>
    <t xml:space="preserve">1. Self-enrol Learner 16 as company sponsored by company 02
2. Open the payment request of Learner 16
3. Open the invoice of company 02</t>
  </si>
  <si>
    <t xml:space="preserve">1. Learner 16 has no payment due
2. The invoice is addressed to company 02</t>
  </si>
  <si>
    <t xml:space="preserve">Tender 6.3.4 (Funding, Sprint 2); Tender 8.2.9 (Funding, Sprint 1)</t>
  </si>
  <si>
    <t xml:space="preserve">ASM-70, ASM-98</t>
  </si>
  <si>
    <t xml:space="preserve">6.3.4 separates applicant and sponsor payments and 8.2.9 captures the sponsor type. The link between them is assumed in ASM-98</t>
  </si>
  <si>
    <t xml:space="preserve">TC-SCN-R05-04</t>
  </si>
  <si>
    <t xml:space="preserve">SFC is returned when the application is not confirmed</t>
  </si>
  <si>
    <t xml:space="preserve">Fee, funding and invoice of a self-enrolment. Case: SFC is returned when the application is not confirmed</t>
  </si>
  <si>
    <t xml:space="preserve">1. The SFC test gateway is on (ASM-03)</t>
  </si>
  <si>
    <t xml:space="preserve">Learner 20: SFC balance 500, SFC applied 400</t>
  </si>
  <si>
    <t xml:space="preserve">1. Self-enrol Learner 20 on a full run and apply the SFC of 400
2. Let the waitlist application expire
3. Open the SFC balance</t>
  </si>
  <si>
    <t xml:space="preserve">1. The SFC of 400 is returned
2. The balance is 500</t>
  </si>
  <si>
    <t xml:space="preserve">Tender 11.1.2 (Funding, Sprint 2); Tender 8.2.18 (Funding, Sprint 1); Tender 8.5.3 (Enrolment, Sprint 2)</t>
  </si>
  <si>
    <t xml:space="preserve">11.1.2 covers refunds of SFC and 8.2.18 lets the applicant use it. Returning SFC for an expired waitlist is assumed in ASM-98</t>
  </si>
  <si>
    <t xml:space="preserve">TC-SCN-R06-01</t>
  </si>
  <si>
    <t xml:space="preserve">SCN-R06</t>
  </si>
  <si>
    <t xml:space="preserve">Withdrawal after self-enrolment</t>
  </si>
  <si>
    <t xml:space="preserve">Approved withdrawal reverses fee, credit note and grant</t>
  </si>
  <si>
    <t xml:space="preserve">Withdrawal after self-enrolment. Case: Approved withdrawal reverses fee, credit note and grant</t>
  </si>
  <si>
    <t xml:space="preserve">1. A paid, grant funded self-enrolment (ASM-61)</t>
  </si>
  <si>
    <t xml:space="preserve">Learner 09, paid self-enrolment with grant 700</t>
  </si>
  <si>
    <t xml:space="preserve">1. Submit the withdrawal request in the portal as Learner 09
2. Approve the request as the approver
3. Open the fee change, the credit note and the grant claim</t>
  </si>
  <si>
    <t xml:space="preserve">1. The fee change is applied after the approval
2. A credit note for the paid amount is issued
3. The grant claim for Learner 09 is reversed</t>
  </si>
  <si>
    <t xml:space="preserve">Tender 6.3.3 (Funding, Sprint 2); Tender 8.1.5 (Enrolment, Sprint 2)</t>
  </si>
  <si>
    <t xml:space="preserve">ASM-61, ASM-98</t>
  </si>
  <si>
    <t xml:space="preserve">6.3.3 and 8.1.5 cover the withdrawal and fee change. The reversal of the grant claim is assumed in ASM-98</t>
  </si>
  <si>
    <t xml:space="preserve">TC-SCN-R06-02</t>
  </si>
  <si>
    <t xml:space="preserve">The seat is freed only after the withdrawal is approved</t>
  </si>
  <si>
    <t xml:space="preserve">Withdrawal after self-enrolment. Case: The seat is freed only after the withdrawal is approved</t>
  </si>
  <si>
    <t xml:space="preserve">1. A full run and an approver account (ASM-36)</t>
  </si>
  <si>
    <t xml:space="preserve">Learner 17 enrolled; Learner 18 waitlisted</t>
  </si>
  <si>
    <t xml:space="preserve">1. Submit the withdrawal request for Learner 17
2. Open the waitlist before the approval
3. Reject the request and open the seats</t>
  </si>
  <si>
    <t xml:space="preserve">1. Learner 18 is not promoted before the approval
2. Learner 17 keeps the seat after the rejection</t>
  </si>
  <si>
    <t xml:space="preserve">Tender 8.5.9 (Enrolment, Sprint 2); Tender 8.5.3 (Enrolment, Sprint 2)</t>
  </si>
  <si>
    <t xml:space="preserve">ASM-36, ASM-98</t>
  </si>
  <si>
    <t xml:space="preserve">8.5.9 makes the withdrawal subject to approval and 8.5.3 moves the waitlist. The moment a seat is free is assumed in ASM-98</t>
  </si>
  <si>
    <t xml:space="preserve">TC-SCN-R07-01</t>
  </si>
  <si>
    <t xml:space="preserve">SCN-R07</t>
  </si>
  <si>
    <t xml:space="preserve">Outcome based funding after the course</t>
  </si>
  <si>
    <t xml:space="preserve">Status Completed without marks is not read as a pass</t>
  </si>
  <si>
    <t xml:space="preserve">Outcome based funding after the course. Case: Status Completed without marks is not read as a pass</t>
  </si>
  <si>
    <t xml:space="preserve">1. The Completed without marks setting is on (ASM-65)</t>
  </si>
  <si>
    <t xml:space="preserve">Learner 11: attendance 90 percent, result fail, marks not released</t>
  </si>
  <si>
    <t xml:space="preserve">1. Set the result of Learner 11 to fail
2. Show the status Completed without releasing marks
3. Run the funding decision
4. Open the funding status</t>
  </si>
  <si>
    <t xml:space="preserve">Tender 6.4.4 (Funding, Sprint 2); Tender 10.2.12 (Assessment, Sprint 3)</t>
  </si>
  <si>
    <t xml:space="preserve">ASM-65, ASM-98</t>
  </si>
  <si>
    <t xml:space="preserve">New test case written for the feature. The funding is decided from attendance and result data, and the self-enrolled learner is funded by the same rule</t>
  </si>
  <si>
    <t xml:space="preserve">6.4.4 requires passing the assessment and 10.2.12 allows Completed without marks. That Completed is not a pass is assumed in ASM-98</t>
  </si>
  <si>
    <t xml:space="preserve">TC-SCN-R07-02</t>
  </si>
  <si>
    <t xml:space="preserve">SingPass e-attendance counts in the attendance rate</t>
  </si>
  <si>
    <t xml:space="preserve">Outcome based funding after the course. Case: SingPass e-attendance counts in the attendance rate</t>
  </si>
  <si>
    <t xml:space="preserve">1. SingPass e-attendance test data exists (ASM-52, ASM-53)</t>
  </si>
  <si>
    <t xml:space="preserve">10 sessions; 8 attended, 3 by SingPass e-attendance</t>
  </si>
  <si>
    <t xml:space="preserve">1. Mark 5 sessions in the standard way and 3 sessions through SingPass e-attendance
2. Open the attendance rate
3. Run the funding decision</t>
  </si>
  <si>
    <t xml:space="preserve">1. The attendance rate is 80 percent
2. The learner is eligible for the SSG funding</t>
  </si>
  <si>
    <t xml:space="preserve">Tender 10.1.3 (Assessment, Sprint 3); Tender 10.1.2 (Assessment, Sprint 3); Tender 6.4.4 (Funding, Sprint 2)</t>
  </si>
  <si>
    <t xml:space="preserve">ASM-52, ASM-53, ASM-98</t>
  </si>
  <si>
    <t xml:space="preserve">10.1.3 computes the rate and 10.1.2 marks attendance by SingPass. Counting both marking methods is assumed in ASM-98</t>
  </si>
  <si>
    <t xml:space="preserve">TC-SCN-R07-03</t>
  </si>
  <si>
    <t xml:space="preserve">Learner at exactly 75 percent attendance who passes is funded once</t>
  </si>
  <si>
    <t xml:space="preserve">Outcome based funding after the course. Case: Learner at exactly 75 percent attendance who passes is funded once</t>
  </si>
  <si>
    <t xml:space="preserve">1. A completed SSG funded course (ASM-52, ASM-65)</t>
  </si>
  <si>
    <t xml:space="preserve">Learner 30: attendance 75 percent, result pass</t>
  </si>
  <si>
    <t xml:space="preserve">1. Set the attendance of Learner 30 to 75 percent and the result to pass
2. Run the funding decision
3. Run the funding decision again
4. Open the funding status</t>
  </si>
  <si>
    <t xml:space="preserve">1. The learner is eligible for the SSG funding
2. The funding is recorded once</t>
  </si>
  <si>
    <t xml:space="preserve">Tender 6.4.4 (Funding, Sprint 2); Tender 10.1.3 (Assessment, Sprint 3); Tender 10.1.4 (Assessment, Sprint 3)</t>
  </si>
  <si>
    <t xml:space="preserve">ASM-52, ASM-65, ASM-98</t>
  </si>
  <si>
    <t xml:space="preserve">6.4.4 sets a minimum of 75 percent attendance and a pass. Recording the funding once is assumed in ASM-98</t>
  </si>
  <si>
    <t xml:space="preserve">TC-SCN-R08-01</t>
  </si>
  <si>
    <t xml:space="preserve">SCN-R08</t>
  </si>
  <si>
    <t xml:space="preserve">Draft, notification and message content</t>
  </si>
  <si>
    <t xml:space="preserve">Saved draft survives a sign in timeout</t>
  </si>
  <si>
    <t xml:space="preserve">Draft, notification and message content. Case: Saved draft survives a sign in timeout</t>
  </si>
  <si>
    <t xml:space="preserve">1. A session timeout of a few minutes is configured (ASM-12)</t>
  </si>
  <si>
    <t xml:space="preserve">Learner 24 with a draft of 3 fields</t>
  </si>
  <si>
    <t xml:space="preserve">1. Save an incomplete application as Learner 24
2. Wait until the session times out
3. Sign in again and open the saved application</t>
  </si>
  <si>
    <t xml:space="preserve">1. The saved application is shown with the 3 fields entered</t>
  </si>
  <si>
    <t xml:space="preserve">ASM-12, ASM-98</t>
  </si>
  <si>
    <t xml:space="preserve">8.2.6 requires saving the application to revisit later. A session timeout is the case added by self-enrolment in ASM-98</t>
  </si>
  <si>
    <t xml:space="preserve">TC-SCN-R08-02</t>
  </si>
  <si>
    <t xml:space="preserve">Course date format is the same in the message and the invoice</t>
  </si>
  <si>
    <t xml:space="preserve">Draft, notification and message content. Case: Course date format is the same in the message and the invoice</t>
  </si>
  <si>
    <t xml:space="preserve">1. A confirmed enrolment with an invoice (ASM-01)</t>
  </si>
  <si>
    <t xml:space="preserve">Learner 25, one confirmed enrolment</t>
  </si>
  <si>
    <t xml:space="preserve">1. Open the outcome message of Learner 25
2. Open the invoice
3. Compare the course dates</t>
  </si>
  <si>
    <t xml:space="preserve">1. The course date has the same format in both documents</t>
  </si>
  <si>
    <t xml:space="preserve">Tender 8.1.14 (Enrolment, Sprint 3); Tender 9.1.9 (Funding, Sprint 2)</t>
  </si>
  <si>
    <t xml:space="preserve">8.1.14 requires the outcome notification. A common date format is assumed in ASM-98</t>
  </si>
  <si>
    <t xml:space="preserve">Self-enrol makes this sign in the only way in, so a failure here stops every later step</t>
  </si>
  <si>
    <t xml:space="preserve">No staff review the application, so this check is the only gate against blacklisted learners and organisations</t>
  </si>
  <si>
    <t xml:space="preserve">No staff enrol the learner, so these checks alone keep out learners who do not qualify or who apply twice</t>
  </si>
  <si>
    <t xml:space="preserve">No staff enrol the learner, so these checks alone keep out learners who do not qualify or who apply twice. Severity raised from 2 to 1 because DEF-042 now has Severity 1 (ASM-102)</t>
  </si>
  <si>
    <t xml:space="preserve">The grant and fee are computed and shown at once, and the same amounts flow to the seat, the invoice and the funding claim</t>
  </si>
  <si>
    <t xml:space="preserve">The grant and fee are computed and shown at once, and the same amounts flow to the seat, the invoice and the funding claim. Severity raised from 2 to 1 because DEF-036 now has Severity 1 (ASM-102)</t>
  </si>
  <si>
    <t xml:space="preserve">Many learners register at the same time, so seat confirmation and the waitlist run more often and without staff help</t>
  </si>
  <si>
    <t xml:space="preserve">The net fee and invoice are generated automatically after the seat is confirmed, so wrong money is not caught before the learner pays</t>
  </si>
  <si>
    <t xml:space="preserve">The net fee and invoice are generated automatically after the seat is confirmed, so wrong money is not caught before the learner pays. Severity raised from 2 to 1 because DEF-025 now has Severity 1 (ASM-102)</t>
  </si>
  <si>
    <t xml:space="preserve">The funding is decided from attendance and result data, and the self-enrolled learner is funded by the same rule</t>
  </si>
  <si>
    <t xml:space="preserve">Credential login with OTP is the other way into the same self-enrol session as 2.2, so a change in session or account handling can break it</t>
  </si>
  <si>
    <t xml:space="preserve">Self-enrol sends every new applicant through account creation first, and the account created here feeds all later steps</t>
  </si>
  <si>
    <t xml:space="preserve">The PDPA and Terms consent is the only consent record when no staff handle the application, and it is read at submit</t>
  </si>
  <si>
    <t xml:space="preserve">The saved application is the way a self-enrolling learner returns to an unfinished form, and it depends on the same sign in session as 2.2</t>
  </si>
  <si>
    <t xml:space="preserve">Structured fields filled from MyInfo are read by later steps, so a change in them changes the inputs of the fee and grant</t>
  </si>
  <si>
    <t xml:space="preserve">A company sponsored learner signs in with the corporate account, and the same session feeds the company details and the funding path</t>
  </si>
  <si>
    <t xml:space="preserve">Form validation protects the date of birth, nationality and contact data that the prerequisite and grant checks read</t>
  </si>
  <si>
    <t xml:space="preserve">A course with shortlisting must not be confirmed automatically by 8.5.1 before the pre-assessment is done</t>
  </si>
  <si>
    <t xml:space="preserve">The credit bearing or non credit bearing route decides whether SSG funding is offered</t>
  </si>
  <si>
    <t xml:space="preserve">Registration at course or programme level decides which fee profile and grant apply</t>
  </si>
  <si>
    <t xml:space="preserve">The alumni credit shown to the applicant is the balance that 12.2.3 and 8.2.19 use for the net fee</t>
  </si>
  <si>
    <t xml:space="preserve">The UEN check feeds the SME declaration 8.2.16 and the ETSS rule 18.2.4</t>
  </si>
  <si>
    <t xml:space="preserve">The same UEN check on the corporate form feeds the SME verification 8.3.12 and the ETSS rule 18.2.4</t>
  </si>
  <si>
    <t xml:space="preserve">Alumni status selects the alumni fee and credit of 6.3.6</t>
  </si>
  <si>
    <t xml:space="preserve">The alumni credit balance is read and reduced in the fee calculation of 6.4.3 and 12.2.3. Severity raised from 2 to 1 because DEF-065 now has Severity 1 (ASM-102)</t>
  </si>
  <si>
    <t xml:space="preserve">The alumni credit balance is read and reduced in the fee calculation of 6.4.3 and 12.2.3</t>
  </si>
  <si>
    <t xml:space="preserve">It is the parent integration of 18.1.2, so a change in the SSG and TPGateway connection affects the grant, SFC and enrolment calls together</t>
  </si>
  <si>
    <t xml:space="preserve">Batch registration by import competes with self-enrolment for the same seats and waitlist</t>
  </si>
  <si>
    <t xml:space="preserve">The outcome message is the only contact with a learner who has no staff contact</t>
  </si>
  <si>
    <t xml:space="preserve">Auto registration into bite sized courses uses the same seat confirmation as 8.5.1</t>
  </si>
  <si>
    <t xml:space="preserve">Ad hoc enrolment by the Course Administrator takes seats from the same capacity as self-enrolment</t>
  </si>
  <si>
    <t xml:space="preserve">Every confirmed seat is sent to TPGateway automatically, so each self-enrolment creates a record at SSG</t>
  </si>
  <si>
    <t xml:space="preserve">A learner who withdraws or reschedules after self-enrolment triggers a fee change and a credit note as 6.3.3 and 9.1.15 describe</t>
  </si>
  <si>
    <t xml:space="preserve">A deferral after self-enrolment triggers the same fee change and credit note path</t>
  </si>
  <si>
    <t xml:space="preserve">A transfer to another session after self-enrolment produces a fee adjustment report for FIN</t>
  </si>
  <si>
    <t xml:space="preserve">The invoice lines, including the alumni course credit line, come from the net fee of the self-enrolment</t>
  </si>
  <si>
    <t xml:space="preserve">The billing items of the invoice are mapped to account and funding codes after the net fee is computed</t>
  </si>
  <si>
    <t xml:space="preserve">The assessment pattern, such as pass or fail, defines what passing the assessment means for 6.4.4</t>
  </si>
  <si>
    <t xml:space="preserve">Attendance marked here is read by 10.1.3 for the 75 percent rule of the funding</t>
  </si>
  <si>
    <t xml:space="preserve">SingPass e-attendance is counted in the attendance rate that decides the funding in 6.4.4</t>
  </si>
  <si>
    <t xml:space="preserve">The status Completed without released marks is read by the funding decision of 6.4.4</t>
  </si>
  <si>
    <t xml:space="preserve">Other clauses</t>
  </si>
  <si>
    <t xml:space="preserve">DEF-071</t>
  </si>
  <si>
    <t xml:space="preserve">[Registration] Fee band and grant use the age saved in the account instead of the MyInfo age of this sign in</t>
  </si>
  <si>
    <t xml:space="preserve">1. A test resident whose account holds an old date of birth (age 45)
2. MyInfo test data with the current date of birth (age 35)
3. An age limit of 40 is configured (ASM-62)</t>
  </si>
  <si>
    <t xml:space="preserve">1. Sign in with SingPass as the test resident
2. Open the registration form of an SSG funded course run
3. Compare the age and nationality fields with the MyInfo test data
4. Open the fee payable and the grant shown</t>
  </si>
  <si>
    <t xml:space="preserve">1. The age and nationality equal the MyInfo test data
2. The fee and the grant are those of the band of age 35</t>
  </si>
  <si>
    <t xml:space="preserve">The form keeps the date of birth saved in the account and the fee and grant of the band of age 45 are shown</t>
  </si>
  <si>
    <t xml:space="preserve">The learner is charged and funded under the wrong band and no staff member checks it</t>
  </si>
  <si>
    <t xml:space="preserve">Wrong money and funding for every learner whose data changed. Severity 1: Blocker, or money, funding or compliance break. Urgency High by ASM-92.</t>
  </si>
  <si>
    <t xml:space="preserve">Tender 8.2.5: "The System shall populate applicant’s personal information (verified by SingPass MyInfo) from user account to registration form."
Tender 6.3.6: "The System shall have the capability to generate fees payable with automatic calculation based on criteria including but not limited to: // 1) Nationality/citizenship of candidates; // 2) Age/Date of Birth;"</t>
  </si>
  <si>
    <t xml:space="preserve">DEF-072</t>
  </si>
  <si>
    <t xml:space="preserve">[Registration] Applicant added to the SSG blacklist by the sync is still enrolled on the next self-enrolment</t>
  </si>
  <si>
    <t xml:space="preserve">1. A test person who is not on the blacklist
2. A synced SSG blacklist record for the same person is loaded after the person registered once</t>
  </si>
  <si>
    <t xml:space="preserve">1. Register the person for a course run and note the result
2. Load the SSG blacklist record of the person through the sync
3. Register the person for another course run
4. Observe the result</t>
  </si>
  <si>
    <t xml:space="preserve">1. The System finds the person on the synced SSG blacklist
2. The second registration is not enrolled</t>
  </si>
  <si>
    <t xml:space="preserve">The second registration is enrolled because the check reads the list kept from the first registration</t>
  </si>
  <si>
    <t xml:space="preserve">A barred person is enrolled and funded, an audit finding</t>
  </si>
  <si>
    <t xml:space="preserve">The check and the sync are delivered in different Sprints, so a stale list is likely. Severity 1: Blocker, or money, funding or compliance break. Urgency High by ASM-92.</t>
  </si>
  <si>
    <t xml:space="preserve">Tender 8.6.2: "The System shall have the capability to sync to SSG given’s blacklist records, as well as the finance payment records for potential enrolled company sponsored applicants if they are blacklisted for CET courses (due to earlier non-payments)."
Tender 8.2.14: "The System shall check if applicants are in the SSG and Schools’ blacklisting and compute the overview of course fee for registration."</t>
  </si>
  <si>
    <t xml:space="preserve">DEF-073</t>
  </si>
  <si>
    <t xml:space="preserve">[Enrolment] Seat is confirmed for an applicant who fails the prerequisite check</t>
  </si>
  <si>
    <t xml:space="preserve">1. A course with a prerequisite course
2. A test learner who has not completed the prerequisite
3. Seats remain on the course run</t>
  </si>
  <si>
    <t xml:space="preserve">1. Self-enrol the learner in the course run
2. Observe the prerequisite check result
3. Observe the status of the application</t>
  </si>
  <si>
    <t xml:space="preserve">1. The prerequisite check fails
2. The seat is not confirmed and the application is not enrolled</t>
  </si>
  <si>
    <t xml:space="preserve">The application is confirmed because seat confirmation does not wait for the prerequisite result</t>
  </si>
  <si>
    <t xml:space="preserve">The class holds an unqualified learner and the results are not valid</t>
  </si>
  <si>
    <t xml:space="preserve">Seat confirmation can run ahead of the check when nobody reviews the application. Severity 1: Blocker, or money, funding or compliance break. Urgency High by ASM-92.</t>
  </si>
  <si>
    <t xml:space="preserve">Tender 8.5.1: "The System shall have the capability based on capacity-based auto confirmation and on first-come-first-serve basis."
Tender 8.2.20: "The System shall validate the prerequisites and enrolment criteria of courses and programmes during application registration."</t>
  </si>
  <si>
    <t xml:space="preserve">DEF-074</t>
  </si>
  <si>
    <t xml:space="preserve">[Enrolment] The last seat is confirmed for two learners who submit at the same time</t>
  </si>
  <si>
    <t xml:space="preserve">1. A course run with a maximum of 2 learners and 1 seat left
2. Two test learners ready to submit</t>
  </si>
  <si>
    <t xml:space="preserve">1. Open the registration form for both learners
2. Submit both applications at the same time
3. Open the enrolment list and the waitlist</t>
  </si>
  <si>
    <t xml:space="preserve">1. One learner is confirmed
2. The other learner goes to the waitlist
3. The enrolment list holds 2 learners</t>
  </si>
  <si>
    <t xml:space="preserve">Both learners are confirmed and the enrolment list holds 3 learners</t>
  </si>
  <si>
    <t xml:space="preserve">The run is over capacity, and seats and funding are wrong</t>
  </si>
  <si>
    <t xml:space="preserve">Many learners register without staff, so the same moment is likely. Severity 1: Blocker, or money, funding or compliance break. Urgency High by ASM-92.</t>
  </si>
  <si>
    <t xml:space="preserve">Tender 8.5.1: "The System shall have the capability based on capacity-based auto confirmation and on first-come-first-serve basis."
Tender 8.1.10: "The System shall have the capability to configure and set up a minimum and maximum number of Learners for each course or assessment."</t>
  </si>
  <si>
    <t xml:space="preserve">DEF-075</t>
  </si>
  <si>
    <t xml:space="preserve">[Enrolment] Waitlisted learner is promoted to a seat but is charged the full fee without the grant</t>
  </si>
  <si>
    <t xml:space="preserve">1. A full SSG funded course run with a waitlisted eligible learner
2. A seat is freed</t>
  </si>
  <si>
    <t xml:space="preserve">1. Free a seat on the run
2. Observe the promotion of the waitlisted learner
3. Open the fee payable and the grant of the learner</t>
  </si>
  <si>
    <t xml:space="preserve">1. The learner is promoted
2. The grant eligibility is checked again at promotion
3. The net fee includes the grant</t>
  </si>
  <si>
    <t xml:space="preserve">The learner is promoted and the fee shows the full course fee with no grant</t>
  </si>
  <si>
    <t xml:space="preserve">The learner is overcharged and the claim to SSG is missing</t>
  </si>
  <si>
    <t xml:space="preserve">The grant check ran at application and is not repeated at promotion. Severity 1: Blocker, or money, funding or compliance break. Urgency High by ASM-92.</t>
  </si>
  <si>
    <t xml:space="preserve">Tender 8.5.3: "The System shall allow the capability to automatically put Learners on a waitlist if the class is full and notify candidates when seats are available and channel them to another course."
Tender 6.4.3: "The System shall allow automation for application of grant, subsidies, SFC, SFC (mid-career) top up, ETSS, credits, discounts, PSEA, Alumni Course Credit (ACC), and Additional Funding Support (AFS applicable for SkillsFuture Career Transition Programme) for fee calculation."</t>
  </si>
  <si>
    <t xml:space="preserve">DEF-076</t>
  </si>
  <si>
    <t xml:space="preserve">8.2.18, 12.2.3</t>
  </si>
  <si>
    <t xml:space="preserve">[Funding] Net fee becomes negative when the SSG grant, SFC and Alumni Course Credit together exceed the course fee</t>
  </si>
  <si>
    <t xml:space="preserve">1. A course with a full fee of 1000
2. An eligible learner with an SSG grant of 700, an SFC of 400 and an alumni credit of 500 (cap 50 percent)</t>
  </si>
  <si>
    <t xml:space="preserve">1. Self-enrol the learner and apply the SSG grant, the SFC and the alumni credit
2. Open the net fee payable
3. Open the invoice</t>
  </si>
  <si>
    <t xml:space="preserve">1. The alumni credit is limited to 500
2. The net fee is not below 0
3. The invoice shows no negative total</t>
  </si>
  <si>
    <t xml:space="preserve">The net fee shows minus 600 and the invoice total is negative</t>
  </si>
  <si>
    <t xml:space="preserve">The School owes money to the learner and the finance records are wrong</t>
  </si>
  <si>
    <t xml:space="preserve">Three automatic deductions are applied with no staff check of the total. Severity 1: Blocker, or money, funding or compliance break. Urgency High by ASM-92.</t>
  </si>
  <si>
    <t xml:space="preserve">Tender 6.4.3: "The System shall allow automation for application of grant, subsidies, SFC, SFC (mid-career) top up, ETSS, credits, discounts, PSEA, Alumni Course Credit (ACC), and Additional Funding Support (AFS applicable for SkillsFuture Career Transition Programme) for fee calculation."
Tender 8.2.18: "The System shall facilitate applicants to check on the available Skills Future Credit (SFC) including SFC (mid-career) top-up."
Tender 12.2.3: "The System shall automatically track the total utilisatoin of Alumni Course Credit (ACC) and be able to cap the total ACC utilization at the specified (for example 50%) percentage of the full course fee."</t>
  </si>
  <si>
    <t xml:space="preserve">DEF-077</t>
  </si>
  <si>
    <t xml:space="preserve">[Funding] Withdrawal requested in the portal and approved does not reverse the SSG grant</t>
  </si>
  <si>
    <t xml:space="preserve">1. A paid, grant funded self-enrolment
2. The learner requests withdrawal in the self-service portal and an approver approves</t>
  </si>
  <si>
    <t xml:space="preserve">1. Submit the withdrawal request as the learner
2. Approve it as the approver
3. Open the fee change, the credit note and the grant claim of the learner</t>
  </si>
  <si>
    <t xml:space="preserve">1. The fee change is applied after the approval
2. A credit note is issued
3. The grant claim is reversed or reduced</t>
  </si>
  <si>
    <t xml:space="preserve">The credit note is issued and the grant claim stays at the original amount</t>
  </si>
  <si>
    <t xml:space="preserve">SSG funds are claimed for a learner who withdrew, a compliance break</t>
  </si>
  <si>
    <t xml:space="preserve">Withdrawal in the portal starts the fee change, and the grant is a separate item. Severity 1: Blocker, or money, funding or compliance break. Urgency High by ASM-92.</t>
  </si>
  <si>
    <t xml:space="preserve">Tender 6.3.3: "The System shall allow fee changes and approval in cases including but not limited to: // 1) Withdrawals"
Tender 8.1.5: "The System shall allow learners to review offer decisions, appeals, request change of programme/courses, request for leave of absence, request for withdrawal, request for deferment, request for waiver, etc. via a self-service portal."</t>
  </si>
  <si>
    <t xml:space="preserve">DEF-078</t>
  </si>
  <si>
    <t xml:space="preserve">[Enrolment] Waitlisted learner is sent to TPGateway as enrolled</t>
  </si>
  <si>
    <t xml:space="preserve">1. A full course run with a waitlisted learner
2. The TPGateway test endpoint is on</t>
  </si>
  <si>
    <t xml:space="preserve">1. Self-enrol a learner on a full run so that the learner goes to the waitlist
2. Open the TPGateway record of the learner</t>
  </si>
  <si>
    <t xml:space="preserve">1. No enrolment record is sent for the waitlisted learner
2. A record is sent after the seat is confirmed</t>
  </si>
  <si>
    <t xml:space="preserve">An enrolment record with the status confirmed is sent while the learner is still on the waitlist</t>
  </si>
  <si>
    <t xml:space="preserve">SSG holds a wrong enrolment and a claim can follow, a compliance break</t>
  </si>
  <si>
    <t xml:space="preserve">The interface fires on registration instead of on confirmation. Severity 1: Blocker, or money, funding or compliance break. Urgency High by ASM-92.</t>
  </si>
  <si>
    <t xml:space="preserve">Tender 8.5.16: "The System shall have the capability to automatically interface Enrolments to Training Partners Gateway (TPGateway)."
Tender 8.5.3: "The System shall allow the capability to automatically put Learners on a waitlist if the class is full and notify candidates when seats are available and channel them to another course."</t>
  </si>
  <si>
    <t xml:space="preserve">DEF-079</t>
  </si>
  <si>
    <t xml:space="preserve">[Funding] Learner with the status Completed but no released marks is funded as a pass</t>
  </si>
  <si>
    <t xml:space="preserve">1. A completed SSG funded course with attendance 90 percent
2. The setting to show Completed without releasing marks is on
3. The learner failed the assessment</t>
  </si>
  <si>
    <t xml:space="preserve">1. Set the result of the learner to fail
2. Show the status Completed without releasing marks
3. Run the funding decision
4. Open the funding status</t>
  </si>
  <si>
    <t xml:space="preserve">1. The learner is not eligible for the funding</t>
  </si>
  <si>
    <t xml:space="preserve">The learner is marked eligible because the status Completed is read as passed</t>
  </si>
  <si>
    <t xml:space="preserve">SSG funding is claimed without a pass, a compliance break</t>
  </si>
  <si>
    <t xml:space="preserve">The status shown to the learner is reused by the funding rule. Severity 1: Blocker, or money, funding or compliance break. Urgency High by ASM-92.</t>
  </si>
  <si>
    <t xml:space="preserve">Tender 6.4.4: "The System shall support automated outcome based SkillsFuture Singapore (SSG) funding based on the following requirements: // 1) Minimum 75% attendance // 2) Passing the assessment"
Tender 10.2.12: "The System shall have a user configuration setting to show the status as completed without the release of any assessment marks if required."</t>
  </si>
  <si>
    <t xml:space="preserve">DEF-080</t>
  </si>
  <si>
    <t xml:space="preserve">[Registration] Company sponsored learner is enrolled although the sponsoring company is blacklisted for non payment</t>
  </si>
  <si>
    <t xml:space="preserve">1. A company on the blacklist of earlier non payment
2. A learner who registers as company sponsored with that company</t>
  </si>
  <si>
    <t xml:space="preserve">1. Self-enrol the learner as company sponsored with the blacklisted company details
2. Observe the result of the blacklist check</t>
  </si>
  <si>
    <t xml:space="preserve">The application is enrolled because only the person is checked and the company is not</t>
  </si>
  <si>
    <t xml:space="preserve">Non paying companies enrol again and revenue is lost</t>
  </si>
  <si>
    <t xml:space="preserve">The company name is typed by the learner and no staff compare it. Severity 2: Critical or major function fails. Urgency Low by ASM-92.</t>
  </si>
  <si>
    <t xml:space="preserve">Tender 8.6.2: "The System shall have the capability to sync to SSG given’s blacklist records, as well as the finance payment records for potential enrolled company sponsored applicants if they are blacklisted for CET courses (due to earlier non-payments)."
Tender 8.2.9: "The System shall allow individual learners to register as self-sponsored or company sponsored and have the capability to provide costing accordingly. For company sponsored, the System shall allow learner to provide the company details such as company name, address, and contact person, etc."</t>
  </si>
  <si>
    <t xml:space="preserve">DEF-081</t>
  </si>
  <si>
    <t xml:space="preserve">[Enrolment] Seat stays held for a learner whose grant check failed and the waitlist does not move</t>
  </si>
  <si>
    <t xml:space="preserve">1. A full run with a waitlisted learner
2. A learner who holds the last seat and fails the grant check</t>
  </si>
  <si>
    <t xml:space="preserve">1. Self-enrol the learner who fails the grant check
2. Cancel the application at the fee step
3. Open the seats and the waitlist</t>
  </si>
  <si>
    <t xml:space="preserve">1. The seat is released
2. The first waitlisted learner is notified</t>
  </si>
  <si>
    <t xml:space="preserve">The seat stays held and the waitlisted learner is not notified</t>
  </si>
  <si>
    <t xml:space="preserve">Seats stay empty and the waitlisted learner is lost</t>
  </si>
  <si>
    <t xml:space="preserve">A half done self-enrolment keeps its seat with no staff to release it. Severity 2: Critical or major function fails. Urgency High by ASM-92.</t>
  </si>
  <si>
    <t xml:space="preserve">Tender 8.5.3: "The System shall allow the capability to automatically put Learners on a waitlist if the class is full and notify candidates when seats are available and channel them to another course."
Tender 8.2.13: "The System shall facilitate and check the eligibility of SSG grant for applicants and compute the course fee for registration."</t>
  </si>
  <si>
    <t xml:space="preserve">DEF-082</t>
  </si>
  <si>
    <t xml:space="preserve">[Funding] Invoice is generated for a learner who is only on the waitlist</t>
  </si>
  <si>
    <t xml:space="preserve">1. A full run and a learner who self-enrols and goes to the waitlist</t>
  </si>
  <si>
    <t xml:space="preserve">1. Self-enrol the learner on the full run
2. Open the invoices of the learner</t>
  </si>
  <si>
    <t xml:space="preserve">1. No invoice is generated before the seat is confirmed</t>
  </si>
  <si>
    <t xml:space="preserve">An invoice for the full net fee is generated at once</t>
  </si>
  <si>
    <t xml:space="preserve">The learner is asked to pay for a seat that is not held, and credit notes follow</t>
  </si>
  <si>
    <t xml:space="preserve">Invoicing starts at registration, not at confirmation. Severity 2: Critical or major function fails. Urgency High by ASM-92.</t>
  </si>
  <si>
    <t xml:space="preserve">Tender 9.1.9: "The System shall have the capability to automatically generate all billing items in the Learner’s invoice provisioned under the course fee setup when the Learner’s profiles fall within eligible criteria for auto application."
Tender 8.5.3: "The System shall allow the capability to automatically put Learners on a waitlist if the class is full and notify candidates when seats are available and channel them to another course."</t>
  </si>
  <si>
    <t xml:space="preserve">DEF-083</t>
  </si>
  <si>
    <t xml:space="preserve">[Funding] Company sponsored learner receives an applicant payment request instead of a sponsor invoice</t>
  </si>
  <si>
    <t xml:space="preserve">1. A learner who registers as company sponsored with company details</t>
  </si>
  <si>
    <t xml:space="preserve">1. Self-enrol the learner as company sponsored
2. Open the payment request and the invoice</t>
  </si>
  <si>
    <t xml:space="preserve">1. The invoice goes to the sponsor under the sponsor payment process
2. The learner has no payment due</t>
  </si>
  <si>
    <t xml:space="preserve">The learner receives the applicant payment request</t>
  </si>
  <si>
    <t xml:space="preserve">The learner pays what the company should pay and the sponsor is not billed</t>
  </si>
  <si>
    <t xml:space="preserve">The sponsor type chosen in the form is not carried into the payment process. Severity 2: Critical or major function fails. Urgency High by ASM-92.</t>
  </si>
  <si>
    <t xml:space="preserve">Tender 6.3.4: "The System shall allow different payment processes for: 1) Applicant Payments, 2) Sponsor Payments."
Tender 8.2.9: "The System shall allow individual learners to register as self-sponsored or company sponsored and have the capability to provide costing accordingly. For company sponsored, the System shall allow learner to provide the company details such as company name, address, and contact person, etc."</t>
  </si>
  <si>
    <t xml:space="preserve">DEF-084</t>
  </si>
  <si>
    <t xml:space="preserve">[Enrolment] Seat of a learner who requests withdrawal is given to the waitlist before the approval</t>
  </si>
  <si>
    <t xml:space="preserve">1. A full run with a waitlisted learner
2. An enrolled learner who requests withdrawal and waits for approval</t>
  </si>
  <si>
    <t xml:space="preserve">1. Submit the withdrawal request in the portal
2. Before the approval, open the waitlist
3. Reject the request as the approver</t>
  </si>
  <si>
    <t xml:space="preserve">1. The seat is freed only after the approval
2. A rejected request keeps the seat</t>
  </si>
  <si>
    <t xml:space="preserve">The seat is freed at the request and promoted, and the learner who stays has no seat</t>
  </si>
  <si>
    <t xml:space="preserve">Two learners claim one seat and complaints follow</t>
  </si>
  <si>
    <t xml:space="preserve">The request status is read as a free seat. Severity 2: Critical or major function fails. Urgency High by ASM-92.</t>
  </si>
  <si>
    <t xml:space="preserve">Tender 8.5.9: "The System shall have the capability to assign to different classes or assessment for Learners who choose to withdraw or re-schedule course or assessment, subject to approval."
Tender 8.5.3: "The System shall allow the capability to automatically put Learners on a waitlist if the class is full and notify candidates when seats are available and channel them to another course."</t>
  </si>
  <si>
    <t xml:space="preserve">DEF-085</t>
  </si>
  <si>
    <t xml:space="preserve">[Enrolment] Application to a course that requires shortlisting is confirmed automatically</t>
  </si>
  <si>
    <t xml:space="preserve">1. A course that requires shortlisting with pre-assessment requirements
2. Seats remain</t>
  </si>
  <si>
    <t xml:space="preserve">1. Self-enrol a learner who has not submitted the pre-assessment
2. Open the status of the application</t>
  </si>
  <si>
    <t xml:space="preserve">1. The application is pending shortlisting
2. It is not confirmed automatically</t>
  </si>
  <si>
    <t xml:space="preserve">The application is confirmed by capacity</t>
  </si>
  <si>
    <t xml:space="preserve">Learners who are not shortlisted take seats</t>
  </si>
  <si>
    <t xml:space="preserve">Auto confirmation by capacity ignores the shortlisting setting. Severity 2: Critical or major function fails. Urgency High by ASM-92.</t>
  </si>
  <si>
    <t xml:space="preserve">Tender 8.4.1: "The System shall allow settings for applicants to submit pre-assessment requirements for different shortlisting criteria assessment process (Same to be applicable for FlexiMasters and SkillsFuture Career Transition Programmes that require shortlisting)."
Tender 8.5.1: "The System shall have the capability based on capacity-based auto confirmation and on first-come-first-serve basis."</t>
  </si>
  <si>
    <t xml:space="preserve">DEF-086</t>
  </si>
  <si>
    <t xml:space="preserve">8.2.18, 8.5.3</t>
  </si>
  <si>
    <t xml:space="preserve">[Funding] SFC used for an application that is not confirmed is not returned to the learner balance</t>
  </si>
  <si>
    <t xml:space="preserve">1. A learner who applies SFC to a self-enrolment
2. The application expires on the waitlist and is not confirmed</t>
  </si>
  <si>
    <t xml:space="preserve">1. Self-enrol the learner and apply the SFC
2. Let the waitlist application expire
3. Open the SFC balance of the learner</t>
  </si>
  <si>
    <t xml:space="preserve">1. The SFC amount is returned to the SFC account of the learner
2. The balance equals the amount before the application</t>
  </si>
  <si>
    <t xml:space="preserve">The SFC stays used and the balance is lower</t>
  </si>
  <si>
    <t xml:space="preserve">The learner loses SFC money and the SFC account is wrong</t>
  </si>
  <si>
    <t xml:space="preserve">Money held for a seat that never started is not released. Severity 1: Blocker, or money, funding or compliance break. Urgency High by ASM-92.</t>
  </si>
  <si>
    <t xml:space="preserve">Tender 11.1.2: "The System shall have the capability to make refunds for the following external fundings including but not limited to: // 1) SkillsFuture Credits; 2) PSEA;"
Tender 8.2.18: "The System shall facilitate applicants to check on the available Skills Future Credit (SFC) including SFC (mid-career) top-up."
Tender 8.5.3: "The System shall allow the capability to automatically put Learners on a waitlist if the class is full and notify candidates when seats are available and channel them to another course."</t>
  </si>
  <si>
    <t xml:space="preserve">DEF-087</t>
  </si>
  <si>
    <t xml:space="preserve">10.1.2, 6.4.4</t>
  </si>
  <si>
    <t xml:space="preserve">[Assessment] Sessions marked through SingPass e-attendance are not counted in the attendance rate used for funding</t>
  </si>
  <si>
    <t xml:space="preserve">1. A completed SSG funded course of 10 sessions
2. A learner who attended 8 sessions, 3 of them marked by SingPass e-attendance</t>
  </si>
  <si>
    <t xml:space="preserve">1. Mark the attendance of the learner, 3 sessions through SingPass
2. Open the attendance rate
3. Run the funding decision</t>
  </si>
  <si>
    <t xml:space="preserve">1. The attendance rate is 80 percent
2. The learner is eligible for the funding</t>
  </si>
  <si>
    <t xml:space="preserve">The attendance rate is 50 percent and the learner is not eligible</t>
  </si>
  <si>
    <t xml:space="preserve">A qualified learner loses the funding and the School must correct the claim</t>
  </si>
  <si>
    <t xml:space="preserve">Funding is wrongly withheld, which can be corrected before the claim. Severity 2: Critical or major function fails. Urgency Low by ASM-92.</t>
  </si>
  <si>
    <t xml:space="preserve">Tender 10.1.3: "The System shall allow automated computation of attendance rate of individual Learner by programme/course."
Tender 10.1.2: "The System shall allow e-attendance marking via SingPass with requirements according to latest SSG mandatory attendance criteria."
Tender 6.4.4: "The System shall support automated outcome based SkillsFuture Singapore (SSG) funding based on the following requirements: // 1) Minimum 75% attendance // 2) Passing the assessment"</t>
  </si>
  <si>
    <t xml:space="preserve">DEF-088</t>
  </si>
  <si>
    <t xml:space="preserve">[Enrolment] Waitlist position shown to the learner does not move when an earlier learner withdraws</t>
  </si>
  <si>
    <t xml:space="preserve">1. A waitlist with three learners</t>
  </si>
  <si>
    <t xml:space="preserve">1. Withdraw the first waitlisted learner
2. Open the waitlist page as the third learner</t>
  </si>
  <si>
    <t xml:space="preserve">1. The third learner is now second on the waitlist</t>
  </si>
  <si>
    <t xml:space="preserve">The page still shows position three</t>
  </si>
  <si>
    <t xml:space="preserve">The learner is misinformed, with a workaround of asking staff</t>
  </si>
  <si>
    <t xml:space="preserve">The page shows a saved position. Severity 3: Normal: wrong result with a workaround. Urgency High by ASM-92.</t>
  </si>
  <si>
    <t xml:space="preserve">Tender 8.5.3: "The System shall allow the capability to automatically put Learners on a waitlist if the class is full and notify candidates when seats are available and channel them to another course."
Tender 8.1.11: "The System shall have the capability to configure waitlists if meet the maximum number of learners for each course or assessment. And able to prioritize the applicants on a first come first serve basis."</t>
  </si>
  <si>
    <t xml:space="preserve">DEF-089</t>
  </si>
  <si>
    <t xml:space="preserve">None</t>
  </si>
  <si>
    <t xml:space="preserve">[Registration] Saved self-enrolment draft is deleted after the sign in times out</t>
  </si>
  <si>
    <t xml:space="preserve">1. A learner who saved an incomplete application
2. The sign in session times out</t>
  </si>
  <si>
    <t xml:space="preserve">1. Save an incomplete application
2. Wait until the session times out
3. Sign in again and open the saved application</t>
  </si>
  <si>
    <t xml:space="preserve">1. The saved application is shown with its entered values</t>
  </si>
  <si>
    <t xml:space="preserve">No saved application is found and the learner starts again</t>
  </si>
  <si>
    <t xml:space="preserve">The learner types the data again, with a workaround of repeating the form</t>
  </si>
  <si>
    <t xml:space="preserve">The draft is held in the session only. Severity 3: Normal: wrong result with a workaround. Urgency High by ASM-92.</t>
  </si>
  <si>
    <t xml:space="preserve">DEF-090</t>
  </si>
  <si>
    <t xml:space="preserve">[Enrolment] Outcome message shows the course date in a different format from the invoice</t>
  </si>
  <si>
    <t xml:space="preserve">1. A confirmed self-enrolment with an invoice</t>
  </si>
  <si>
    <t xml:space="preserve">1. Open the outcome message of the enrolment
2. Open the invoice
3. Compare the course dates</t>
  </si>
  <si>
    <t xml:space="preserve">The message shows 01/02/2027 and the invoice shows 2 Feb 2027</t>
  </si>
  <si>
    <t xml:space="preserve">Cosmetic, the learner still understands the date</t>
  </si>
  <si>
    <t xml:space="preserve">Format only. Severity 4: Minor or cosmetic. Urgency Low by ASM-92.</t>
  </si>
  <si>
    <t xml:space="preserve">Tender 8.1.14: "The System shall have the capability to notify Learners and Corporate Customers of the outcome of the application, enrolment, withdrawal, deferment, course switching processing, whenever applicable."
Tender 9.1.9: "The System shall have the capability to automatically generate all billing items in the Learner’s invoice provisioned under the course fee setup when the Learner’s profiles fall within eligible criteria for auto application."</t>
  </si>
  <si>
    <t xml:space="preserve">Change</t>
  </si>
  <si>
    <t xml:space="preserve">Severity before</t>
  </si>
  <si>
    <t xml:space="preserve">Severity after</t>
  </si>
  <si>
    <t xml:space="preserve">Urgency before</t>
  </si>
  <si>
    <t xml:space="preserve">Urgency after</t>
  </si>
  <si>
    <t xml:space="preserve">Priority before</t>
  </si>
  <si>
    <t xml:space="preserve">Priority after</t>
  </si>
  <si>
    <t xml:space="preserve">Suggested regression suite (after)</t>
  </si>
  <si>
    <t xml:space="preserve">Why the feature changes it</t>
  </si>
  <si>
    <t xml:space="preserve">New triage rationale</t>
  </si>
  <si>
    <t xml:space="preserve">A learner can withdraw in the portal without staff. A missing credit note leaves paid money with the System and nobody sees it before the learner complains, so the harm is money</t>
  </si>
  <si>
    <t xml:space="preserve">Raised by the feature (ASM-101). Severity 1: Blocker, or money, funding or compliance break. Urgency High by ASM-92.</t>
  </si>
  <si>
    <t xml:space="preserve">MyInfo data is the only source of age and nationality for the fee and grant checks. An empty form stops the learner or leads to typed values, and no staff help</t>
  </si>
  <si>
    <t xml:space="preserve">Raised by the feature (ASM-101). Severity 2: Critical or major function fails. Urgency High by ASM-92.</t>
  </si>
  <si>
    <t xml:space="preserve">The fee computed at registration is the amount the learner accepts without staff review. Ignoring the grant is a wrong amount charged</t>
  </si>
  <si>
    <t xml:space="preserve">Without staff, the SME declaration is the only record that the SME verification of 8.3.12 can read</t>
  </si>
  <si>
    <t xml:space="preserve">The learner applies the SFC amount without staff review. A stale balance lets the learner use credit that is not there</t>
  </si>
  <si>
    <t xml:space="preserve">The overview is the fee the learner agrees to. A different amount on the invoice breaks that agreement and is a money error</t>
  </si>
  <si>
    <t xml:space="preserve">The notice is the only way a self-enrolling learner learns that a seat is free. Without staff to call, seats stay empty</t>
  </si>
  <si>
    <t xml:space="preserve">Without staff review, the age restriction is enforced only by the System. A miss enrols an unqualified learner, which is a compliance break</t>
  </si>
  <si>
    <t xml:space="preserve">The flag has no reader when no staff handle the registration, so the blacklisted organisation is enrolled</t>
  </si>
  <si>
    <t xml:space="preserve">A balance that is not reduced lets the learner reuse the credit on each self-enrolment, with no staff check</t>
  </si>
  <si>
    <t xml:space="preserve">A fixed grant value is applied to every self-enrolling learner without warning. A wrong grant is money and funding</t>
  </si>
  <si>
    <t xml:space="preserve">ASM-96</t>
  </si>
  <si>
    <t xml:space="preserve">Regression plan</t>
  </si>
  <si>
    <t xml:space="preserve">The Tender and the slides give no regression rule</t>
  </si>
  <si>
    <t xml:space="preserve">The regression suite of a test case follows its Severity: Severity 1 is Smoke, Severity 2 is Core, Severity 3 and 4 is Extended. A Reject case is Not ready. Only test cases of clauses on a step of the Self-Enrol + Funding flow (Direct), clauses that share data or a rule with them (Possible) and the new test cases are in the regression pack. Test cases of the other clauses of the three modules are left out</t>
  </si>
  <si>
    <t xml:space="preserve">Lesson 3 risk based regression scope and Lesson 4 retesting and regression (course)</t>
  </si>
  <si>
    <t xml:space="preserve">Level 1: risk is the only selection basis the course gives</t>
  </si>
  <si>
    <t xml:space="preserve">If the team selects by changed component, change the Regression suite column</t>
  </si>
  <si>
    <t xml:space="preserve">Regression TestCases columns Flow step, Impact, Regression suite</t>
  </si>
  <si>
    <t xml:space="preserve">Is regression selected by risk or by changed component?</t>
  </si>
  <si>
    <t xml:space="preserve">ASM-97</t>
  </si>
  <si>
    <t xml:space="preserve">No entry or exit criteria are given</t>
  </si>
  <si>
    <t xml:space="preserve">Entry: the build is deployed to SIT and all Smoke cases pass. Exit: no open Severity 1 or 2 defect, all Core cases run, and at least 95 percent of Core cases pass. The 95 percent is my figure</t>
  </si>
  <si>
    <t xml:space="preserve">Lesson 3 exit criteria idea (course)</t>
  </si>
  <si>
    <t xml:space="preserve">Level 1: figures are needed for a plan</t>
  </si>
  <si>
    <t xml:space="preserve">If the team sets other limits, replace the figures in the Regression Plan document</t>
  </si>
  <si>
    <t xml:space="preserve">Regression TestCases column Regression suite</t>
  </si>
  <si>
    <t xml:space="preserve">What are the entry and exit limits?</t>
  </si>
  <si>
    <t xml:space="preserve">The Tender has no Self-Enrol clause</t>
  </si>
  <si>
    <t xml:space="preserve">The flow has 7 steps: 1 Login and MyInfo, 2 Blacklist check, 3 Prerequisite and restriction check, 4 Grant eligibility and fee, 5 Seat confirm or waitlist, 6 Net fee and invoice, 7 Outcome based funding. Each clause is linked to the step it supports (Clause List Notes A6). Where a new test case needs an expected result for a join between two steps, the result is taken from this order of steps</t>
  </si>
  <si>
    <t xml:space="preserve">Inference from Tender clauses of sections 2, 8, 6.3, 6.4, 9</t>
  </si>
  <si>
    <t xml:space="preserve">Level 1: the feature is named in slide 44 but not described</t>
  </si>
  <si>
    <t xml:space="preserve">If the real flow differs, change the Flow step column and the new test cases</t>
  </si>
  <si>
    <t xml:space="preserve">Regression TestCases columns Flow step, Impact; all 26 new test cases</t>
  </si>
  <si>
    <t xml:space="preserve">What are the steps of Self-Enrol + Funding?</t>
  </si>
  <si>
    <t xml:space="preserve">ASM-99</t>
  </si>
  <si>
    <t xml:space="preserve">The Tender does not say which test cases a new feature affects</t>
  </si>
  <si>
    <t xml:space="preserve">A clause on a step of the flow is Direct. A clause of the three modules that is not on a step but shares data, a rule or a trigger with a Direct clause is Possible. The other clauses are not affected. The reason for each Possible clause is in the column Why in regression</t>
  </si>
  <si>
    <t xml:space="preserve">Lesson 3 risk based regression scope (course)</t>
  </si>
  <si>
    <t xml:space="preserve">Level 1: a side effect through shared data is possible but cannot be read from the Tender</t>
  </si>
  <si>
    <t xml:space="preserve">If the team knows the design, move clauses between Direct, Possible and not affected</t>
  </si>
  <si>
    <t xml:space="preserve">Regression TestCases column Impact (Possible rows)</t>
  </si>
  <si>
    <t xml:space="preserve">Which other clauses read the data or the result of the Self-Enrol + Funding flow?</t>
  </si>
  <si>
    <t xml:space="preserve">ASM-100</t>
  </si>
  <si>
    <t xml:space="preserve">A Possible test case needs a suite as well</t>
  </si>
  <si>
    <t xml:space="preserve">A Possible test case is never Smoke, because Smoke is kept for the flow itself. Possible with Severity 1 is Core and all other Possible test cases are Extended. A New test case follows its Severity like a Direct one</t>
  </si>
  <si>
    <t xml:space="preserve">Level 1: the risk of a side effect is lower than the risk of the flow</t>
  </si>
  <si>
    <t xml:space="preserve">If the team wants Possible cases in Smoke, change the formula of the column Regression suite</t>
  </si>
  <si>
    <t xml:space="preserve">Should side effect test cases ever be in Smoke?</t>
  </si>
  <si>
    <t xml:space="preserve">ASM-101</t>
  </si>
  <si>
    <t xml:space="preserve">Regression Defects</t>
  </si>
  <si>
    <t xml:space="preserve">The Tender does not say how a new feature changes the severity of existing defects</t>
  </si>
  <si>
    <t xml:space="preserve">Self-enrol removes the staff check. A defect whose symptom was caught or corrected by staff before money moved, and that now reaches the learner, the seat, the fee or the funding claim directly, takes the next more severe level. A defect limited to a report, a layout or an administrator only function keeps its severity. Urgency follows ASM-92 and Priority follows the matrix of ASM-91 after the change</t>
  </si>
  <si>
    <t xml:space="preserve">Slide 44 Individual Assignment and Lesson 4 Severity and Priority (course)</t>
  </si>
  <si>
    <t xml:space="preserve">Level 1: the feature changes who sees a failure first</t>
  </si>
  <si>
    <t xml:space="preserve">If the team judges a defect differently, change the column Severity after</t>
  </si>
  <si>
    <t xml:space="preserve">Regression Defects Table 2</t>
  </si>
  <si>
    <t xml:space="preserve">Does the removal of staff review raise the severity of these defects?</t>
  </si>
  <si>
    <t xml:space="preserve">ASM-102</t>
  </si>
  <si>
    <t xml:space="preserve">Regression TestCases</t>
  </si>
  <si>
    <t xml:space="preserve">ASM-91 lets defect severity differ from test case severity</t>
  </si>
  <si>
    <t xml:space="preserve">In Regression TestCases only, a test case linked to a changed defect takes the new severity of the defect when that is more severe, so that a Smoke defect has a Smoke test case. A new test case takes the severity of its new defect. The Priority is recalculated by ASM-95. The sheet TestCases is not changed. The Severity and Priority cells changed are in bold</t>
  </si>
  <si>
    <t xml:space="preserve">ASM-91, ASM-95</t>
  </si>
  <si>
    <t xml:space="preserve">Level 1: a Severity 1 defect needs a test case in Smoke</t>
  </si>
  <si>
    <t xml:space="preserve">If the team keeps test case severity apart from defect severity, undo the bold cells</t>
  </si>
  <si>
    <t xml:space="preserve">TC-SCN-045-02 (2 to 1), TC-SCN-069-01 (2 to 1), TC-SCN-093-01 (2 to 1), TC-SCN-148-01 (2 to 1)</t>
  </si>
  <si>
    <t xml:space="preserve">Is the test case severity raised with the defect severity?</t>
  </si>
  <si>
    <t xml:space="preserve">ASM-103</t>
  </si>
  <si>
    <t xml:space="preserve">Regression Defects and TestCases</t>
  </si>
  <si>
    <t xml:space="preserve">The new feature has no clause, so new defects and test cases have no Tender row of their own</t>
  </si>
  <si>
    <t xml:space="preserve">Each new defect and test case is placed where two or more steps meet. The Tender clause is the clause that states the rule, and the other clauses are in the columns Other clauses and Traceability Requirement. The Sprint is the latest Sprint of the clauses involved, because the join can be tested only then. The Checkpoint Ref is the checkpoint of the clause that states the rule. The scenario IDs SCN-R01 to SCN-R08 and the test case IDs TC-SCN-R01-01 and up exist only in Regression TestCases. Defect IDs continue from DEF-071. Status is Draft because the expected result depends on ASM-98</t>
  </si>
  <si>
    <t xml:space="preserve">Tender clauses listed in the Evidence column of Regression Defects</t>
  </si>
  <si>
    <t xml:space="preserve">Level 1: a rule is needed so that every new row can be traced</t>
  </si>
  <si>
    <t xml:space="preserve">If the Tender owner adds a Self-Enrol clause, replace the Tender clause of the new rows</t>
  </si>
  <si>
    <t xml:space="preserve">Regression Defects Table 1, Regression TestCases Table 1</t>
  </si>
  <si>
    <t xml:space="preserve">Is there a Tender clause for Self-Enrol + Funding?</t>
  </si>
  <si>
    <t xml:space="preserve">Severity 1 is Smoke, Severity 2 is Core, Severity 3 and 4 is Extended, Reject is Not ready (ASM-96). Possible cases follow ASM-100</t>
  </si>
  <si>
    <t xml:space="preserve">Scope</t>
  </si>
  <si>
    <t xml:space="preserve">Table 1 holds the new test cases. Table 2 holds the existing test cases to retest, Direct (on a step of the flow) and Possible (shared data or rules) (ASM-99)</t>
  </si>
  <si>
    <t xml:space="preserve">Defects</t>
  </si>
  <si>
    <t xml:space="preserve">Regression Defects Table 1 holds the new defects. Table 2 holds the existing defects whose severity changes, with the values before and after (ASM-101). Defects identical to the Defects sheet are not repeated</t>
  </si>
  <si>
    <t xml:space="preserve">Impact x Urgency from Lesson 4 section 22. Impact is High for Severity 1 and 2, Urgency follows ASM-92</t>
  </si>
  <si>
    <t xml:space="preserve">Colours</t>
  </si>
  <si>
    <t xml:space="preserve">In the column Impact green marks a New test case and yellow marks a Possible test case. Severity and Status use the colours of the main sheets. A value in bold is a value changed by the feature</t>
  </si>
  <si>
    <t xml:space="preserve">Source data</t>
  </si>
  <si>
    <t xml:space="preserve">Table 2 of Regression TestCases copies rows of TestCases and Table 2 of Regression Defects refers to rows of Defects. Change the main sheets first</t>
  </si>
  <si>
    <t xml:space="preserve">No test case was executed. Actual Result is Not Executed and every defect is potential</t>
  </si>
  <si>
    <t xml:space="preserve">Only requirement source. Verbatim quotes in the Evidence column of Regression Defects</t>
  </si>
  <si>
    <t xml:space="preserve">Slide 44 Individual Assignment</t>
  </si>
  <si>
    <t xml:space="preserve">Defect triage (Sev1 to 4) and regression plan for the Self-Enrol + Funding feature</t>
  </si>
  <si>
    <t xml:space="preserve">Lesson 3 and Lesson 4 (course)</t>
  </si>
  <si>
    <t xml:space="preserve">Risk based regression scope, retest versus regression, Severity and Priority</t>
  </si>
  <si>
    <t xml:space="preserve">Regression_Plan_Self-Enrol_Funding.docx</t>
  </si>
  <si>
    <t xml:space="preserve">Plan that uses these sheets (scope, suites, order, entry and exit)</t>
  </si>
  <si>
    <t xml:space="preserve">Tender clauses by Sprint and Module (Training Management)</t>
  </si>
  <si>
    <t xml:space="preserve">Modules follow the assignment slides: Enrolment, Assessment, Funding. Sprints follow column Sprint # of the Tender. Counts are formulas over the sheets listed.</t>
  </si>
  <si>
    <t xml:space="preserve">Total rows listed</t>
  </si>
  <si>
    <t xml:space="preserve">A Tender row with several sprints (for example 1,2,3) counts once in each sprint it names, so the grand total can exceed the number of distinct Tender rows.</t>
  </si>
  <si>
    <t xml:space="preserve">Core rows</t>
  </si>
  <si>
    <t xml:space="preserve">Supporting rows</t>
  </si>
  <si>
    <t xml:space="preserve">Core: registration and enrolment clauses (8.2, 8.3, 8.5, 8.6, 8.1.9 to 8.1.12). Supporting: login, form setup, course switching, integrations</t>
  </si>
  <si>
    <t xml:space="preserve">Core: mark and grade setup (6.5) and section 10 (attendance, assessment, progression). Supporting: certificate rules, assessment scheduling, integrations</t>
  </si>
  <si>
    <t xml:space="preserve">Core: fee and funding setup (6.3, 6.4), grant checks at registration, alumni credit, PSEA, funding reports. Supporting: invoice, payment and refund clauses that carry funding</t>
  </si>
  <si>
    <t xml:space="preserve">Sheet guide</t>
  </si>
  <si>
    <t xml:space="preserve">Sprint 1, Sprint 2, Sprint 3</t>
  </si>
  <si>
    <t xml:space="preserve">One sheet per sprint. Each sheet has three module blocks in the order Enrolment, Assessment, Funding.</t>
  </si>
  <si>
    <t xml:space="preserve">Rows with a blank Sprint # or a cell Excel converted to a date. Listed for transparency, not placed in a sprint.</t>
  </si>
  <si>
    <t xml:space="preserve">Clause List Notes</t>
  </si>
  <si>
    <t xml:space="preserve">Notes A1 to A9 on how clauses were mapped to modules and sprints, and Tender sections left out. The test case assumptions are on the Assumptions sheet.</t>
  </si>
  <si>
    <t xml:space="preserve">Column Self-Enrol + Funding flow step</t>
  </si>
  <si>
    <t xml:space="preserve">Draft link from a clause to a step of the Self-Enrol + Funding flow: 1 Login and MyInfo, 2 Blacklist check, 3 Prerequisite and restriction check, 4 Grant eligibility and fee, 5 Seat confirm or waitlist, 6 Net fee and invoice, 7 Outcome based funding. Draft until A6 is confirmed.</t>
  </si>
  <si>
    <t xml:space="preserve">Sprint 1: Tender clauses by module</t>
  </si>
  <si>
    <t xml:space="preserve">Source: Tender_requirements_0232.xlsx, column Sprint #. A row with several sprints (for example 1,2,3) is listed in each sprint it names. Notes A1 to A9 are on the Clause List Notes sheet.</t>
  </si>
  <si>
    <t xml:space="preserve">Relevance</t>
  </si>
  <si>
    <t xml:space="preserve">Clause</t>
  </si>
  <si>
    <t xml:space="preserve">Requirement (Tender text)</t>
  </si>
  <si>
    <t xml:space="preserve">Context (lead in of the clause)</t>
  </si>
  <si>
    <t xml:space="preserve">Sprint # in Tender</t>
  </si>
  <si>
    <t xml:space="preserve">Self-Enrol + Funding flow step (draft, A6)</t>
  </si>
  <si>
    <t xml:space="preserve">Tender row</t>
  </si>
  <si>
    <t xml:space="preserve">Note</t>
  </si>
  <si>
    <t xml:space="preserve">Supporting</t>
  </si>
  <si>
    <t xml:space="preserve">The System shall provide integration with SingPass for authentication of Singapore Residents for login.</t>
  </si>
  <si>
    <t xml:space="preserve">The System shall cater for credential login ID, password and 2FA through One Time Password (OTP) for Learners, Corporate Customers and external users (external trainers, both local &amp; overseas) who cannot be authenticated using SingPass and CorpPass for login.</t>
  </si>
  <si>
    <t xml:space="preserve">Learners shall have access to browse the course catalogue, their course progress including attendance, assessments, payments and make requests via a portal. SingPass MyInfo integration should be done to allow users to retrieve personal particulars information easily.</t>
  </si>
  <si>
    <t xml:space="preserve">The System shall allow the differentiation between Credit Bearing and Non-Credit Bearing routes to a course and allow learners to pursue register accordingly.</t>
  </si>
  <si>
    <t xml:space="preserve">3) Course Run intake size configuration</t>
  </si>
  <si>
    <t xml:space="preserve">The System shall allow Course Administrator to manage and schedule Course Runs. The functions required include but not limited to:</t>
  </si>
  <si>
    <t xml:space="preserve">4) Course registration period configuration</t>
  </si>
  <si>
    <t xml:space="preserve">The System shall allow the set-up of different workflows for approval with status tracking of programmes/courses to be offered, with course application management by course level and by course run.</t>
  </si>
  <si>
    <t xml:space="preserve">The System shall allow multiple individual learner and corporate registration forms for the various types of courses by respective Schools.</t>
  </si>
  <si>
    <t xml:space="preserve">The System shall allow import functions for batch registration by Sponsor (Employers) or by Staff.</t>
  </si>
  <si>
    <t xml:space="preserve">The System shall have the capability to automatically perform batch processing of registration.</t>
  </si>
  <si>
    <t xml:space="preserve">The System shall perform basic registration form validation which includes mandatory field data entry, data types, format, minimum and maximum length, within predefined ranges, consistency, look up (validate data against predefined values), etc.</t>
  </si>
  <si>
    <t xml:space="preserve">The System shall allow course runs to be cloned for several subsequent new course runs.</t>
  </si>
  <si>
    <t xml:space="preserve">The System shall have the capability to allow uploading documents to support course application.</t>
  </si>
  <si>
    <t xml:space="preserve">The System shall have the capability to allow multiple and parallel runs of the same course or assessment to be conducted with different parameter values such as period, training resource, fees, and grants.</t>
  </si>
  <si>
    <t xml:space="preserve">The System shall have the capability to configure and set up a minimum and maximum number of Learners for each course or assessment.</t>
  </si>
  <si>
    <t xml:space="preserve">The System shall have the capability to configure waitlists if meet the maximum number of learners for each course or assessment. And able to prioritize the applicants on a first come first serve basis.</t>
  </si>
  <si>
    <t xml:space="preserve">The System shall have the capability to channel the applications on the waitlist to another course for confirmation.</t>
  </si>
  <si>
    <t xml:space="preserve">The System shall ensure and lead all course applicants to create a new user account first when they register for the course.</t>
  </si>
  <si>
    <t xml:space="preserve">The System shall allow Indemnity and Personal Data Protection Act (PDPA) declaration and consent to use personal data for course/ programme administration to be captured during registration for individual applicant, company-sponsored applicant, and company representative that submit the registration</t>
  </si>
  <si>
    <t xml:space="preserve">The System shall allow acknowledgement of Terms and Conditions by applicants.</t>
  </si>
  <si>
    <t xml:space="preserve">The System shall allow Indemnity and Personal Data Protection Act (PDPA) declaration and consent to use personal data for course/ programme administration to be</t>
  </si>
  <si>
    <t xml:space="preserve">The System shall allow Learners to opt out of receiving marketing material campaign.</t>
  </si>
  <si>
    <t xml:space="preserve">The System shall allow registrants to log in with their existing user account if they already have one and populate their information.</t>
  </si>
  <si>
    <t xml:space="preserve">The System shall populate applicant’s personal information (verified by SingPass MyInfo) from user account to registration form.</t>
  </si>
  <si>
    <t xml:space="preserve">The System shall allow both mandatory and optional fields in the registration form and have a mechanism for applicants to save the application, if not completed in stipulated time or Learners need to revisit later.</t>
  </si>
  <si>
    <t xml:space="preserve">The System shall have a mechanism to track incomplete registration forms, send automatic reminders to applicants to complete; alert and allow Course Administrators to run reports for monitoring.</t>
  </si>
  <si>
    <t xml:space="preserve">The System shall allow registration at both course and programme level.</t>
  </si>
  <si>
    <t xml:space="preserve">The System shall allow uploading of supporting documents for registration and automated checking for the list of required documents to be submitted.</t>
  </si>
  <si>
    <t xml:space="preserve">The System shall capture all information in structured fields for downstream processing of activities and avoid re-entering of information.</t>
  </si>
  <si>
    <t xml:space="preserve">1. Salutation</t>
  </si>
  <si>
    <t xml:space="preserve">The System shall ensure all information is captured for processing the course application which includes the following but not limited to:</t>
  </si>
  <si>
    <t xml:space="preserve">Unnumbered paragraph that follows 8.2.19 in the Tender; it is the list of data captured at registration</t>
  </si>
  <si>
    <t xml:space="preserve">2. Full name as per NRIC/FIN/Passport</t>
  </si>
  <si>
    <t xml:space="preserve">3. NRIC/FIN/Passport No</t>
  </si>
  <si>
    <t xml:space="preserve">4. Date of birth</t>
  </si>
  <si>
    <t xml:space="preserve">5. Nationality</t>
  </si>
  <si>
    <t xml:space="preserve">6. Address</t>
  </si>
  <si>
    <t xml:space="preserve">7. Telephone No</t>
  </si>
  <si>
    <t xml:space="preserve">8. Email address</t>
  </si>
  <si>
    <t xml:space="preserve">9. Education Information</t>
  </si>
  <si>
    <t xml:space="preserve">10. Alumni status</t>
  </si>
  <si>
    <t xml:space="preserve">11. Professional Body Membership</t>
  </si>
  <si>
    <t xml:space="preserve">12. Company Name</t>
  </si>
  <si>
    <t xml:space="preserve">13. Department</t>
  </si>
  <si>
    <t xml:space="preserve">14. Job Title</t>
  </si>
  <si>
    <t xml:space="preserve">15. Company website</t>
  </si>
  <si>
    <t xml:space="preserve">16. Company address</t>
  </si>
  <si>
    <t xml:space="preserve">17. Billing address</t>
  </si>
  <si>
    <t xml:space="preserve">4) Enrolment integration</t>
  </si>
  <si>
    <t xml:space="preserve">The System shall provide seamless integration with SSG systems / TG Gateway at the various integration points but not limited to the following processes:</t>
  </si>
  <si>
    <t xml:space="preserve">The System shall support integration with the external entity MyInfo.</t>
  </si>
  <si>
    <t xml:space="preserve">The System shall support integration with the external entity SingPass.</t>
  </si>
  <si>
    <t xml:space="preserve">7) Assessment scheduling</t>
  </si>
  <si>
    <t xml:space="preserve">The System shall have the capability to tag resources and facilities to courses and assessments.</t>
  </si>
  <si>
    <t xml:space="preserve">The System shall have the capability to allow administrators to create course / assessment schedule in template form with upload function.</t>
  </si>
  <si>
    <t xml:space="preserve">The System shall include the capability to track and recommend the progression of courses a Learner must complete in order to attain the relevant qualification including the courses passed, enrolled in, outstanding, and different course equivalency and remaining candidature.</t>
  </si>
  <si>
    <t xml:space="preserve">5) eAttendance integration</t>
  </si>
  <si>
    <t xml:space="preserve">6) Assessment integration</t>
  </si>
  <si>
    <t xml:space="preserve">The System shall allow course fee profile creation for self-sponsored and company sponsorships cases.</t>
  </si>
  <si>
    <t xml:space="preserve">The System shall allow the creation of rules for calculation of course fees and GST.</t>
  </si>
  <si>
    <t xml:space="preserve">7) MOE teachers</t>
  </si>
  <si>
    <t xml:space="preserve">The System shall have the capability to generate fees payable with automatic calculation based on criteria including but not limited to:</t>
  </si>
  <si>
    <t xml:space="preserve">The System shall allow the setup of different fee profiles with different fee types for self-sponsored and corporate sponsored for SkillsFuture subsidised and nonsubsidised courses, with details including but not limited to each different eligibility rule around subsidies, grants, credits, and discounts for different fee profiles.</t>
  </si>
  <si>
    <t xml:space="preserve">3) Ad-hoc discount</t>
  </si>
  <si>
    <t xml:space="preserve">The System shall allow the Course Administrators to configure various types of discounts with complex and multi-tier hierarchical business rules and eligibility</t>
  </si>
  <si>
    <t xml:space="preserve">4) Group discount</t>
  </si>
  <si>
    <t xml:space="preserve">The System shall allow the option to apply a discretionary discount by percentage or a flat rate with automated calculation of fees after applying the discount. The System shall facilitate the refunds of fees with necessary approvals.</t>
  </si>
  <si>
    <t xml:space="preserve">For multiple sponsorships per course, the System shall support multiple billing of sponsors with pre-configured billing allocation automatically.</t>
  </si>
  <si>
    <t xml:space="preserve">The System shall allow the setting up of multiple funding agencies, schemes, and/or multiple sponsorships per course/programme.</t>
  </si>
  <si>
    <t xml:space="preserve">The System shall allow individual learners to register as self-sponsored or company sponsored and have the capability to provide costing accordingly. For company sponsored, the System shall allow learner to provide the company details such as company name, address, and contact person, etc.</t>
  </si>
  <si>
    <t xml:space="preserve">The System shall facilitate applicants to check on the available Skills Future Credit (SFC) including SFC (mid-career) top-up.</t>
  </si>
  <si>
    <t xml:space="preserve">The System shall support integration with the SkillsFuture Singapore (SSG) System and Training Partners Gateway (TPGateway).</t>
  </si>
  <si>
    <t xml:space="preserve">2) Grant Calculator integration</t>
  </si>
  <si>
    <t xml:space="preserve">3) SFC gateway integration</t>
  </si>
  <si>
    <t xml:space="preserve">8) Grant integration</t>
  </si>
  <si>
    <t xml:space="preserve">Sprint 2: Tender clauses by module</t>
  </si>
  <si>
    <t xml:space="preserve">The System shall allow learners to review offer decisions, appeals, request change of programme/courses, request for leave of absence, request for withdrawal, request for deferment, request for waiver, etc. via a self-service portal. Relevant workflow processing shall be triggered based on the type of learner's request.</t>
  </si>
  <si>
    <t xml:space="preserve">The System shall allow bulk registrations by uploading learner information in Excel file and have a mechanism to upload all supporting documents.</t>
  </si>
  <si>
    <t xml:space="preserve">The System shall allow group registrations for 3 people or more, early bird registration, for applicants to enjoy respective discounts.</t>
  </si>
  <si>
    <t xml:space="preserve">The System shall check if applicants are in the SSG and Schools’ blacklisting and compute the overview of course fee for registration.</t>
  </si>
  <si>
    <t xml:space="preserve">18. Company HR contact (for company sponsorship)</t>
  </si>
  <si>
    <t xml:space="preserve">The System shall allow standard email templates where Course Administrators can activate a communication to applicants or communication email sent automatically.</t>
  </si>
  <si>
    <t xml:space="preserve">The System shall validate the prerequisites and enrolment criteria of courses and programmes during application registration. If Learners do not meet the validation criteria, the System shall alert Administrators and provide them with descriptive reasons for the failed application, for follow-up.</t>
  </si>
  <si>
    <t xml:space="preserve">(A) Company HR Contact: - 1. Company Name</t>
  </si>
  <si>
    <t xml:space="preserve">The System shall ensure important information is captured for processing the application which includes the following but not limited to:</t>
  </si>
  <si>
    <t xml:space="preserve">2. Department</t>
  </si>
  <si>
    <t xml:space="preserve">3. Company website</t>
  </si>
  <si>
    <t xml:space="preserve">4. Company address</t>
  </si>
  <si>
    <t xml:space="preserve">5. Billing address</t>
  </si>
  <si>
    <t xml:space="preserve">6. HR Contact Name</t>
  </si>
  <si>
    <t xml:space="preserve">7. HR Job Title</t>
  </si>
  <si>
    <t xml:space="preserve">8. HR Contact Tel No</t>
  </si>
  <si>
    <t xml:space="preserve">9. HR Contact Email address</t>
  </si>
  <si>
    <t xml:space="preserve">12. Job Title</t>
  </si>
  <si>
    <t xml:space="preserve">13. Company HR contact (for company sponsorship)</t>
  </si>
  <si>
    <t xml:space="preserve">The System shall ensure and lead corporate applicants to create a new user account first when they register for the course.</t>
  </si>
  <si>
    <t xml:space="preserve">The System shall allow corporate registrants to log in with their existing user account if they already have one.</t>
  </si>
  <si>
    <t xml:space="preserve">For company sponsored registrations, the System shall do an automatic check on the UEN number entered by applicant.</t>
  </si>
  <si>
    <t xml:space="preserve">The System shall populate corporate applicant’s company information from user account to registration form and consent to the PDPA and privacy statement on the course registration form.</t>
  </si>
  <si>
    <t xml:space="preserve">The System shall allow both mandatory and optional fields in the registration form and have a mechanism for corporate applicants to save the application, if not completed in stipulated time or Learners need to revisit later.</t>
  </si>
  <si>
    <t xml:space="preserve">The System shall have a mechanism to track incomplete registration forms and alert Course Administrators. The System shall allow them to run reports for monitoring.</t>
  </si>
  <si>
    <t xml:space="preserve">For company sponsored registrations, the System shall do an automatic check on the UEN number entered by corporate applicant.</t>
  </si>
  <si>
    <t xml:space="preserve">The System shall capture all information in structured fields for downstream processing of activities and avoid re-entering data.</t>
  </si>
  <si>
    <t xml:space="preserve">The System shall allow supporting documents for registrations to be uploaded and automated checking for list of required documents to be submitted.</t>
  </si>
  <si>
    <t xml:space="preserve">The System shall allow settings for applicants to submit pre-assessment requirements for different shortlisting criteria assessment process (Same to be applicable for FlexiMasters and SkillsFuture Career Transition Programmes that require shortlisting).</t>
  </si>
  <si>
    <t xml:space="preserve">The System shall allow automated sending of list/survey for pre-assessment requirements to the applicants upon their application</t>
  </si>
  <si>
    <t xml:space="preserve">The System shall support scheduling of assessment and interview between shortlisted applicants and Training provider staff/faculty for in-person/online interviews.</t>
  </si>
  <si>
    <t xml:space="preserve">The System shall have the capability to send automatic communication to applicants for scheduling interviews and confirmation on application.</t>
  </si>
  <si>
    <t xml:space="preserve">The System shall support scheduling of assessment and interview between shortlisted applicants and Training provider staff/faculty for in-person/online intervie</t>
  </si>
  <si>
    <t xml:space="preserve">The System shall have the capability based on capacity-based auto confirmation and on first-come-first-serve basis.</t>
  </si>
  <si>
    <t xml:space="preserve">The System shall have an automated process to auto register and enroll those who are in the parent course into its individual multiple courses for courses that have bitesized courses.</t>
  </si>
  <si>
    <t xml:space="preserve">The System shall allow the capability to automatically put Learners on a waitlist if the class is full and notify candidates when seats are available and channel them to another course.</t>
  </si>
  <si>
    <t xml:space="preserve">The System shall support course offer management where letter of offer is customizable for various courses by respective Schools.</t>
  </si>
  <si>
    <t xml:space="preserve">The System shall include the capability to configure and set up enrolment restriction based on criteria including but not limited to:</t>
  </si>
  <si>
    <t xml:space="preserve">1) Age;</t>
  </si>
  <si>
    <t xml:space="preserve">2) Course/Assessment Prerequisites;</t>
  </si>
  <si>
    <t xml:space="preserve">3) Penalty;</t>
  </si>
  <si>
    <t xml:space="preserve">4) Capacity of course/assessment.</t>
  </si>
  <si>
    <t xml:space="preserve">The System shall allow Course Administrator to perform ad-hoc enrolment for selfsponsored or corporate sponsored Learners for exception cases.</t>
  </si>
  <si>
    <t xml:space="preserve">The System shall have the capability to set a limit of waitlist slots and automatically close registration for the course when waitlist is full.</t>
  </si>
  <si>
    <t xml:space="preserve">The System shall have the capability for Learners to withdraw, send replacement or transfer to another training schedule with remark field to capture the reason, within specified period of time.</t>
  </si>
  <si>
    <t xml:space="preserve">The System shall have the capability to automatically include Learners’ particulars who have been transferred to another training schedule or course.</t>
  </si>
  <si>
    <t xml:space="preserve">The System shall have the capability for Learners to withdraw, send replacement or transfer to another training schedule with remark field to capture the reason</t>
  </si>
  <si>
    <t xml:space="preserve">The System shall have the capability to assign to different classes or assessment for Learners who choose to withdraw or re-schedule course or assessment, subject to approval.</t>
  </si>
  <si>
    <t xml:space="preserve">The System shall have the capability for Learners to defer courses and assessments subject to approval by the authorizing department and track them accordingly.</t>
  </si>
  <si>
    <t xml:space="preserve">The System shall have the capability to automatically interface Enrolments to Training Partners Gateway (TPGateway).</t>
  </si>
  <si>
    <t xml:space="preserve">1) Withdrawals</t>
  </si>
  <si>
    <t xml:space="preserve">The System shall allow fee changes and approval in cases including but not limited to:</t>
  </si>
  <si>
    <t xml:space="preserve">2) Leave of Absence (LOA)</t>
  </si>
  <si>
    <t xml:space="preserve">3) Deferrals</t>
  </si>
  <si>
    <t xml:space="preserve">4) Termination</t>
  </si>
  <si>
    <t xml:space="preserve">The System shall allow different payment processes for: 1) Applicant Payments, 2) Sponsor Payments.</t>
  </si>
  <si>
    <t xml:space="preserve">6) Company SME status</t>
  </si>
  <si>
    <t xml:space="preserve">The System shall have the capability to setup various course fee structures and associated administration fee, volume discount, material fee, reassessment fee, registration fee, course exemption fee, etc including but not limited to: 1) Installment payments; 2) Late payments. The system shall have the checker and approver of the setups to abide to audit requirements for check and balance.</t>
  </si>
  <si>
    <t xml:space="preserve">1) Special discount, e.g. staff, alumni, Singapore citizens, etc</t>
  </si>
  <si>
    <t xml:space="preserve">2) Promotional discount, e.g. early-bird discount, eVouchers, etc</t>
  </si>
  <si>
    <t xml:space="preserve">System shall keep track of grant utilization and discounts by Schools, school, and course types.</t>
  </si>
  <si>
    <t xml:space="preserve">The System shall allow automation for application of grant, subsidies, SFC, SFC (mid-career) top up, ETSS, credits, discounts, PSEA, Alumni Course Credit (ACC), and Additional Funding Support (AFS applicable for SkillsFuture Career Transition Programme) for fee calculation.</t>
  </si>
  <si>
    <t xml:space="preserve">The System shall support automated outcome based SkillsFuture Singapore (SSG) funding based on the following requirements:</t>
  </si>
  <si>
    <t xml:space="preserve">1) Minimum 75% attendance</t>
  </si>
  <si>
    <t xml:space="preserve">2) Passing the assessment</t>
  </si>
  <si>
    <t xml:space="preserve">The System shall support the integration with Training Partners Gateway’s (TPGateway) Financial Management System for automated drawing down of block grants for completed courses.</t>
  </si>
  <si>
    <t xml:space="preserve">The System shall allow inputs of the Vendor@Gov Business Unit reference and Government Electronic Business (GeBIZ) purchase order number for the Small and Medium-sized Enterprises (SME) to record their status as SME status to be entitled for Enhanced Training Support for SMEs (ETSS) funding from SkillsFuture Singapore (SSG).</t>
  </si>
  <si>
    <t xml:space="preserve">2) Age</t>
  </si>
  <si>
    <t xml:space="preserve">The System shall allow the setup of different multi-tier Grant structures and funding schemes based on details of different eligibility criteria including not b</t>
  </si>
  <si>
    <t xml:space="preserve">5) Learner’s course history</t>
  </si>
  <si>
    <t xml:space="preserve">6) Subsidy by other funding agencies, including SSG SkillsFuture Career Transition Programme (SCTP), WSG, IBF, NSA, etc.</t>
  </si>
  <si>
    <t xml:space="preserve">7) LTVP+ (Long Term Visit Pass holder)</t>
  </si>
  <si>
    <t xml:space="preserve">System shall allow tagging to the correct version of Grant based on SSG’s LOA.</t>
  </si>
  <si>
    <t xml:space="preserve">The System shall allow configuration of discount type by percentage or by flat rate for each course type.</t>
  </si>
  <si>
    <t xml:space="preserve">1) Invoicing</t>
  </si>
  <si>
    <t xml:space="preserve">The System shall have the capability to automatically trigger finance functions upon changes to course application, including but not limited to:</t>
  </si>
  <si>
    <t xml:space="preserve">2) Credit Notes 3) Refunds.</t>
  </si>
  <si>
    <t xml:space="preserve">The System shall facilitate and check the eligibility of SSG grant for applicants and compute the course fee for registration.</t>
  </si>
  <si>
    <t xml:space="preserve">The System shall facilitate company sponsored applicants to do SME declaration.</t>
  </si>
  <si>
    <t xml:space="preserve">The System shall facilitate/verify corporate applicants with SME declaration.</t>
  </si>
  <si>
    <t xml:space="preserve">The System shall allow the set-up of multiple invoice and receipt templates by SchoolA and SchoolB, as well as automated generation of electronic invoice and receipt containing item-level details including but not limited to:</t>
  </si>
  <si>
    <t xml:space="preserve">1) Subsidy/SSG Grants;</t>
  </si>
  <si>
    <t xml:space="preserve">The System shall allow the set-up of multiple invoice and receipt templates by SchoolA and SchoolB, as well as automated generation of electronic invoice and re</t>
  </si>
  <si>
    <t xml:space="preserve">3) Discount;</t>
  </si>
  <si>
    <t xml:space="preserve">4) PSEA; 5) GST;</t>
  </si>
  <si>
    <t xml:space="preserve">6) SkillsFuture Credit.</t>
  </si>
  <si>
    <t xml:space="preserve">7) Course name &amp; dates</t>
  </si>
  <si>
    <t xml:space="preserve">The System shall allow the automated generation of invoice with detailed breakdown of billing items and allow for remarks to be captured. Specific templates (e.g. using direct discounting methods or indirect discounting methods) can be selected during invoice creation based on business rules. Billing items should include but are not limited to the following:</t>
  </si>
  <si>
    <t xml:space="preserve">The System shall allow the automated generation of invoice with detailed breakdown of billing items and allow for remarks to be captured. Specific templates (e.</t>
  </si>
  <si>
    <t xml:space="preserve">The system shall have the capability to automatically interface to Training Partners Gateway (TPGateway) Nett Course Fee payable computation for checking of the SkillsFuture Credit (SFC) Approved amount and to generate the nettt course fee payable.</t>
  </si>
  <si>
    <t xml:space="preserve">The System shall have the capability to automatically generate all billing items in the Learner’s invoice provisioned under the course fee setup when the Learner’s profiles fall within eligible criteria for auto application.</t>
  </si>
  <si>
    <t xml:space="preserve">The System shall provide the capability to clearly indicate the breakdown of billing items invoices with automated calculation but not limited to below:</t>
  </si>
  <si>
    <t xml:space="preserve">1) Course Fees: Different type of course fee structures depend on the type of courses and programmes</t>
  </si>
  <si>
    <t xml:space="preserve">2) Less: Fundings/subsidies</t>
  </si>
  <si>
    <t xml:space="preserve">3) Less: Other discounts/grants</t>
  </si>
  <si>
    <t xml:space="preserve">The System shall be able to segregate SchoolA and SchoolB invoice and receipt templates and allow for tracking of outstanding debts separately too. Reason being the fee structures are different for different funders/funding requirements.</t>
  </si>
  <si>
    <t xml:space="preserve">The System shall have the capability to set up GST charging for different billing fee types, discounts, subsidies and/or grants including but not limited to:</t>
  </si>
  <si>
    <t xml:space="preserve">1) Different customer groups</t>
  </si>
  <si>
    <t xml:space="preserve">2) Different billing items</t>
  </si>
  <si>
    <t xml:space="preserve">3) Charge items (fee types, subsidies, grants and/or discounts).</t>
  </si>
  <si>
    <t xml:space="preserve">The System shall have the capability to generate a new invoice/credit note when there is a change in the course or assessment date. In the event of a change in sponsorship, the System shall allow generation of new invoice to individual/another sponsor and issue credit note to the original sponsor.</t>
  </si>
  <si>
    <t xml:space="preserve">1) Upfront upon course registration or enrolment offer;</t>
  </si>
  <si>
    <t xml:space="preserve">The System shall allow the set-up of different types of payment modes according to course and assessment structure including but not limited to:</t>
  </si>
  <si>
    <t xml:space="preserve">2) Course level;</t>
  </si>
  <si>
    <t xml:space="preserve">3) Installments;</t>
  </si>
  <si>
    <t xml:space="preserve">4) Lump Sum;</t>
  </si>
  <si>
    <t xml:space="preserve">5) Deductible via SkillsFuture credit; 6) PSEA.</t>
  </si>
  <si>
    <t xml:space="preserve">Note that payment through modes like PSEA and SkillsFuture credits must be able to be credited automatically to the correct Schools</t>
  </si>
  <si>
    <t xml:space="preserve">The System shall have the capability to make refunds for the following external fundings including but not limited to:</t>
  </si>
  <si>
    <t xml:space="preserve">1) SkillsFuture Credits; 2) PSEA;</t>
  </si>
  <si>
    <t xml:space="preserve">3) Courses sponsored by company.</t>
  </si>
  <si>
    <t xml:space="preserve">The system shall support integration with the external entity to prove employer SME status to have the SSG's ETSS funding support for employees enrol into SSG funded courses. It is via MyInfo and cross check with ACRA.</t>
  </si>
  <si>
    <t xml:space="preserve">The System shall automatically track and update the PSEA Fund Disbursement status based on the payment disbursement file or status received from MOE.</t>
  </si>
  <si>
    <t xml:space="preserve">Sprint 3: Tender clauses by module</t>
  </si>
  <si>
    <t xml:space="preserve">The System shall have the capability to notify Learners and Corporate Customers of the outcome of the application, enrolment, withdrawal, deferment, course switching processing, whenever applicable.</t>
  </si>
  <si>
    <t xml:space="preserve">To access Training provider Learning Management System, the System shall automatically create student account for learners who have successfully enrolled to programmmes/courses eg. the credit bearing courses such as Semester Long Courses and Fleximasters, and associate account for non-credit bearing courses.</t>
  </si>
  <si>
    <t xml:space="preserve">The System shall support integration with the Training provider Student Management System for credit bearing and stackable Semester Long Courses and FlexiMasters to facilitate programme course enrolment, examination scoring, and examination results viewing.</t>
  </si>
  <si>
    <t xml:space="preserve">The System shall allow Learners to appeal course results with the Schools.</t>
  </si>
  <si>
    <t xml:space="preserve">The System shall support integration with the Training provider Student Management System for credit bearing and stackable Semester Long Courses and FlexiMaster</t>
  </si>
  <si>
    <t xml:space="preserve">For new Learner who enrolled to credit bearing and stackable Semester Long Courses and Fleximasters, the System shall automatically create student matriculation number and send the below data to Training provider Student Management System such as but not limited to:</t>
  </si>
  <si>
    <t xml:space="preserve">1) Learner personal data (e.g. name, nationality, gender, email address, NRIC, home address, DOB, mobile number, etc)</t>
  </si>
  <si>
    <t xml:space="preserve">For new Learner who enrolled to credit bearing and stackable Semester Long Courses and Fleximasters, the System shall automatically create student matriculation</t>
  </si>
  <si>
    <t xml:space="preserve">2) Matriculation number</t>
  </si>
  <si>
    <t xml:space="preserve">3) Course code</t>
  </si>
  <si>
    <t xml:space="preserve">4) Student type</t>
  </si>
  <si>
    <t xml:space="preserve">5) Admission year offer</t>
  </si>
  <si>
    <t xml:space="preserve">6) Admission year actual</t>
  </si>
  <si>
    <t xml:space="preserve">7) Admission semester</t>
  </si>
  <si>
    <t xml:space="preserve">To perform course registration in the Training provider Student Management System, the System shall send the below data to Training provider Student Management System using the course index provided via interface API, such as but not limited to:</t>
  </si>
  <si>
    <t xml:space="preserve">1) Academic year</t>
  </si>
  <si>
    <t xml:space="preserve">To perform course registration in the Training provider Student Management System, the System shall send the below data to Training provider Student Management </t>
  </si>
  <si>
    <t xml:space="preserve">2) Semester</t>
  </si>
  <si>
    <t xml:space="preserve">3) Matriculation number</t>
  </si>
  <si>
    <t xml:space="preserve">4) Index number</t>
  </si>
  <si>
    <t xml:space="preserve">5) Programme code</t>
  </si>
  <si>
    <t xml:space="preserve">6) User ID</t>
  </si>
  <si>
    <t xml:space="preserve">The System shall allow the function of automated Penalty Management including but not limited to:</t>
  </si>
  <si>
    <t xml:space="preserve">1) Blacklist individual by SkillsFuture Singapore and Training provider Continuing Education and Training (CET) units;</t>
  </si>
  <si>
    <t xml:space="preserve">2) Blacklist Organizations by Continuing Education and Training (CET) units;</t>
  </si>
  <si>
    <t xml:space="preserve">3) Capability to screen registration against the internal records for suspension and SSG Trainees suspended from Walk-In / Open Access and EmployerSponsored Programmes.</t>
  </si>
  <si>
    <t xml:space="preserve">4) Historical information of students whose fees were previously written off to be stored and flagged/prompted if same student were to sign up for subsequent courses again</t>
  </si>
  <si>
    <t xml:space="preserve">The System shall have the capability to sync to SSG given’s blacklist records, as well as the finance payment records for potential enrolled company sponsored applicants if they are blacklisted for CET courses (due to earlier non-payments).</t>
  </si>
  <si>
    <t xml:space="preserve">The System shall have the capability to perform transfers between different sessions, different courses or assessment, and different programs to the Learner online. A report to be generated for fee adjustment for FIN.</t>
  </si>
  <si>
    <t xml:space="preserve">The System shall have the capability to perform pre-requisite checks automatically and display advisory information to the Learner during course registration or switch.</t>
  </si>
  <si>
    <t xml:space="preserve">The System shall have the capability to differentiate the different courses and types of assessments created and allow configuration of assessment components and subcomponents. This would include peer evaluation, multiple choice questions, project work, etc.</t>
  </si>
  <si>
    <t xml:space="preserve">The System shall allow each course to have their own assessment patterns for pass/fail, letter grade or number mark entry, i.e., pass/fail, A+/A/B, F, absolute mark, mark range.</t>
  </si>
  <si>
    <t xml:space="preserve">The System shall allow the automated conversion of number marks into the grades (such as 0-100 to A-F or pass/fail) and grade point (5.00 to 0.00), and automated calculation of the overall course result based on assessment weightings.</t>
  </si>
  <si>
    <t xml:space="preserve">The System shall allow the automated calculation of cumulative grade point average (CGPA).</t>
  </si>
  <si>
    <t xml:space="preserve">The System shall enable Schools to generate reports with learners’ records, mark/grade/pass-fail and grade point so Schools can get approval of results from Approving Body, e.g., Board of Examiners and Board of Studies.</t>
  </si>
  <si>
    <t xml:space="preserve">The System shall allow moderation of marks for course.</t>
  </si>
  <si>
    <t xml:space="preserve">The System shall allow uploading of marks/grades from Excel files.</t>
  </si>
  <si>
    <t xml:space="preserve">The System shall allow the exporting of marks/grades to Excel files.</t>
  </si>
  <si>
    <t xml:space="preserve">The System shall allow various levels of authorizations, checking from checkers and approvals from approvers to finalize and approve marks/grades.</t>
  </si>
  <si>
    <t xml:space="preserve">The System shall allow generation of reports on marks/grades for review and checking and approvals.</t>
  </si>
  <si>
    <t xml:space="preserve">The System shall allow the set-up of academic and graduation criteria (such as stackable courses, attendance rate, passing of assessment for professional development short courses, minimum CGPA, maximum candidature period, credit transfer, course exemption, recognition of prior learning, etc.) with automated tracking, leading to the fulfilment of graduation requirements for certification programme, Diploma (CET), Advanced Diploma (CET), specialist certificates, Graduate Certificates, and FlexiMasters.</t>
  </si>
  <si>
    <t xml:space="preserve">The System shall allow the tracking of the Learner’s progression and have an automated prompt to issue the respective certificate type upon successful completion.</t>
  </si>
  <si>
    <t xml:space="preserve">The System shall allow Learners to track their progression and allow them to access/print them to download their certificates.</t>
  </si>
  <si>
    <t xml:space="preserve">The System shall allow the tracking of the Learner’s progression and have an automated prompt to issue the respective certificate type upon successful completio</t>
  </si>
  <si>
    <t xml:space="preserve">The System shall have the capability to allow the creation and maintenance of different certificate templates in various formats (e.g., Word, PDF, etc.) using either SchoolA or SchoolB composite logos, and/or external collaborating partner(s)’ logo(s), and signatories.</t>
  </si>
  <si>
    <t xml:space="preserve">The System shall have the capability to allow the creation and maintenance of various result slips, and transcript. The System shall allow automatic email templates to be sent to course applicants. The email templates in various format (e.g., Word, PDF, etc.) using either SchoolA or SchoolB composite logos, and signatory.</t>
  </si>
  <si>
    <t xml:space="preserve">The System shall have the capability to create the XML files to facilitate the issuance of OpenCerts (certificate and transcripts).</t>
  </si>
  <si>
    <t xml:space="preserve">The System shall allow online attendance marking via facial recognition, in-house and/or SSG QR codes, or digital ID for classes, assessments, and examinations.</t>
  </si>
  <si>
    <t xml:space="preserve">The System shall allow e-attendance marking via SingPass with requirements according to latest SSG mandatory attendance criteria.</t>
  </si>
  <si>
    <t xml:space="preserve">The System shall allow automated computation of attendance rate of individual Learner by programme/course.</t>
  </si>
  <si>
    <t xml:space="preserve">The System shall allow automated flagging out of Learners who fail to meet the minimum attendance rate, to the respective Learners and Course Administrators.</t>
  </si>
  <si>
    <t xml:space="preserve">The System shall have the capability to generate, export and print attendance sheet for course and assessment.</t>
  </si>
  <si>
    <t xml:space="preserve">The System shall allow manual upload of marked attendance list by User for nonSSG courses.</t>
  </si>
  <si>
    <t xml:space="preserve">The System shall allow the set-up of assessment activities and components and its associated weightage for each course. The assessment component may consist of but not limited to:</t>
  </si>
  <si>
    <t xml:space="preserve">1) Quizzes;</t>
  </si>
  <si>
    <t xml:space="preserve">The System shall allow the set-up of assessment activities and components and its associated weightage for each course. The assessment component may consist of </t>
  </si>
  <si>
    <t xml:space="preserve">2) Online tests;</t>
  </si>
  <si>
    <t xml:space="preserve">3) Presentations;</t>
  </si>
  <si>
    <t xml:space="preserve">4) Class participation;</t>
  </si>
  <si>
    <t xml:space="preserve">5) Essay;</t>
  </si>
  <si>
    <t xml:space="preserve">6) Peer evaluation.</t>
  </si>
  <si>
    <t xml:space="preserve">7) Final examination</t>
  </si>
  <si>
    <t xml:space="preserve">The System shall be able to automatically check that the total weightage of all assessment components add up to 100%.</t>
  </si>
  <si>
    <t xml:space="preserve">The System shall allow the tracking of Assessment Pattern for each Course.</t>
  </si>
  <si>
    <t xml:space="preserve">The System shall allow User to indicate if the assessment component is individual or group effort and monitor the percentage of individual and group assessment.</t>
  </si>
  <si>
    <t xml:space="preserve">The System shall have the capability for candidates to book, change and cancel the course assessment session with fee imposed for changes where necessary.</t>
  </si>
  <si>
    <t xml:space="preserve">The System shall have the capability to monitor Learner who has not passed assessment for a pre-determined period (e.g. 3 months for course A or 6 months for course B) and send automated reminders to candidate.</t>
  </si>
  <si>
    <t xml:space="preserve">The System shall have the capability to appoint course assessor and maintain covering assessor.</t>
  </si>
  <si>
    <t xml:space="preserve">The System shall have the capability to update and tracking of grades submission by Trainers.</t>
  </si>
  <si>
    <t xml:space="preserve">The System shall have the capability to automatically interface Assessment results to Training Partners Gateway (TPGateway).</t>
  </si>
  <si>
    <t xml:space="preserve">The System shall have the capability to automatically manage reassessment requests from candidates. Candidates with valid reasons and are within the permissible maximum period will be provided with a new assessment schedule subject to approval.</t>
  </si>
  <si>
    <t xml:space="preserve">The System shall have the capability to capture status of where Learners did not turn up for reassessment and no effort is made to book a new assessment date.</t>
  </si>
  <si>
    <t xml:space="preserve">The System shall allow the configuration of the assessment marks/results to be or not to be released to the Learners.</t>
  </si>
  <si>
    <t xml:space="preserve">The System shall have a user configuration setting to show the status as completed without the release of any assessment marks if required.</t>
  </si>
  <si>
    <t xml:space="preserve">The System shall allow the course administrators to export the assessment marks/results into an Excel format by batch of Learners.</t>
  </si>
  <si>
    <t xml:space="preserve">The System shall allow the tracking of the entire Continuing Education and Training (CET) journey of Learners, including the progression of Learners (especially for Learners taking bundled courses that stack to a certain certificate).</t>
  </si>
  <si>
    <t xml:space="preserve">The System shall be able to monitor at programme level and automatically track if Learners have met the requirement of pre-requisite courses before being accepted into the next course.</t>
  </si>
  <si>
    <t xml:space="preserve">The System shall allow the set-up of templates for generation of transcripts/result slips/ statement of accomplishments/certificates and tracking of version history as well as effective date/applicability period.</t>
  </si>
  <si>
    <t xml:space="preserve">The System shall allow secured issuance of e-certificates and e-transcripts/result slips/statement of accomplishment to course learners using OpenCerts for both SkillsFuture Singapore (SSG) funded and non-funded courses.</t>
  </si>
  <si>
    <t xml:space="preserve">The System shall allow integration with external systems for secured issuance of eresult slips and/or e-certificates.</t>
  </si>
  <si>
    <t xml:space="preserve">The System shall have the capability to store marks/grades, results slips and ecertificates in a secured platform for graduation checks, re-issuance of certificates, etc.</t>
  </si>
  <si>
    <t xml:space="preserve">The System shall allow Learner to appeal for results. The System will then trigger a notification of the appeal request to CET Administrators to check and get approvals from faculty and approvers for the review of results and re-issue results and certificates, if necessary.</t>
  </si>
  <si>
    <t xml:space="preserve">The System shall have the capability to generate fees in cases including but not limited to:</t>
  </si>
  <si>
    <t xml:space="preserve">1) Rescheduling;</t>
  </si>
  <si>
    <t xml:space="preserve">2) Reassessment.</t>
  </si>
  <si>
    <t xml:space="preserve">4) Alumni status</t>
  </si>
  <si>
    <t xml:space="preserve">5) Alumni credits</t>
  </si>
  <si>
    <t xml:space="preserve">For Alumni Course Credit, it is a direct discount from full course fee before SSG grant and subsidy.</t>
  </si>
  <si>
    <t xml:space="preserve">The System shall allow automation for application of grant, subsidies, SFC, SFC (mid-career) top up, ETSS, credits, discounts, PSEA, Alumni Course Credit (ACC),</t>
  </si>
  <si>
    <t xml:space="preserve">1) No of students on SFC</t>
  </si>
  <si>
    <t xml:space="preserve">The System shall allow reports on the course registration for Course Administrators to have an overview on ongoing registration such as:</t>
  </si>
  <si>
    <t xml:space="preserve">2) No of students on ETSS</t>
  </si>
  <si>
    <t xml:space="preserve">3) No of students who have paid course fee</t>
  </si>
  <si>
    <t xml:space="preserve">4) No of students who are pending on document submission</t>
  </si>
  <si>
    <t xml:space="preserve">The System shall facilitate applicants to check on the available Alumni Credits (AC) for Training provider alumni.</t>
  </si>
  <si>
    <t xml:space="preserve">The System shall provide an overview of course fees, taking into consideration SFC, SSG grant, &amp; Alumni Credits.</t>
  </si>
  <si>
    <t xml:space="preserve">The System shall allow automatic tracking of Training provider employees taking SkillsFuture Singapore (SSG) funded courses sponsored by Training provider.</t>
  </si>
  <si>
    <t xml:space="preserve">The System shall allow the configuration of the cap based on the placement target by</t>
  </si>
  <si>
    <t xml:space="preserve">% or by pre-defined number which can be configured by the assigned Administrators.</t>
  </si>
  <si>
    <t xml:space="preserve">2) Alumni course credit;</t>
  </si>
  <si>
    <t xml:space="preserve">The System shall have the capability to map billing items to a different account code, fund code, funding source and cost centre for a particular course, including course fee amounts, grants, subsidies, and discounts respectively for Training provider. E.g. Grants, skillsFuture Credits, PSEA fund utilization etc. are to be mapped to different account GL codes.</t>
  </si>
  <si>
    <t xml:space="preserve">The System shall be able to generate reports of funding amount by course and selected date range, with funding coming from:</t>
  </si>
  <si>
    <t xml:space="preserve">1) Base grant;</t>
  </si>
  <si>
    <t xml:space="preserve">2) Mid-Career Enhanced Subsidy (MCES);</t>
  </si>
  <si>
    <t xml:space="preserve">3) Enhanced Training Support for SMEs (ETSS); 4) National Silver Academy (NSA);</t>
  </si>
  <si>
    <t xml:space="preserve">5) Additional Funding Support (AFS).</t>
  </si>
  <si>
    <t xml:space="preserve">The System shall have the capability to allow a Learner to be indicated as an alumnus with an identification for alumni status.</t>
  </si>
  <si>
    <t xml:space="preserve">The System shall be able to automatically track alumni course credit balance for Continuing Education and Training (CET) programmes/courses and maintain alumni credit balance for billing.</t>
  </si>
  <si>
    <t xml:space="preserve">The System shall automatically reflect the balance alumni course credit in alumni's student record.</t>
  </si>
  <si>
    <t xml:space="preserve">The System shall automatically track the total utilisatoin of Alumni Course Credit (ACC) and be able to cap the total ACC utilization at the specified (for example 50%) percentage of the full course fee.</t>
  </si>
  <si>
    <t xml:space="preserve">The System shall allow the Course Administrator to view reports on PSEA file exchanges and financial transactions for managing PSEA related claim and disbursement processes.</t>
  </si>
  <si>
    <t xml:space="preserve">Unscheduled: Tender rows with a blank or unreadable Sprint #</t>
  </si>
  <si>
    <t xml:space="preserve">These rows belong to a module but the Tender gives no usable sprint. They are not guessed into a sprint (A5). Confirm with the Tender owner.</t>
  </si>
  <si>
    <t xml:space="preserve">(blank)</t>
  </si>
  <si>
    <t xml:space="preserve">Unnumbered paragraph that follows 8.2.19 in the Tender; it is the list of data captured at registration; Sprint blank in Tender. Other rows of this clause are in Sprint 1, 2</t>
  </si>
  <si>
    <t xml:space="preserve">Sprint blank in Tender. Other rows of this clause are in Sprint 2</t>
  </si>
  <si>
    <t xml:space="preserve">(B) Learners: -</t>
  </si>
  <si>
    <t xml:space="preserve">Per the auditor’s requirements, system shall have the capability to incorporate the park and post functionality and workflow for independent review</t>
  </si>
  <si>
    <t xml:space="preserve">Sprint blank in Tender and no other row of this clause has a sprint</t>
  </si>
  <si>
    <t xml:space="preserve">7) eCert integration</t>
  </si>
  <si>
    <t xml:space="preserve">Sprint blank in Tender. Other rows of this clause are in Sprint 1, 2, 3</t>
  </si>
  <si>
    <t xml:space="preserve">1) Nationality/citizenship of candidates;</t>
  </si>
  <si>
    <t xml:space="preserve">2) Age/Date of Birth;</t>
  </si>
  <si>
    <t xml:space="preserve">3) Income;</t>
  </si>
  <si>
    <t xml:space="preserve">The System shall allow the Course Administrators to configure various types of discounts with complex and multi-tier hierarchical business rules and eligibility criteria, which include:</t>
  </si>
  <si>
    <t xml:space="preserve">Sprint blank in Tender. Other rows of this clause are in Sprint 1, 2</t>
  </si>
  <si>
    <t xml:space="preserve">The System shall allow the automatic detection of Learners applying for the same course more than once and exclude funding for SkillsFuture Singapore (SSG) funded courses. The System shall automatically monitor/detect the registration of Training provider staff registration in SSG funded courses. 5% cap should be monitored, and email notification triggered to system administrators if the cap is almost fully utilized.</t>
  </si>
  <si>
    <t xml:space="preserve">Unique identifier to be tagged to Training provider sponsored staff.</t>
  </si>
  <si>
    <t xml:space="preserve">The System shall allow the automatic detection of Learners applying for the same course more than once and exclude funding for SkillsFuture Singapore (SSG) fund</t>
  </si>
  <si>
    <t xml:space="preserve">The System shall allow the setup of different multi-tier Grant structures and funding schemes based on details of different eligibility criteria including not but limited to: 1) Citizenship</t>
  </si>
  <si>
    <t xml:space="preserve">3) Income</t>
  </si>
  <si>
    <t xml:space="preserve">4) Organisation</t>
  </si>
  <si>
    <t xml:space="preserve">Sprint blank in Tender. Other rows of this clause are in Sprint 3</t>
  </si>
  <si>
    <t xml:space="preserve">4) Remarks e.g. SkillFuture Credits / Alumni Credits etc.</t>
  </si>
  <si>
    <t xml:space="preserve">2026-03-02 (date)</t>
  </si>
  <si>
    <t xml:space="preserve">Sprint cell holds the date 2026-03-02. Likely an Excel conversion of a sprint list such as 2,3. Not guessed. Confirm with the Tender owner</t>
  </si>
  <si>
    <t xml:space="preserve">The System shall support integration with the PSEA system for PSEA application and automatic Claim Submission for PSEA fund disbursement processes</t>
  </si>
  <si>
    <t xml:space="preserve">The System shall automatically generate files with a list of PSEA claim details for Learners who have requesting to utilise their PSEA balance to fund all or part of their course fees, to MOE, via integration whenever available.</t>
  </si>
  <si>
    <t xml:space="preserve">The System shall be always enhanced and updated with the latest MOE PSEA integration requirements.</t>
  </si>
  <si>
    <t xml:space="preserve">Clause list notes: mapping notes A1 to A9, rules applied, references</t>
  </si>
  <si>
    <t xml:space="preserve">Why I assumed it</t>
  </si>
  <si>
    <t xml:space="preserve">Basis</t>
  </si>
  <si>
    <t xml:space="preserve">Impact if wrong</t>
  </si>
  <si>
    <t xml:space="preserve">How to confirm</t>
  </si>
  <si>
    <t xml:space="preserve">Where it appears</t>
  </si>
  <si>
    <t xml:space="preserve">A1</t>
  </si>
  <si>
    <t xml:space="preserve">Each Tender clause belongs to one module, decided by what the clause does. The Tender has no module field.</t>
  </si>
  <si>
    <t xml:space="preserve">The assignment names three modules but the Tender only has sections and sprints.</t>
  </si>
  <si>
    <t xml:space="preserve">Inference from slides 43 and 44 and from Tender section titles</t>
  </si>
  <si>
    <t xml:space="preserve">Rows move between modules. Counts on Overview change</t>
  </si>
  <si>
    <t xml:space="preserve">Ask the instructor whether the class has an official clause to module map</t>
  </si>
  <si>
    <t xml:space="preserve">Column Module on every sprint sheet</t>
  </si>
  <si>
    <t xml:space="preserve">A2</t>
  </si>
  <si>
    <t xml:space="preserve">Core means the module's principal function. Supporting means an adjacent clause that carries or feeds the module.</t>
  </si>
  <si>
    <t xml:space="preserve">Gives a way to read the list without dropping borderline clauses.</t>
  </si>
  <si>
    <t xml:space="preserve">Assumption, my own rule</t>
  </si>
  <si>
    <t xml:space="preserve">Some clauses may be shown as Supporting when the class treats them as Core</t>
  </si>
  <si>
    <t xml:space="preserve">Review the Supporting rows and promote or drop them</t>
  </si>
  <si>
    <t xml:space="preserve">Column Relevance, Overview table 2</t>
  </si>
  <si>
    <t xml:space="preserve">A3</t>
  </si>
  <si>
    <t xml:space="preserve">Section 8.4 Application Assessment and Interview is placed in Enrolment as Supporting, not in Assessment.</t>
  </si>
  <si>
    <t xml:space="preserve">It is about shortlisting applicants during registration, not about learner results.</t>
  </si>
  <si>
    <t xml:space="preserve">Inference from Tender section 8.4 text</t>
  </si>
  <si>
    <t xml:space="preserve">8.4.1 to 8.4.3 (Sprint 2) would move to Assessment</t>
  </si>
  <si>
    <t xml:space="preserve">Confirm with instructor</t>
  </si>
  <si>
    <t xml:space="preserve">Enrolment block, Sprint 2</t>
  </si>
  <si>
    <t xml:space="preserve">A4</t>
  </si>
  <si>
    <t xml:space="preserve">A Tender row with several sprints is listed in every sprint it names.</t>
  </si>
  <si>
    <t xml:space="preserve">The Tender says the work spans those sprints.</t>
  </si>
  <si>
    <t xml:space="preserve">Fact: Sprint # holds values such as 1,2,3 (section 18.1)</t>
  </si>
  <si>
    <t xml:space="preserve">Overview totals count such a row more than once</t>
  </si>
  <si>
    <t xml:space="preserve">None needed, stated on Overview</t>
  </si>
  <si>
    <t xml:space="preserve">Rows of 18.1.1, 18.1.2 and some 9.1 and 6.3 rows</t>
  </si>
  <si>
    <t xml:space="preserve">A5</t>
  </si>
  <si>
    <t xml:space="preserve">Rows with a blank Sprint # or a date in the Sprint # cell are not placed in any sprint. Row 515 holds the date 2026-03-02, probably a sprint list such as 2,3 that Excel converted.</t>
  </si>
  <si>
    <t xml:space="preserve">Guessing a sprint would hide a Tender data problem.</t>
  </si>
  <si>
    <t xml:space="preserve">Fact: cell values in the Tender file. Inference: the date cause</t>
  </si>
  <si>
    <t xml:space="preserve">Those rows are missing from sprint totals</t>
  </si>
  <si>
    <t xml:space="preserve">Ask the Tender owner for the intended sprint of each Unscheduled row</t>
  </si>
  <si>
    <t xml:space="preserve">Sheet Unscheduled</t>
  </si>
  <si>
    <t xml:space="preserve">A6</t>
  </si>
  <si>
    <t xml:space="preserve">The Self-Enrol + Funding flow has 7 steps: 1 Login and MyInfo, 2 Blacklist check, 3 Prerequisite and restriction check, 4 Grant eligibility and fee, 5 Seat confirm or waitlist, 6 Net fee and invoice, 7 Outcome based funding.</t>
  </si>
  <si>
    <t xml:space="preserve">No Tender clause is named Self-Enrol. The flow is rebuilt from clauses 2.2, 8.2.x, 8.5.x, 6.4.x, 9.1.x, 10.1.x.</t>
  </si>
  <si>
    <t xml:space="preserve">Inference, awaiting the user's confirmation</t>
  </si>
  <si>
    <t xml:space="preserve">The flow step column is wrong and the regression plan scope changes</t>
  </si>
  <si>
    <t xml:space="preserve">Confirm the flow with the instructor or the user</t>
  </si>
  <si>
    <t xml:space="preserve">A7</t>
  </si>
  <si>
    <t xml:space="preserve">Only clauses that touch the three modules are listed. Authentication, security, account, catalogue, communications, audit, reporting, evaluation and most billing and finance clauses are left out.</t>
  </si>
  <si>
    <t xml:space="preserve">The task asks for the three modules only.</t>
  </si>
  <si>
    <t xml:space="preserve">Assumption from the assignment scope</t>
  </si>
  <si>
    <t xml:space="preserve">A clause needed for regression is missing from the lists</t>
  </si>
  <si>
    <t xml:space="preserve">Review the left out sections below as cross cutting regression candidates</t>
  </si>
  <si>
    <t xml:space="preserve">All sheets</t>
  </si>
  <si>
    <t xml:space="preserve">A8</t>
  </si>
  <si>
    <t xml:space="preserve">Billing and finance clauses are included under Funding only when they carry subsidy, grant, SFC, PSEA or net fee items (9.1.1, 9.1.3, 9.1.4, 9.1.9, 9.1.12, 9.1.13, 9.1.15, 9.4.1, 11.1.2, 11.5.3, 11.8.3).</t>
  </si>
  <si>
    <t xml:space="preserve">Funding is shown on invoices and payments, so these clauses carry funding results.</t>
  </si>
  <si>
    <t xml:space="preserve">Inference from clause text</t>
  </si>
  <si>
    <t xml:space="preserve">Funding counts are too high or too low</t>
  </si>
  <si>
    <t xml:space="preserve">Review the Supporting rows of Funding</t>
  </si>
  <si>
    <t xml:space="preserve">Funding block, Sprint 2 and 3</t>
  </si>
  <si>
    <t xml:space="preserve">A9</t>
  </si>
  <si>
    <t xml:space="preserve">Excel stored two level clause numbers such as 3.10, 15.10, 18.10 as numbers, so they read as 3.1, 15.1, 18.1 in the file.</t>
  </si>
  <si>
    <t xml:space="preserve">Only a display problem of the Tender file, found while reading.</t>
  </si>
  <si>
    <t xml:space="preserve">Fact: cell types in the Tender file (rows 49, 865, 1026)</t>
  </si>
  <si>
    <t xml:space="preserve">None for this list, none of these clauses are mapped</t>
  </si>
  <si>
    <t xml:space="preserve">None needed</t>
  </si>
  <si>
    <t xml:space="preserve">Not shown on sprint sheets</t>
  </si>
  <si>
    <t xml:space="preserve">Module names and sprint split</t>
  </si>
  <si>
    <t xml:space="preserve">Slides 43 and 44 (user input) and Tender column Sprint #</t>
  </si>
  <si>
    <t xml:space="preserve">One list per sprint, three module blocks each</t>
  </si>
  <si>
    <t xml:space="preserve">User request in chat on 2026-10-06</t>
  </si>
  <si>
    <t xml:space="preserve">Traceability from requirement to later tests</t>
  </si>
  <si>
    <t xml:space="preserve">Lesson 3, evidence chain (course). Columns are derived, not copied from a lesson template</t>
  </si>
  <si>
    <t xml:space="preserve">Language of the file is English</t>
  </si>
  <si>
    <t xml:space="preserve">Tender and assignment are English. Chat stays Vietnamese</t>
  </si>
  <si>
    <t xml:space="preserve">Sheet1, 3 columns, rows 2 to 1049. Verbatim clause text and Sprint # are copied from it</t>
  </si>
  <si>
    <t xml:space="preserve">Slide 43 Group Assignment, slide 44 Individual Assignment</t>
  </si>
  <si>
    <t xml:space="preserve">Module names Enrolment, Assessment, Funding</t>
  </si>
  <si>
    <t xml:space="preserve">Lesson 3 Test Planning and Reporting</t>
  </si>
  <si>
    <t xml:space="preserve">Traceability and risk based regression scope</t>
  </si>
  <si>
    <t xml:space="preserve">Tender sections left out (A7)</t>
  </si>
  <si>
    <t xml:space="preserve">Self-Service Portal UI and UX</t>
  </si>
  <si>
    <t xml:space="preserve">2 (except 2.2, 2.4)</t>
  </si>
  <si>
    <t xml:space="preserve">User Authentication</t>
  </si>
  <si>
    <t xml:space="preserve">Security and Access Control</t>
  </si>
  <si>
    <t xml:space="preserve">User Account Management</t>
  </si>
  <si>
    <t xml:space="preserve">5 (except 5.3.1)</t>
  </si>
  <si>
    <t xml:space="preserve">Course Catalogue</t>
  </si>
  <si>
    <t xml:space="preserve">6.1 to 6.2, 6.7, 6.8</t>
  </si>
  <si>
    <t xml:space="preserve">Course types, academic model, cost components, training allowance</t>
  </si>
  <si>
    <t xml:space="preserve">7 (except 7.1.1, 7.1.5, 7.1.6)</t>
  </si>
  <si>
    <t xml:space="preserve">Course Scheduling</t>
  </si>
  <si>
    <t xml:space="preserve">9.1.2, 9.1.5 to 9.1.8, 9.1.10, 9.1.11, 9.1.14, 9.2, 9.3, 9.4.2, 9.4.3, 9.5</t>
  </si>
  <si>
    <t xml:space="preserve">Other billing and payment</t>
  </si>
  <si>
    <t xml:space="preserve">11 (except 11.1.2, 11.5.3, 11.8.3)</t>
  </si>
  <si>
    <t xml:space="preserve">Other finance functions</t>
  </si>
  <si>
    <t xml:space="preserve">13 to 17</t>
  </si>
  <si>
    <t xml:space="preserve">Profiles, communications, audit trail, reporting, evaluation</t>
  </si>
  <si>
    <t xml:space="preserve">18.1.3, 18.1.4, 18.4 to 18.13</t>
  </si>
  <si>
    <t xml:space="preserve">Other integrations</t>
  </si>
</sst>
</file>

<file path=xl/styles.xml><?xml version="1.0" encoding="utf-8"?>
<styleSheet xmlns="http://schemas.openxmlformats.org/spreadsheetml/2006/main">
  <numFmts count="3">
    <numFmt numFmtId="164" formatCode="General"/>
    <numFmt numFmtId="165" formatCode="General"/>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1"/>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color rgb="FF1F3864"/>
      <name val="Arial"/>
      <family val="0"/>
      <charset val="1"/>
    </font>
  </fonts>
  <fills count="14">
    <fill>
      <patternFill patternType="none"/>
    </fill>
    <fill>
      <patternFill patternType="gray125"/>
    </fill>
    <fill>
      <patternFill patternType="solid">
        <fgColor rgb="FF1F3864"/>
        <bgColor rgb="FF333333"/>
      </patternFill>
    </fill>
    <fill>
      <patternFill patternType="solid">
        <fgColor rgb="FFF4B6B6"/>
        <bgColor rgb="FFF8CBAD"/>
      </patternFill>
    </fill>
    <fill>
      <patternFill patternType="solid">
        <fgColor rgb="FFE2EFDA"/>
        <bgColor rgb="FFEDEDED"/>
      </patternFill>
    </fill>
    <fill>
      <patternFill patternType="solid">
        <fgColor rgb="FFF8CBAD"/>
        <bgColor rgb="FFF4B6B6"/>
      </patternFill>
    </fill>
    <fill>
      <patternFill patternType="solid">
        <fgColor rgb="FFFFF2CC"/>
        <bgColor rgb="FFFCE4D6"/>
      </patternFill>
    </fill>
    <fill>
      <patternFill patternType="solid">
        <fgColor rgb="FFD9D9D9"/>
        <bgColor rgb="FFDDEBF7"/>
      </patternFill>
    </fill>
    <fill>
      <patternFill patternType="solid">
        <fgColor rgb="FFEDEDED"/>
        <bgColor rgb="FFE2EFDA"/>
      </patternFill>
    </fill>
    <fill>
      <patternFill patternType="solid">
        <fgColor rgb="FFDDEBF7"/>
        <bgColor rgb="FFEDEDED"/>
      </patternFill>
    </fill>
    <fill>
      <patternFill patternType="solid">
        <fgColor rgb="FFFCE4D6"/>
        <bgColor rgb="FFFFF2CC"/>
      </patternFill>
    </fill>
    <fill>
      <patternFill patternType="solid">
        <fgColor rgb="FF9DC3E6"/>
        <bgColor rgb="FFBFBFBF"/>
      </patternFill>
    </fill>
    <fill>
      <patternFill patternType="solid">
        <fgColor rgb="FFA9D08E"/>
        <bgColor rgb="FFA9D18E"/>
      </patternFill>
    </fill>
    <fill>
      <patternFill patternType="solid">
        <fgColor rgb="FFF4B183"/>
        <bgColor rgb="FFF4B6B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false" indent="0" shrinkToFit="false"/>
      <protection locked="true" hidden="false"/>
    </xf>
    <xf numFmtId="165" fontId="8" fillId="9"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4" fontId="9" fillId="10" borderId="1" xfId="0" applyFont="true" applyBorder="true" applyAlignment="true" applyProtection="false">
      <alignment horizontal="general" vertical="top" textRotation="0" wrapText="false" indent="0" shrinkToFit="false"/>
      <protection locked="true" hidden="false"/>
    </xf>
    <xf numFmtId="165" fontId="8" fillId="1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11" borderId="1" xfId="0" applyFont="true" applyBorder="true" applyAlignment="true" applyProtection="false">
      <alignment horizontal="general" vertical="bottom" textRotation="0" wrapText="false" indent="0" shrinkToFit="false"/>
      <protection locked="true" hidden="false"/>
    </xf>
    <xf numFmtId="164" fontId="9" fillId="12" borderId="1" xfId="0" applyFont="true" applyBorder="true" applyAlignment="true" applyProtection="false">
      <alignment horizontal="general" vertical="bottom" textRotation="0" wrapText="false" indent="0" shrinkToFit="false"/>
      <protection locked="true" hidden="false"/>
    </xf>
    <xf numFmtId="164" fontId="9" fillId="13"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DEDED"/>
          <bgColor rgb="FF000000"/>
        </patternFill>
      </fill>
    </dxf>
    <dxf>
      <fill>
        <patternFill patternType="solid">
          <fgColor rgb="FFF4B6B6"/>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D9D9D9"/>
          <bgColor rgb="FF000000"/>
        </patternFill>
      </fill>
    </dxf>
    <dxf>
      <fill>
        <patternFill patternType="solid">
          <fgColor rgb="FFE2EFDA"/>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DDEBF7"/>
      <rgbColor rgb="FF660066"/>
      <rgbColor rgb="FFFF7C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4D6"/>
      <rgbColor rgb="FF9DC3E6"/>
      <rgbColor rgb="FFF4B6B6"/>
      <rgbColor rgb="FFCC99FF"/>
      <rgbColor rgb="FFF8CBAD"/>
      <rgbColor rgb="FF3366FF"/>
      <rgbColor rgb="FF33CCCC"/>
      <rgbColor rgb="FFA9D18E"/>
      <rgbColor rgb="FFFFCC00"/>
      <rgbColor rgb="FFF4B183"/>
      <rgbColor rgb="FFFF6600"/>
      <rgbColor rgb="FF666699"/>
      <rgbColor rgb="FFA9D08E"/>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F1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3" min="2" style="1" width="14"/>
    <col collapsed="false" customWidth="true" hidden="false" outlineLevel="0" max="4" min="4" style="1" width="30"/>
    <col collapsed="false" customWidth="true" hidden="false" outlineLevel="0" max="5" min="5" style="1" width="14"/>
    <col collapsed="false" customWidth="true" hidden="false" outlineLevel="0" max="6" min="6" style="1" width="4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15" hidden="false" customHeight="true" outlineLevel="0" collapsed="false">
      <c r="A5" s="5" t="s">
        <v>3</v>
      </c>
      <c r="B5" s="5" t="s">
        <v>4</v>
      </c>
      <c r="C5" s="5" t="s">
        <v>5</v>
      </c>
      <c r="D5" s="5" t="s">
        <v>6</v>
      </c>
      <c r="E5" s="5"/>
      <c r="F5" s="5"/>
    </row>
    <row r="6" customFormat="false" ht="15" hidden="false" customHeight="true" outlineLevel="0" collapsed="false">
      <c r="A6" s="6" t="s">
        <v>7</v>
      </c>
      <c r="B6" s="7" t="n">
        <f aca="false">COUNTIF(TestCases!$Y$2:$Y$328,A6)</f>
        <v>90</v>
      </c>
      <c r="C6" s="8" t="n">
        <f aca="false">B6/B9</f>
        <v>0.275229357798165</v>
      </c>
      <c r="D6" s="6" t="s">
        <v>8</v>
      </c>
      <c r="E6" s="6"/>
      <c r="F6" s="6"/>
    </row>
    <row r="7" customFormat="false" ht="15" hidden="false" customHeight="true" outlineLevel="0" collapsed="false">
      <c r="A7" s="6" t="s">
        <v>9</v>
      </c>
      <c r="B7" s="7" t="n">
        <f aca="false">COUNTIF(TestCases!$Y$2:$Y$328,A7)</f>
        <v>233</v>
      </c>
      <c r="C7" s="8" t="n">
        <f aca="false">B7/B9</f>
        <v>0.712538226299694</v>
      </c>
      <c r="D7" s="6" t="s">
        <v>10</v>
      </c>
      <c r="E7" s="6"/>
      <c r="F7" s="6"/>
    </row>
    <row r="8" customFormat="false" ht="15" hidden="false" customHeight="true" outlineLevel="0" collapsed="false">
      <c r="A8" s="6" t="s">
        <v>11</v>
      </c>
      <c r="B8" s="7" t="n">
        <f aca="false">COUNTIF(TestCases!$Y$2:$Y$328,A8)</f>
        <v>4</v>
      </c>
      <c r="C8" s="8" t="n">
        <f aca="false">B8/B9</f>
        <v>0.0122324159021407</v>
      </c>
      <c r="D8" s="6" t="s">
        <v>12</v>
      </c>
      <c r="E8" s="6"/>
      <c r="F8" s="6"/>
    </row>
    <row r="9" customFormat="false" ht="15" hidden="false" customHeight="true" outlineLevel="0" collapsed="false">
      <c r="A9" s="9" t="s">
        <v>13</v>
      </c>
      <c r="B9" s="10" t="n">
        <f aca="false">SUM(B6:B8)</f>
        <v>327</v>
      </c>
      <c r="C9" s="11" t="n">
        <f aca="false">SUM(C6:C8)</f>
        <v>1</v>
      </c>
      <c r="D9" s="12"/>
    </row>
    <row r="11" customFormat="false" ht="15" hidden="false" customHeight="true" outlineLevel="0" collapsed="false">
      <c r="A11" s="4" t="s">
        <v>14</v>
      </c>
    </row>
    <row r="12" customFormat="false" ht="15" hidden="false" customHeight="true" outlineLevel="0" collapsed="false">
      <c r="A12" s="5" t="s">
        <v>15</v>
      </c>
      <c r="B12" s="5" t="s">
        <v>7</v>
      </c>
      <c r="C12" s="5" t="s">
        <v>9</v>
      </c>
      <c r="D12" s="5" t="s">
        <v>11</v>
      </c>
      <c r="E12" s="5" t="s">
        <v>13</v>
      </c>
    </row>
    <row r="13" customFormat="false" ht="15" hidden="false" customHeight="true" outlineLevel="0" collapsed="false">
      <c r="A13" s="6" t="s">
        <v>16</v>
      </c>
      <c r="B13" s="7" t="n">
        <f aca="false">COUNTIFS(TestCases!$J$2:$J$328,$A13,TestCases!$Y$2:$Y$328,"Approve")</f>
        <v>21</v>
      </c>
      <c r="C13" s="7" t="n">
        <f aca="false">COUNTIFS(TestCases!$J$2:$J$328,$A13,TestCases!$Y$2:$Y$328,"Draft")</f>
        <v>64</v>
      </c>
      <c r="D13" s="7" t="n">
        <f aca="false">COUNTIFS(TestCases!$J$2:$J$328,$A13,TestCases!$Y$2:$Y$328,"Reject")</f>
        <v>0</v>
      </c>
      <c r="E13" s="7" t="n">
        <f aca="false">SUM(B13:D13)</f>
        <v>85</v>
      </c>
    </row>
    <row r="14" customFormat="false" ht="15" hidden="false" customHeight="true" outlineLevel="0" collapsed="false">
      <c r="A14" s="6" t="s">
        <v>17</v>
      </c>
      <c r="B14" s="7" t="n">
        <f aca="false">COUNTIFS(TestCases!$J$2:$J$328,$A14,TestCases!$Y$2:$Y$328,"Approve")</f>
        <v>27</v>
      </c>
      <c r="C14" s="7" t="n">
        <f aca="false">COUNTIFS(TestCases!$J$2:$J$328,$A14,TestCases!$Y$2:$Y$328,"Draft")</f>
        <v>78</v>
      </c>
      <c r="D14" s="7" t="n">
        <f aca="false">COUNTIFS(TestCases!$J$2:$J$328,$A14,TestCases!$Y$2:$Y$328,"Reject")</f>
        <v>1</v>
      </c>
      <c r="E14" s="7" t="n">
        <f aca="false">SUM(B14:D14)</f>
        <v>106</v>
      </c>
    </row>
    <row r="15" customFormat="false" ht="15" hidden="false" customHeight="true" outlineLevel="0" collapsed="false">
      <c r="A15" s="6" t="s">
        <v>18</v>
      </c>
      <c r="B15" s="7" t="n">
        <f aca="false">COUNTIFS(TestCases!$J$2:$J$328,$A15,TestCases!$Y$2:$Y$328,"Approve")</f>
        <v>24</v>
      </c>
      <c r="C15" s="7" t="n">
        <f aca="false">COUNTIFS(TestCases!$J$2:$J$328,$A15,TestCases!$Y$2:$Y$328,"Draft")</f>
        <v>68</v>
      </c>
      <c r="D15" s="7" t="n">
        <f aca="false">COUNTIFS(TestCases!$J$2:$J$328,$A15,TestCases!$Y$2:$Y$328,"Reject")</f>
        <v>1</v>
      </c>
      <c r="E15" s="7" t="n">
        <f aca="false">SUM(B15:D15)</f>
        <v>93</v>
      </c>
    </row>
    <row r="16" customFormat="false" ht="15" hidden="false" customHeight="true" outlineLevel="0" collapsed="false">
      <c r="A16" s="6" t="s">
        <v>19</v>
      </c>
      <c r="B16" s="7" t="n">
        <f aca="false">COUNTIFS(TestCases!$J$2:$J$328,$A16,TestCases!$Y$2:$Y$328,"Approve")</f>
        <v>18</v>
      </c>
      <c r="C16" s="7" t="n">
        <f aca="false">COUNTIFS(TestCases!$J$2:$J$328,$A16,TestCases!$Y$2:$Y$328,"Draft")</f>
        <v>23</v>
      </c>
      <c r="D16" s="7" t="n">
        <f aca="false">COUNTIFS(TestCases!$J$2:$J$328,$A16,TestCases!$Y$2:$Y$328,"Reject")</f>
        <v>2</v>
      </c>
      <c r="E16" s="7" t="n">
        <f aca="false">SUM(B16:D16)</f>
        <v>43</v>
      </c>
    </row>
    <row r="17" customFormat="false" ht="15" hidden="false" customHeight="true" outlineLevel="0" collapsed="false">
      <c r="A17" s="9" t="s">
        <v>13</v>
      </c>
      <c r="B17" s="10" t="n">
        <f aca="false">SUM(B13:B16)</f>
        <v>90</v>
      </c>
      <c r="C17" s="10" t="n">
        <f aca="false">SUM(C13:C16)</f>
        <v>233</v>
      </c>
      <c r="D17" s="10" t="n">
        <f aca="false">SUM(D13:D16)</f>
        <v>4</v>
      </c>
      <c r="E17" s="10" t="n">
        <f aca="false">SUM(E13:E16)</f>
        <v>327</v>
      </c>
    </row>
    <row r="19" customFormat="false" ht="15" hidden="false" customHeight="true" outlineLevel="0" collapsed="false">
      <c r="A19" s="4" t="s">
        <v>20</v>
      </c>
    </row>
    <row r="20" customFormat="false" ht="15" hidden="false" customHeight="true" outlineLevel="0" collapsed="false">
      <c r="A20" s="5" t="s">
        <v>21</v>
      </c>
      <c r="B20" s="5" t="s">
        <v>7</v>
      </c>
      <c r="C20" s="5" t="s">
        <v>9</v>
      </c>
      <c r="D20" s="5" t="s">
        <v>11</v>
      </c>
      <c r="E20" s="5" t="s">
        <v>13</v>
      </c>
      <c r="F20" s="5" t="s">
        <v>6</v>
      </c>
    </row>
    <row r="21" customFormat="false" ht="15" hidden="false" customHeight="true" outlineLevel="0" collapsed="false">
      <c r="A21" s="7" t="n">
        <v>1</v>
      </c>
      <c r="B21" s="7" t="n">
        <f aca="false">COUNTIFS(TestCases!$K$2:$K$328,$A21,TestCases!$Y$2:$Y$328,"Approve")</f>
        <v>6</v>
      </c>
      <c r="C21" s="7" t="n">
        <f aca="false">COUNTIFS(TestCases!$K$2:$K$328,$A21,TestCases!$Y$2:$Y$328,"Draft")</f>
        <v>45</v>
      </c>
      <c r="D21" s="7" t="n">
        <f aca="false">COUNTIFS(TestCases!$K$2:$K$328,$A21,TestCases!$Y$2:$Y$328,"Reject")</f>
        <v>0</v>
      </c>
      <c r="E21" s="7" t="n">
        <f aca="false">SUM(B21:D21)</f>
        <v>51</v>
      </c>
      <c r="F21" s="6" t="s">
        <v>22</v>
      </c>
    </row>
    <row r="22" customFormat="false" ht="15" hidden="false" customHeight="true" outlineLevel="0" collapsed="false">
      <c r="A22" s="7" t="n">
        <v>2</v>
      </c>
      <c r="B22" s="7" t="n">
        <f aca="false">COUNTIFS(TestCases!$K$2:$K$328,$A22,TestCases!$Y$2:$Y$328,"Approve")</f>
        <v>44</v>
      </c>
      <c r="C22" s="7" t="n">
        <f aca="false">COUNTIFS(TestCases!$K$2:$K$328,$A22,TestCases!$Y$2:$Y$328,"Draft")</f>
        <v>130</v>
      </c>
      <c r="D22" s="7" t="n">
        <f aca="false">COUNTIFS(TestCases!$K$2:$K$328,$A22,TestCases!$Y$2:$Y$328,"Reject")</f>
        <v>1</v>
      </c>
      <c r="E22" s="7" t="n">
        <f aca="false">SUM(B22:D22)</f>
        <v>175</v>
      </c>
      <c r="F22" s="6" t="s">
        <v>23</v>
      </c>
    </row>
    <row r="23" customFormat="false" ht="15" hidden="false" customHeight="true" outlineLevel="0" collapsed="false">
      <c r="A23" s="7" t="n">
        <v>3</v>
      </c>
      <c r="B23" s="7" t="n">
        <f aca="false">COUNTIFS(TestCases!$K$2:$K$328,$A23,TestCases!$Y$2:$Y$328,"Approve")</f>
        <v>32</v>
      </c>
      <c r="C23" s="7" t="n">
        <f aca="false">COUNTIFS(TestCases!$K$2:$K$328,$A23,TestCases!$Y$2:$Y$328,"Draft")</f>
        <v>57</v>
      </c>
      <c r="D23" s="7" t="n">
        <f aca="false">COUNTIFS(TestCases!$K$2:$K$328,$A23,TestCases!$Y$2:$Y$328,"Reject")</f>
        <v>3</v>
      </c>
      <c r="E23" s="7" t="n">
        <f aca="false">SUM(B23:D23)</f>
        <v>92</v>
      </c>
      <c r="F23" s="6" t="s">
        <v>24</v>
      </c>
    </row>
    <row r="24" customFormat="false" ht="15" hidden="false" customHeight="true" outlineLevel="0" collapsed="false">
      <c r="A24" s="7" t="n">
        <v>4</v>
      </c>
      <c r="B24" s="7" t="n">
        <f aca="false">COUNTIFS(TestCases!$K$2:$K$328,$A24,TestCases!$Y$2:$Y$328,"Approve")</f>
        <v>8</v>
      </c>
      <c r="C24" s="7" t="n">
        <f aca="false">COUNTIFS(TestCases!$K$2:$K$328,$A24,TestCases!$Y$2:$Y$328,"Draft")</f>
        <v>1</v>
      </c>
      <c r="D24" s="7" t="n">
        <f aca="false">COUNTIFS(TestCases!$K$2:$K$328,$A24,TestCases!$Y$2:$Y$328,"Reject")</f>
        <v>0</v>
      </c>
      <c r="E24" s="7" t="n">
        <f aca="false">SUM(B24:D24)</f>
        <v>9</v>
      </c>
      <c r="F24" s="6" t="s">
        <v>25</v>
      </c>
    </row>
    <row r="25" customFormat="false" ht="15" hidden="false" customHeight="true" outlineLevel="0" collapsed="false">
      <c r="A25" s="9" t="s">
        <v>13</v>
      </c>
      <c r="B25" s="9" t="n">
        <f aca="false">SUM(B21:B24)</f>
        <v>90</v>
      </c>
      <c r="C25" s="9" t="n">
        <f aca="false">SUM(C21:C24)</f>
        <v>233</v>
      </c>
      <c r="D25" s="9" t="n">
        <f aca="false">SUM(D21:D24)</f>
        <v>4</v>
      </c>
      <c r="E25" s="9" t="n">
        <f aca="false">SUM(E21:E24)</f>
        <v>327</v>
      </c>
    </row>
    <row r="27" customFormat="false" ht="15" hidden="false" customHeight="true" outlineLevel="0" collapsed="false">
      <c r="A27" s="4" t="s">
        <v>26</v>
      </c>
    </row>
    <row r="28" customFormat="false" ht="15" hidden="false" customHeight="true" outlineLevel="0" collapsed="false">
      <c r="A28" s="5" t="s">
        <v>15</v>
      </c>
      <c r="B28" s="5" t="s">
        <v>27</v>
      </c>
      <c r="C28" s="5" t="s">
        <v>28</v>
      </c>
      <c r="D28" s="5" t="s">
        <v>29</v>
      </c>
      <c r="E28" s="5" t="s">
        <v>30</v>
      </c>
      <c r="F28" s="5" t="s">
        <v>13</v>
      </c>
    </row>
    <row r="29" customFormat="false" ht="15" hidden="false" customHeight="true" outlineLevel="0" collapsed="false">
      <c r="A29" s="6" t="s">
        <v>16</v>
      </c>
      <c r="B29" s="7" t="n">
        <f aca="false">COUNTIFS(TestCases!$J$2:$J$328,$A29,TestCases!$K$2:$K$328,1)</f>
        <v>36</v>
      </c>
      <c r="C29" s="7" t="n">
        <f aca="false">COUNTIFS(TestCases!$J$2:$J$328,$A29,TestCases!$K$2:$K$328,2)</f>
        <v>49</v>
      </c>
      <c r="D29" s="7" t="n">
        <f aca="false">COUNTIFS(TestCases!$J$2:$J$328,$A29,TestCases!$K$2:$K$328,3)</f>
        <v>0</v>
      </c>
      <c r="E29" s="7" t="n">
        <f aca="false">COUNTIFS(TestCases!$J$2:$J$328,$A29,TestCases!$K$2:$K$328,4)</f>
        <v>0</v>
      </c>
      <c r="F29" s="7" t="n">
        <f aca="false">SUM(B29:E29)</f>
        <v>85</v>
      </c>
    </row>
    <row r="30" customFormat="false" ht="15" hidden="false" customHeight="true" outlineLevel="0" collapsed="false">
      <c r="A30" s="6" t="s">
        <v>17</v>
      </c>
      <c r="B30" s="7" t="n">
        <f aca="false">COUNTIFS(TestCases!$J$2:$J$328,$A30,TestCases!$K$2:$K$328,1)</f>
        <v>15</v>
      </c>
      <c r="C30" s="7" t="n">
        <f aca="false">COUNTIFS(TestCases!$J$2:$J$328,$A30,TestCases!$K$2:$K$328,2)</f>
        <v>65</v>
      </c>
      <c r="D30" s="7" t="n">
        <f aca="false">COUNTIFS(TestCases!$J$2:$J$328,$A30,TestCases!$K$2:$K$328,3)</f>
        <v>26</v>
      </c>
      <c r="E30" s="7" t="n">
        <f aca="false">COUNTIFS(TestCases!$J$2:$J$328,$A30,TestCases!$K$2:$K$328,4)</f>
        <v>0</v>
      </c>
      <c r="F30" s="7" t="n">
        <f aca="false">SUM(B30:E30)</f>
        <v>106</v>
      </c>
    </row>
    <row r="31" customFormat="false" ht="15" hidden="false" customHeight="true" outlineLevel="0" collapsed="false">
      <c r="A31" s="6" t="s">
        <v>18</v>
      </c>
      <c r="B31" s="7" t="n">
        <f aca="false">COUNTIFS(TestCases!$J$2:$J$328,$A31,TestCases!$K$2:$K$328,1)</f>
        <v>0</v>
      </c>
      <c r="C31" s="7" t="n">
        <f aca="false">COUNTIFS(TestCases!$J$2:$J$328,$A31,TestCases!$K$2:$K$328,2)</f>
        <v>61</v>
      </c>
      <c r="D31" s="7" t="n">
        <f aca="false">COUNTIFS(TestCases!$J$2:$J$328,$A31,TestCases!$K$2:$K$328,3)</f>
        <v>31</v>
      </c>
      <c r="E31" s="7" t="n">
        <f aca="false">COUNTIFS(TestCases!$J$2:$J$328,$A31,TestCases!$K$2:$K$328,4)</f>
        <v>1</v>
      </c>
      <c r="F31" s="7" t="n">
        <f aca="false">SUM(B31:E31)</f>
        <v>93</v>
      </c>
    </row>
    <row r="32" customFormat="false" ht="15" hidden="false" customHeight="true" outlineLevel="0" collapsed="false">
      <c r="A32" s="6" t="s">
        <v>19</v>
      </c>
      <c r="B32" s="7" t="n">
        <f aca="false">COUNTIFS(TestCases!$J$2:$J$328,$A32,TestCases!$K$2:$K$328,1)</f>
        <v>0</v>
      </c>
      <c r="C32" s="7" t="n">
        <f aca="false">COUNTIFS(TestCases!$J$2:$J$328,$A32,TestCases!$K$2:$K$328,2)</f>
        <v>0</v>
      </c>
      <c r="D32" s="7" t="n">
        <f aca="false">COUNTIFS(TestCases!$J$2:$J$328,$A32,TestCases!$K$2:$K$328,3)</f>
        <v>35</v>
      </c>
      <c r="E32" s="7" t="n">
        <f aca="false">COUNTIFS(TestCases!$J$2:$J$328,$A32,TestCases!$K$2:$K$328,4)</f>
        <v>8</v>
      </c>
      <c r="F32" s="7" t="n">
        <f aca="false">SUM(B32:E32)</f>
        <v>43</v>
      </c>
    </row>
    <row r="33" customFormat="false" ht="15" hidden="false" customHeight="true" outlineLevel="0" collapsed="false">
      <c r="A33" s="9" t="s">
        <v>13</v>
      </c>
      <c r="B33" s="10" t="n">
        <f aca="false">SUM(B29:B32)</f>
        <v>51</v>
      </c>
      <c r="C33" s="10" t="n">
        <f aca="false">SUM(C29:C32)</f>
        <v>175</v>
      </c>
      <c r="D33" s="10" t="n">
        <f aca="false">SUM(D29:D32)</f>
        <v>92</v>
      </c>
      <c r="E33" s="10" t="n">
        <f aca="false">SUM(E29:E32)</f>
        <v>9</v>
      </c>
      <c r="F33" s="10" t="n">
        <f aca="false">SUM(F29:F32)</f>
        <v>327</v>
      </c>
    </row>
    <row r="35" customFormat="false" ht="15" hidden="false" customHeight="true" outlineLevel="0" collapsed="false">
      <c r="A35" s="4" t="s">
        <v>31</v>
      </c>
    </row>
    <row r="36" customFormat="false" ht="15" hidden="false" customHeight="true" outlineLevel="0" collapsed="false">
      <c r="A36" s="5" t="s">
        <v>32</v>
      </c>
      <c r="B36" s="5" t="s">
        <v>33</v>
      </c>
      <c r="C36" s="5" t="s">
        <v>34</v>
      </c>
      <c r="D36" s="5" t="s">
        <v>35</v>
      </c>
      <c r="E36" s="5" t="s">
        <v>36</v>
      </c>
      <c r="F36" s="5" t="s">
        <v>37</v>
      </c>
    </row>
    <row r="37" customFormat="false" ht="15" hidden="false" customHeight="true" outlineLevel="0" collapsed="false">
      <c r="A37" s="6" t="s">
        <v>38</v>
      </c>
      <c r="B37" s="7" t="n">
        <f aca="false">COUNTIFS(TestCases!$C$2:$C$328,$A37,TestCases!$D$2:$D$328,"*1*")</f>
        <v>45</v>
      </c>
      <c r="C37" s="7" t="n">
        <f aca="false">COUNTIFS(TestCases!$C$2:$C$328,$A37,TestCases!$D$2:$D$328,"*2*")</f>
        <v>57</v>
      </c>
      <c r="D37" s="7" t="n">
        <f aca="false">COUNTIFS(TestCases!$C$2:$C$328,$A37,TestCases!$D$2:$D$328,"*3*")</f>
        <v>18</v>
      </c>
      <c r="E37" s="7" t="n">
        <f aca="false">COUNTIFS(TestCases!$C$2:$C$328,$A37,TestCases!$D$2:$D$328,"Unscheduled")</f>
        <v>1</v>
      </c>
      <c r="F37" s="7" t="n">
        <f aca="false">COUNTIFS(TestCases!$C$2:$C$328,$A37)</f>
        <v>117</v>
      </c>
    </row>
    <row r="38" customFormat="false" ht="15" hidden="false" customHeight="true" outlineLevel="0" collapsed="false">
      <c r="A38" s="6" t="s">
        <v>39</v>
      </c>
      <c r="B38" s="7" t="n">
        <f aca="false">COUNTIFS(TestCases!$C$2:$C$328,$A38,TestCases!$D$2:$D$328,"*1*")</f>
        <v>7</v>
      </c>
      <c r="C38" s="7" t="n">
        <f aca="false">COUNTIFS(TestCases!$C$2:$C$328,$A38,TestCases!$D$2:$D$328,"*2*")</f>
        <v>3</v>
      </c>
      <c r="D38" s="7" t="n">
        <f aca="false">COUNTIFS(TestCases!$C$2:$C$328,$A38,TestCases!$D$2:$D$328,"*3*")</f>
        <v>64</v>
      </c>
      <c r="E38" s="7" t="n">
        <f aca="false">COUNTIFS(TestCases!$C$2:$C$328,$A38,TestCases!$D$2:$D$328,"Unscheduled")</f>
        <v>0</v>
      </c>
      <c r="F38" s="7" t="n">
        <f aca="false">COUNTIFS(TestCases!$C$2:$C$328,$A38)</f>
        <v>68</v>
      </c>
    </row>
    <row r="39" customFormat="false" ht="15" hidden="false" customHeight="true" outlineLevel="0" collapsed="false">
      <c r="A39" s="6" t="s">
        <v>40</v>
      </c>
      <c r="B39" s="7" t="n">
        <f aca="false">COUNTIFS(TestCases!$C$2:$C$328,$A39,TestCases!$D$2:$D$328,"*1*")</f>
        <v>34</v>
      </c>
      <c r="C39" s="7" t="n">
        <f aca="false">COUNTIFS(TestCases!$C$2:$C$328,$A39,TestCases!$D$2:$D$328,"*2*")</f>
        <v>92</v>
      </c>
      <c r="D39" s="7" t="n">
        <f aca="false">COUNTIFS(TestCases!$C$2:$C$328,$A39,TestCases!$D$2:$D$328,"*3*")</f>
        <v>46</v>
      </c>
      <c r="E39" s="7" t="n">
        <f aca="false">COUNTIFS(TestCases!$C$2:$C$328,$A39,TestCases!$D$2:$D$328,"Unscheduled")</f>
        <v>9</v>
      </c>
      <c r="F39" s="7" t="n">
        <f aca="false">COUNTIFS(TestCases!$C$2:$C$328,$A39)</f>
        <v>142</v>
      </c>
    </row>
    <row r="40" customFormat="false" ht="15" hidden="false" customHeight="true" outlineLevel="0" collapsed="false">
      <c r="A40" s="9" t="s">
        <v>13</v>
      </c>
      <c r="B40" s="10" t="n">
        <f aca="false">SUM(B37:B39)</f>
        <v>86</v>
      </c>
      <c r="C40" s="10" t="n">
        <f aca="false">SUM(C37:C39)</f>
        <v>152</v>
      </c>
      <c r="D40" s="10" t="n">
        <f aca="false">SUM(D37:D39)</f>
        <v>128</v>
      </c>
      <c r="E40" s="10" t="n">
        <f aca="false">SUM(E37:E39)</f>
        <v>10</v>
      </c>
      <c r="F40" s="10" t="n">
        <f aca="false">SUM(F37:F39)</f>
        <v>327</v>
      </c>
    </row>
    <row r="42" customFormat="false" ht="15" hidden="false" customHeight="true" outlineLevel="0" collapsed="false">
      <c r="A42" s="4" t="s">
        <v>41</v>
      </c>
    </row>
    <row r="43" customFormat="false" ht="15" hidden="false" customHeight="true" outlineLevel="0" collapsed="false">
      <c r="A43" s="5" t="s">
        <v>32</v>
      </c>
      <c r="B43" s="5" t="s">
        <v>7</v>
      </c>
      <c r="C43" s="5" t="s">
        <v>9</v>
      </c>
      <c r="D43" s="5" t="s">
        <v>11</v>
      </c>
      <c r="E43" s="5" t="s">
        <v>13</v>
      </c>
    </row>
    <row r="44" customFormat="false" ht="15" hidden="false" customHeight="true" outlineLevel="0" collapsed="false">
      <c r="A44" s="6" t="s">
        <v>38</v>
      </c>
      <c r="B44" s="7" t="n">
        <f aca="false">COUNTIFS(TestCases!$C$2:$C$328,$A44,TestCases!$Y$2:$Y$328,"Approve")</f>
        <v>36</v>
      </c>
      <c r="C44" s="7" t="n">
        <f aca="false">COUNTIFS(TestCases!$C$2:$C$328,$A44,TestCases!$Y$2:$Y$328,"Draft")</f>
        <v>80</v>
      </c>
      <c r="D44" s="7" t="n">
        <f aca="false">COUNTIFS(TestCases!$C$2:$C$328,$A44,TestCases!$Y$2:$Y$328,"Reject")</f>
        <v>1</v>
      </c>
      <c r="E44" s="7" t="n">
        <f aca="false">SUM(B44:D44)</f>
        <v>117</v>
      </c>
    </row>
    <row r="45" customFormat="false" ht="15" hidden="false" customHeight="true" outlineLevel="0" collapsed="false">
      <c r="A45" s="6" t="s">
        <v>39</v>
      </c>
      <c r="B45" s="7" t="n">
        <f aca="false">COUNTIFS(TestCases!$C$2:$C$328,$A45,TestCases!$Y$2:$Y$328,"Approve")</f>
        <v>24</v>
      </c>
      <c r="C45" s="7" t="n">
        <f aca="false">COUNTIFS(TestCases!$C$2:$C$328,$A45,TestCases!$Y$2:$Y$328,"Draft")</f>
        <v>43</v>
      </c>
      <c r="D45" s="7" t="n">
        <f aca="false">COUNTIFS(TestCases!$C$2:$C$328,$A45,TestCases!$Y$2:$Y$328,"Reject")</f>
        <v>1</v>
      </c>
      <c r="E45" s="7" t="n">
        <f aca="false">SUM(B45:D45)</f>
        <v>68</v>
      </c>
    </row>
    <row r="46" customFormat="false" ht="15" hidden="false" customHeight="true" outlineLevel="0" collapsed="false">
      <c r="A46" s="6" t="s">
        <v>40</v>
      </c>
      <c r="B46" s="7" t="n">
        <f aca="false">COUNTIFS(TestCases!$C$2:$C$328,$A46,TestCases!$Y$2:$Y$328,"Approve")</f>
        <v>30</v>
      </c>
      <c r="C46" s="7" t="n">
        <f aca="false">COUNTIFS(TestCases!$C$2:$C$328,$A46,TestCases!$Y$2:$Y$328,"Draft")</f>
        <v>110</v>
      </c>
      <c r="D46" s="7" t="n">
        <f aca="false">COUNTIFS(TestCases!$C$2:$C$328,$A46,TestCases!$Y$2:$Y$328,"Reject")</f>
        <v>2</v>
      </c>
      <c r="E46" s="7" t="n">
        <f aca="false">SUM(B46:D46)</f>
        <v>142</v>
      </c>
    </row>
    <row r="47" customFormat="false" ht="15" hidden="false" customHeight="true" outlineLevel="0" collapsed="false">
      <c r="A47" s="9" t="s">
        <v>13</v>
      </c>
      <c r="B47" s="10" t="n">
        <f aca="false">SUM(B44:B46)</f>
        <v>90</v>
      </c>
      <c r="C47" s="10" t="n">
        <f aca="false">SUM(C44:C46)</f>
        <v>233</v>
      </c>
      <c r="D47" s="10" t="n">
        <f aca="false">SUM(D44:D46)</f>
        <v>4</v>
      </c>
      <c r="E47" s="10" t="n">
        <f aca="false">SUM(E44:E46)</f>
        <v>327</v>
      </c>
    </row>
    <row r="49" customFormat="false" ht="15" hidden="false" customHeight="true" outlineLevel="0" collapsed="false">
      <c r="A49" s="4" t="s">
        <v>42</v>
      </c>
    </row>
    <row r="50" customFormat="false" ht="15" hidden="false" customHeight="true" outlineLevel="0" collapsed="false">
      <c r="A50" s="5" t="s">
        <v>43</v>
      </c>
      <c r="B50" s="5" t="s">
        <v>7</v>
      </c>
      <c r="C50" s="5" t="s">
        <v>9</v>
      </c>
      <c r="D50" s="5" t="s">
        <v>11</v>
      </c>
      <c r="E50" s="5" t="s">
        <v>13</v>
      </c>
    </row>
    <row r="51" customFormat="false" ht="15" hidden="false" customHeight="true" outlineLevel="0" collapsed="false">
      <c r="A51" s="6" t="s">
        <v>44</v>
      </c>
      <c r="B51" s="7" t="n">
        <f aca="false">COUNTIFS(TestCases!$X$2:$X$328,$A51,TestCases!$Y$2:$Y$328,"Approve")</f>
        <v>87</v>
      </c>
      <c r="C51" s="7" t="n">
        <f aca="false">COUNTIFS(TestCases!$X$2:$X$328,$A51,TestCases!$Y$2:$Y$328,"Draft")</f>
        <v>192</v>
      </c>
      <c r="D51" s="7" t="n">
        <f aca="false">COUNTIFS(TestCases!$X$2:$X$328,$A51,TestCases!$Y$2:$Y$328,"Reject")</f>
        <v>2</v>
      </c>
      <c r="E51" s="7" t="n">
        <f aca="false">SUM(B51:D51)</f>
        <v>281</v>
      </c>
    </row>
    <row r="52" customFormat="false" ht="15" hidden="false" customHeight="true" outlineLevel="0" collapsed="false">
      <c r="A52" s="6" t="s">
        <v>45</v>
      </c>
      <c r="B52" s="7" t="n">
        <f aca="false">COUNTIFS(TestCases!$X$2:$X$328,$A52,TestCases!$Y$2:$Y$328,"Approve")</f>
        <v>3</v>
      </c>
      <c r="C52" s="7" t="n">
        <f aca="false">COUNTIFS(TestCases!$X$2:$X$328,$A52,TestCases!$Y$2:$Y$328,"Draft")</f>
        <v>41</v>
      </c>
      <c r="D52" s="7" t="n">
        <f aca="false">COUNTIFS(TestCases!$X$2:$X$328,$A52,TestCases!$Y$2:$Y$328,"Reject")</f>
        <v>2</v>
      </c>
      <c r="E52" s="7" t="n">
        <f aca="false">SUM(B52:D52)</f>
        <v>46</v>
      </c>
    </row>
    <row r="53" customFormat="false" ht="15" hidden="false" customHeight="true" outlineLevel="0" collapsed="false">
      <c r="A53" s="9" t="s">
        <v>13</v>
      </c>
      <c r="B53" s="10" t="n">
        <f aca="false">SUM(B51:B52)</f>
        <v>90</v>
      </c>
      <c r="C53" s="10" t="n">
        <f aca="false">SUM(C51:C52)</f>
        <v>233</v>
      </c>
      <c r="D53" s="10" t="n">
        <f aca="false">SUM(D51:D52)</f>
        <v>4</v>
      </c>
      <c r="E53" s="10" t="n">
        <f aca="false">SUM(E51:E52)</f>
        <v>327</v>
      </c>
    </row>
    <row r="55" customFormat="false" ht="15" hidden="false" customHeight="true" outlineLevel="0" collapsed="false">
      <c r="A55" s="4" t="s">
        <v>46</v>
      </c>
    </row>
    <row r="56" customFormat="false" ht="15" hidden="false" customHeight="true" outlineLevel="0" collapsed="false">
      <c r="A56" s="5" t="s">
        <v>47</v>
      </c>
      <c r="B56" s="5" t="s">
        <v>7</v>
      </c>
      <c r="C56" s="5" t="s">
        <v>9</v>
      </c>
      <c r="D56" s="5" t="s">
        <v>11</v>
      </c>
      <c r="E56" s="5" t="s">
        <v>13</v>
      </c>
    </row>
    <row r="57" customFormat="false" ht="15" hidden="false" customHeight="true" outlineLevel="0" collapsed="false">
      <c r="A57" s="6" t="s">
        <v>48</v>
      </c>
      <c r="B57" s="7" t="n">
        <f aca="false">COUNTIFS(TestCases!$I$2:$I$328,$A57,TestCases!$Y$2:$Y$328,"Approve")</f>
        <v>7</v>
      </c>
      <c r="C57" s="7" t="n">
        <f aca="false">COUNTIFS(TestCases!$I$2:$I$328,$A57,TestCases!$Y$2:$Y$328,"Draft")</f>
        <v>23</v>
      </c>
      <c r="D57" s="7" t="n">
        <f aca="false">COUNTIFS(TestCases!$I$2:$I$328,$A57,TestCases!$Y$2:$Y$328,"Reject")</f>
        <v>0</v>
      </c>
      <c r="E57" s="7" t="n">
        <f aca="false">SUM(B57:D57)</f>
        <v>30</v>
      </c>
    </row>
    <row r="58" customFormat="false" ht="15" hidden="false" customHeight="true" outlineLevel="0" collapsed="false">
      <c r="A58" s="6" t="s">
        <v>49</v>
      </c>
      <c r="B58" s="7" t="n">
        <f aca="false">COUNTIFS(TestCases!$I$2:$I$328,$A58,TestCases!$Y$2:$Y$328,"Approve")</f>
        <v>6</v>
      </c>
      <c r="C58" s="7" t="n">
        <f aca="false">COUNTIFS(TestCases!$I$2:$I$328,$A58,TestCases!$Y$2:$Y$328,"Draft")</f>
        <v>34</v>
      </c>
      <c r="D58" s="7" t="n">
        <f aca="false">COUNTIFS(TestCases!$I$2:$I$328,$A58,TestCases!$Y$2:$Y$328,"Reject")</f>
        <v>2</v>
      </c>
      <c r="E58" s="7" t="n">
        <f aca="false">SUM(B58:D58)</f>
        <v>42</v>
      </c>
    </row>
    <row r="59" customFormat="false" ht="15" hidden="false" customHeight="true" outlineLevel="0" collapsed="false">
      <c r="A59" s="6" t="s">
        <v>50</v>
      </c>
      <c r="B59" s="7" t="n">
        <f aca="false">COUNTIFS(TestCases!$I$2:$I$328,$A59,TestCases!$Y$2:$Y$328,"Approve")</f>
        <v>20</v>
      </c>
      <c r="C59" s="7" t="n">
        <f aca="false">COUNTIFS(TestCases!$I$2:$I$328,$A59,TestCases!$Y$2:$Y$328,"Draft")</f>
        <v>21</v>
      </c>
      <c r="D59" s="7" t="n">
        <f aca="false">COUNTIFS(TestCases!$I$2:$I$328,$A59,TestCases!$Y$2:$Y$328,"Reject")</f>
        <v>0</v>
      </c>
      <c r="E59" s="7" t="n">
        <f aca="false">SUM(B59:D59)</f>
        <v>41</v>
      </c>
    </row>
    <row r="60" customFormat="false" ht="15" hidden="false" customHeight="true" outlineLevel="0" collapsed="false">
      <c r="A60" s="6" t="s">
        <v>51</v>
      </c>
      <c r="B60" s="7" t="n">
        <f aca="false">COUNTIFS(TestCases!$I$2:$I$328,$A60,TestCases!$Y$2:$Y$328,"Approve")</f>
        <v>7</v>
      </c>
      <c r="C60" s="7" t="n">
        <f aca="false">COUNTIFS(TestCases!$I$2:$I$328,$A60,TestCases!$Y$2:$Y$328,"Draft")</f>
        <v>28</v>
      </c>
      <c r="D60" s="7" t="n">
        <f aca="false">COUNTIFS(TestCases!$I$2:$I$328,$A60,TestCases!$Y$2:$Y$328,"Reject")</f>
        <v>0</v>
      </c>
      <c r="E60" s="7" t="n">
        <f aca="false">SUM(B60:D60)</f>
        <v>35</v>
      </c>
    </row>
    <row r="61" customFormat="false" ht="15" hidden="false" customHeight="true" outlineLevel="0" collapsed="false">
      <c r="A61" s="6" t="s">
        <v>52</v>
      </c>
      <c r="B61" s="7" t="n">
        <f aca="false">COUNTIFS(TestCases!$I$2:$I$328,$A61,TestCases!$Y$2:$Y$328,"Approve")</f>
        <v>0</v>
      </c>
      <c r="C61" s="7" t="n">
        <f aca="false">COUNTIFS(TestCases!$I$2:$I$328,$A61,TestCases!$Y$2:$Y$328,"Draft")</f>
        <v>7</v>
      </c>
      <c r="D61" s="7" t="n">
        <f aca="false">COUNTIFS(TestCases!$I$2:$I$328,$A61,TestCases!$Y$2:$Y$328,"Reject")</f>
        <v>0</v>
      </c>
      <c r="E61" s="7" t="n">
        <f aca="false">SUM(B61:D61)</f>
        <v>7</v>
      </c>
    </row>
    <row r="62" customFormat="false" ht="15" hidden="false" customHeight="true" outlineLevel="0" collapsed="false">
      <c r="A62" s="6" t="s">
        <v>53</v>
      </c>
      <c r="B62" s="7" t="n">
        <f aca="false">COUNTIFS(TestCases!$I$2:$I$328,$A62,TestCases!$Y$2:$Y$328,"Approve")</f>
        <v>20</v>
      </c>
      <c r="C62" s="7" t="n">
        <f aca="false">COUNTIFS(TestCases!$I$2:$I$328,$A62,TestCases!$Y$2:$Y$328,"Draft")</f>
        <v>14</v>
      </c>
      <c r="D62" s="7" t="n">
        <f aca="false">COUNTIFS(TestCases!$I$2:$I$328,$A62,TestCases!$Y$2:$Y$328,"Reject")</f>
        <v>0</v>
      </c>
      <c r="E62" s="7" t="n">
        <f aca="false">SUM(B62:D62)</f>
        <v>34</v>
      </c>
    </row>
    <row r="63" customFormat="false" ht="15" hidden="false" customHeight="true" outlineLevel="0" collapsed="false">
      <c r="A63" s="6" t="s">
        <v>54</v>
      </c>
      <c r="B63" s="7" t="n">
        <f aca="false">COUNTIFS(TestCases!$I$2:$I$328,$A63,TestCases!$Y$2:$Y$328,"Approve")</f>
        <v>6</v>
      </c>
      <c r="C63" s="7" t="n">
        <f aca="false">COUNTIFS(TestCases!$I$2:$I$328,$A63,TestCases!$Y$2:$Y$328,"Draft")</f>
        <v>27</v>
      </c>
      <c r="D63" s="7" t="n">
        <f aca="false">COUNTIFS(TestCases!$I$2:$I$328,$A63,TestCases!$Y$2:$Y$328,"Reject")</f>
        <v>0</v>
      </c>
      <c r="E63" s="7" t="n">
        <f aca="false">SUM(B63:D63)</f>
        <v>33</v>
      </c>
    </row>
    <row r="64" customFormat="false" ht="15" hidden="false" customHeight="true" outlineLevel="0" collapsed="false">
      <c r="A64" s="6" t="s">
        <v>55</v>
      </c>
      <c r="B64" s="7" t="n">
        <f aca="false">COUNTIFS(TestCases!$I$2:$I$328,$A64,TestCases!$Y$2:$Y$328,"Approve")</f>
        <v>0</v>
      </c>
      <c r="C64" s="7" t="n">
        <f aca="false">COUNTIFS(TestCases!$I$2:$I$328,$A64,TestCases!$Y$2:$Y$328,"Draft")</f>
        <v>4</v>
      </c>
      <c r="D64" s="7" t="n">
        <f aca="false">COUNTIFS(TestCases!$I$2:$I$328,$A64,TestCases!$Y$2:$Y$328,"Reject")</f>
        <v>0</v>
      </c>
      <c r="E64" s="7" t="n">
        <f aca="false">SUM(B64:D64)</f>
        <v>4</v>
      </c>
    </row>
    <row r="65" customFormat="false" ht="15" hidden="false" customHeight="true" outlineLevel="0" collapsed="false">
      <c r="A65" s="6" t="s">
        <v>56</v>
      </c>
      <c r="B65" s="7" t="n">
        <f aca="false">COUNTIFS(TestCases!$I$2:$I$328,$A65,TestCases!$Y$2:$Y$328,"Approve")</f>
        <v>2</v>
      </c>
      <c r="C65" s="7" t="n">
        <f aca="false">COUNTIFS(TestCases!$I$2:$I$328,$A65,TestCases!$Y$2:$Y$328,"Draft")</f>
        <v>0</v>
      </c>
      <c r="D65" s="7" t="n">
        <f aca="false">COUNTIFS(TestCases!$I$2:$I$328,$A65,TestCases!$Y$2:$Y$328,"Reject")</f>
        <v>0</v>
      </c>
      <c r="E65" s="7" t="n">
        <f aca="false">SUM(B65:D65)</f>
        <v>2</v>
      </c>
    </row>
    <row r="66" customFormat="false" ht="15" hidden="false" customHeight="true" outlineLevel="0" collapsed="false">
      <c r="A66" s="6" t="s">
        <v>57</v>
      </c>
      <c r="B66" s="7" t="n">
        <f aca="false">COUNTIFS(TestCases!$I$2:$I$328,$A66,TestCases!$Y$2:$Y$328,"Approve")</f>
        <v>2</v>
      </c>
      <c r="C66" s="7" t="n">
        <f aca="false">COUNTIFS(TestCases!$I$2:$I$328,$A66,TestCases!$Y$2:$Y$328,"Draft")</f>
        <v>10</v>
      </c>
      <c r="D66" s="7" t="n">
        <f aca="false">COUNTIFS(TestCases!$I$2:$I$328,$A66,TestCases!$Y$2:$Y$328,"Reject")</f>
        <v>0</v>
      </c>
      <c r="E66" s="7" t="n">
        <f aca="false">SUM(B66:D66)</f>
        <v>12</v>
      </c>
    </row>
    <row r="67" customFormat="false" ht="15" hidden="false" customHeight="true" outlineLevel="0" collapsed="false">
      <c r="A67" s="6" t="s">
        <v>58</v>
      </c>
      <c r="B67" s="7" t="n">
        <f aca="false">COUNTIFS(TestCases!$I$2:$I$328,$A67,TestCases!$Y$2:$Y$328,"Approve")</f>
        <v>0</v>
      </c>
      <c r="C67" s="7" t="n">
        <f aca="false">COUNTIFS(TestCases!$I$2:$I$328,$A67,TestCases!$Y$2:$Y$328,"Draft")</f>
        <v>1</v>
      </c>
      <c r="D67" s="7" t="n">
        <f aca="false">COUNTIFS(TestCases!$I$2:$I$328,$A67,TestCases!$Y$2:$Y$328,"Reject")</f>
        <v>0</v>
      </c>
      <c r="E67" s="7" t="n">
        <f aca="false">SUM(B67:D67)</f>
        <v>1</v>
      </c>
    </row>
    <row r="68" customFormat="false" ht="15" hidden="false" customHeight="true" outlineLevel="0" collapsed="false">
      <c r="A68" s="6" t="s">
        <v>59</v>
      </c>
      <c r="B68" s="7" t="n">
        <f aca="false">COUNTIFS(TestCases!$I$2:$I$328,$A68,TestCases!$Y$2:$Y$328,"Approve")</f>
        <v>20</v>
      </c>
      <c r="C68" s="7" t="n">
        <f aca="false">COUNTIFS(TestCases!$I$2:$I$328,$A68,TestCases!$Y$2:$Y$328,"Draft")</f>
        <v>64</v>
      </c>
      <c r="D68" s="7" t="n">
        <f aca="false">COUNTIFS(TestCases!$I$2:$I$328,$A68,TestCases!$Y$2:$Y$328,"Reject")</f>
        <v>2</v>
      </c>
      <c r="E68" s="7" t="n">
        <f aca="false">SUM(B68:D68)</f>
        <v>86</v>
      </c>
    </row>
    <row r="69" customFormat="false" ht="15" hidden="false" customHeight="true" outlineLevel="0" collapsed="false">
      <c r="A69" s="9" t="s">
        <v>13</v>
      </c>
      <c r="B69" s="10" t="n">
        <f aca="false">SUM(B57:B68)</f>
        <v>90</v>
      </c>
      <c r="C69" s="10" t="n">
        <f aca="false">SUM(C57:C68)</f>
        <v>233</v>
      </c>
      <c r="D69" s="10" t="n">
        <f aca="false">SUM(D57:D68)</f>
        <v>4</v>
      </c>
      <c r="E69" s="10" t="n">
        <f aca="false">SUM(E57:E68)</f>
        <v>327</v>
      </c>
    </row>
    <row r="71" customFormat="false" ht="15" hidden="false" customHeight="true" outlineLevel="0" collapsed="false">
      <c r="A71" s="4" t="s">
        <v>60</v>
      </c>
    </row>
    <row r="72" customFormat="false" ht="15" hidden="false" customHeight="true" outlineLevel="0" collapsed="false">
      <c r="A72" s="5" t="s">
        <v>61</v>
      </c>
      <c r="B72" s="5" t="s">
        <v>7</v>
      </c>
      <c r="C72" s="5" t="s">
        <v>9</v>
      </c>
      <c r="D72" s="5" t="s">
        <v>11</v>
      </c>
      <c r="E72" s="5" t="s">
        <v>13</v>
      </c>
    </row>
    <row r="73" customFormat="false" ht="15" hidden="false" customHeight="true" outlineLevel="0" collapsed="false">
      <c r="A73" s="6" t="s">
        <v>62</v>
      </c>
      <c r="B73" s="7" t="n">
        <f aca="false">COUNTIFS(TestCases!$L$2:$L$328,$A73,TestCases!$Y$2:$Y$328,"Approve")</f>
        <v>76</v>
      </c>
      <c r="C73" s="7" t="n">
        <f aca="false">COUNTIFS(TestCases!$L$2:$L$328,$A73,TestCases!$Y$2:$Y$328,"Draft")</f>
        <v>161</v>
      </c>
      <c r="D73" s="7" t="n">
        <f aca="false">COUNTIFS(TestCases!$L$2:$L$328,$A73,TestCases!$Y$2:$Y$328,"Reject")</f>
        <v>0</v>
      </c>
      <c r="E73" s="7" t="n">
        <f aca="false">SUM(B73:D73)</f>
        <v>237</v>
      </c>
    </row>
    <row r="74" customFormat="false" ht="15" hidden="false" customHeight="true" outlineLevel="0" collapsed="false">
      <c r="A74" s="6" t="s">
        <v>63</v>
      </c>
      <c r="B74" s="7" t="n">
        <f aca="false">COUNTIFS(TestCases!$L$2:$L$328,$A74,TestCases!$Y$2:$Y$328,"Approve")</f>
        <v>7</v>
      </c>
      <c r="C74" s="7" t="n">
        <f aca="false">COUNTIFS(TestCases!$L$2:$L$328,$A74,TestCases!$Y$2:$Y$328,"Draft")</f>
        <v>42</v>
      </c>
      <c r="D74" s="7" t="n">
        <f aca="false">COUNTIFS(TestCases!$L$2:$L$328,$A74,TestCases!$Y$2:$Y$328,"Reject")</f>
        <v>4</v>
      </c>
      <c r="E74" s="7" t="n">
        <f aca="false">SUM(B74:D74)</f>
        <v>53</v>
      </c>
    </row>
    <row r="75" customFormat="false" ht="15" hidden="false" customHeight="true" outlineLevel="0" collapsed="false">
      <c r="A75" s="6" t="s">
        <v>64</v>
      </c>
      <c r="B75" s="7" t="n">
        <f aca="false">COUNTIFS(TestCases!$L$2:$L$328,$A75,TestCases!$Y$2:$Y$328,"Approve")</f>
        <v>7</v>
      </c>
      <c r="C75" s="7" t="n">
        <f aca="false">COUNTIFS(TestCases!$L$2:$L$328,$A75,TestCases!$Y$2:$Y$328,"Draft")</f>
        <v>25</v>
      </c>
      <c r="D75" s="7" t="n">
        <f aca="false">COUNTIFS(TestCases!$L$2:$L$328,$A75,TestCases!$Y$2:$Y$328,"Reject")</f>
        <v>0</v>
      </c>
      <c r="E75" s="7" t="n">
        <f aca="false">SUM(B75:D75)</f>
        <v>32</v>
      </c>
    </row>
    <row r="76" customFormat="false" ht="15" hidden="false" customHeight="true" outlineLevel="0" collapsed="false">
      <c r="A76" s="6" t="s">
        <v>65</v>
      </c>
      <c r="B76" s="7" t="n">
        <f aca="false">COUNTIFS(TestCases!$L$2:$L$328,$A76,TestCases!$Y$2:$Y$328,"Approve")</f>
        <v>0</v>
      </c>
      <c r="C76" s="7" t="n">
        <f aca="false">COUNTIFS(TestCases!$L$2:$L$328,$A76,TestCases!$Y$2:$Y$328,"Draft")</f>
        <v>5</v>
      </c>
      <c r="D76" s="7" t="n">
        <f aca="false">COUNTIFS(TestCases!$L$2:$L$328,$A76,TestCases!$Y$2:$Y$328,"Reject")</f>
        <v>0</v>
      </c>
      <c r="E76" s="7" t="n">
        <f aca="false">SUM(B76:D76)</f>
        <v>5</v>
      </c>
    </row>
    <row r="77" customFormat="false" ht="15" hidden="false" customHeight="true" outlineLevel="0" collapsed="false">
      <c r="A77" s="9" t="s">
        <v>13</v>
      </c>
      <c r="B77" s="10" t="n">
        <f aca="false">SUM(B73:B76)</f>
        <v>90</v>
      </c>
      <c r="C77" s="10" t="n">
        <f aca="false">SUM(C73:C76)</f>
        <v>233</v>
      </c>
      <c r="D77" s="10" t="n">
        <f aca="false">SUM(D73:D76)</f>
        <v>4</v>
      </c>
      <c r="E77" s="10" t="n">
        <f aca="false">SUM(E73:E76)</f>
        <v>327</v>
      </c>
    </row>
    <row r="79" customFormat="false" ht="15" hidden="false" customHeight="true" outlineLevel="0" collapsed="false">
      <c r="A79" s="4" t="s">
        <v>66</v>
      </c>
    </row>
    <row r="80" customFormat="false" ht="15" hidden="false" customHeight="true" outlineLevel="0" collapsed="false">
      <c r="A80" s="5" t="s">
        <v>67</v>
      </c>
      <c r="B80" s="5" t="s">
        <v>38</v>
      </c>
      <c r="C80" s="5" t="s">
        <v>39</v>
      </c>
      <c r="D80" s="5" t="s">
        <v>40</v>
      </c>
      <c r="E80" s="5" t="s">
        <v>13</v>
      </c>
    </row>
    <row r="81" customFormat="false" ht="15" hidden="false" customHeight="true" outlineLevel="0" collapsed="false">
      <c r="A81" s="6" t="s">
        <v>68</v>
      </c>
      <c r="B81" s="7" t="n">
        <f aca="false">COUNTIFS(Checkpoint!$G$2:$G$163,$A81,Checkpoint!$E$2:$E$163,"Enrolment")</f>
        <v>20</v>
      </c>
      <c r="C81" s="7" t="n">
        <f aca="false">COUNTIFS(Checkpoint!$G$2:$G$163,$A81,Checkpoint!$E$2:$E$163,"Assessment")</f>
        <v>17</v>
      </c>
      <c r="D81" s="7" t="n">
        <f aca="false">COUNTIFS(Checkpoint!$G$2:$G$163,$A81,Checkpoint!$E$2:$E$163,"Funding")</f>
        <v>10</v>
      </c>
      <c r="E81" s="7" t="n">
        <f aca="false">SUM(B81:D81)</f>
        <v>47</v>
      </c>
    </row>
    <row r="82" customFormat="false" ht="15" hidden="false" customHeight="true" outlineLevel="0" collapsed="false">
      <c r="A82" s="6" t="s">
        <v>69</v>
      </c>
      <c r="B82" s="7" t="n">
        <f aca="false">COUNTIFS(Checkpoint!$G$2:$G$163,$A82,Checkpoint!$E$2:$E$163,"Enrolment")</f>
        <v>48</v>
      </c>
      <c r="C82" s="7" t="n">
        <f aca="false">COUNTIFS(Checkpoint!$G$2:$G$163,$A82,Checkpoint!$E$2:$E$163,"Assessment")</f>
        <v>24</v>
      </c>
      <c r="D82" s="7" t="n">
        <f aca="false">COUNTIFS(Checkpoint!$G$2:$G$163,$A82,Checkpoint!$E$2:$E$163,"Funding")</f>
        <v>38</v>
      </c>
      <c r="E82" s="7" t="n">
        <f aca="false">SUM(B82:D82)</f>
        <v>110</v>
      </c>
    </row>
    <row r="83" customFormat="false" ht="15" hidden="false" customHeight="true" outlineLevel="0" collapsed="false">
      <c r="A83" s="6" t="s">
        <v>70</v>
      </c>
      <c r="B83" s="7" t="n">
        <f aca="false">COUNTIFS(Checkpoint!$G$2:$G$163,$A83,Checkpoint!$E$2:$E$163,"Enrolment")</f>
        <v>1</v>
      </c>
      <c r="C83" s="7" t="n">
        <f aca="false">COUNTIFS(Checkpoint!$G$2:$G$163,$A83,Checkpoint!$E$2:$E$163,"Assessment")</f>
        <v>0</v>
      </c>
      <c r="D83" s="7" t="n">
        <f aca="false">COUNTIFS(Checkpoint!$G$2:$G$163,$A83,Checkpoint!$E$2:$E$163,"Funding")</f>
        <v>2</v>
      </c>
      <c r="E83" s="7" t="n">
        <f aca="false">SUM(B83:D83)</f>
        <v>3</v>
      </c>
    </row>
    <row r="84" customFormat="false" ht="15" hidden="false" customHeight="true" outlineLevel="0" collapsed="false">
      <c r="A84" s="6" t="s">
        <v>71</v>
      </c>
      <c r="B84" s="7" t="n">
        <f aca="false">COUNTIFS(Checkpoint!$G$2:$G$163,$A84,Checkpoint!$E$2:$E$163,"Enrolment")</f>
        <v>1</v>
      </c>
      <c r="C84" s="7" t="n">
        <f aca="false">COUNTIFS(Checkpoint!$G$2:$G$163,$A84,Checkpoint!$E$2:$E$163,"Assessment")</f>
        <v>0</v>
      </c>
      <c r="D84" s="7" t="n">
        <f aca="false">COUNTIFS(Checkpoint!$G$2:$G$163,$A84,Checkpoint!$E$2:$E$163,"Funding")</f>
        <v>1</v>
      </c>
      <c r="E84" s="7" t="n">
        <f aca="false">SUM(B84:D84)</f>
        <v>2</v>
      </c>
    </row>
    <row r="85" customFormat="false" ht="15" hidden="false" customHeight="true" outlineLevel="0" collapsed="false">
      <c r="A85" s="9" t="s">
        <v>13</v>
      </c>
      <c r="B85" s="10" t="n">
        <f aca="false">SUM(B81:B84)</f>
        <v>70</v>
      </c>
      <c r="C85" s="10" t="n">
        <f aca="false">SUM(C81:C84)</f>
        <v>41</v>
      </c>
      <c r="D85" s="10" t="n">
        <f aca="false">SUM(D81:D84)</f>
        <v>51</v>
      </c>
      <c r="E85" s="10" t="n">
        <f aca="false">SUM(E81:E84)</f>
        <v>162</v>
      </c>
    </row>
    <row r="87" customFormat="false" ht="15" hidden="false" customHeight="true" outlineLevel="0" collapsed="false">
      <c r="A87" s="4" t="s">
        <v>72</v>
      </c>
    </row>
    <row r="88" customFormat="false" ht="15" hidden="false" customHeight="true" outlineLevel="0" collapsed="false">
      <c r="A88" s="5" t="s">
        <v>21</v>
      </c>
      <c r="B88" s="5" t="s">
        <v>38</v>
      </c>
      <c r="C88" s="5" t="s">
        <v>39</v>
      </c>
      <c r="D88" s="5" t="s">
        <v>40</v>
      </c>
      <c r="E88" s="5" t="s">
        <v>13</v>
      </c>
      <c r="F88" s="5" t="s">
        <v>6</v>
      </c>
    </row>
    <row r="89" customFormat="false" ht="15" hidden="false" customHeight="true" outlineLevel="0" collapsed="false">
      <c r="A89" s="7" t="n">
        <v>1</v>
      </c>
      <c r="B89" s="7" t="n">
        <f aca="false">COUNTIFS(Defects!$N$2:$N$71,$A89,Defects!$B$2:$B$71,"Enrolment")</f>
        <v>7</v>
      </c>
      <c r="C89" s="7" t="n">
        <f aca="false">COUNTIFS(Defects!$N$2:$N$71,$A89,Defects!$B$2:$B$71,"Assessment")</f>
        <v>5</v>
      </c>
      <c r="D89" s="7" t="n">
        <f aca="false">COUNTIFS(Defects!$N$2:$N$71,$A89,Defects!$B$2:$B$71,"Funding")</f>
        <v>19</v>
      </c>
      <c r="E89" s="7" t="n">
        <f aca="false">SUM(B89:D89)</f>
        <v>31</v>
      </c>
      <c r="F89" s="6" t="s">
        <v>22</v>
      </c>
    </row>
    <row r="90" customFormat="false" ht="15" hidden="false" customHeight="true" outlineLevel="0" collapsed="false">
      <c r="A90" s="7" t="n">
        <v>2</v>
      </c>
      <c r="B90" s="7" t="n">
        <f aca="false">COUNTIFS(Defects!$N$2:$N$71,$A90,Defects!$B$2:$B$71,"Enrolment")</f>
        <v>6</v>
      </c>
      <c r="C90" s="7" t="n">
        <f aca="false">COUNTIFS(Defects!$N$2:$N$71,$A90,Defects!$B$2:$B$71,"Assessment")</f>
        <v>3</v>
      </c>
      <c r="D90" s="7" t="n">
        <f aca="false">COUNTIFS(Defects!$N$2:$N$71,$A90,Defects!$B$2:$B$71,"Funding")</f>
        <v>17</v>
      </c>
      <c r="E90" s="7" t="n">
        <f aca="false">SUM(B90:D90)</f>
        <v>26</v>
      </c>
      <c r="F90" s="6" t="s">
        <v>23</v>
      </c>
    </row>
    <row r="91" customFormat="false" ht="15" hidden="false" customHeight="true" outlineLevel="0" collapsed="false">
      <c r="A91" s="7" t="n">
        <v>3</v>
      </c>
      <c r="B91" s="7" t="n">
        <f aca="false">COUNTIFS(Defects!$N$2:$N$71,$A91,Defects!$B$2:$B$71,"Enrolment")</f>
        <v>4</v>
      </c>
      <c r="C91" s="7" t="n">
        <f aca="false">COUNTIFS(Defects!$N$2:$N$71,$A91,Defects!$B$2:$B$71,"Assessment")</f>
        <v>1</v>
      </c>
      <c r="D91" s="7" t="n">
        <f aca="false">COUNTIFS(Defects!$N$2:$N$71,$A91,Defects!$B$2:$B$71,"Funding")</f>
        <v>3</v>
      </c>
      <c r="E91" s="7" t="n">
        <f aca="false">SUM(B91:D91)</f>
        <v>8</v>
      </c>
      <c r="F91" s="6" t="s">
        <v>24</v>
      </c>
    </row>
    <row r="92" customFormat="false" ht="15" hidden="false" customHeight="true" outlineLevel="0" collapsed="false">
      <c r="A92" s="7" t="n">
        <v>4</v>
      </c>
      <c r="B92" s="7" t="n">
        <f aca="false">COUNTIFS(Defects!$N$2:$N$71,$A92,Defects!$B$2:$B$71,"Enrolment")</f>
        <v>1</v>
      </c>
      <c r="C92" s="7" t="n">
        <f aca="false">COUNTIFS(Defects!$N$2:$N$71,$A92,Defects!$B$2:$B$71,"Assessment")</f>
        <v>2</v>
      </c>
      <c r="D92" s="7" t="n">
        <f aca="false">COUNTIFS(Defects!$N$2:$N$71,$A92,Defects!$B$2:$B$71,"Funding")</f>
        <v>2</v>
      </c>
      <c r="E92" s="7" t="n">
        <f aca="false">SUM(B92:D92)</f>
        <v>5</v>
      </c>
      <c r="F92" s="6" t="s">
        <v>25</v>
      </c>
    </row>
    <row r="93" customFormat="false" ht="15" hidden="false" customHeight="true" outlineLevel="0" collapsed="false">
      <c r="A93" s="9" t="s">
        <v>13</v>
      </c>
      <c r="B93" s="9" t="n">
        <f aca="false">SUM(B89:B92)</f>
        <v>18</v>
      </c>
      <c r="C93" s="9" t="n">
        <f aca="false">SUM(C89:C92)</f>
        <v>11</v>
      </c>
      <c r="D93" s="9" t="n">
        <f aca="false">SUM(D89:D92)</f>
        <v>41</v>
      </c>
      <c r="E93" s="9" t="n">
        <f aca="false">SUM(E89:E92)</f>
        <v>70</v>
      </c>
    </row>
    <row r="95" customFormat="false" ht="15" hidden="false" customHeight="true" outlineLevel="0" collapsed="false">
      <c r="A95" s="4" t="s">
        <v>73</v>
      </c>
    </row>
    <row r="96" customFormat="false" ht="15" hidden="false" customHeight="true" outlineLevel="0" collapsed="false">
      <c r="A96" s="5" t="s">
        <v>15</v>
      </c>
      <c r="B96" s="5" t="s">
        <v>27</v>
      </c>
      <c r="C96" s="5" t="s">
        <v>28</v>
      </c>
      <c r="D96" s="5" t="s">
        <v>29</v>
      </c>
      <c r="E96" s="5" t="s">
        <v>30</v>
      </c>
      <c r="F96" s="5" t="s">
        <v>13</v>
      </c>
    </row>
    <row r="97" customFormat="false" ht="15" hidden="false" customHeight="true" outlineLevel="0" collapsed="false">
      <c r="A97" s="6" t="s">
        <v>16</v>
      </c>
      <c r="B97" s="7" t="n">
        <f aca="false">COUNTIFS(Defects!$Q$2:$Q$71,$A97,Defects!$N$2:$N$71,1)</f>
        <v>31</v>
      </c>
      <c r="C97" s="7" t="n">
        <f aca="false">COUNTIFS(Defects!$Q$2:$Q$71,$A97,Defects!$N$2:$N$71,2)</f>
        <v>15</v>
      </c>
      <c r="D97" s="7" t="n">
        <f aca="false">COUNTIFS(Defects!$Q$2:$Q$71,$A97,Defects!$N$2:$N$71,3)</f>
        <v>0</v>
      </c>
      <c r="E97" s="7" t="n">
        <f aca="false">COUNTIFS(Defects!$Q$2:$Q$71,$A97,Defects!$N$2:$N$71,4)</f>
        <v>0</v>
      </c>
      <c r="F97" s="7" t="n">
        <f aca="false">SUM(B97:E97)</f>
        <v>46</v>
      </c>
    </row>
    <row r="98" customFormat="false" ht="15" hidden="false" customHeight="true" outlineLevel="0" collapsed="false">
      <c r="A98" s="6" t="s">
        <v>17</v>
      </c>
      <c r="B98" s="7" t="n">
        <f aca="false">COUNTIFS(Defects!$Q$2:$Q$71,$A98,Defects!$N$2:$N$71,1)</f>
        <v>0</v>
      </c>
      <c r="C98" s="7" t="n">
        <f aca="false">COUNTIFS(Defects!$Q$2:$Q$71,$A98,Defects!$N$2:$N$71,2)</f>
        <v>11</v>
      </c>
      <c r="D98" s="7" t="n">
        <f aca="false">COUNTIFS(Defects!$Q$2:$Q$71,$A98,Defects!$N$2:$N$71,3)</f>
        <v>0</v>
      </c>
      <c r="E98" s="7" t="n">
        <f aca="false">COUNTIFS(Defects!$Q$2:$Q$71,$A98,Defects!$N$2:$N$71,4)</f>
        <v>0</v>
      </c>
      <c r="F98" s="7" t="n">
        <f aca="false">SUM(B98:E98)</f>
        <v>11</v>
      </c>
    </row>
    <row r="99" customFormat="false" ht="15" hidden="false" customHeight="true" outlineLevel="0" collapsed="false">
      <c r="A99" s="6" t="s">
        <v>18</v>
      </c>
      <c r="B99" s="7" t="n">
        <f aca="false">COUNTIFS(Defects!$Q$2:$Q$71,$A99,Defects!$N$2:$N$71,1)</f>
        <v>0</v>
      </c>
      <c r="C99" s="7" t="n">
        <f aca="false">COUNTIFS(Defects!$Q$2:$Q$71,$A99,Defects!$N$2:$N$71,2)</f>
        <v>0</v>
      </c>
      <c r="D99" s="7" t="n">
        <f aca="false">COUNTIFS(Defects!$Q$2:$Q$71,$A99,Defects!$N$2:$N$71,3)</f>
        <v>6</v>
      </c>
      <c r="E99" s="7" t="n">
        <f aca="false">COUNTIFS(Defects!$Q$2:$Q$71,$A99,Defects!$N$2:$N$71,4)</f>
        <v>2</v>
      </c>
      <c r="F99" s="7" t="n">
        <f aca="false">SUM(B99:E99)</f>
        <v>8</v>
      </c>
    </row>
    <row r="100" customFormat="false" ht="15" hidden="false" customHeight="true" outlineLevel="0" collapsed="false">
      <c r="A100" s="6" t="s">
        <v>19</v>
      </c>
      <c r="B100" s="7" t="n">
        <f aca="false">COUNTIFS(Defects!$Q$2:$Q$71,$A100,Defects!$N$2:$N$71,1)</f>
        <v>0</v>
      </c>
      <c r="C100" s="7" t="n">
        <f aca="false">COUNTIFS(Defects!$Q$2:$Q$71,$A100,Defects!$N$2:$N$71,2)</f>
        <v>0</v>
      </c>
      <c r="D100" s="7" t="n">
        <f aca="false">COUNTIFS(Defects!$Q$2:$Q$71,$A100,Defects!$N$2:$N$71,3)</f>
        <v>2</v>
      </c>
      <c r="E100" s="7" t="n">
        <f aca="false">COUNTIFS(Defects!$Q$2:$Q$71,$A100,Defects!$N$2:$N$71,4)</f>
        <v>3</v>
      </c>
      <c r="F100" s="7" t="n">
        <f aca="false">SUM(B100:E100)</f>
        <v>5</v>
      </c>
    </row>
    <row r="101" customFormat="false" ht="15" hidden="false" customHeight="true" outlineLevel="0" collapsed="false">
      <c r="A101" s="9" t="s">
        <v>13</v>
      </c>
      <c r="B101" s="10" t="n">
        <f aca="false">SUM(B97:B100)</f>
        <v>31</v>
      </c>
      <c r="C101" s="10" t="n">
        <f aca="false">SUM(C97:C100)</f>
        <v>26</v>
      </c>
      <c r="D101" s="10" t="n">
        <f aca="false">SUM(D97:D100)</f>
        <v>8</v>
      </c>
      <c r="E101" s="10" t="n">
        <f aca="false">SUM(E97:E100)</f>
        <v>5</v>
      </c>
      <c r="F101" s="10" t="n">
        <f aca="false">SUM(F97:F100)</f>
        <v>70</v>
      </c>
    </row>
    <row r="103" customFormat="false" ht="15" hidden="false" customHeight="true" outlineLevel="0" collapsed="false">
      <c r="A103" s="4" t="s">
        <v>74</v>
      </c>
    </row>
    <row r="104" customFormat="false" ht="15" hidden="false" customHeight="true" outlineLevel="0" collapsed="false">
      <c r="A104" s="5" t="s">
        <v>75</v>
      </c>
      <c r="B104" s="5" t="s">
        <v>4</v>
      </c>
      <c r="C104" s="5" t="s">
        <v>76</v>
      </c>
    </row>
    <row r="105" customFormat="false" ht="15" hidden="false" customHeight="true" outlineLevel="0" collapsed="false">
      <c r="A105" s="6" t="s">
        <v>77</v>
      </c>
      <c r="B105" s="7" t="n">
        <f aca="false">COUNTIFS(Defects!$U$2:$U$71,$A105)</f>
        <v>31</v>
      </c>
      <c r="C105" s="6" t="s">
        <v>27</v>
      </c>
    </row>
    <row r="106" customFormat="false" ht="15" hidden="false" customHeight="true" outlineLevel="0" collapsed="false">
      <c r="A106" s="6" t="s">
        <v>78</v>
      </c>
      <c r="B106" s="7" t="n">
        <f aca="false">COUNTIFS(Defects!$U$2:$U$71,$A106)</f>
        <v>26</v>
      </c>
      <c r="C106" s="6" t="s">
        <v>28</v>
      </c>
    </row>
    <row r="107" customFormat="false" ht="15" hidden="false" customHeight="true" outlineLevel="0" collapsed="false">
      <c r="A107" s="6" t="s">
        <v>79</v>
      </c>
      <c r="B107" s="7" t="n">
        <f aca="false">COUNTIFS(Defects!$U$2:$U$71,$A107)</f>
        <v>13</v>
      </c>
      <c r="C107" s="6" t="s">
        <v>80</v>
      </c>
    </row>
    <row r="108" customFormat="false" ht="15" hidden="false" customHeight="true" outlineLevel="0" collapsed="false">
      <c r="A108" s="13" t="s">
        <v>13</v>
      </c>
      <c r="B108" s="13" t="n">
        <f aca="false">SUM(B105:B107)</f>
        <v>70</v>
      </c>
    </row>
    <row r="110" customFormat="false" ht="15" hidden="false" customHeight="true" outlineLevel="0" collapsed="false">
      <c r="A110" s="4" t="s">
        <v>81</v>
      </c>
    </row>
    <row r="111" customFormat="false" ht="15" hidden="false" customHeight="true" outlineLevel="0" collapsed="false">
      <c r="A111" s="5" t="s">
        <v>82</v>
      </c>
      <c r="B111" s="5" t="s">
        <v>83</v>
      </c>
      <c r="C111" s="5" t="s">
        <v>15</v>
      </c>
      <c r="D111" s="5" t="s">
        <v>84</v>
      </c>
    </row>
    <row r="112" customFormat="false" ht="15" hidden="false" customHeight="true" outlineLevel="0" collapsed="false">
      <c r="A112" s="7" t="s">
        <v>17</v>
      </c>
      <c r="B112" s="7" t="s">
        <v>17</v>
      </c>
      <c r="C112" s="7" t="s">
        <v>16</v>
      </c>
      <c r="D112" s="6" t="s">
        <v>85</v>
      </c>
    </row>
    <row r="113" customFormat="false" ht="15" hidden="false" customHeight="true" outlineLevel="0" collapsed="false">
      <c r="A113" s="7" t="s">
        <v>17</v>
      </c>
      <c r="B113" s="7" t="s">
        <v>19</v>
      </c>
      <c r="C113" s="7" t="s">
        <v>17</v>
      </c>
      <c r="D113" s="6"/>
    </row>
    <row r="114" customFormat="false" ht="15" hidden="false" customHeight="true" outlineLevel="0" collapsed="false">
      <c r="A114" s="7" t="s">
        <v>19</v>
      </c>
      <c r="B114" s="7" t="s">
        <v>17</v>
      </c>
      <c r="C114" s="7" t="s">
        <v>18</v>
      </c>
      <c r="D114" s="6" t="s">
        <v>86</v>
      </c>
    </row>
    <row r="115" customFormat="false" ht="15" hidden="false" customHeight="true" outlineLevel="0" collapsed="false">
      <c r="A115" s="7" t="s">
        <v>19</v>
      </c>
      <c r="B115" s="7" t="s">
        <v>19</v>
      </c>
      <c r="C115" s="7" t="s">
        <v>19</v>
      </c>
      <c r="D115" s="6"/>
    </row>
    <row r="118" customFormat="false" ht="15" hidden="false" customHeight="false" outlineLevel="0" collapsed="false">
      <c r="A118" s="4" t="s">
        <v>87</v>
      </c>
    </row>
    <row r="119" customFormat="false" ht="15" hidden="false" customHeight="false" outlineLevel="0" collapsed="false">
      <c r="A119" s="5" t="s">
        <v>88</v>
      </c>
      <c r="B119" s="5" t="s">
        <v>77</v>
      </c>
      <c r="C119" s="5" t="s">
        <v>89</v>
      </c>
      <c r="D119" s="5" t="s">
        <v>90</v>
      </c>
      <c r="E119" s="5" t="s">
        <v>91</v>
      </c>
      <c r="F119" s="5" t="s">
        <v>13</v>
      </c>
    </row>
    <row r="120" customFormat="false" ht="15" hidden="false" customHeight="false" outlineLevel="0" collapsed="false">
      <c r="A120" s="6" t="s">
        <v>92</v>
      </c>
      <c r="B120" s="7" t="n">
        <f aca="false">COUNTIFS('Regression TestCases'!$Z$3:$Z$256,$A120,'Regression TestCases'!$AB$3:$AB$256,"Smoke")</f>
        <v>14</v>
      </c>
      <c r="C120" s="7" t="n">
        <f aca="false">COUNTIFS('Regression TestCases'!$Z$3:$Z$256,$A120,'Regression TestCases'!$AB$3:$AB$256,"Core")</f>
        <v>8</v>
      </c>
      <c r="D120" s="7" t="n">
        <f aca="false">COUNTIFS('Regression TestCases'!$Z$3:$Z$256,$A120,'Regression TestCases'!$AB$3:$AB$256,"Extended")</f>
        <v>4</v>
      </c>
      <c r="E120" s="7" t="n">
        <f aca="false">COUNTIFS('Regression TestCases'!$Z$3:$Z$256,$A120,'Regression TestCases'!$AB$3:$AB$256,"Not ready")</f>
        <v>0</v>
      </c>
      <c r="F120" s="7" t="n">
        <f aca="false">SUM(B120:E120)</f>
        <v>26</v>
      </c>
    </row>
    <row r="121" customFormat="false" ht="15" hidden="false" customHeight="false" outlineLevel="0" collapsed="false">
      <c r="A121" s="6" t="s">
        <v>93</v>
      </c>
      <c r="B121" s="7" t="n">
        <f aca="false">COUNTIFS('Regression TestCases'!$Z$3:$Z$256,$A121,'Regression TestCases'!$AB$3:$AB$256,"Smoke")</f>
        <v>50</v>
      </c>
      <c r="C121" s="7" t="n">
        <f aca="false">COUNTIFS('Regression TestCases'!$Z$3:$Z$256,$A121,'Regression TestCases'!$AB$3:$AB$256,"Core")</f>
        <v>89</v>
      </c>
      <c r="D121" s="7" t="n">
        <f aca="false">COUNTIFS('Regression TestCases'!$Z$3:$Z$256,$A121,'Regression TestCases'!$AB$3:$AB$256,"Extended")</f>
        <v>27</v>
      </c>
      <c r="E121" s="7" t="n">
        <f aca="false">COUNTIFS('Regression TestCases'!$Z$3:$Z$256,$A121,'Regression TestCases'!$AB$3:$AB$256,"Not ready")</f>
        <v>1</v>
      </c>
      <c r="F121" s="7" t="n">
        <f aca="false">SUM(B121:E121)</f>
        <v>167</v>
      </c>
    </row>
    <row r="122" customFormat="false" ht="15" hidden="false" customHeight="false" outlineLevel="0" collapsed="false">
      <c r="A122" s="6" t="s">
        <v>94</v>
      </c>
      <c r="B122" s="7" t="n">
        <f aca="false">COUNTIFS('Regression TestCases'!$Z$3:$Z$256,$A122,'Regression TestCases'!$AB$3:$AB$256,"Smoke")</f>
        <v>0</v>
      </c>
      <c r="C122" s="7" t="n">
        <f aca="false">COUNTIFS('Regression TestCases'!$Z$3:$Z$256,$A122,'Regression TestCases'!$AB$3:$AB$256,"Core")</f>
        <v>4</v>
      </c>
      <c r="D122" s="7" t="n">
        <f aca="false">COUNTIFS('Regression TestCases'!$Z$3:$Z$256,$A122,'Regression TestCases'!$AB$3:$AB$256,"Extended")</f>
        <v>54</v>
      </c>
      <c r="E122" s="7" t="n">
        <f aca="false">COUNTIFS('Regression TestCases'!$Z$3:$Z$256,$A122,'Regression TestCases'!$AB$3:$AB$256,"Not ready")</f>
        <v>0</v>
      </c>
      <c r="F122" s="7" t="n">
        <f aca="false">SUM(B122:E122)</f>
        <v>58</v>
      </c>
    </row>
    <row r="123" customFormat="false" ht="15" hidden="false" customHeight="false" outlineLevel="0" collapsed="false">
      <c r="A123" s="9" t="s">
        <v>13</v>
      </c>
      <c r="B123" s="10" t="n">
        <f aca="false">SUM(B120:B122)</f>
        <v>64</v>
      </c>
      <c r="C123" s="10" t="n">
        <f aca="false">SUM(C120:C122)</f>
        <v>101</v>
      </c>
      <c r="D123" s="10" t="n">
        <f aca="false">SUM(D120:D122)</f>
        <v>85</v>
      </c>
      <c r="E123" s="10" t="n">
        <f aca="false">SUM(E120:E122)</f>
        <v>1</v>
      </c>
      <c r="F123" s="10" t="n">
        <f aca="false">SUM(F120:F122)</f>
        <v>251</v>
      </c>
    </row>
    <row r="125" customFormat="false" ht="15" hidden="false" customHeight="false" outlineLevel="0" collapsed="false">
      <c r="A125" s="4" t="s">
        <v>95</v>
      </c>
    </row>
    <row r="126" customFormat="false" ht="35.05" hidden="false" customHeight="false" outlineLevel="0" collapsed="false">
      <c r="A126" s="5" t="s">
        <v>21</v>
      </c>
      <c r="B126" s="5" t="s">
        <v>96</v>
      </c>
      <c r="C126" s="5" t="s">
        <v>97</v>
      </c>
      <c r="D126" s="5" t="s">
        <v>98</v>
      </c>
    </row>
    <row r="127" customFormat="false" ht="15" hidden="false" customHeight="false" outlineLevel="0" collapsed="false">
      <c r="A127" s="6" t="s">
        <v>99</v>
      </c>
      <c r="B127" s="7" t="n">
        <f aca="false">COUNTIF('Regression Defects'!$I$3:$I$22,1)</f>
        <v>10</v>
      </c>
      <c r="C127" s="7" t="n">
        <f aca="false">COUNTIF('Regression Defects'!$I$26:$I$36,1)</f>
        <v>0</v>
      </c>
      <c r="D127" s="7" t="n">
        <f aca="false">COUNTIF('Regression Defects'!$J$26:$J$36,1)</f>
        <v>8</v>
      </c>
    </row>
    <row r="128" customFormat="false" ht="15" hidden="false" customHeight="false" outlineLevel="0" collapsed="false">
      <c r="A128" s="6" t="s">
        <v>100</v>
      </c>
      <c r="B128" s="7" t="n">
        <f aca="false">COUNTIF('Regression Defects'!$I$3:$I$22,2)</f>
        <v>7</v>
      </c>
      <c r="C128" s="7" t="n">
        <f aca="false">COUNTIF('Regression Defects'!$I$26:$I$36,2)</f>
        <v>8</v>
      </c>
      <c r="D128" s="7" t="n">
        <f aca="false">COUNTIF('Regression Defects'!$J$26:$J$36,2)</f>
        <v>3</v>
      </c>
    </row>
    <row r="129" customFormat="false" ht="15" hidden="false" customHeight="false" outlineLevel="0" collapsed="false">
      <c r="A129" s="6" t="s">
        <v>101</v>
      </c>
      <c r="B129" s="7" t="n">
        <f aca="false">COUNTIF('Regression Defects'!$I$3:$I$22,3)</f>
        <v>2</v>
      </c>
      <c r="C129" s="7" t="n">
        <f aca="false">COUNTIF('Regression Defects'!$I$26:$I$36,3)</f>
        <v>3</v>
      </c>
      <c r="D129" s="7" t="n">
        <f aca="false">COUNTIF('Regression Defects'!$J$26:$J$36,3)</f>
        <v>0</v>
      </c>
    </row>
    <row r="130" customFormat="false" ht="15" hidden="false" customHeight="false" outlineLevel="0" collapsed="false">
      <c r="A130" s="6" t="s">
        <v>102</v>
      </c>
      <c r="B130" s="7" t="n">
        <f aca="false">COUNTIF('Regression Defects'!$I$3:$I$22,4)</f>
        <v>1</v>
      </c>
      <c r="C130" s="7" t="n">
        <f aca="false">COUNTIF('Regression Defects'!$I$26:$I$36,4)</f>
        <v>0</v>
      </c>
      <c r="D130" s="7" t="n">
        <f aca="false">COUNTIF('Regression Defects'!$J$26:$J$36,4)</f>
        <v>0</v>
      </c>
    </row>
    <row r="131" customFormat="false" ht="15" hidden="false" customHeight="false" outlineLevel="0" collapsed="false">
      <c r="A131" s="9" t="s">
        <v>13</v>
      </c>
      <c r="B131" s="10" t="n">
        <f aca="false">SUM(B127:B130)</f>
        <v>20</v>
      </c>
      <c r="C131" s="10" t="n">
        <f aca="false">SUM(C127:C130)</f>
        <v>11</v>
      </c>
      <c r="D131" s="10" t="n">
        <f aca="false">SUM(D127:D130)</f>
        <v>11</v>
      </c>
    </row>
    <row r="133" customFormat="false" ht="15" hidden="false" customHeight="false" outlineLevel="0" collapsed="false">
      <c r="A133" s="14" t="s">
        <v>103</v>
      </c>
    </row>
  </sheetData>
  <mergeCells count="4">
    <mergeCell ref="D5:F5"/>
    <mergeCell ref="D6:F6"/>
    <mergeCell ref="D7:F7"/>
    <mergeCell ref="D8:F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Z32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3"/>
    <col collapsed="false" customWidth="true" hidden="false" outlineLevel="0" max="3" min="3" style="1" width="12"/>
    <col collapsed="false" customWidth="true" hidden="false" outlineLevel="0" max="4" min="4" style="1" width="9"/>
    <col collapsed="false" customWidth="true" hidden="false" outlineLevel="0" max="5" min="5" style="1" width="10"/>
    <col collapsed="false" customWidth="true" hidden="false" outlineLevel="0" max="6" min="6" style="1" width="32"/>
    <col collapsed="false" customWidth="true" hidden="false" outlineLevel="0" max="7" min="7" style="1" width="36"/>
    <col collapsed="false" customWidth="true" hidden="false" outlineLevel="0" max="8" min="8" style="1" width="48"/>
    <col collapsed="false" customWidth="true" hidden="false" outlineLevel="0" max="9" min="9" style="1" width="14"/>
    <col collapsed="false" customWidth="true" hidden="false" outlineLevel="0" max="10" min="10" style="1" width="10"/>
    <col collapsed="false" customWidth="true" hidden="false" outlineLevel="0" max="11" min="11" style="1" width="9"/>
    <col collapsed="false" customWidth="true" hidden="false" outlineLevel="0" max="12" min="12" style="1" width="11"/>
    <col collapsed="false" customWidth="true" hidden="false" outlineLevel="0" max="13" min="13" style="1" width="38"/>
    <col collapsed="false" customWidth="true" hidden="false" outlineLevel="0" max="14" min="14" style="1" width="26"/>
    <col collapsed="false" customWidth="true" hidden="false" outlineLevel="0" max="15" min="15" style="1" width="30"/>
    <col collapsed="false" customWidth="true" hidden="false" outlineLevel="0" max="16" min="16" style="1" width="52"/>
    <col collapsed="false" customWidth="true" hidden="false" outlineLevel="0" max="18" min="18" style="1" width="13"/>
    <col collapsed="false" customWidth="true" hidden="false" outlineLevel="0" max="19" min="19" style="1" width="34"/>
    <col collapsed="false" customWidth="true" hidden="false" outlineLevel="0" max="20" min="20" style="1" width="12"/>
    <col collapsed="false" customWidth="true" hidden="false" outlineLevel="0" max="21" min="21" style="1" width="11"/>
    <col collapsed="false" customWidth="true" hidden="false" outlineLevel="0" max="22" min="22" style="1" width="14"/>
    <col collapsed="false" customWidth="true" hidden="false" outlineLevel="0" max="24" min="24" style="1" width="13"/>
    <col collapsed="false" customWidth="true" hidden="false" outlineLevel="0" max="25" min="25" style="1" width="10"/>
    <col collapsed="false" customWidth="true" hidden="false" outlineLevel="0" max="26" min="26" style="1" width="60"/>
  </cols>
  <sheetData>
    <row r="1" customFormat="false" ht="34.5" hidden="false" customHeight="true" outlineLevel="0" collapsed="false">
      <c r="A1" s="5" t="s">
        <v>104</v>
      </c>
      <c r="B1" s="5" t="s">
        <v>105</v>
      </c>
      <c r="C1" s="5" t="s">
        <v>32</v>
      </c>
      <c r="D1" s="5" t="s">
        <v>106</v>
      </c>
      <c r="E1" s="5" t="s">
        <v>107</v>
      </c>
      <c r="F1" s="5" t="s">
        <v>108</v>
      </c>
      <c r="G1" s="5" t="s">
        <v>109</v>
      </c>
      <c r="H1" s="5" t="s">
        <v>110</v>
      </c>
      <c r="I1" s="5" t="s">
        <v>47</v>
      </c>
      <c r="J1" s="5" t="s">
        <v>15</v>
      </c>
      <c r="K1" s="5" t="s">
        <v>21</v>
      </c>
      <c r="L1" s="5" t="s">
        <v>61</v>
      </c>
      <c r="M1" s="5" t="s">
        <v>111</v>
      </c>
      <c r="N1" s="5" t="s">
        <v>112</v>
      </c>
      <c r="O1" s="5" t="s">
        <v>113</v>
      </c>
      <c r="P1" s="5" t="s">
        <v>114</v>
      </c>
      <c r="Q1" s="5" t="s">
        <v>115</v>
      </c>
      <c r="R1" s="5" t="s">
        <v>116</v>
      </c>
      <c r="S1" s="5" t="s">
        <v>117</v>
      </c>
      <c r="T1" s="5" t="s">
        <v>118</v>
      </c>
      <c r="U1" s="5" t="s">
        <v>119</v>
      </c>
      <c r="V1" s="5" t="s">
        <v>120</v>
      </c>
      <c r="W1" s="5" t="s">
        <v>121</v>
      </c>
      <c r="X1" s="5" t="s">
        <v>43</v>
      </c>
      <c r="Y1" s="5" t="s">
        <v>3</v>
      </c>
      <c r="Z1" s="5" t="s">
        <v>122</v>
      </c>
    </row>
    <row r="2" customFormat="false" ht="45.75" hidden="false" customHeight="true" outlineLevel="0" collapsed="false">
      <c r="A2" s="7" t="s">
        <v>123</v>
      </c>
      <c r="B2" s="6" t="s">
        <v>124</v>
      </c>
      <c r="C2" s="7" t="s">
        <v>38</v>
      </c>
      <c r="D2" s="7" t="s">
        <v>99</v>
      </c>
      <c r="E2" s="7" t="s">
        <v>125</v>
      </c>
      <c r="F2" s="6" t="s">
        <v>126</v>
      </c>
      <c r="G2" s="6" t="s">
        <v>127</v>
      </c>
      <c r="H2" s="6" t="s">
        <v>128</v>
      </c>
      <c r="I2" s="7" t="s">
        <v>53</v>
      </c>
      <c r="J2" s="15" t="s">
        <v>16</v>
      </c>
      <c r="K2" s="16" t="n">
        <v>1</v>
      </c>
      <c r="L2" s="7" t="s">
        <v>62</v>
      </c>
      <c r="M2" s="6" t="s">
        <v>129</v>
      </c>
      <c r="N2" s="6" t="s">
        <v>130</v>
      </c>
      <c r="O2" s="6" t="s">
        <v>131</v>
      </c>
      <c r="P2" s="6" t="s">
        <v>132</v>
      </c>
      <c r="Q2" s="6" t="s">
        <v>133</v>
      </c>
      <c r="R2" s="7" t="s">
        <v>134</v>
      </c>
      <c r="S2" s="6" t="s">
        <v>135</v>
      </c>
      <c r="T2" s="7" t="s">
        <v>136</v>
      </c>
      <c r="U2" s="7" t="s">
        <v>137</v>
      </c>
      <c r="V2" s="6" t="s">
        <v>138</v>
      </c>
      <c r="W2" s="6" t="s">
        <v>139</v>
      </c>
      <c r="X2" s="7" t="s">
        <v>45</v>
      </c>
      <c r="Y2" s="17" t="s">
        <v>7</v>
      </c>
      <c r="Z2" s="6" t="s">
        <v>140</v>
      </c>
    </row>
    <row r="3" customFormat="false" ht="102" hidden="false" customHeight="true" outlineLevel="0" collapsed="false">
      <c r="A3" s="7" t="s">
        <v>141</v>
      </c>
      <c r="B3" s="6" t="s">
        <v>124</v>
      </c>
      <c r="C3" s="7" t="s">
        <v>38</v>
      </c>
      <c r="D3" s="7" t="s">
        <v>99</v>
      </c>
      <c r="E3" s="7" t="s">
        <v>125</v>
      </c>
      <c r="F3" s="6" t="s">
        <v>126</v>
      </c>
      <c r="G3" s="6" t="s">
        <v>142</v>
      </c>
      <c r="H3" s="6" t="s">
        <v>143</v>
      </c>
      <c r="I3" s="7" t="s">
        <v>52</v>
      </c>
      <c r="J3" s="15" t="s">
        <v>16</v>
      </c>
      <c r="K3" s="18" t="n">
        <v>2</v>
      </c>
      <c r="L3" s="7" t="s">
        <v>63</v>
      </c>
      <c r="M3" s="6" t="s">
        <v>129</v>
      </c>
      <c r="N3" s="6" t="s">
        <v>130</v>
      </c>
      <c r="O3" s="6" t="s">
        <v>131</v>
      </c>
      <c r="P3" s="6" t="s">
        <v>144</v>
      </c>
      <c r="Q3" s="6" t="s">
        <v>145</v>
      </c>
      <c r="R3" s="7" t="s">
        <v>134</v>
      </c>
      <c r="S3" s="6" t="s">
        <v>135</v>
      </c>
      <c r="T3" s="7" t="s">
        <v>136</v>
      </c>
      <c r="U3" s="7" t="s">
        <v>137</v>
      </c>
      <c r="V3" s="6" t="s">
        <v>146</v>
      </c>
      <c r="W3" s="6" t="s">
        <v>139</v>
      </c>
      <c r="X3" s="7" t="s">
        <v>45</v>
      </c>
      <c r="Y3" s="19" t="s">
        <v>9</v>
      </c>
      <c r="Z3" s="6" t="s">
        <v>147</v>
      </c>
    </row>
    <row r="4" customFormat="false" ht="57" hidden="false" customHeight="true" outlineLevel="0" collapsed="false">
      <c r="A4" s="7" t="s">
        <v>148</v>
      </c>
      <c r="B4" s="6" t="s">
        <v>149</v>
      </c>
      <c r="C4" s="7" t="s">
        <v>38</v>
      </c>
      <c r="D4" s="7" t="s">
        <v>99</v>
      </c>
      <c r="E4" s="7" t="s">
        <v>150</v>
      </c>
      <c r="F4" s="6" t="s">
        <v>151</v>
      </c>
      <c r="G4" s="6" t="s">
        <v>152</v>
      </c>
      <c r="H4" s="6" t="s">
        <v>153</v>
      </c>
      <c r="I4" s="7" t="s">
        <v>53</v>
      </c>
      <c r="J4" s="15" t="s">
        <v>16</v>
      </c>
      <c r="K4" s="18" t="n">
        <v>2</v>
      </c>
      <c r="L4" s="7" t="s">
        <v>62</v>
      </c>
      <c r="M4" s="6" t="s">
        <v>154</v>
      </c>
      <c r="N4" s="6" t="s">
        <v>130</v>
      </c>
      <c r="O4" s="6" t="s">
        <v>155</v>
      </c>
      <c r="P4" s="6" t="s">
        <v>156</v>
      </c>
      <c r="Q4" s="6" t="s">
        <v>157</v>
      </c>
      <c r="R4" s="7" t="s">
        <v>134</v>
      </c>
      <c r="S4" s="6" t="s">
        <v>158</v>
      </c>
      <c r="T4" s="7" t="s">
        <v>136</v>
      </c>
      <c r="U4" s="7" t="s">
        <v>159</v>
      </c>
      <c r="V4" s="6" t="s">
        <v>138</v>
      </c>
      <c r="W4" s="6" t="s">
        <v>160</v>
      </c>
      <c r="X4" s="7" t="s">
        <v>44</v>
      </c>
      <c r="Y4" s="17" t="s">
        <v>7</v>
      </c>
      <c r="Z4" s="6" t="s">
        <v>161</v>
      </c>
    </row>
    <row r="5" customFormat="false" ht="68.25" hidden="false" customHeight="true" outlineLevel="0" collapsed="false">
      <c r="A5" s="7" t="s">
        <v>162</v>
      </c>
      <c r="B5" s="6" t="s">
        <v>149</v>
      </c>
      <c r="C5" s="7" t="s">
        <v>38</v>
      </c>
      <c r="D5" s="7" t="s">
        <v>99</v>
      </c>
      <c r="E5" s="7" t="s">
        <v>150</v>
      </c>
      <c r="F5" s="6" t="s">
        <v>151</v>
      </c>
      <c r="G5" s="6" t="s">
        <v>163</v>
      </c>
      <c r="H5" s="6" t="s">
        <v>164</v>
      </c>
      <c r="I5" s="7" t="s">
        <v>54</v>
      </c>
      <c r="J5" s="15" t="s">
        <v>16</v>
      </c>
      <c r="K5" s="18" t="n">
        <v>2</v>
      </c>
      <c r="L5" s="7" t="s">
        <v>63</v>
      </c>
      <c r="M5" s="6" t="s">
        <v>154</v>
      </c>
      <c r="N5" s="6" t="s">
        <v>130</v>
      </c>
      <c r="O5" s="6" t="s">
        <v>165</v>
      </c>
      <c r="P5" s="6" t="s">
        <v>166</v>
      </c>
      <c r="Q5" s="6" t="s">
        <v>167</v>
      </c>
      <c r="R5" s="7" t="s">
        <v>134</v>
      </c>
      <c r="S5" s="6" t="s">
        <v>158</v>
      </c>
      <c r="T5" s="7" t="s">
        <v>136</v>
      </c>
      <c r="U5" s="7" t="s">
        <v>159</v>
      </c>
      <c r="V5" s="6" t="s">
        <v>146</v>
      </c>
      <c r="W5" s="6" t="s">
        <v>160</v>
      </c>
      <c r="X5" s="7" t="s">
        <v>44</v>
      </c>
      <c r="Y5" s="19" t="s">
        <v>9</v>
      </c>
      <c r="Z5" s="6" t="s">
        <v>168</v>
      </c>
    </row>
    <row r="6" customFormat="false" ht="68.25" hidden="false" customHeight="true" outlineLevel="0" collapsed="false">
      <c r="A6" s="7" t="s">
        <v>169</v>
      </c>
      <c r="B6" s="6" t="s">
        <v>170</v>
      </c>
      <c r="C6" s="7" t="s">
        <v>38</v>
      </c>
      <c r="D6" s="7" t="s">
        <v>99</v>
      </c>
      <c r="E6" s="7" t="s">
        <v>171</v>
      </c>
      <c r="F6" s="6" t="s">
        <v>172</v>
      </c>
      <c r="G6" s="6" t="s">
        <v>173</v>
      </c>
      <c r="H6" s="6" t="s">
        <v>174</v>
      </c>
      <c r="I6" s="7" t="s">
        <v>53</v>
      </c>
      <c r="J6" s="15" t="s">
        <v>17</v>
      </c>
      <c r="K6" s="19" t="n">
        <v>3</v>
      </c>
      <c r="L6" s="7" t="s">
        <v>62</v>
      </c>
      <c r="M6" s="6" t="s">
        <v>175</v>
      </c>
      <c r="N6" s="6" t="s">
        <v>176</v>
      </c>
      <c r="O6" s="6" t="s">
        <v>177</v>
      </c>
      <c r="P6" s="6" t="s">
        <v>178</v>
      </c>
      <c r="Q6" s="6" t="s">
        <v>179</v>
      </c>
      <c r="R6" s="7" t="s">
        <v>134</v>
      </c>
      <c r="S6" s="6" t="s">
        <v>180</v>
      </c>
      <c r="T6" s="7" t="s">
        <v>136</v>
      </c>
      <c r="U6" s="7" t="s">
        <v>181</v>
      </c>
      <c r="V6" s="6" t="s">
        <v>138</v>
      </c>
      <c r="W6" s="6" t="s">
        <v>160</v>
      </c>
      <c r="X6" s="7" t="s">
        <v>44</v>
      </c>
      <c r="Y6" s="17" t="s">
        <v>7</v>
      </c>
      <c r="Z6" s="6" t="s">
        <v>182</v>
      </c>
    </row>
    <row r="7" customFormat="false" ht="45.75" hidden="false" customHeight="true" outlineLevel="0" collapsed="false">
      <c r="A7" s="7" t="s">
        <v>183</v>
      </c>
      <c r="B7" s="6" t="s">
        <v>184</v>
      </c>
      <c r="C7" s="7" t="s">
        <v>38</v>
      </c>
      <c r="D7" s="7" t="s">
        <v>99</v>
      </c>
      <c r="E7" s="7" t="s">
        <v>185</v>
      </c>
      <c r="F7" s="6" t="s">
        <v>186</v>
      </c>
      <c r="G7" s="6" t="s">
        <v>187</v>
      </c>
      <c r="H7" s="6" t="s">
        <v>188</v>
      </c>
      <c r="I7" s="7" t="s">
        <v>53</v>
      </c>
      <c r="J7" s="15" t="s">
        <v>16</v>
      </c>
      <c r="K7" s="18" t="n">
        <v>2</v>
      </c>
      <c r="L7" s="7" t="s">
        <v>62</v>
      </c>
      <c r="M7" s="6" t="s">
        <v>189</v>
      </c>
      <c r="N7" s="6" t="s">
        <v>130</v>
      </c>
      <c r="O7" s="6" t="s">
        <v>190</v>
      </c>
      <c r="P7" s="6" t="s">
        <v>191</v>
      </c>
      <c r="Q7" s="6" t="s">
        <v>192</v>
      </c>
      <c r="R7" s="7" t="s">
        <v>134</v>
      </c>
      <c r="S7" s="6" t="s">
        <v>193</v>
      </c>
      <c r="T7" s="7" t="s">
        <v>136</v>
      </c>
      <c r="U7" s="7" t="s">
        <v>194</v>
      </c>
      <c r="V7" s="6" t="s">
        <v>138</v>
      </c>
      <c r="W7" s="6" t="s">
        <v>160</v>
      </c>
      <c r="X7" s="7" t="s">
        <v>44</v>
      </c>
      <c r="Y7" s="17" t="s">
        <v>7</v>
      </c>
      <c r="Z7" s="6" t="s">
        <v>195</v>
      </c>
    </row>
    <row r="8" customFormat="false" ht="45.75" hidden="false" customHeight="true" outlineLevel="0" collapsed="false">
      <c r="A8" s="7" t="s">
        <v>196</v>
      </c>
      <c r="B8" s="6" t="s">
        <v>184</v>
      </c>
      <c r="C8" s="7" t="s">
        <v>38</v>
      </c>
      <c r="D8" s="7" t="s">
        <v>99</v>
      </c>
      <c r="E8" s="7" t="s">
        <v>185</v>
      </c>
      <c r="F8" s="6" t="s">
        <v>186</v>
      </c>
      <c r="G8" s="6" t="s">
        <v>197</v>
      </c>
      <c r="H8" s="6" t="s">
        <v>198</v>
      </c>
      <c r="I8" s="7" t="s">
        <v>53</v>
      </c>
      <c r="J8" s="15" t="s">
        <v>16</v>
      </c>
      <c r="K8" s="18" t="n">
        <v>2</v>
      </c>
      <c r="L8" s="7" t="s">
        <v>62</v>
      </c>
      <c r="M8" s="6" t="s">
        <v>189</v>
      </c>
      <c r="N8" s="6" t="s">
        <v>130</v>
      </c>
      <c r="O8" s="6" t="s">
        <v>190</v>
      </c>
      <c r="P8" s="6" t="s">
        <v>199</v>
      </c>
      <c r="Q8" s="6" t="s">
        <v>200</v>
      </c>
      <c r="R8" s="7" t="s">
        <v>134</v>
      </c>
      <c r="S8" s="6" t="s">
        <v>193</v>
      </c>
      <c r="T8" s="7" t="s">
        <v>136</v>
      </c>
      <c r="U8" s="7" t="s">
        <v>194</v>
      </c>
      <c r="V8" s="6" t="s">
        <v>138</v>
      </c>
      <c r="W8" s="6" t="s">
        <v>160</v>
      </c>
      <c r="X8" s="7" t="s">
        <v>44</v>
      </c>
      <c r="Y8" s="17" t="s">
        <v>7</v>
      </c>
      <c r="Z8" s="6" t="s">
        <v>201</v>
      </c>
    </row>
    <row r="9" customFormat="false" ht="68.25" hidden="false" customHeight="true" outlineLevel="0" collapsed="false">
      <c r="A9" s="7" t="s">
        <v>202</v>
      </c>
      <c r="B9" s="6" t="s">
        <v>203</v>
      </c>
      <c r="C9" s="7" t="s">
        <v>39</v>
      </c>
      <c r="D9" s="7" t="s">
        <v>101</v>
      </c>
      <c r="E9" s="7" t="s">
        <v>204</v>
      </c>
      <c r="F9" s="6" t="s">
        <v>205</v>
      </c>
      <c r="G9" s="6" t="s">
        <v>206</v>
      </c>
      <c r="H9" s="6" t="s">
        <v>207</v>
      </c>
      <c r="I9" s="7" t="s">
        <v>50</v>
      </c>
      <c r="J9" s="15" t="s">
        <v>19</v>
      </c>
      <c r="K9" s="19" t="n">
        <v>3</v>
      </c>
      <c r="L9" s="7" t="s">
        <v>62</v>
      </c>
      <c r="M9" s="6" t="s">
        <v>208</v>
      </c>
      <c r="N9" s="6" t="s">
        <v>130</v>
      </c>
      <c r="O9" s="6" t="s">
        <v>209</v>
      </c>
      <c r="P9" s="6" t="s">
        <v>210</v>
      </c>
      <c r="Q9" s="6" t="s">
        <v>211</v>
      </c>
      <c r="R9" s="7" t="s">
        <v>134</v>
      </c>
      <c r="S9" s="6" t="s">
        <v>212</v>
      </c>
      <c r="T9" s="7" t="s">
        <v>136</v>
      </c>
      <c r="U9" s="7" t="s">
        <v>213</v>
      </c>
      <c r="V9" s="6" t="s">
        <v>138</v>
      </c>
      <c r="W9" s="6" t="s">
        <v>160</v>
      </c>
      <c r="X9" s="7" t="s">
        <v>44</v>
      </c>
      <c r="Y9" s="17" t="s">
        <v>7</v>
      </c>
      <c r="Z9" s="6" t="s">
        <v>214</v>
      </c>
    </row>
    <row r="10" customFormat="false" ht="68.25" hidden="false" customHeight="true" outlineLevel="0" collapsed="false">
      <c r="A10" s="7" t="s">
        <v>215</v>
      </c>
      <c r="B10" s="6" t="s">
        <v>216</v>
      </c>
      <c r="C10" s="7" t="s">
        <v>40</v>
      </c>
      <c r="D10" s="7" t="s">
        <v>99</v>
      </c>
      <c r="E10" s="7" t="s">
        <v>217</v>
      </c>
      <c r="F10" s="6" t="s">
        <v>218</v>
      </c>
      <c r="G10" s="6" t="s">
        <v>219</v>
      </c>
      <c r="H10" s="6" t="s">
        <v>220</v>
      </c>
      <c r="I10" s="7" t="s">
        <v>50</v>
      </c>
      <c r="J10" s="15" t="s">
        <v>16</v>
      </c>
      <c r="K10" s="18" t="n">
        <v>2</v>
      </c>
      <c r="L10" s="7" t="s">
        <v>62</v>
      </c>
      <c r="M10" s="6" t="s">
        <v>221</v>
      </c>
      <c r="N10" s="6" t="s">
        <v>222</v>
      </c>
      <c r="O10" s="6" t="s">
        <v>223</v>
      </c>
      <c r="P10" s="6" t="s">
        <v>224</v>
      </c>
      <c r="Q10" s="6" t="s">
        <v>225</v>
      </c>
      <c r="R10" s="7" t="s">
        <v>134</v>
      </c>
      <c r="S10" s="6" t="s">
        <v>226</v>
      </c>
      <c r="T10" s="7" t="s">
        <v>136</v>
      </c>
      <c r="U10" s="7" t="s">
        <v>227</v>
      </c>
      <c r="V10" s="6" t="s">
        <v>138</v>
      </c>
      <c r="W10" s="6" t="s">
        <v>160</v>
      </c>
      <c r="X10" s="7" t="s">
        <v>44</v>
      </c>
      <c r="Y10" s="17" t="s">
        <v>7</v>
      </c>
      <c r="Z10" s="6" t="s">
        <v>228</v>
      </c>
    </row>
    <row r="11" customFormat="false" ht="68.25" hidden="false" customHeight="true" outlineLevel="0" collapsed="false">
      <c r="A11" s="7" t="s">
        <v>229</v>
      </c>
      <c r="B11" s="6" t="s">
        <v>216</v>
      </c>
      <c r="C11" s="7" t="s">
        <v>40</v>
      </c>
      <c r="D11" s="7" t="s">
        <v>99</v>
      </c>
      <c r="E11" s="7" t="s">
        <v>217</v>
      </c>
      <c r="F11" s="6" t="s">
        <v>218</v>
      </c>
      <c r="G11" s="6" t="s">
        <v>230</v>
      </c>
      <c r="H11" s="6" t="s">
        <v>231</v>
      </c>
      <c r="I11" s="7" t="s">
        <v>50</v>
      </c>
      <c r="J11" s="15" t="s">
        <v>16</v>
      </c>
      <c r="K11" s="18" t="n">
        <v>2</v>
      </c>
      <c r="L11" s="7" t="s">
        <v>62</v>
      </c>
      <c r="M11" s="6" t="s">
        <v>221</v>
      </c>
      <c r="N11" s="6" t="s">
        <v>130</v>
      </c>
      <c r="O11" s="6" t="s">
        <v>232</v>
      </c>
      <c r="P11" s="6" t="s">
        <v>233</v>
      </c>
      <c r="Q11" s="6" t="s">
        <v>234</v>
      </c>
      <c r="R11" s="7" t="s">
        <v>134</v>
      </c>
      <c r="S11" s="6" t="s">
        <v>226</v>
      </c>
      <c r="T11" s="7" t="s">
        <v>136</v>
      </c>
      <c r="U11" s="7" t="s">
        <v>227</v>
      </c>
      <c r="V11" s="6" t="s">
        <v>138</v>
      </c>
      <c r="W11" s="6" t="s">
        <v>160</v>
      </c>
      <c r="X11" s="7" t="s">
        <v>44</v>
      </c>
      <c r="Y11" s="17" t="s">
        <v>7</v>
      </c>
      <c r="Z11" s="6" t="s">
        <v>235</v>
      </c>
    </row>
    <row r="12" customFormat="false" ht="57" hidden="false" customHeight="true" outlineLevel="0" collapsed="false">
      <c r="A12" s="7" t="s">
        <v>236</v>
      </c>
      <c r="B12" s="6" t="s">
        <v>237</v>
      </c>
      <c r="C12" s="7" t="s">
        <v>40</v>
      </c>
      <c r="D12" s="7" t="s">
        <v>99</v>
      </c>
      <c r="E12" s="7" t="s">
        <v>238</v>
      </c>
      <c r="F12" s="6" t="s">
        <v>239</v>
      </c>
      <c r="G12" s="6" t="s">
        <v>240</v>
      </c>
      <c r="H12" s="6" t="s">
        <v>241</v>
      </c>
      <c r="I12" s="7" t="s">
        <v>51</v>
      </c>
      <c r="J12" s="15" t="s">
        <v>16</v>
      </c>
      <c r="K12" s="16" t="n">
        <v>1</v>
      </c>
      <c r="L12" s="7" t="s">
        <v>62</v>
      </c>
      <c r="M12" s="6" t="s">
        <v>242</v>
      </c>
      <c r="N12" s="6" t="s">
        <v>130</v>
      </c>
      <c r="O12" s="6" t="s">
        <v>243</v>
      </c>
      <c r="P12" s="6" t="s">
        <v>244</v>
      </c>
      <c r="Q12" s="6" t="s">
        <v>245</v>
      </c>
      <c r="R12" s="7" t="s">
        <v>134</v>
      </c>
      <c r="S12" s="6" t="s">
        <v>246</v>
      </c>
      <c r="T12" s="7" t="s">
        <v>136</v>
      </c>
      <c r="U12" s="7" t="s">
        <v>247</v>
      </c>
      <c r="V12" s="6" t="s">
        <v>248</v>
      </c>
      <c r="W12" s="6" t="s">
        <v>160</v>
      </c>
      <c r="X12" s="7" t="s">
        <v>44</v>
      </c>
      <c r="Y12" s="19" t="s">
        <v>9</v>
      </c>
      <c r="Z12" s="6" t="s">
        <v>249</v>
      </c>
    </row>
    <row r="13" customFormat="false" ht="57" hidden="false" customHeight="true" outlineLevel="0" collapsed="false">
      <c r="A13" s="7" t="s">
        <v>250</v>
      </c>
      <c r="B13" s="6" t="s">
        <v>237</v>
      </c>
      <c r="C13" s="7" t="s">
        <v>40</v>
      </c>
      <c r="D13" s="7" t="s">
        <v>99</v>
      </c>
      <c r="E13" s="7" t="s">
        <v>238</v>
      </c>
      <c r="F13" s="6" t="s">
        <v>239</v>
      </c>
      <c r="G13" s="6" t="s">
        <v>251</v>
      </c>
      <c r="H13" s="6" t="s">
        <v>252</v>
      </c>
      <c r="I13" s="7" t="s">
        <v>48</v>
      </c>
      <c r="J13" s="15" t="s">
        <v>16</v>
      </c>
      <c r="K13" s="18" t="n">
        <v>2</v>
      </c>
      <c r="L13" s="7" t="s">
        <v>64</v>
      </c>
      <c r="M13" s="6" t="s">
        <v>242</v>
      </c>
      <c r="N13" s="6" t="s">
        <v>130</v>
      </c>
      <c r="O13" s="6" t="s">
        <v>253</v>
      </c>
      <c r="P13" s="6" t="s">
        <v>254</v>
      </c>
      <c r="Q13" s="6" t="s">
        <v>255</v>
      </c>
      <c r="R13" s="7" t="s">
        <v>134</v>
      </c>
      <c r="S13" s="6" t="s">
        <v>246</v>
      </c>
      <c r="T13" s="7" t="s">
        <v>256</v>
      </c>
      <c r="U13" s="7" t="s">
        <v>247</v>
      </c>
      <c r="V13" s="6" t="s">
        <v>248</v>
      </c>
      <c r="W13" s="6" t="s">
        <v>160</v>
      </c>
      <c r="X13" s="7" t="s">
        <v>44</v>
      </c>
      <c r="Y13" s="19" t="s">
        <v>9</v>
      </c>
      <c r="Z13" s="6" t="s">
        <v>257</v>
      </c>
    </row>
    <row r="14" customFormat="false" ht="45.75" hidden="false" customHeight="true" outlineLevel="0" collapsed="false">
      <c r="A14" s="7" t="s">
        <v>258</v>
      </c>
      <c r="B14" s="6" t="s">
        <v>259</v>
      </c>
      <c r="C14" s="7" t="s">
        <v>40</v>
      </c>
      <c r="D14" s="7" t="s">
        <v>100</v>
      </c>
      <c r="E14" s="7" t="s">
        <v>260</v>
      </c>
      <c r="F14" s="6" t="s">
        <v>261</v>
      </c>
      <c r="G14" s="6" t="s">
        <v>262</v>
      </c>
      <c r="H14" s="6" t="s">
        <v>263</v>
      </c>
      <c r="I14" s="7" t="s">
        <v>49</v>
      </c>
      <c r="J14" s="15" t="s">
        <v>17</v>
      </c>
      <c r="K14" s="18" t="n">
        <v>2</v>
      </c>
      <c r="L14" s="7" t="s">
        <v>62</v>
      </c>
      <c r="M14" s="6" t="s">
        <v>264</v>
      </c>
      <c r="N14" s="6" t="s">
        <v>130</v>
      </c>
      <c r="O14" s="6" t="s">
        <v>265</v>
      </c>
      <c r="P14" s="6" t="s">
        <v>266</v>
      </c>
      <c r="Q14" s="6" t="s">
        <v>267</v>
      </c>
      <c r="R14" s="7" t="s">
        <v>134</v>
      </c>
      <c r="S14" s="6" t="s">
        <v>268</v>
      </c>
      <c r="T14" s="7" t="s">
        <v>269</v>
      </c>
      <c r="U14" s="7" t="s">
        <v>270</v>
      </c>
      <c r="V14" s="6" t="s">
        <v>271</v>
      </c>
      <c r="W14" s="6" t="s">
        <v>160</v>
      </c>
      <c r="X14" s="7" t="s">
        <v>44</v>
      </c>
      <c r="Y14" s="19" t="s">
        <v>9</v>
      </c>
      <c r="Z14" s="6" t="s">
        <v>272</v>
      </c>
    </row>
    <row r="15" customFormat="false" ht="45.75" hidden="false" customHeight="true" outlineLevel="0" collapsed="false">
      <c r="A15" s="7" t="s">
        <v>273</v>
      </c>
      <c r="B15" s="6" t="s">
        <v>259</v>
      </c>
      <c r="C15" s="7" t="s">
        <v>40</v>
      </c>
      <c r="D15" s="7" t="s">
        <v>100</v>
      </c>
      <c r="E15" s="7" t="s">
        <v>260</v>
      </c>
      <c r="F15" s="6" t="s">
        <v>261</v>
      </c>
      <c r="G15" s="6" t="s">
        <v>274</v>
      </c>
      <c r="H15" s="6" t="s">
        <v>275</v>
      </c>
      <c r="I15" s="7" t="s">
        <v>49</v>
      </c>
      <c r="J15" s="15" t="s">
        <v>18</v>
      </c>
      <c r="K15" s="19" t="n">
        <v>3</v>
      </c>
      <c r="L15" s="7" t="s">
        <v>62</v>
      </c>
      <c r="M15" s="6" t="s">
        <v>276</v>
      </c>
      <c r="N15" s="6" t="s">
        <v>130</v>
      </c>
      <c r="O15" s="6" t="s">
        <v>277</v>
      </c>
      <c r="P15" s="6" t="s">
        <v>278</v>
      </c>
      <c r="Q15" s="6" t="s">
        <v>279</v>
      </c>
      <c r="R15" s="7" t="s">
        <v>134</v>
      </c>
      <c r="S15" s="6" t="s">
        <v>268</v>
      </c>
      <c r="T15" s="7" t="s">
        <v>269</v>
      </c>
      <c r="U15" s="7" t="s">
        <v>270</v>
      </c>
      <c r="V15" s="6" t="s">
        <v>271</v>
      </c>
      <c r="W15" s="6" t="s">
        <v>160</v>
      </c>
      <c r="X15" s="7" t="s">
        <v>44</v>
      </c>
      <c r="Y15" s="19" t="s">
        <v>9</v>
      </c>
      <c r="Z15" s="6" t="s">
        <v>280</v>
      </c>
    </row>
    <row r="16" customFormat="false" ht="45.75" hidden="false" customHeight="true" outlineLevel="0" collapsed="false">
      <c r="A16" s="7" t="s">
        <v>281</v>
      </c>
      <c r="B16" s="6" t="s">
        <v>259</v>
      </c>
      <c r="C16" s="7" t="s">
        <v>40</v>
      </c>
      <c r="D16" s="7" t="s">
        <v>100</v>
      </c>
      <c r="E16" s="7" t="s">
        <v>260</v>
      </c>
      <c r="F16" s="6" t="s">
        <v>261</v>
      </c>
      <c r="G16" s="6" t="s">
        <v>282</v>
      </c>
      <c r="H16" s="6" t="s">
        <v>283</v>
      </c>
      <c r="I16" s="7" t="s">
        <v>49</v>
      </c>
      <c r="J16" s="15" t="s">
        <v>18</v>
      </c>
      <c r="K16" s="19" t="n">
        <v>3</v>
      </c>
      <c r="L16" s="7" t="s">
        <v>62</v>
      </c>
      <c r="M16" s="6" t="s">
        <v>276</v>
      </c>
      <c r="N16" s="6" t="s">
        <v>130</v>
      </c>
      <c r="O16" s="6" t="s">
        <v>284</v>
      </c>
      <c r="P16" s="6" t="s">
        <v>285</v>
      </c>
      <c r="Q16" s="6" t="s">
        <v>286</v>
      </c>
      <c r="R16" s="7" t="s">
        <v>134</v>
      </c>
      <c r="S16" s="6" t="s">
        <v>268</v>
      </c>
      <c r="T16" s="7" t="s">
        <v>269</v>
      </c>
      <c r="U16" s="7" t="s">
        <v>270</v>
      </c>
      <c r="V16" s="6" t="s">
        <v>271</v>
      </c>
      <c r="W16" s="6" t="s">
        <v>160</v>
      </c>
      <c r="X16" s="7" t="s">
        <v>44</v>
      </c>
      <c r="Y16" s="19" t="s">
        <v>9</v>
      </c>
      <c r="Z16" s="6" t="s">
        <v>287</v>
      </c>
    </row>
    <row r="17" customFormat="false" ht="45.75" hidden="false" customHeight="true" outlineLevel="0" collapsed="false">
      <c r="A17" s="7" t="s">
        <v>288</v>
      </c>
      <c r="B17" s="6" t="s">
        <v>259</v>
      </c>
      <c r="C17" s="7" t="s">
        <v>40</v>
      </c>
      <c r="D17" s="7" t="s">
        <v>100</v>
      </c>
      <c r="E17" s="7" t="s">
        <v>260</v>
      </c>
      <c r="F17" s="6" t="s">
        <v>261</v>
      </c>
      <c r="G17" s="6" t="s">
        <v>289</v>
      </c>
      <c r="H17" s="6" t="s">
        <v>290</v>
      </c>
      <c r="I17" s="7" t="s">
        <v>49</v>
      </c>
      <c r="J17" s="15" t="s">
        <v>17</v>
      </c>
      <c r="K17" s="18" t="n">
        <v>2</v>
      </c>
      <c r="L17" s="7" t="s">
        <v>62</v>
      </c>
      <c r="M17" s="6" t="s">
        <v>276</v>
      </c>
      <c r="N17" s="6" t="s">
        <v>130</v>
      </c>
      <c r="O17" s="6" t="s">
        <v>291</v>
      </c>
      <c r="P17" s="6" t="s">
        <v>292</v>
      </c>
      <c r="Q17" s="6" t="s">
        <v>293</v>
      </c>
      <c r="R17" s="7" t="s">
        <v>134</v>
      </c>
      <c r="S17" s="6" t="s">
        <v>268</v>
      </c>
      <c r="T17" s="7" t="s">
        <v>269</v>
      </c>
      <c r="U17" s="7" t="s">
        <v>270</v>
      </c>
      <c r="V17" s="6" t="s">
        <v>271</v>
      </c>
      <c r="W17" s="6" t="s">
        <v>160</v>
      </c>
      <c r="X17" s="7" t="s">
        <v>44</v>
      </c>
      <c r="Y17" s="19" t="s">
        <v>9</v>
      </c>
      <c r="Z17" s="6" t="s">
        <v>294</v>
      </c>
    </row>
    <row r="18" customFormat="false" ht="57" hidden="false" customHeight="true" outlineLevel="0" collapsed="false">
      <c r="A18" s="7" t="s">
        <v>295</v>
      </c>
      <c r="B18" s="6" t="s">
        <v>259</v>
      </c>
      <c r="C18" s="7" t="s">
        <v>40</v>
      </c>
      <c r="D18" s="7" t="s">
        <v>100</v>
      </c>
      <c r="E18" s="7" t="s">
        <v>260</v>
      </c>
      <c r="F18" s="6" t="s">
        <v>261</v>
      </c>
      <c r="G18" s="6" t="s">
        <v>296</v>
      </c>
      <c r="H18" s="6" t="s">
        <v>297</v>
      </c>
      <c r="I18" s="7" t="s">
        <v>52</v>
      </c>
      <c r="J18" s="15" t="s">
        <v>16</v>
      </c>
      <c r="K18" s="16" t="n">
        <v>1</v>
      </c>
      <c r="L18" s="7" t="s">
        <v>63</v>
      </c>
      <c r="M18" s="6" t="s">
        <v>276</v>
      </c>
      <c r="N18" s="6" t="s">
        <v>130</v>
      </c>
      <c r="O18" s="6" t="s">
        <v>265</v>
      </c>
      <c r="P18" s="6" t="s">
        <v>298</v>
      </c>
      <c r="Q18" s="6" t="s">
        <v>299</v>
      </c>
      <c r="R18" s="7" t="s">
        <v>134</v>
      </c>
      <c r="S18" s="6" t="s">
        <v>268</v>
      </c>
      <c r="T18" s="7" t="s">
        <v>300</v>
      </c>
      <c r="U18" s="7" t="s">
        <v>270</v>
      </c>
      <c r="V18" s="6" t="s">
        <v>271</v>
      </c>
      <c r="W18" s="6" t="s">
        <v>160</v>
      </c>
      <c r="X18" s="7" t="s">
        <v>44</v>
      </c>
      <c r="Y18" s="19" t="s">
        <v>9</v>
      </c>
      <c r="Z18" s="6" t="s">
        <v>301</v>
      </c>
    </row>
    <row r="19" customFormat="false" ht="45.75" hidden="false" customHeight="true" outlineLevel="0" collapsed="false">
      <c r="A19" s="7" t="s">
        <v>302</v>
      </c>
      <c r="B19" s="6" t="s">
        <v>303</v>
      </c>
      <c r="C19" s="7" t="s">
        <v>40</v>
      </c>
      <c r="D19" s="7" t="s">
        <v>100</v>
      </c>
      <c r="E19" s="7" t="s">
        <v>304</v>
      </c>
      <c r="F19" s="6" t="s">
        <v>305</v>
      </c>
      <c r="G19" s="6" t="s">
        <v>306</v>
      </c>
      <c r="H19" s="6" t="s">
        <v>307</v>
      </c>
      <c r="I19" s="7" t="s">
        <v>59</v>
      </c>
      <c r="J19" s="15" t="s">
        <v>17</v>
      </c>
      <c r="K19" s="18" t="n">
        <v>2</v>
      </c>
      <c r="L19" s="7" t="s">
        <v>62</v>
      </c>
      <c r="M19" s="6" t="s">
        <v>308</v>
      </c>
      <c r="N19" s="6" t="s">
        <v>130</v>
      </c>
      <c r="O19" s="6" t="s">
        <v>309</v>
      </c>
      <c r="P19" s="6" t="s">
        <v>310</v>
      </c>
      <c r="Q19" s="6" t="s">
        <v>311</v>
      </c>
      <c r="R19" s="7" t="s">
        <v>134</v>
      </c>
      <c r="S19" s="6" t="s">
        <v>312</v>
      </c>
      <c r="T19" s="7" t="s">
        <v>136</v>
      </c>
      <c r="U19" s="7" t="s">
        <v>313</v>
      </c>
      <c r="V19" s="6" t="s">
        <v>138</v>
      </c>
      <c r="W19" s="6" t="s">
        <v>160</v>
      </c>
      <c r="X19" s="7" t="s">
        <v>44</v>
      </c>
      <c r="Y19" s="17" t="s">
        <v>7</v>
      </c>
      <c r="Z19" s="6" t="s">
        <v>314</v>
      </c>
    </row>
    <row r="20" customFormat="false" ht="34.5" hidden="false" customHeight="true" outlineLevel="0" collapsed="false">
      <c r="A20" s="7" t="s">
        <v>315</v>
      </c>
      <c r="B20" s="6" t="s">
        <v>303</v>
      </c>
      <c r="C20" s="7" t="s">
        <v>40</v>
      </c>
      <c r="D20" s="7" t="s">
        <v>100</v>
      </c>
      <c r="E20" s="7" t="s">
        <v>304</v>
      </c>
      <c r="F20" s="6" t="s">
        <v>305</v>
      </c>
      <c r="G20" s="6" t="s">
        <v>316</v>
      </c>
      <c r="H20" s="6" t="s">
        <v>317</v>
      </c>
      <c r="I20" s="7" t="s">
        <v>59</v>
      </c>
      <c r="J20" s="15" t="s">
        <v>17</v>
      </c>
      <c r="K20" s="18" t="n">
        <v>2</v>
      </c>
      <c r="L20" s="7" t="s">
        <v>62</v>
      </c>
      <c r="M20" s="6" t="s">
        <v>318</v>
      </c>
      <c r="N20" s="6" t="s">
        <v>130</v>
      </c>
      <c r="O20" s="6" t="s">
        <v>319</v>
      </c>
      <c r="P20" s="6" t="s">
        <v>320</v>
      </c>
      <c r="Q20" s="6" t="s">
        <v>321</v>
      </c>
      <c r="R20" s="7" t="s">
        <v>134</v>
      </c>
      <c r="S20" s="6" t="s">
        <v>312</v>
      </c>
      <c r="T20" s="7" t="s">
        <v>136</v>
      </c>
      <c r="U20" s="7" t="s">
        <v>313</v>
      </c>
      <c r="V20" s="6" t="s">
        <v>138</v>
      </c>
      <c r="W20" s="6" t="s">
        <v>160</v>
      </c>
      <c r="X20" s="7" t="s">
        <v>44</v>
      </c>
      <c r="Y20" s="17" t="s">
        <v>7</v>
      </c>
      <c r="Z20" s="6" t="s">
        <v>322</v>
      </c>
    </row>
    <row r="21" customFormat="false" ht="45.75" hidden="false" customHeight="true" outlineLevel="0" collapsed="false">
      <c r="A21" s="7" t="s">
        <v>323</v>
      </c>
      <c r="B21" s="6" t="s">
        <v>324</v>
      </c>
      <c r="C21" s="7" t="s">
        <v>40</v>
      </c>
      <c r="D21" s="7" t="s">
        <v>101</v>
      </c>
      <c r="E21" s="7" t="s">
        <v>325</v>
      </c>
      <c r="F21" s="6" t="s">
        <v>326</v>
      </c>
      <c r="G21" s="6" t="s">
        <v>327</v>
      </c>
      <c r="H21" s="6" t="s">
        <v>328</v>
      </c>
      <c r="I21" s="7" t="s">
        <v>49</v>
      </c>
      <c r="J21" s="15" t="s">
        <v>19</v>
      </c>
      <c r="K21" s="19" t="n">
        <v>3</v>
      </c>
      <c r="L21" s="7" t="s">
        <v>62</v>
      </c>
      <c r="M21" s="6" t="s">
        <v>329</v>
      </c>
      <c r="N21" s="6" t="s">
        <v>130</v>
      </c>
      <c r="O21" s="6" t="s">
        <v>330</v>
      </c>
      <c r="P21" s="6" t="s">
        <v>331</v>
      </c>
      <c r="Q21" s="6" t="s">
        <v>332</v>
      </c>
      <c r="R21" s="7" t="s">
        <v>134</v>
      </c>
      <c r="S21" s="6" t="s">
        <v>333</v>
      </c>
      <c r="T21" s="7" t="s">
        <v>136</v>
      </c>
      <c r="U21" s="7" t="s">
        <v>334</v>
      </c>
      <c r="V21" s="6" t="s">
        <v>271</v>
      </c>
      <c r="W21" s="6" t="s">
        <v>160</v>
      </c>
      <c r="X21" s="7" t="s">
        <v>44</v>
      </c>
      <c r="Y21" s="19" t="s">
        <v>9</v>
      </c>
      <c r="Z21" s="6" t="s">
        <v>335</v>
      </c>
    </row>
    <row r="22" customFormat="false" ht="45.75" hidden="false" customHeight="true" outlineLevel="0" collapsed="false">
      <c r="A22" s="7" t="s">
        <v>336</v>
      </c>
      <c r="B22" s="6" t="s">
        <v>324</v>
      </c>
      <c r="C22" s="7" t="s">
        <v>40</v>
      </c>
      <c r="D22" s="7" t="s">
        <v>101</v>
      </c>
      <c r="E22" s="7" t="s">
        <v>325</v>
      </c>
      <c r="F22" s="6" t="s">
        <v>326</v>
      </c>
      <c r="G22" s="6" t="s">
        <v>337</v>
      </c>
      <c r="H22" s="6" t="s">
        <v>338</v>
      </c>
      <c r="I22" s="7" t="s">
        <v>49</v>
      </c>
      <c r="J22" s="15" t="s">
        <v>19</v>
      </c>
      <c r="K22" s="19" t="n">
        <v>3</v>
      </c>
      <c r="L22" s="7" t="s">
        <v>62</v>
      </c>
      <c r="M22" s="6" t="s">
        <v>339</v>
      </c>
      <c r="N22" s="6" t="s">
        <v>130</v>
      </c>
      <c r="O22" s="6" t="s">
        <v>340</v>
      </c>
      <c r="P22" s="6" t="s">
        <v>341</v>
      </c>
      <c r="Q22" s="6" t="s">
        <v>342</v>
      </c>
      <c r="R22" s="7" t="s">
        <v>134</v>
      </c>
      <c r="S22" s="6" t="s">
        <v>333</v>
      </c>
      <c r="T22" s="7" t="s">
        <v>136</v>
      </c>
      <c r="U22" s="7" t="s">
        <v>334</v>
      </c>
      <c r="V22" s="6" t="s">
        <v>271</v>
      </c>
      <c r="W22" s="6" t="s">
        <v>160</v>
      </c>
      <c r="X22" s="7" t="s">
        <v>44</v>
      </c>
      <c r="Y22" s="19" t="s">
        <v>9</v>
      </c>
      <c r="Z22" s="6" t="s">
        <v>343</v>
      </c>
    </row>
    <row r="23" customFormat="false" ht="68.25" hidden="false" customHeight="true" outlineLevel="0" collapsed="false">
      <c r="A23" s="7" t="s">
        <v>344</v>
      </c>
      <c r="B23" s="6" t="s">
        <v>345</v>
      </c>
      <c r="C23" s="7" t="s">
        <v>40</v>
      </c>
      <c r="D23" s="7" t="s">
        <v>346</v>
      </c>
      <c r="E23" s="7" t="s">
        <v>347</v>
      </c>
      <c r="F23" s="6" t="s">
        <v>348</v>
      </c>
      <c r="G23" s="6" t="s">
        <v>349</v>
      </c>
      <c r="H23" s="6" t="s">
        <v>350</v>
      </c>
      <c r="I23" s="7" t="s">
        <v>49</v>
      </c>
      <c r="J23" s="15" t="s">
        <v>16</v>
      </c>
      <c r="K23" s="16" t="n">
        <v>1</v>
      </c>
      <c r="L23" s="7" t="s">
        <v>62</v>
      </c>
      <c r="M23" s="6" t="s">
        <v>351</v>
      </c>
      <c r="N23" s="6" t="s">
        <v>130</v>
      </c>
      <c r="O23" s="6" t="s">
        <v>352</v>
      </c>
      <c r="P23" s="6" t="s">
        <v>353</v>
      </c>
      <c r="Q23" s="6" t="s">
        <v>354</v>
      </c>
      <c r="R23" s="7" t="s">
        <v>134</v>
      </c>
      <c r="S23" s="6" t="s">
        <v>355</v>
      </c>
      <c r="T23" s="7" t="s">
        <v>269</v>
      </c>
      <c r="U23" s="7" t="s">
        <v>356</v>
      </c>
      <c r="V23" s="6" t="s">
        <v>357</v>
      </c>
      <c r="W23" s="6" t="s">
        <v>160</v>
      </c>
      <c r="X23" s="7" t="s">
        <v>44</v>
      </c>
      <c r="Y23" s="19" t="s">
        <v>9</v>
      </c>
      <c r="Z23" s="6" t="s">
        <v>358</v>
      </c>
    </row>
    <row r="24" customFormat="false" ht="68.25" hidden="false" customHeight="true" outlineLevel="0" collapsed="false">
      <c r="A24" s="7" t="s">
        <v>359</v>
      </c>
      <c r="B24" s="6" t="s">
        <v>345</v>
      </c>
      <c r="C24" s="7" t="s">
        <v>40</v>
      </c>
      <c r="D24" s="7" t="s">
        <v>346</v>
      </c>
      <c r="E24" s="7" t="s">
        <v>347</v>
      </c>
      <c r="F24" s="6" t="s">
        <v>348</v>
      </c>
      <c r="G24" s="6" t="s">
        <v>360</v>
      </c>
      <c r="H24" s="6" t="s">
        <v>361</v>
      </c>
      <c r="I24" s="7" t="s">
        <v>48</v>
      </c>
      <c r="J24" s="15" t="s">
        <v>16</v>
      </c>
      <c r="K24" s="18" t="n">
        <v>2</v>
      </c>
      <c r="L24" s="7" t="s">
        <v>64</v>
      </c>
      <c r="M24" s="6" t="s">
        <v>362</v>
      </c>
      <c r="N24" s="6" t="s">
        <v>130</v>
      </c>
      <c r="O24" s="6" t="s">
        <v>363</v>
      </c>
      <c r="P24" s="6" t="s">
        <v>364</v>
      </c>
      <c r="Q24" s="6" t="s">
        <v>365</v>
      </c>
      <c r="R24" s="7" t="s">
        <v>134</v>
      </c>
      <c r="S24" s="6" t="s">
        <v>355</v>
      </c>
      <c r="T24" s="7" t="s">
        <v>256</v>
      </c>
      <c r="U24" s="7" t="s">
        <v>356</v>
      </c>
      <c r="V24" s="6" t="s">
        <v>357</v>
      </c>
      <c r="W24" s="6" t="s">
        <v>160</v>
      </c>
      <c r="X24" s="7" t="s">
        <v>44</v>
      </c>
      <c r="Y24" s="19" t="s">
        <v>9</v>
      </c>
      <c r="Z24" s="6" t="s">
        <v>366</v>
      </c>
    </row>
    <row r="25" customFormat="false" ht="68.25" hidden="false" customHeight="true" outlineLevel="0" collapsed="false">
      <c r="A25" s="7" t="s">
        <v>367</v>
      </c>
      <c r="B25" s="6" t="s">
        <v>345</v>
      </c>
      <c r="C25" s="7" t="s">
        <v>40</v>
      </c>
      <c r="D25" s="7" t="s">
        <v>346</v>
      </c>
      <c r="E25" s="7" t="s">
        <v>347</v>
      </c>
      <c r="F25" s="6" t="s">
        <v>348</v>
      </c>
      <c r="G25" s="6" t="s">
        <v>368</v>
      </c>
      <c r="H25" s="6" t="s">
        <v>369</v>
      </c>
      <c r="I25" s="7" t="s">
        <v>49</v>
      </c>
      <c r="J25" s="15" t="s">
        <v>16</v>
      </c>
      <c r="K25" s="18" t="n">
        <v>2</v>
      </c>
      <c r="L25" s="7" t="s">
        <v>62</v>
      </c>
      <c r="M25" s="6" t="s">
        <v>370</v>
      </c>
      <c r="N25" s="6" t="s">
        <v>130</v>
      </c>
      <c r="O25" s="6" t="s">
        <v>371</v>
      </c>
      <c r="P25" s="6" t="s">
        <v>372</v>
      </c>
      <c r="Q25" s="6" t="s">
        <v>373</v>
      </c>
      <c r="R25" s="7" t="s">
        <v>134</v>
      </c>
      <c r="S25" s="6" t="s">
        <v>355</v>
      </c>
      <c r="T25" s="7" t="s">
        <v>269</v>
      </c>
      <c r="U25" s="7" t="s">
        <v>356</v>
      </c>
      <c r="V25" s="6" t="s">
        <v>357</v>
      </c>
      <c r="W25" s="6" t="s">
        <v>160</v>
      </c>
      <c r="X25" s="7" t="s">
        <v>44</v>
      </c>
      <c r="Y25" s="19" t="s">
        <v>9</v>
      </c>
      <c r="Z25" s="6" t="s">
        <v>374</v>
      </c>
    </row>
    <row r="26" customFormat="false" ht="113.25" hidden="false" customHeight="true" outlineLevel="0" collapsed="false">
      <c r="A26" s="7" t="s">
        <v>375</v>
      </c>
      <c r="B26" s="6" t="s">
        <v>345</v>
      </c>
      <c r="C26" s="7" t="s">
        <v>40</v>
      </c>
      <c r="D26" s="7" t="s">
        <v>346</v>
      </c>
      <c r="E26" s="7" t="s">
        <v>347</v>
      </c>
      <c r="F26" s="6" t="s">
        <v>348</v>
      </c>
      <c r="G26" s="6" t="s">
        <v>376</v>
      </c>
      <c r="H26" s="6" t="s">
        <v>377</v>
      </c>
      <c r="I26" s="7" t="s">
        <v>49</v>
      </c>
      <c r="J26" s="15" t="s">
        <v>16</v>
      </c>
      <c r="K26" s="18" t="n">
        <v>2</v>
      </c>
      <c r="L26" s="7" t="s">
        <v>62</v>
      </c>
      <c r="M26" s="6" t="s">
        <v>378</v>
      </c>
      <c r="N26" s="6" t="s">
        <v>130</v>
      </c>
      <c r="O26" s="6" t="s">
        <v>379</v>
      </c>
      <c r="P26" s="6" t="s">
        <v>380</v>
      </c>
      <c r="Q26" s="6" t="s">
        <v>381</v>
      </c>
      <c r="R26" s="7" t="s">
        <v>134</v>
      </c>
      <c r="S26" s="6" t="s">
        <v>355</v>
      </c>
      <c r="T26" s="7" t="s">
        <v>269</v>
      </c>
      <c r="U26" s="7" t="s">
        <v>356</v>
      </c>
      <c r="V26" s="6" t="s">
        <v>382</v>
      </c>
      <c r="W26" s="6" t="s">
        <v>160</v>
      </c>
      <c r="X26" s="7" t="s">
        <v>44</v>
      </c>
      <c r="Y26" s="19" t="s">
        <v>9</v>
      </c>
      <c r="Z26" s="6" t="s">
        <v>383</v>
      </c>
    </row>
    <row r="27" customFormat="false" ht="68.25" hidden="false" customHeight="true" outlineLevel="0" collapsed="false">
      <c r="A27" s="7" t="s">
        <v>384</v>
      </c>
      <c r="B27" s="6" t="s">
        <v>345</v>
      </c>
      <c r="C27" s="7" t="s">
        <v>40</v>
      </c>
      <c r="D27" s="7" t="s">
        <v>346</v>
      </c>
      <c r="E27" s="7" t="s">
        <v>347</v>
      </c>
      <c r="F27" s="6" t="s">
        <v>348</v>
      </c>
      <c r="G27" s="6" t="s">
        <v>385</v>
      </c>
      <c r="H27" s="6" t="s">
        <v>386</v>
      </c>
      <c r="I27" s="7" t="s">
        <v>49</v>
      </c>
      <c r="J27" s="15" t="s">
        <v>16</v>
      </c>
      <c r="K27" s="18" t="n">
        <v>2</v>
      </c>
      <c r="L27" s="7" t="s">
        <v>62</v>
      </c>
      <c r="M27" s="6" t="s">
        <v>387</v>
      </c>
      <c r="N27" s="6" t="s">
        <v>130</v>
      </c>
      <c r="O27" s="6" t="s">
        <v>388</v>
      </c>
      <c r="P27" s="6" t="s">
        <v>389</v>
      </c>
      <c r="Q27" s="6" t="s">
        <v>390</v>
      </c>
      <c r="R27" s="7" t="s">
        <v>134</v>
      </c>
      <c r="S27" s="6" t="s">
        <v>355</v>
      </c>
      <c r="T27" s="7" t="s">
        <v>269</v>
      </c>
      <c r="U27" s="7" t="s">
        <v>356</v>
      </c>
      <c r="V27" s="6" t="s">
        <v>357</v>
      </c>
      <c r="W27" s="6" t="s">
        <v>160</v>
      </c>
      <c r="X27" s="7" t="s">
        <v>44</v>
      </c>
      <c r="Y27" s="19" t="s">
        <v>9</v>
      </c>
      <c r="Z27" s="6" t="s">
        <v>391</v>
      </c>
    </row>
    <row r="28" customFormat="false" ht="68.25" hidden="false" customHeight="true" outlineLevel="0" collapsed="false">
      <c r="A28" s="7" t="s">
        <v>392</v>
      </c>
      <c r="B28" s="6" t="s">
        <v>345</v>
      </c>
      <c r="C28" s="7" t="s">
        <v>40</v>
      </c>
      <c r="D28" s="7" t="s">
        <v>346</v>
      </c>
      <c r="E28" s="7" t="s">
        <v>347</v>
      </c>
      <c r="F28" s="6" t="s">
        <v>348</v>
      </c>
      <c r="G28" s="6" t="s">
        <v>393</v>
      </c>
      <c r="H28" s="6" t="s">
        <v>394</v>
      </c>
      <c r="I28" s="7" t="s">
        <v>49</v>
      </c>
      <c r="J28" s="15" t="s">
        <v>17</v>
      </c>
      <c r="K28" s="19" t="n">
        <v>3</v>
      </c>
      <c r="L28" s="7" t="s">
        <v>62</v>
      </c>
      <c r="M28" s="6" t="s">
        <v>395</v>
      </c>
      <c r="N28" s="6" t="s">
        <v>130</v>
      </c>
      <c r="O28" s="6" t="s">
        <v>396</v>
      </c>
      <c r="P28" s="6" t="s">
        <v>397</v>
      </c>
      <c r="Q28" s="6" t="s">
        <v>398</v>
      </c>
      <c r="R28" s="7" t="s">
        <v>134</v>
      </c>
      <c r="S28" s="6" t="s">
        <v>355</v>
      </c>
      <c r="T28" s="7" t="s">
        <v>269</v>
      </c>
      <c r="U28" s="7" t="s">
        <v>356</v>
      </c>
      <c r="V28" s="6" t="s">
        <v>357</v>
      </c>
      <c r="W28" s="6" t="s">
        <v>160</v>
      </c>
      <c r="X28" s="7" t="s">
        <v>44</v>
      </c>
      <c r="Y28" s="19" t="s">
        <v>9</v>
      </c>
      <c r="Z28" s="6" t="s">
        <v>399</v>
      </c>
    </row>
    <row r="29" customFormat="false" ht="68.25" hidden="false" customHeight="true" outlineLevel="0" collapsed="false">
      <c r="A29" s="7" t="s">
        <v>400</v>
      </c>
      <c r="B29" s="6" t="s">
        <v>401</v>
      </c>
      <c r="C29" s="7" t="s">
        <v>40</v>
      </c>
      <c r="D29" s="7" t="s">
        <v>100</v>
      </c>
      <c r="E29" s="7" t="s">
        <v>402</v>
      </c>
      <c r="F29" s="6" t="s">
        <v>403</v>
      </c>
      <c r="G29" s="6" t="s">
        <v>404</v>
      </c>
      <c r="H29" s="6" t="s">
        <v>405</v>
      </c>
      <c r="I29" s="7" t="s">
        <v>50</v>
      </c>
      <c r="J29" s="15" t="s">
        <v>17</v>
      </c>
      <c r="K29" s="18" t="n">
        <v>2</v>
      </c>
      <c r="L29" s="7" t="s">
        <v>62</v>
      </c>
      <c r="M29" s="6" t="s">
        <v>221</v>
      </c>
      <c r="N29" s="6" t="s">
        <v>130</v>
      </c>
      <c r="O29" s="6" t="s">
        <v>406</v>
      </c>
      <c r="P29" s="6" t="s">
        <v>407</v>
      </c>
      <c r="Q29" s="6" t="s">
        <v>408</v>
      </c>
      <c r="R29" s="7" t="s">
        <v>134</v>
      </c>
      <c r="S29" s="6" t="s">
        <v>409</v>
      </c>
      <c r="T29" s="7" t="s">
        <v>136</v>
      </c>
      <c r="U29" s="7" t="s">
        <v>410</v>
      </c>
      <c r="V29" s="6" t="s">
        <v>138</v>
      </c>
      <c r="W29" s="6" t="s">
        <v>160</v>
      </c>
      <c r="X29" s="7" t="s">
        <v>44</v>
      </c>
      <c r="Y29" s="17" t="s">
        <v>7</v>
      </c>
      <c r="Z29" s="6" t="s">
        <v>411</v>
      </c>
    </row>
    <row r="30" customFormat="false" ht="68.25" hidden="false" customHeight="true" outlineLevel="0" collapsed="false">
      <c r="A30" s="7" t="s">
        <v>412</v>
      </c>
      <c r="B30" s="6" t="s">
        <v>401</v>
      </c>
      <c r="C30" s="7" t="s">
        <v>40</v>
      </c>
      <c r="D30" s="7" t="s">
        <v>100</v>
      </c>
      <c r="E30" s="7" t="s">
        <v>402</v>
      </c>
      <c r="F30" s="6" t="s">
        <v>403</v>
      </c>
      <c r="G30" s="6" t="s">
        <v>413</v>
      </c>
      <c r="H30" s="6" t="s">
        <v>414</v>
      </c>
      <c r="I30" s="7" t="s">
        <v>50</v>
      </c>
      <c r="J30" s="15" t="s">
        <v>18</v>
      </c>
      <c r="K30" s="19" t="n">
        <v>3</v>
      </c>
      <c r="L30" s="7" t="s">
        <v>62</v>
      </c>
      <c r="M30" s="6" t="s">
        <v>415</v>
      </c>
      <c r="N30" s="6" t="s">
        <v>130</v>
      </c>
      <c r="O30" s="6" t="s">
        <v>416</v>
      </c>
      <c r="P30" s="6" t="s">
        <v>417</v>
      </c>
      <c r="Q30" s="6" t="s">
        <v>418</v>
      </c>
      <c r="R30" s="7" t="s">
        <v>134</v>
      </c>
      <c r="S30" s="6" t="s">
        <v>409</v>
      </c>
      <c r="T30" s="7" t="s">
        <v>136</v>
      </c>
      <c r="U30" s="7" t="s">
        <v>410</v>
      </c>
      <c r="V30" s="6" t="s">
        <v>419</v>
      </c>
      <c r="W30" s="6" t="s">
        <v>160</v>
      </c>
      <c r="X30" s="7" t="s">
        <v>44</v>
      </c>
      <c r="Y30" s="19" t="s">
        <v>9</v>
      </c>
      <c r="Z30" s="6" t="s">
        <v>420</v>
      </c>
    </row>
    <row r="31" customFormat="false" ht="68.25" hidden="false" customHeight="true" outlineLevel="0" collapsed="false">
      <c r="A31" s="7" t="s">
        <v>421</v>
      </c>
      <c r="B31" s="6" t="s">
        <v>401</v>
      </c>
      <c r="C31" s="7" t="s">
        <v>40</v>
      </c>
      <c r="D31" s="7" t="s">
        <v>100</v>
      </c>
      <c r="E31" s="7" t="s">
        <v>402</v>
      </c>
      <c r="F31" s="6" t="s">
        <v>403</v>
      </c>
      <c r="G31" s="6" t="s">
        <v>422</v>
      </c>
      <c r="H31" s="6" t="s">
        <v>423</v>
      </c>
      <c r="I31" s="7" t="s">
        <v>49</v>
      </c>
      <c r="J31" s="15" t="s">
        <v>18</v>
      </c>
      <c r="K31" s="19" t="n">
        <v>3</v>
      </c>
      <c r="L31" s="7" t="s">
        <v>62</v>
      </c>
      <c r="M31" s="6" t="s">
        <v>424</v>
      </c>
      <c r="N31" s="6" t="s">
        <v>130</v>
      </c>
      <c r="O31" s="6" t="s">
        <v>425</v>
      </c>
      <c r="P31" s="6" t="s">
        <v>426</v>
      </c>
      <c r="Q31" s="6" t="s">
        <v>427</v>
      </c>
      <c r="R31" s="7" t="s">
        <v>134</v>
      </c>
      <c r="S31" s="6" t="s">
        <v>409</v>
      </c>
      <c r="T31" s="7" t="s">
        <v>136</v>
      </c>
      <c r="U31" s="7" t="s">
        <v>410</v>
      </c>
      <c r="V31" s="6" t="s">
        <v>419</v>
      </c>
      <c r="W31" s="6" t="s">
        <v>160</v>
      </c>
      <c r="X31" s="7" t="s">
        <v>44</v>
      </c>
      <c r="Y31" s="19" t="s">
        <v>9</v>
      </c>
      <c r="Z31" s="6" t="s">
        <v>428</v>
      </c>
    </row>
    <row r="32" customFormat="false" ht="68.25" hidden="false" customHeight="true" outlineLevel="0" collapsed="false">
      <c r="A32" s="7" t="s">
        <v>429</v>
      </c>
      <c r="B32" s="6" t="s">
        <v>401</v>
      </c>
      <c r="C32" s="7" t="s">
        <v>40</v>
      </c>
      <c r="D32" s="7" t="s">
        <v>100</v>
      </c>
      <c r="E32" s="7" t="s">
        <v>402</v>
      </c>
      <c r="F32" s="6" t="s">
        <v>403</v>
      </c>
      <c r="G32" s="6" t="s">
        <v>430</v>
      </c>
      <c r="H32" s="6" t="s">
        <v>431</v>
      </c>
      <c r="I32" s="7" t="s">
        <v>59</v>
      </c>
      <c r="J32" s="15" t="s">
        <v>17</v>
      </c>
      <c r="K32" s="18" t="n">
        <v>2</v>
      </c>
      <c r="L32" s="7" t="s">
        <v>62</v>
      </c>
      <c r="M32" s="6" t="s">
        <v>432</v>
      </c>
      <c r="N32" s="6" t="s">
        <v>130</v>
      </c>
      <c r="O32" s="6" t="s">
        <v>433</v>
      </c>
      <c r="P32" s="6" t="s">
        <v>434</v>
      </c>
      <c r="Q32" s="6" t="s">
        <v>435</v>
      </c>
      <c r="R32" s="7" t="s">
        <v>134</v>
      </c>
      <c r="S32" s="6" t="s">
        <v>409</v>
      </c>
      <c r="T32" s="7" t="s">
        <v>300</v>
      </c>
      <c r="U32" s="7" t="s">
        <v>410</v>
      </c>
      <c r="V32" s="6" t="s">
        <v>436</v>
      </c>
      <c r="W32" s="6" t="s">
        <v>160</v>
      </c>
      <c r="X32" s="7" t="s">
        <v>44</v>
      </c>
      <c r="Y32" s="19" t="s">
        <v>9</v>
      </c>
      <c r="Z32" s="6" t="s">
        <v>437</v>
      </c>
    </row>
    <row r="33" customFormat="false" ht="68.25" hidden="false" customHeight="true" outlineLevel="0" collapsed="false">
      <c r="A33" s="7" t="s">
        <v>438</v>
      </c>
      <c r="B33" s="6" t="s">
        <v>401</v>
      </c>
      <c r="C33" s="7" t="s">
        <v>40</v>
      </c>
      <c r="D33" s="7" t="s">
        <v>100</v>
      </c>
      <c r="E33" s="7" t="s">
        <v>402</v>
      </c>
      <c r="F33" s="6" t="s">
        <v>403</v>
      </c>
      <c r="G33" s="6" t="s">
        <v>439</v>
      </c>
      <c r="H33" s="6" t="s">
        <v>440</v>
      </c>
      <c r="I33" s="7" t="s">
        <v>55</v>
      </c>
      <c r="J33" s="15" t="s">
        <v>16</v>
      </c>
      <c r="K33" s="16" t="n">
        <v>1</v>
      </c>
      <c r="L33" s="7" t="s">
        <v>63</v>
      </c>
      <c r="M33" s="6" t="s">
        <v>441</v>
      </c>
      <c r="N33" s="6" t="s">
        <v>130</v>
      </c>
      <c r="O33" s="6" t="s">
        <v>442</v>
      </c>
      <c r="P33" s="6" t="s">
        <v>443</v>
      </c>
      <c r="Q33" s="6" t="s">
        <v>444</v>
      </c>
      <c r="R33" s="7" t="s">
        <v>134</v>
      </c>
      <c r="S33" s="6" t="s">
        <v>409</v>
      </c>
      <c r="T33" s="7" t="s">
        <v>269</v>
      </c>
      <c r="U33" s="7" t="s">
        <v>410</v>
      </c>
      <c r="V33" s="6" t="s">
        <v>436</v>
      </c>
      <c r="W33" s="6" t="s">
        <v>160</v>
      </c>
      <c r="X33" s="7" t="s">
        <v>44</v>
      </c>
      <c r="Y33" s="19" t="s">
        <v>9</v>
      </c>
      <c r="Z33" s="6" t="s">
        <v>445</v>
      </c>
    </row>
    <row r="34" customFormat="false" ht="68.25" hidden="false" customHeight="true" outlineLevel="0" collapsed="false">
      <c r="A34" s="7" t="s">
        <v>446</v>
      </c>
      <c r="B34" s="6" t="s">
        <v>447</v>
      </c>
      <c r="C34" s="7" t="s">
        <v>40</v>
      </c>
      <c r="D34" s="7" t="s">
        <v>99</v>
      </c>
      <c r="E34" s="7" t="s">
        <v>448</v>
      </c>
      <c r="F34" s="6" t="s">
        <v>449</v>
      </c>
      <c r="G34" s="6" t="s">
        <v>450</v>
      </c>
      <c r="H34" s="6" t="s">
        <v>451</v>
      </c>
      <c r="I34" s="7" t="s">
        <v>50</v>
      </c>
      <c r="J34" s="15" t="s">
        <v>16</v>
      </c>
      <c r="K34" s="18" t="n">
        <v>2</v>
      </c>
      <c r="L34" s="7" t="s">
        <v>62</v>
      </c>
      <c r="M34" s="6" t="s">
        <v>452</v>
      </c>
      <c r="N34" s="6" t="s">
        <v>130</v>
      </c>
      <c r="O34" s="6" t="s">
        <v>453</v>
      </c>
      <c r="P34" s="6" t="s">
        <v>454</v>
      </c>
      <c r="Q34" s="6" t="s">
        <v>455</v>
      </c>
      <c r="R34" s="7" t="s">
        <v>134</v>
      </c>
      <c r="S34" s="6" t="s">
        <v>456</v>
      </c>
      <c r="T34" s="7" t="s">
        <v>269</v>
      </c>
      <c r="U34" s="7" t="s">
        <v>457</v>
      </c>
      <c r="V34" s="6" t="s">
        <v>357</v>
      </c>
      <c r="W34" s="6" t="s">
        <v>160</v>
      </c>
      <c r="X34" s="7" t="s">
        <v>44</v>
      </c>
      <c r="Y34" s="19" t="s">
        <v>9</v>
      </c>
      <c r="Z34" s="6" t="s">
        <v>458</v>
      </c>
    </row>
    <row r="35" customFormat="false" ht="68.25" hidden="false" customHeight="true" outlineLevel="0" collapsed="false">
      <c r="A35" s="7" t="s">
        <v>459</v>
      </c>
      <c r="B35" s="6" t="s">
        <v>447</v>
      </c>
      <c r="C35" s="7" t="s">
        <v>40</v>
      </c>
      <c r="D35" s="7" t="s">
        <v>99</v>
      </c>
      <c r="E35" s="7" t="s">
        <v>448</v>
      </c>
      <c r="F35" s="6" t="s">
        <v>449</v>
      </c>
      <c r="G35" s="6" t="s">
        <v>460</v>
      </c>
      <c r="H35" s="6" t="s">
        <v>461</v>
      </c>
      <c r="I35" s="7" t="s">
        <v>50</v>
      </c>
      <c r="J35" s="15" t="s">
        <v>17</v>
      </c>
      <c r="K35" s="19" t="n">
        <v>3</v>
      </c>
      <c r="L35" s="7" t="s">
        <v>62</v>
      </c>
      <c r="M35" s="6" t="s">
        <v>462</v>
      </c>
      <c r="N35" s="6" t="s">
        <v>130</v>
      </c>
      <c r="O35" s="6" t="s">
        <v>463</v>
      </c>
      <c r="P35" s="6" t="s">
        <v>464</v>
      </c>
      <c r="Q35" s="6" t="s">
        <v>465</v>
      </c>
      <c r="R35" s="7" t="s">
        <v>134</v>
      </c>
      <c r="S35" s="6" t="s">
        <v>456</v>
      </c>
      <c r="T35" s="7" t="s">
        <v>269</v>
      </c>
      <c r="U35" s="7" t="s">
        <v>457</v>
      </c>
      <c r="V35" s="6" t="s">
        <v>357</v>
      </c>
      <c r="W35" s="6" t="s">
        <v>160</v>
      </c>
      <c r="X35" s="7" t="s">
        <v>44</v>
      </c>
      <c r="Y35" s="19" t="s">
        <v>9</v>
      </c>
      <c r="Z35" s="6" t="s">
        <v>466</v>
      </c>
    </row>
    <row r="36" customFormat="false" ht="68.25" hidden="false" customHeight="true" outlineLevel="0" collapsed="false">
      <c r="A36" s="7" t="s">
        <v>467</v>
      </c>
      <c r="B36" s="6" t="s">
        <v>468</v>
      </c>
      <c r="C36" s="7" t="s">
        <v>40</v>
      </c>
      <c r="D36" s="7" t="s">
        <v>469</v>
      </c>
      <c r="E36" s="7" t="s">
        <v>470</v>
      </c>
      <c r="F36" s="6" t="s">
        <v>471</v>
      </c>
      <c r="G36" s="6" t="s">
        <v>472</v>
      </c>
      <c r="H36" s="6" t="s">
        <v>473</v>
      </c>
      <c r="I36" s="7" t="s">
        <v>49</v>
      </c>
      <c r="J36" s="15" t="s">
        <v>16</v>
      </c>
      <c r="K36" s="18" t="n">
        <v>2</v>
      </c>
      <c r="L36" s="7" t="s">
        <v>62</v>
      </c>
      <c r="M36" s="6" t="s">
        <v>474</v>
      </c>
      <c r="N36" s="6" t="s">
        <v>130</v>
      </c>
      <c r="O36" s="6" t="s">
        <v>475</v>
      </c>
      <c r="P36" s="6" t="s">
        <v>476</v>
      </c>
      <c r="Q36" s="6" t="s">
        <v>477</v>
      </c>
      <c r="R36" s="7" t="s">
        <v>134</v>
      </c>
      <c r="S36" s="6" t="s">
        <v>478</v>
      </c>
      <c r="T36" s="7" t="s">
        <v>136</v>
      </c>
      <c r="U36" s="7" t="s">
        <v>479</v>
      </c>
      <c r="V36" s="6" t="s">
        <v>480</v>
      </c>
      <c r="W36" s="6" t="s">
        <v>160</v>
      </c>
      <c r="X36" s="7" t="s">
        <v>44</v>
      </c>
      <c r="Y36" s="19" t="s">
        <v>9</v>
      </c>
      <c r="Z36" s="6" t="s">
        <v>481</v>
      </c>
    </row>
    <row r="37" customFormat="false" ht="68.25" hidden="false" customHeight="true" outlineLevel="0" collapsed="false">
      <c r="A37" s="7" t="s">
        <v>482</v>
      </c>
      <c r="B37" s="6" t="s">
        <v>468</v>
      </c>
      <c r="C37" s="7" t="s">
        <v>40</v>
      </c>
      <c r="D37" s="7" t="s">
        <v>469</v>
      </c>
      <c r="E37" s="7" t="s">
        <v>470</v>
      </c>
      <c r="F37" s="6" t="s">
        <v>471</v>
      </c>
      <c r="G37" s="6" t="s">
        <v>483</v>
      </c>
      <c r="H37" s="6" t="s">
        <v>484</v>
      </c>
      <c r="I37" s="7" t="s">
        <v>49</v>
      </c>
      <c r="J37" s="15" t="s">
        <v>16</v>
      </c>
      <c r="K37" s="18" t="n">
        <v>2</v>
      </c>
      <c r="L37" s="7" t="s">
        <v>62</v>
      </c>
      <c r="M37" s="6" t="s">
        <v>485</v>
      </c>
      <c r="N37" s="6" t="s">
        <v>130</v>
      </c>
      <c r="O37" s="6" t="s">
        <v>486</v>
      </c>
      <c r="P37" s="6" t="s">
        <v>487</v>
      </c>
      <c r="Q37" s="6" t="s">
        <v>488</v>
      </c>
      <c r="R37" s="7" t="s">
        <v>134</v>
      </c>
      <c r="S37" s="6" t="s">
        <v>478</v>
      </c>
      <c r="T37" s="7" t="s">
        <v>136</v>
      </c>
      <c r="U37" s="7" t="s">
        <v>479</v>
      </c>
      <c r="V37" s="6" t="s">
        <v>480</v>
      </c>
      <c r="W37" s="6" t="s">
        <v>160</v>
      </c>
      <c r="X37" s="7" t="s">
        <v>44</v>
      </c>
      <c r="Y37" s="19" t="s">
        <v>9</v>
      </c>
      <c r="Z37" s="6" t="s">
        <v>489</v>
      </c>
    </row>
    <row r="38" customFormat="false" ht="68.25" hidden="false" customHeight="true" outlineLevel="0" collapsed="false">
      <c r="A38" s="7" t="s">
        <v>490</v>
      </c>
      <c r="B38" s="6" t="s">
        <v>468</v>
      </c>
      <c r="C38" s="7" t="s">
        <v>40</v>
      </c>
      <c r="D38" s="7" t="s">
        <v>469</v>
      </c>
      <c r="E38" s="7" t="s">
        <v>470</v>
      </c>
      <c r="F38" s="6" t="s">
        <v>471</v>
      </c>
      <c r="G38" s="6" t="s">
        <v>491</v>
      </c>
      <c r="H38" s="6" t="s">
        <v>492</v>
      </c>
      <c r="I38" s="7" t="s">
        <v>49</v>
      </c>
      <c r="J38" s="15" t="s">
        <v>17</v>
      </c>
      <c r="K38" s="19" t="n">
        <v>3</v>
      </c>
      <c r="L38" s="7" t="s">
        <v>62</v>
      </c>
      <c r="M38" s="6" t="s">
        <v>493</v>
      </c>
      <c r="N38" s="6" t="s">
        <v>130</v>
      </c>
      <c r="O38" s="6" t="s">
        <v>494</v>
      </c>
      <c r="P38" s="6" t="s">
        <v>495</v>
      </c>
      <c r="Q38" s="6" t="s">
        <v>496</v>
      </c>
      <c r="R38" s="7" t="s">
        <v>134</v>
      </c>
      <c r="S38" s="6" t="s">
        <v>478</v>
      </c>
      <c r="T38" s="7" t="s">
        <v>136</v>
      </c>
      <c r="U38" s="7" t="s">
        <v>479</v>
      </c>
      <c r="V38" s="6" t="s">
        <v>480</v>
      </c>
      <c r="W38" s="6" t="s">
        <v>160</v>
      </c>
      <c r="X38" s="7" t="s">
        <v>44</v>
      </c>
      <c r="Y38" s="19" t="s">
        <v>9</v>
      </c>
      <c r="Z38" s="6" t="s">
        <v>497</v>
      </c>
    </row>
    <row r="39" customFormat="false" ht="68.25" hidden="false" customHeight="true" outlineLevel="0" collapsed="false">
      <c r="A39" s="7" t="s">
        <v>498</v>
      </c>
      <c r="B39" s="6" t="s">
        <v>468</v>
      </c>
      <c r="C39" s="7" t="s">
        <v>40</v>
      </c>
      <c r="D39" s="7" t="s">
        <v>469</v>
      </c>
      <c r="E39" s="7" t="s">
        <v>470</v>
      </c>
      <c r="F39" s="6" t="s">
        <v>471</v>
      </c>
      <c r="G39" s="6" t="s">
        <v>499</v>
      </c>
      <c r="H39" s="6" t="s">
        <v>500</v>
      </c>
      <c r="I39" s="7" t="s">
        <v>49</v>
      </c>
      <c r="J39" s="15" t="s">
        <v>17</v>
      </c>
      <c r="K39" s="19" t="n">
        <v>3</v>
      </c>
      <c r="L39" s="7" t="s">
        <v>62</v>
      </c>
      <c r="M39" s="6" t="s">
        <v>501</v>
      </c>
      <c r="N39" s="6" t="s">
        <v>130</v>
      </c>
      <c r="O39" s="6" t="s">
        <v>502</v>
      </c>
      <c r="P39" s="6" t="s">
        <v>503</v>
      </c>
      <c r="Q39" s="6" t="s">
        <v>504</v>
      </c>
      <c r="R39" s="7" t="s">
        <v>134</v>
      </c>
      <c r="S39" s="6" t="s">
        <v>478</v>
      </c>
      <c r="T39" s="7" t="s">
        <v>136</v>
      </c>
      <c r="U39" s="7" t="s">
        <v>479</v>
      </c>
      <c r="V39" s="6" t="s">
        <v>480</v>
      </c>
      <c r="W39" s="6" t="s">
        <v>160</v>
      </c>
      <c r="X39" s="7" t="s">
        <v>44</v>
      </c>
      <c r="Y39" s="19" t="s">
        <v>9</v>
      </c>
      <c r="Z39" s="6" t="s">
        <v>505</v>
      </c>
    </row>
    <row r="40" customFormat="false" ht="68.25" hidden="false" customHeight="true" outlineLevel="0" collapsed="false">
      <c r="A40" s="7" t="s">
        <v>506</v>
      </c>
      <c r="B40" s="6" t="s">
        <v>468</v>
      </c>
      <c r="C40" s="7" t="s">
        <v>40</v>
      </c>
      <c r="D40" s="7" t="s">
        <v>469</v>
      </c>
      <c r="E40" s="7" t="s">
        <v>470</v>
      </c>
      <c r="F40" s="6" t="s">
        <v>471</v>
      </c>
      <c r="G40" s="6" t="s">
        <v>507</v>
      </c>
      <c r="H40" s="6" t="s">
        <v>508</v>
      </c>
      <c r="I40" s="7" t="s">
        <v>50</v>
      </c>
      <c r="J40" s="15" t="s">
        <v>17</v>
      </c>
      <c r="K40" s="19" t="n">
        <v>3</v>
      </c>
      <c r="L40" s="7" t="s">
        <v>62</v>
      </c>
      <c r="M40" s="6" t="s">
        <v>509</v>
      </c>
      <c r="N40" s="6" t="s">
        <v>130</v>
      </c>
      <c r="O40" s="6" t="s">
        <v>510</v>
      </c>
      <c r="P40" s="6" t="s">
        <v>511</v>
      </c>
      <c r="Q40" s="6" t="s">
        <v>512</v>
      </c>
      <c r="R40" s="7" t="s">
        <v>134</v>
      </c>
      <c r="S40" s="6" t="s">
        <v>478</v>
      </c>
      <c r="T40" s="7" t="s">
        <v>136</v>
      </c>
      <c r="U40" s="7" t="s">
        <v>479</v>
      </c>
      <c r="V40" s="6" t="s">
        <v>513</v>
      </c>
      <c r="W40" s="6" t="s">
        <v>160</v>
      </c>
      <c r="X40" s="7" t="s">
        <v>44</v>
      </c>
      <c r="Y40" s="19" t="s">
        <v>9</v>
      </c>
      <c r="Z40" s="6" t="s">
        <v>514</v>
      </c>
    </row>
    <row r="41" customFormat="false" ht="113.25" hidden="false" customHeight="true" outlineLevel="0" collapsed="false">
      <c r="A41" s="7" t="s">
        <v>515</v>
      </c>
      <c r="B41" s="6" t="s">
        <v>516</v>
      </c>
      <c r="C41" s="7" t="s">
        <v>40</v>
      </c>
      <c r="D41" s="7" t="s">
        <v>517</v>
      </c>
      <c r="E41" s="7" t="s">
        <v>518</v>
      </c>
      <c r="F41" s="6" t="s">
        <v>519</v>
      </c>
      <c r="G41" s="6" t="s">
        <v>520</v>
      </c>
      <c r="H41" s="6" t="s">
        <v>521</v>
      </c>
      <c r="I41" s="7" t="s">
        <v>51</v>
      </c>
      <c r="J41" s="15" t="s">
        <v>16</v>
      </c>
      <c r="K41" s="16" t="n">
        <v>1</v>
      </c>
      <c r="L41" s="7" t="s">
        <v>62</v>
      </c>
      <c r="M41" s="6" t="s">
        <v>522</v>
      </c>
      <c r="N41" s="6" t="s">
        <v>130</v>
      </c>
      <c r="O41" s="6" t="s">
        <v>523</v>
      </c>
      <c r="P41" s="6" t="s">
        <v>524</v>
      </c>
      <c r="Q41" s="6" t="s">
        <v>525</v>
      </c>
      <c r="R41" s="7" t="s">
        <v>134</v>
      </c>
      <c r="S41" s="6" t="s">
        <v>526</v>
      </c>
      <c r="T41" s="7" t="s">
        <v>269</v>
      </c>
      <c r="U41" s="7" t="s">
        <v>527</v>
      </c>
      <c r="V41" s="6" t="s">
        <v>528</v>
      </c>
      <c r="W41" s="6" t="s">
        <v>160</v>
      </c>
      <c r="X41" s="7" t="s">
        <v>44</v>
      </c>
      <c r="Y41" s="19" t="s">
        <v>9</v>
      </c>
      <c r="Z41" s="6" t="s">
        <v>529</v>
      </c>
    </row>
    <row r="42" customFormat="false" ht="113.25" hidden="false" customHeight="true" outlineLevel="0" collapsed="false">
      <c r="A42" s="7" t="s">
        <v>530</v>
      </c>
      <c r="B42" s="6" t="s">
        <v>516</v>
      </c>
      <c r="C42" s="7" t="s">
        <v>40</v>
      </c>
      <c r="D42" s="7" t="s">
        <v>517</v>
      </c>
      <c r="E42" s="7" t="s">
        <v>518</v>
      </c>
      <c r="F42" s="6" t="s">
        <v>519</v>
      </c>
      <c r="G42" s="6" t="s">
        <v>531</v>
      </c>
      <c r="H42" s="6" t="s">
        <v>532</v>
      </c>
      <c r="I42" s="7" t="s">
        <v>53</v>
      </c>
      <c r="J42" s="15" t="s">
        <v>16</v>
      </c>
      <c r="K42" s="16" t="n">
        <v>1</v>
      </c>
      <c r="L42" s="7" t="s">
        <v>62</v>
      </c>
      <c r="M42" s="6" t="s">
        <v>533</v>
      </c>
      <c r="N42" s="6" t="s">
        <v>130</v>
      </c>
      <c r="O42" s="6" t="s">
        <v>453</v>
      </c>
      <c r="P42" s="6" t="s">
        <v>534</v>
      </c>
      <c r="Q42" s="6" t="s">
        <v>535</v>
      </c>
      <c r="R42" s="7" t="s">
        <v>134</v>
      </c>
      <c r="S42" s="6" t="s">
        <v>526</v>
      </c>
      <c r="T42" s="7" t="s">
        <v>136</v>
      </c>
      <c r="U42" s="7" t="s">
        <v>527</v>
      </c>
      <c r="V42" s="6" t="s">
        <v>536</v>
      </c>
      <c r="W42" s="6" t="s">
        <v>160</v>
      </c>
      <c r="X42" s="7" t="s">
        <v>44</v>
      </c>
      <c r="Y42" s="19" t="s">
        <v>9</v>
      </c>
      <c r="Z42" s="6" t="s">
        <v>537</v>
      </c>
    </row>
    <row r="43" customFormat="false" ht="68.25" hidden="false" customHeight="true" outlineLevel="0" collapsed="false">
      <c r="A43" s="7" t="s">
        <v>538</v>
      </c>
      <c r="B43" s="6" t="s">
        <v>516</v>
      </c>
      <c r="C43" s="7" t="s">
        <v>40</v>
      </c>
      <c r="D43" s="7" t="s">
        <v>517</v>
      </c>
      <c r="E43" s="7" t="s">
        <v>518</v>
      </c>
      <c r="F43" s="6" t="s">
        <v>519</v>
      </c>
      <c r="G43" s="6" t="s">
        <v>539</v>
      </c>
      <c r="H43" s="6" t="s">
        <v>540</v>
      </c>
      <c r="I43" s="7" t="s">
        <v>53</v>
      </c>
      <c r="J43" s="15" t="s">
        <v>17</v>
      </c>
      <c r="K43" s="18" t="n">
        <v>2</v>
      </c>
      <c r="L43" s="7" t="s">
        <v>62</v>
      </c>
      <c r="M43" s="6" t="s">
        <v>541</v>
      </c>
      <c r="N43" s="6" t="s">
        <v>130</v>
      </c>
      <c r="O43" s="6" t="s">
        <v>542</v>
      </c>
      <c r="P43" s="6" t="s">
        <v>543</v>
      </c>
      <c r="Q43" s="6" t="s">
        <v>544</v>
      </c>
      <c r="R43" s="7" t="s">
        <v>134</v>
      </c>
      <c r="S43" s="6" t="s">
        <v>526</v>
      </c>
      <c r="T43" s="7" t="s">
        <v>136</v>
      </c>
      <c r="U43" s="7" t="s">
        <v>527</v>
      </c>
      <c r="V43" s="6" t="s">
        <v>480</v>
      </c>
      <c r="W43" s="6" t="s">
        <v>160</v>
      </c>
      <c r="X43" s="7" t="s">
        <v>44</v>
      </c>
      <c r="Y43" s="19" t="s">
        <v>9</v>
      </c>
      <c r="Z43" s="6" t="s">
        <v>545</v>
      </c>
    </row>
    <row r="44" customFormat="false" ht="68.25" hidden="false" customHeight="true" outlineLevel="0" collapsed="false">
      <c r="A44" s="7" t="s">
        <v>546</v>
      </c>
      <c r="B44" s="6" t="s">
        <v>516</v>
      </c>
      <c r="C44" s="7" t="s">
        <v>40</v>
      </c>
      <c r="D44" s="7" t="s">
        <v>517</v>
      </c>
      <c r="E44" s="7" t="s">
        <v>518</v>
      </c>
      <c r="F44" s="6" t="s">
        <v>519</v>
      </c>
      <c r="G44" s="6" t="s">
        <v>547</v>
      </c>
      <c r="H44" s="6" t="s">
        <v>548</v>
      </c>
      <c r="I44" s="7" t="s">
        <v>53</v>
      </c>
      <c r="J44" s="15" t="s">
        <v>17</v>
      </c>
      <c r="K44" s="18" t="n">
        <v>2</v>
      </c>
      <c r="L44" s="7" t="s">
        <v>62</v>
      </c>
      <c r="M44" s="6" t="s">
        <v>549</v>
      </c>
      <c r="N44" s="6" t="s">
        <v>130</v>
      </c>
      <c r="O44" s="6" t="s">
        <v>550</v>
      </c>
      <c r="P44" s="6" t="s">
        <v>551</v>
      </c>
      <c r="Q44" s="6" t="s">
        <v>552</v>
      </c>
      <c r="R44" s="7" t="s">
        <v>134</v>
      </c>
      <c r="S44" s="6" t="s">
        <v>526</v>
      </c>
      <c r="T44" s="7" t="s">
        <v>269</v>
      </c>
      <c r="U44" s="7" t="s">
        <v>527</v>
      </c>
      <c r="V44" s="6" t="s">
        <v>480</v>
      </c>
      <c r="W44" s="6" t="s">
        <v>160</v>
      </c>
      <c r="X44" s="7" t="s">
        <v>44</v>
      </c>
      <c r="Y44" s="19" t="s">
        <v>9</v>
      </c>
      <c r="Z44" s="6" t="s">
        <v>553</v>
      </c>
    </row>
    <row r="45" customFormat="false" ht="68.25" hidden="false" customHeight="true" outlineLevel="0" collapsed="false">
      <c r="A45" s="7" t="s">
        <v>554</v>
      </c>
      <c r="B45" s="6" t="s">
        <v>516</v>
      </c>
      <c r="C45" s="7" t="s">
        <v>40</v>
      </c>
      <c r="D45" s="7" t="s">
        <v>517</v>
      </c>
      <c r="E45" s="7" t="s">
        <v>518</v>
      </c>
      <c r="F45" s="6" t="s">
        <v>519</v>
      </c>
      <c r="G45" s="6" t="s">
        <v>555</v>
      </c>
      <c r="H45" s="6" t="s">
        <v>556</v>
      </c>
      <c r="I45" s="7" t="s">
        <v>54</v>
      </c>
      <c r="J45" s="15" t="s">
        <v>16</v>
      </c>
      <c r="K45" s="16" t="n">
        <v>1</v>
      </c>
      <c r="L45" s="7" t="s">
        <v>63</v>
      </c>
      <c r="M45" s="6" t="s">
        <v>557</v>
      </c>
      <c r="N45" s="6" t="s">
        <v>130</v>
      </c>
      <c r="O45" s="6" t="s">
        <v>558</v>
      </c>
      <c r="P45" s="6" t="s">
        <v>559</v>
      </c>
      <c r="Q45" s="6" t="s">
        <v>560</v>
      </c>
      <c r="R45" s="7" t="s">
        <v>134</v>
      </c>
      <c r="S45" s="6" t="s">
        <v>526</v>
      </c>
      <c r="T45" s="7" t="s">
        <v>269</v>
      </c>
      <c r="U45" s="7" t="s">
        <v>527</v>
      </c>
      <c r="V45" s="6" t="s">
        <v>357</v>
      </c>
      <c r="W45" s="6" t="s">
        <v>160</v>
      </c>
      <c r="X45" s="7" t="s">
        <v>44</v>
      </c>
      <c r="Y45" s="19" t="s">
        <v>9</v>
      </c>
      <c r="Z45" s="6" t="s">
        <v>561</v>
      </c>
    </row>
    <row r="46" customFormat="false" ht="113.25" hidden="false" customHeight="true" outlineLevel="0" collapsed="false">
      <c r="A46" s="7" t="s">
        <v>562</v>
      </c>
      <c r="B46" s="6" t="s">
        <v>563</v>
      </c>
      <c r="C46" s="7" t="s">
        <v>40</v>
      </c>
      <c r="D46" s="7" t="s">
        <v>100</v>
      </c>
      <c r="E46" s="7" t="s">
        <v>564</v>
      </c>
      <c r="F46" s="6" t="s">
        <v>565</v>
      </c>
      <c r="G46" s="6" t="s">
        <v>566</v>
      </c>
      <c r="H46" s="6" t="s">
        <v>567</v>
      </c>
      <c r="I46" s="7" t="s">
        <v>48</v>
      </c>
      <c r="J46" s="15" t="s">
        <v>16</v>
      </c>
      <c r="K46" s="16" t="n">
        <v>1</v>
      </c>
      <c r="L46" s="7" t="s">
        <v>64</v>
      </c>
      <c r="M46" s="6" t="s">
        <v>568</v>
      </c>
      <c r="N46" s="6" t="s">
        <v>130</v>
      </c>
      <c r="O46" s="6" t="s">
        <v>569</v>
      </c>
      <c r="P46" s="6" t="s">
        <v>570</v>
      </c>
      <c r="Q46" s="6" t="s">
        <v>571</v>
      </c>
      <c r="R46" s="7" t="s">
        <v>134</v>
      </c>
      <c r="S46" s="6" t="s">
        <v>572</v>
      </c>
      <c r="T46" s="7" t="s">
        <v>256</v>
      </c>
      <c r="U46" s="7" t="s">
        <v>573</v>
      </c>
      <c r="V46" s="6" t="s">
        <v>574</v>
      </c>
      <c r="W46" s="6" t="s">
        <v>160</v>
      </c>
      <c r="X46" s="7" t="s">
        <v>44</v>
      </c>
      <c r="Y46" s="19" t="s">
        <v>9</v>
      </c>
      <c r="Z46" s="6" t="s">
        <v>575</v>
      </c>
    </row>
    <row r="47" customFormat="false" ht="45.75" hidden="false" customHeight="true" outlineLevel="0" collapsed="false">
      <c r="A47" s="7" t="s">
        <v>576</v>
      </c>
      <c r="B47" s="6" t="s">
        <v>563</v>
      </c>
      <c r="C47" s="7" t="s">
        <v>40</v>
      </c>
      <c r="D47" s="7" t="s">
        <v>100</v>
      </c>
      <c r="E47" s="7" t="s">
        <v>564</v>
      </c>
      <c r="F47" s="6" t="s">
        <v>565</v>
      </c>
      <c r="G47" s="6" t="s">
        <v>577</v>
      </c>
      <c r="H47" s="6" t="s">
        <v>578</v>
      </c>
      <c r="I47" s="7" t="s">
        <v>48</v>
      </c>
      <c r="J47" s="15" t="s">
        <v>16</v>
      </c>
      <c r="K47" s="16" t="n">
        <v>1</v>
      </c>
      <c r="L47" s="7" t="s">
        <v>64</v>
      </c>
      <c r="M47" s="6" t="s">
        <v>568</v>
      </c>
      <c r="N47" s="6" t="s">
        <v>130</v>
      </c>
      <c r="O47" s="6" t="s">
        <v>579</v>
      </c>
      <c r="P47" s="6" t="s">
        <v>580</v>
      </c>
      <c r="Q47" s="6" t="s">
        <v>581</v>
      </c>
      <c r="R47" s="7" t="s">
        <v>134</v>
      </c>
      <c r="S47" s="6" t="s">
        <v>572</v>
      </c>
      <c r="T47" s="7" t="s">
        <v>256</v>
      </c>
      <c r="U47" s="7" t="s">
        <v>573</v>
      </c>
      <c r="V47" s="6" t="s">
        <v>138</v>
      </c>
      <c r="W47" s="6" t="s">
        <v>160</v>
      </c>
      <c r="X47" s="7" t="s">
        <v>44</v>
      </c>
      <c r="Y47" s="17" t="s">
        <v>7</v>
      </c>
      <c r="Z47" s="6" t="s">
        <v>582</v>
      </c>
    </row>
    <row r="48" customFormat="false" ht="45.75" hidden="false" customHeight="true" outlineLevel="0" collapsed="false">
      <c r="A48" s="7" t="s">
        <v>583</v>
      </c>
      <c r="B48" s="6" t="s">
        <v>563</v>
      </c>
      <c r="C48" s="7" t="s">
        <v>40</v>
      </c>
      <c r="D48" s="7" t="s">
        <v>100</v>
      </c>
      <c r="E48" s="7" t="s">
        <v>564</v>
      </c>
      <c r="F48" s="6" t="s">
        <v>565</v>
      </c>
      <c r="G48" s="6" t="s">
        <v>584</v>
      </c>
      <c r="H48" s="6" t="s">
        <v>585</v>
      </c>
      <c r="I48" s="7" t="s">
        <v>54</v>
      </c>
      <c r="J48" s="15" t="s">
        <v>16</v>
      </c>
      <c r="K48" s="16" t="n">
        <v>1</v>
      </c>
      <c r="L48" s="7" t="s">
        <v>63</v>
      </c>
      <c r="M48" s="6" t="s">
        <v>568</v>
      </c>
      <c r="N48" s="6" t="s">
        <v>130</v>
      </c>
      <c r="O48" s="6" t="s">
        <v>586</v>
      </c>
      <c r="P48" s="6" t="s">
        <v>587</v>
      </c>
      <c r="Q48" s="6" t="s">
        <v>581</v>
      </c>
      <c r="R48" s="7" t="s">
        <v>134</v>
      </c>
      <c r="S48" s="6" t="s">
        <v>572</v>
      </c>
      <c r="T48" s="7" t="s">
        <v>269</v>
      </c>
      <c r="U48" s="7" t="s">
        <v>573</v>
      </c>
      <c r="V48" s="6" t="s">
        <v>138</v>
      </c>
      <c r="W48" s="6" t="s">
        <v>160</v>
      </c>
      <c r="X48" s="7" t="s">
        <v>44</v>
      </c>
      <c r="Y48" s="17" t="s">
        <v>7</v>
      </c>
      <c r="Z48" s="6" t="s">
        <v>588</v>
      </c>
    </row>
    <row r="49" customFormat="false" ht="57" hidden="false" customHeight="true" outlineLevel="0" collapsed="false">
      <c r="A49" s="7" t="s">
        <v>589</v>
      </c>
      <c r="B49" s="6" t="s">
        <v>590</v>
      </c>
      <c r="C49" s="7" t="s">
        <v>40</v>
      </c>
      <c r="D49" s="7" t="s">
        <v>100</v>
      </c>
      <c r="E49" s="7" t="s">
        <v>591</v>
      </c>
      <c r="F49" s="6" t="s">
        <v>592</v>
      </c>
      <c r="G49" s="6" t="s">
        <v>593</v>
      </c>
      <c r="H49" s="6" t="s">
        <v>594</v>
      </c>
      <c r="I49" s="7" t="s">
        <v>59</v>
      </c>
      <c r="J49" s="15" t="s">
        <v>17</v>
      </c>
      <c r="K49" s="18" t="n">
        <v>2</v>
      </c>
      <c r="L49" s="7" t="s">
        <v>62</v>
      </c>
      <c r="M49" s="6" t="s">
        <v>595</v>
      </c>
      <c r="N49" s="6" t="s">
        <v>130</v>
      </c>
      <c r="O49" s="6" t="s">
        <v>453</v>
      </c>
      <c r="P49" s="6" t="s">
        <v>596</v>
      </c>
      <c r="Q49" s="6" t="s">
        <v>597</v>
      </c>
      <c r="R49" s="7" t="s">
        <v>134</v>
      </c>
      <c r="S49" s="6" t="s">
        <v>598</v>
      </c>
      <c r="T49" s="7" t="s">
        <v>136</v>
      </c>
      <c r="U49" s="7" t="s">
        <v>599</v>
      </c>
      <c r="V49" s="6" t="s">
        <v>138</v>
      </c>
      <c r="W49" s="6" t="s">
        <v>139</v>
      </c>
      <c r="X49" s="7" t="s">
        <v>45</v>
      </c>
      <c r="Y49" s="19" t="s">
        <v>9</v>
      </c>
      <c r="Z49" s="6" t="s">
        <v>600</v>
      </c>
    </row>
    <row r="50" customFormat="false" ht="45.75" hidden="false" customHeight="true" outlineLevel="0" collapsed="false">
      <c r="A50" s="7" t="s">
        <v>601</v>
      </c>
      <c r="B50" s="6" t="s">
        <v>590</v>
      </c>
      <c r="C50" s="7" t="s">
        <v>40</v>
      </c>
      <c r="D50" s="7" t="s">
        <v>100</v>
      </c>
      <c r="E50" s="7" t="s">
        <v>591</v>
      </c>
      <c r="F50" s="6" t="s">
        <v>592</v>
      </c>
      <c r="G50" s="6" t="s">
        <v>602</v>
      </c>
      <c r="H50" s="6" t="s">
        <v>603</v>
      </c>
      <c r="I50" s="7" t="s">
        <v>54</v>
      </c>
      <c r="J50" s="15" t="s">
        <v>17</v>
      </c>
      <c r="K50" s="18" t="n">
        <v>2</v>
      </c>
      <c r="L50" s="7" t="s">
        <v>63</v>
      </c>
      <c r="M50" s="6" t="s">
        <v>604</v>
      </c>
      <c r="N50" s="6" t="s">
        <v>130</v>
      </c>
      <c r="O50" s="6" t="s">
        <v>605</v>
      </c>
      <c r="P50" s="6" t="s">
        <v>606</v>
      </c>
      <c r="Q50" s="6" t="s">
        <v>607</v>
      </c>
      <c r="R50" s="7" t="s">
        <v>134</v>
      </c>
      <c r="S50" s="6" t="s">
        <v>598</v>
      </c>
      <c r="T50" s="7" t="s">
        <v>136</v>
      </c>
      <c r="U50" s="7" t="s">
        <v>599</v>
      </c>
      <c r="V50" s="6" t="s">
        <v>138</v>
      </c>
      <c r="W50" s="6" t="s">
        <v>139</v>
      </c>
      <c r="X50" s="7" t="s">
        <v>45</v>
      </c>
      <c r="Y50" s="19" t="s">
        <v>9</v>
      </c>
      <c r="Z50" s="6" t="s">
        <v>608</v>
      </c>
    </row>
    <row r="51" customFormat="false" ht="45.75" hidden="false" customHeight="true" outlineLevel="0" collapsed="false">
      <c r="A51" s="7" t="s">
        <v>609</v>
      </c>
      <c r="B51" s="6" t="s">
        <v>590</v>
      </c>
      <c r="C51" s="7" t="s">
        <v>40</v>
      </c>
      <c r="D51" s="7" t="s">
        <v>100</v>
      </c>
      <c r="E51" s="7" t="s">
        <v>591</v>
      </c>
      <c r="F51" s="6" t="s">
        <v>592</v>
      </c>
      <c r="G51" s="6" t="s">
        <v>610</v>
      </c>
      <c r="H51" s="6" t="s">
        <v>611</v>
      </c>
      <c r="I51" s="7" t="s">
        <v>52</v>
      </c>
      <c r="J51" s="15" t="s">
        <v>17</v>
      </c>
      <c r="K51" s="18" t="n">
        <v>2</v>
      </c>
      <c r="L51" s="7" t="s">
        <v>65</v>
      </c>
      <c r="M51" s="6" t="s">
        <v>612</v>
      </c>
      <c r="N51" s="6" t="s">
        <v>130</v>
      </c>
      <c r="O51" s="6" t="s">
        <v>613</v>
      </c>
      <c r="P51" s="6" t="s">
        <v>614</v>
      </c>
      <c r="Q51" s="6" t="s">
        <v>615</v>
      </c>
      <c r="R51" s="7" t="s">
        <v>134</v>
      </c>
      <c r="S51" s="6" t="s">
        <v>598</v>
      </c>
      <c r="T51" s="7" t="s">
        <v>136</v>
      </c>
      <c r="U51" s="7" t="s">
        <v>599</v>
      </c>
      <c r="V51" s="6" t="s">
        <v>616</v>
      </c>
      <c r="W51" s="6" t="s">
        <v>160</v>
      </c>
      <c r="X51" s="7" t="s">
        <v>45</v>
      </c>
      <c r="Y51" s="19" t="s">
        <v>9</v>
      </c>
      <c r="Z51" s="6" t="s">
        <v>617</v>
      </c>
    </row>
    <row r="52" customFormat="false" ht="57" hidden="false" customHeight="true" outlineLevel="0" collapsed="false">
      <c r="A52" s="7" t="s">
        <v>618</v>
      </c>
      <c r="B52" s="6" t="s">
        <v>619</v>
      </c>
      <c r="C52" s="7" t="s">
        <v>40</v>
      </c>
      <c r="D52" s="7" t="s">
        <v>469</v>
      </c>
      <c r="E52" s="7" t="s">
        <v>620</v>
      </c>
      <c r="F52" s="6" t="s">
        <v>621</v>
      </c>
      <c r="G52" s="6" t="s">
        <v>622</v>
      </c>
      <c r="H52" s="6" t="s">
        <v>623</v>
      </c>
      <c r="I52" s="7" t="s">
        <v>49</v>
      </c>
      <c r="J52" s="15" t="s">
        <v>16</v>
      </c>
      <c r="K52" s="18" t="n">
        <v>2</v>
      </c>
      <c r="L52" s="7" t="s">
        <v>62</v>
      </c>
      <c r="M52" s="6" t="s">
        <v>624</v>
      </c>
      <c r="N52" s="6" t="s">
        <v>130</v>
      </c>
      <c r="O52" s="6" t="s">
        <v>475</v>
      </c>
      <c r="P52" s="6" t="s">
        <v>625</v>
      </c>
      <c r="Q52" s="6" t="s">
        <v>626</v>
      </c>
      <c r="R52" s="7" t="s">
        <v>134</v>
      </c>
      <c r="S52" s="6" t="s">
        <v>627</v>
      </c>
      <c r="T52" s="7" t="s">
        <v>136</v>
      </c>
      <c r="U52" s="7" t="s">
        <v>628</v>
      </c>
      <c r="V52" s="6" t="s">
        <v>138</v>
      </c>
      <c r="W52" s="6" t="s">
        <v>160</v>
      </c>
      <c r="X52" s="7" t="s">
        <v>44</v>
      </c>
      <c r="Y52" s="17" t="s">
        <v>7</v>
      </c>
      <c r="Z52" s="6" t="s">
        <v>629</v>
      </c>
    </row>
    <row r="53" customFormat="false" ht="57" hidden="false" customHeight="true" outlineLevel="0" collapsed="false">
      <c r="A53" s="7" t="s">
        <v>630</v>
      </c>
      <c r="B53" s="6" t="s">
        <v>619</v>
      </c>
      <c r="C53" s="7" t="s">
        <v>40</v>
      </c>
      <c r="D53" s="7" t="s">
        <v>469</v>
      </c>
      <c r="E53" s="7" t="s">
        <v>620</v>
      </c>
      <c r="F53" s="6" t="s">
        <v>621</v>
      </c>
      <c r="G53" s="6" t="s">
        <v>631</v>
      </c>
      <c r="H53" s="6" t="s">
        <v>632</v>
      </c>
      <c r="I53" s="7" t="s">
        <v>49</v>
      </c>
      <c r="J53" s="15" t="s">
        <v>16</v>
      </c>
      <c r="K53" s="18" t="n">
        <v>2</v>
      </c>
      <c r="L53" s="7" t="s">
        <v>62</v>
      </c>
      <c r="M53" s="6" t="s">
        <v>624</v>
      </c>
      <c r="N53" s="6" t="s">
        <v>130</v>
      </c>
      <c r="O53" s="6" t="s">
        <v>633</v>
      </c>
      <c r="P53" s="6" t="s">
        <v>634</v>
      </c>
      <c r="Q53" s="6" t="s">
        <v>626</v>
      </c>
      <c r="R53" s="7" t="s">
        <v>134</v>
      </c>
      <c r="S53" s="6" t="s">
        <v>627</v>
      </c>
      <c r="T53" s="7" t="s">
        <v>136</v>
      </c>
      <c r="U53" s="7" t="s">
        <v>628</v>
      </c>
      <c r="V53" s="6" t="s">
        <v>138</v>
      </c>
      <c r="W53" s="6" t="s">
        <v>160</v>
      </c>
      <c r="X53" s="7" t="s">
        <v>44</v>
      </c>
      <c r="Y53" s="17" t="s">
        <v>7</v>
      </c>
      <c r="Z53" s="6" t="s">
        <v>635</v>
      </c>
    </row>
    <row r="54" customFormat="false" ht="68.25" hidden="false" customHeight="true" outlineLevel="0" collapsed="false">
      <c r="A54" s="7" t="s">
        <v>636</v>
      </c>
      <c r="B54" s="6" t="s">
        <v>619</v>
      </c>
      <c r="C54" s="7" t="s">
        <v>40</v>
      </c>
      <c r="D54" s="7" t="s">
        <v>469</v>
      </c>
      <c r="E54" s="7" t="s">
        <v>620</v>
      </c>
      <c r="F54" s="6" t="s">
        <v>621</v>
      </c>
      <c r="G54" s="6" t="s">
        <v>637</v>
      </c>
      <c r="H54" s="6" t="s">
        <v>638</v>
      </c>
      <c r="I54" s="7" t="s">
        <v>59</v>
      </c>
      <c r="J54" s="15" t="s">
        <v>16</v>
      </c>
      <c r="K54" s="16" t="n">
        <v>1</v>
      </c>
      <c r="L54" s="7" t="s">
        <v>62</v>
      </c>
      <c r="M54" s="6" t="s">
        <v>639</v>
      </c>
      <c r="N54" s="6" t="s">
        <v>130</v>
      </c>
      <c r="O54" s="6" t="s">
        <v>640</v>
      </c>
      <c r="P54" s="6" t="s">
        <v>641</v>
      </c>
      <c r="Q54" s="6" t="s">
        <v>642</v>
      </c>
      <c r="R54" s="7" t="s">
        <v>134</v>
      </c>
      <c r="S54" s="6" t="s">
        <v>627</v>
      </c>
      <c r="T54" s="7" t="s">
        <v>300</v>
      </c>
      <c r="U54" s="7" t="s">
        <v>628</v>
      </c>
      <c r="V54" s="6" t="s">
        <v>643</v>
      </c>
      <c r="W54" s="6" t="s">
        <v>160</v>
      </c>
      <c r="X54" s="7" t="s">
        <v>44</v>
      </c>
      <c r="Y54" s="19" t="s">
        <v>9</v>
      </c>
      <c r="Z54" s="6" t="s">
        <v>644</v>
      </c>
    </row>
    <row r="55" customFormat="false" ht="113.25" hidden="false" customHeight="true" outlineLevel="0" collapsed="false">
      <c r="A55" s="7" t="s">
        <v>645</v>
      </c>
      <c r="B55" s="6" t="s">
        <v>619</v>
      </c>
      <c r="C55" s="7" t="s">
        <v>40</v>
      </c>
      <c r="D55" s="7" t="s">
        <v>469</v>
      </c>
      <c r="E55" s="7" t="s">
        <v>620</v>
      </c>
      <c r="F55" s="6" t="s">
        <v>621</v>
      </c>
      <c r="G55" s="6" t="s">
        <v>646</v>
      </c>
      <c r="H55" s="6" t="s">
        <v>647</v>
      </c>
      <c r="I55" s="7" t="s">
        <v>55</v>
      </c>
      <c r="J55" s="15" t="s">
        <v>16</v>
      </c>
      <c r="K55" s="18" t="n">
        <v>2</v>
      </c>
      <c r="L55" s="7" t="s">
        <v>63</v>
      </c>
      <c r="M55" s="6" t="s">
        <v>648</v>
      </c>
      <c r="N55" s="6" t="s">
        <v>176</v>
      </c>
      <c r="O55" s="6" t="s">
        <v>442</v>
      </c>
      <c r="P55" s="6" t="s">
        <v>649</v>
      </c>
      <c r="Q55" s="6" t="s">
        <v>650</v>
      </c>
      <c r="R55" s="7" t="s">
        <v>134</v>
      </c>
      <c r="S55" s="6" t="s">
        <v>627</v>
      </c>
      <c r="T55" s="7" t="s">
        <v>269</v>
      </c>
      <c r="U55" s="7" t="s">
        <v>628</v>
      </c>
      <c r="V55" s="6" t="s">
        <v>651</v>
      </c>
      <c r="W55" s="6" t="s">
        <v>160</v>
      </c>
      <c r="X55" s="7" t="s">
        <v>44</v>
      </c>
      <c r="Y55" s="19" t="s">
        <v>9</v>
      </c>
      <c r="Z55" s="6" t="s">
        <v>652</v>
      </c>
    </row>
    <row r="56" customFormat="false" ht="68.25" hidden="false" customHeight="true" outlineLevel="0" collapsed="false">
      <c r="A56" s="7" t="s">
        <v>653</v>
      </c>
      <c r="B56" s="6" t="s">
        <v>654</v>
      </c>
      <c r="C56" s="7" t="s">
        <v>40</v>
      </c>
      <c r="D56" s="7" t="s">
        <v>36</v>
      </c>
      <c r="E56" s="7" t="s">
        <v>655</v>
      </c>
      <c r="F56" s="6" t="s">
        <v>656</v>
      </c>
      <c r="G56" s="6" t="s">
        <v>657</v>
      </c>
      <c r="H56" s="6" t="s">
        <v>658</v>
      </c>
      <c r="I56" s="7" t="s">
        <v>49</v>
      </c>
      <c r="J56" s="15" t="s">
        <v>17</v>
      </c>
      <c r="K56" s="16" t="n">
        <v>1</v>
      </c>
      <c r="L56" s="7" t="s">
        <v>63</v>
      </c>
      <c r="M56" s="6" t="s">
        <v>659</v>
      </c>
      <c r="N56" s="6" t="s">
        <v>130</v>
      </c>
      <c r="O56" s="6" t="s">
        <v>660</v>
      </c>
      <c r="P56" s="6" t="s">
        <v>661</v>
      </c>
      <c r="Q56" s="6" t="s">
        <v>662</v>
      </c>
      <c r="R56" s="7" t="s">
        <v>134</v>
      </c>
      <c r="S56" s="6" t="s">
        <v>663</v>
      </c>
      <c r="T56" s="7" t="s">
        <v>269</v>
      </c>
      <c r="U56" s="7" t="s">
        <v>664</v>
      </c>
      <c r="V56" s="6" t="s">
        <v>138</v>
      </c>
      <c r="W56" s="6" t="s">
        <v>160</v>
      </c>
      <c r="X56" s="7" t="s">
        <v>44</v>
      </c>
      <c r="Y56" s="17" t="s">
        <v>7</v>
      </c>
      <c r="Z56" s="6" t="s">
        <v>665</v>
      </c>
    </row>
    <row r="57" customFormat="false" ht="68.25" hidden="false" customHeight="true" outlineLevel="0" collapsed="false">
      <c r="A57" s="7" t="s">
        <v>666</v>
      </c>
      <c r="B57" s="6" t="s">
        <v>654</v>
      </c>
      <c r="C57" s="7" t="s">
        <v>40</v>
      </c>
      <c r="D57" s="7" t="s">
        <v>36</v>
      </c>
      <c r="E57" s="7" t="s">
        <v>655</v>
      </c>
      <c r="F57" s="6" t="s">
        <v>656</v>
      </c>
      <c r="G57" s="6" t="s">
        <v>667</v>
      </c>
      <c r="H57" s="6" t="s">
        <v>668</v>
      </c>
      <c r="I57" s="7" t="s">
        <v>49</v>
      </c>
      <c r="J57" s="15" t="s">
        <v>18</v>
      </c>
      <c r="K57" s="18" t="n">
        <v>2</v>
      </c>
      <c r="L57" s="7" t="s">
        <v>62</v>
      </c>
      <c r="M57" s="6" t="s">
        <v>669</v>
      </c>
      <c r="N57" s="6" t="s">
        <v>130</v>
      </c>
      <c r="O57" s="6" t="s">
        <v>670</v>
      </c>
      <c r="P57" s="6" t="s">
        <v>671</v>
      </c>
      <c r="Q57" s="6" t="s">
        <v>672</v>
      </c>
      <c r="R57" s="7" t="s">
        <v>134</v>
      </c>
      <c r="S57" s="6" t="s">
        <v>663</v>
      </c>
      <c r="T57" s="7" t="s">
        <v>136</v>
      </c>
      <c r="U57" s="7" t="s">
        <v>664</v>
      </c>
      <c r="V57" s="6" t="s">
        <v>673</v>
      </c>
      <c r="W57" s="6" t="s">
        <v>160</v>
      </c>
      <c r="X57" s="7" t="s">
        <v>44</v>
      </c>
      <c r="Y57" s="19" t="s">
        <v>9</v>
      </c>
      <c r="Z57" s="6" t="s">
        <v>674</v>
      </c>
    </row>
    <row r="58" customFormat="false" ht="68.25" hidden="false" customHeight="true" outlineLevel="0" collapsed="false">
      <c r="A58" s="7" t="s">
        <v>675</v>
      </c>
      <c r="B58" s="6" t="s">
        <v>654</v>
      </c>
      <c r="C58" s="7" t="s">
        <v>40</v>
      </c>
      <c r="D58" s="7" t="s">
        <v>36</v>
      </c>
      <c r="E58" s="7" t="s">
        <v>655</v>
      </c>
      <c r="F58" s="6" t="s">
        <v>656</v>
      </c>
      <c r="G58" s="6" t="s">
        <v>676</v>
      </c>
      <c r="H58" s="6" t="s">
        <v>677</v>
      </c>
      <c r="I58" s="7" t="s">
        <v>49</v>
      </c>
      <c r="J58" s="15" t="s">
        <v>18</v>
      </c>
      <c r="K58" s="18" t="n">
        <v>2</v>
      </c>
      <c r="L58" s="7" t="s">
        <v>64</v>
      </c>
      <c r="M58" s="6" t="s">
        <v>678</v>
      </c>
      <c r="N58" s="6" t="s">
        <v>130</v>
      </c>
      <c r="O58" s="6" t="s">
        <v>679</v>
      </c>
      <c r="P58" s="6" t="s">
        <v>680</v>
      </c>
      <c r="Q58" s="6" t="s">
        <v>681</v>
      </c>
      <c r="R58" s="7" t="s">
        <v>134</v>
      </c>
      <c r="S58" s="6" t="s">
        <v>663</v>
      </c>
      <c r="T58" s="7" t="s">
        <v>256</v>
      </c>
      <c r="U58" s="7" t="s">
        <v>664</v>
      </c>
      <c r="V58" s="6" t="s">
        <v>682</v>
      </c>
      <c r="W58" s="6" t="s">
        <v>160</v>
      </c>
      <c r="X58" s="7" t="s">
        <v>44</v>
      </c>
      <c r="Y58" s="19" t="s">
        <v>9</v>
      </c>
      <c r="Z58" s="6" t="s">
        <v>683</v>
      </c>
    </row>
    <row r="59" customFormat="false" ht="68.25" hidden="false" customHeight="true" outlineLevel="0" collapsed="false">
      <c r="A59" s="7" t="s">
        <v>684</v>
      </c>
      <c r="B59" s="6" t="s">
        <v>654</v>
      </c>
      <c r="C59" s="7" t="s">
        <v>40</v>
      </c>
      <c r="D59" s="7" t="s">
        <v>36</v>
      </c>
      <c r="E59" s="7" t="s">
        <v>655</v>
      </c>
      <c r="F59" s="6" t="s">
        <v>656</v>
      </c>
      <c r="G59" s="6" t="s">
        <v>685</v>
      </c>
      <c r="H59" s="6" t="s">
        <v>686</v>
      </c>
      <c r="I59" s="7" t="s">
        <v>49</v>
      </c>
      <c r="J59" s="15" t="s">
        <v>19</v>
      </c>
      <c r="K59" s="19" t="n">
        <v>3</v>
      </c>
      <c r="L59" s="7" t="s">
        <v>63</v>
      </c>
      <c r="M59" s="6" t="s">
        <v>138</v>
      </c>
      <c r="N59" s="6" t="s">
        <v>138</v>
      </c>
      <c r="O59" s="6" t="s">
        <v>138</v>
      </c>
      <c r="P59" s="6" t="s">
        <v>138</v>
      </c>
      <c r="Q59" s="6" t="s">
        <v>138</v>
      </c>
      <c r="R59" s="7" t="s">
        <v>134</v>
      </c>
      <c r="S59" s="6" t="s">
        <v>663</v>
      </c>
      <c r="T59" s="7" t="s">
        <v>138</v>
      </c>
      <c r="U59" s="7" t="s">
        <v>664</v>
      </c>
      <c r="V59" s="6" t="s">
        <v>138</v>
      </c>
      <c r="W59" s="6" t="s">
        <v>160</v>
      </c>
      <c r="X59" s="7" t="s">
        <v>44</v>
      </c>
      <c r="Y59" s="20" t="s">
        <v>11</v>
      </c>
      <c r="Z59" s="6" t="s">
        <v>687</v>
      </c>
    </row>
    <row r="60" customFormat="false" ht="68.25" hidden="false" customHeight="true" outlineLevel="0" collapsed="false">
      <c r="A60" s="7" t="s">
        <v>688</v>
      </c>
      <c r="B60" s="6" t="s">
        <v>689</v>
      </c>
      <c r="C60" s="7" t="s">
        <v>40</v>
      </c>
      <c r="D60" s="7" t="s">
        <v>100</v>
      </c>
      <c r="E60" s="7" t="s">
        <v>690</v>
      </c>
      <c r="F60" s="6" t="s">
        <v>691</v>
      </c>
      <c r="G60" s="6" t="s">
        <v>692</v>
      </c>
      <c r="H60" s="6" t="s">
        <v>693</v>
      </c>
      <c r="I60" s="7" t="s">
        <v>50</v>
      </c>
      <c r="J60" s="15" t="s">
        <v>17</v>
      </c>
      <c r="K60" s="18" t="n">
        <v>2</v>
      </c>
      <c r="L60" s="7" t="s">
        <v>62</v>
      </c>
      <c r="M60" s="6" t="s">
        <v>694</v>
      </c>
      <c r="N60" s="6" t="s">
        <v>130</v>
      </c>
      <c r="O60" s="6" t="s">
        <v>695</v>
      </c>
      <c r="P60" s="6" t="s">
        <v>696</v>
      </c>
      <c r="Q60" s="6" t="s">
        <v>697</v>
      </c>
      <c r="R60" s="7" t="s">
        <v>134</v>
      </c>
      <c r="S60" s="6" t="s">
        <v>698</v>
      </c>
      <c r="T60" s="7" t="s">
        <v>136</v>
      </c>
      <c r="U60" s="7" t="s">
        <v>699</v>
      </c>
      <c r="V60" s="6" t="s">
        <v>700</v>
      </c>
      <c r="W60" s="6" t="s">
        <v>160</v>
      </c>
      <c r="X60" s="7" t="s">
        <v>44</v>
      </c>
      <c r="Y60" s="19" t="s">
        <v>9</v>
      </c>
      <c r="Z60" s="6" t="s">
        <v>701</v>
      </c>
    </row>
    <row r="61" customFormat="false" ht="68.25" hidden="false" customHeight="true" outlineLevel="0" collapsed="false">
      <c r="A61" s="7" t="s">
        <v>702</v>
      </c>
      <c r="B61" s="6" t="s">
        <v>689</v>
      </c>
      <c r="C61" s="7" t="s">
        <v>40</v>
      </c>
      <c r="D61" s="7" t="s">
        <v>100</v>
      </c>
      <c r="E61" s="7" t="s">
        <v>690</v>
      </c>
      <c r="F61" s="6" t="s">
        <v>691</v>
      </c>
      <c r="G61" s="6" t="s">
        <v>703</v>
      </c>
      <c r="H61" s="6" t="s">
        <v>704</v>
      </c>
      <c r="I61" s="7" t="s">
        <v>54</v>
      </c>
      <c r="J61" s="15" t="s">
        <v>17</v>
      </c>
      <c r="K61" s="18" t="n">
        <v>2</v>
      </c>
      <c r="L61" s="7" t="s">
        <v>63</v>
      </c>
      <c r="M61" s="6" t="s">
        <v>694</v>
      </c>
      <c r="N61" s="6" t="s">
        <v>130</v>
      </c>
      <c r="O61" s="6" t="s">
        <v>705</v>
      </c>
      <c r="P61" s="6" t="s">
        <v>706</v>
      </c>
      <c r="Q61" s="6" t="s">
        <v>707</v>
      </c>
      <c r="R61" s="7" t="s">
        <v>134</v>
      </c>
      <c r="S61" s="6" t="s">
        <v>698</v>
      </c>
      <c r="T61" s="7" t="s">
        <v>136</v>
      </c>
      <c r="U61" s="7" t="s">
        <v>699</v>
      </c>
      <c r="V61" s="6" t="s">
        <v>700</v>
      </c>
      <c r="W61" s="6" t="s">
        <v>160</v>
      </c>
      <c r="X61" s="7" t="s">
        <v>44</v>
      </c>
      <c r="Y61" s="19" t="s">
        <v>9</v>
      </c>
      <c r="Z61" s="6" t="s">
        <v>708</v>
      </c>
    </row>
    <row r="62" customFormat="false" ht="68.25" hidden="false" customHeight="true" outlineLevel="0" collapsed="false">
      <c r="A62" s="7" t="s">
        <v>709</v>
      </c>
      <c r="B62" s="6" t="s">
        <v>710</v>
      </c>
      <c r="C62" s="7" t="s">
        <v>40</v>
      </c>
      <c r="D62" s="7" t="s">
        <v>100</v>
      </c>
      <c r="E62" s="7" t="s">
        <v>711</v>
      </c>
      <c r="F62" s="6" t="s">
        <v>712</v>
      </c>
      <c r="G62" s="6" t="s">
        <v>713</v>
      </c>
      <c r="H62" s="6" t="s">
        <v>714</v>
      </c>
      <c r="I62" s="7" t="s">
        <v>50</v>
      </c>
      <c r="J62" s="15" t="s">
        <v>17</v>
      </c>
      <c r="K62" s="18" t="n">
        <v>2</v>
      </c>
      <c r="L62" s="7" t="s">
        <v>62</v>
      </c>
      <c r="M62" s="6" t="s">
        <v>715</v>
      </c>
      <c r="N62" s="6" t="s">
        <v>130</v>
      </c>
      <c r="O62" s="6" t="s">
        <v>716</v>
      </c>
      <c r="P62" s="6" t="s">
        <v>717</v>
      </c>
      <c r="Q62" s="6" t="s">
        <v>718</v>
      </c>
      <c r="R62" s="7" t="s">
        <v>134</v>
      </c>
      <c r="S62" s="6" t="s">
        <v>719</v>
      </c>
      <c r="T62" s="7" t="s">
        <v>269</v>
      </c>
      <c r="U62" s="7" t="s">
        <v>720</v>
      </c>
      <c r="V62" s="6" t="s">
        <v>357</v>
      </c>
      <c r="W62" s="6" t="s">
        <v>160</v>
      </c>
      <c r="X62" s="7" t="s">
        <v>44</v>
      </c>
      <c r="Y62" s="19" t="s">
        <v>9</v>
      </c>
      <c r="Z62" s="6" t="s">
        <v>721</v>
      </c>
    </row>
    <row r="63" customFormat="false" ht="57" hidden="false" customHeight="true" outlineLevel="0" collapsed="false">
      <c r="A63" s="7" t="s">
        <v>722</v>
      </c>
      <c r="B63" s="6" t="s">
        <v>710</v>
      </c>
      <c r="C63" s="7" t="s">
        <v>40</v>
      </c>
      <c r="D63" s="7" t="s">
        <v>100</v>
      </c>
      <c r="E63" s="7" t="s">
        <v>711</v>
      </c>
      <c r="F63" s="6" t="s">
        <v>712</v>
      </c>
      <c r="G63" s="6" t="s">
        <v>723</v>
      </c>
      <c r="H63" s="6" t="s">
        <v>724</v>
      </c>
      <c r="I63" s="7" t="s">
        <v>49</v>
      </c>
      <c r="J63" s="15" t="s">
        <v>17</v>
      </c>
      <c r="K63" s="18" t="n">
        <v>2</v>
      </c>
      <c r="L63" s="7" t="s">
        <v>62</v>
      </c>
      <c r="M63" s="6" t="s">
        <v>725</v>
      </c>
      <c r="N63" s="6" t="s">
        <v>130</v>
      </c>
      <c r="O63" s="6" t="s">
        <v>726</v>
      </c>
      <c r="P63" s="6" t="s">
        <v>727</v>
      </c>
      <c r="Q63" s="6" t="s">
        <v>728</v>
      </c>
      <c r="R63" s="7" t="s">
        <v>134</v>
      </c>
      <c r="S63" s="6" t="s">
        <v>719</v>
      </c>
      <c r="T63" s="7" t="s">
        <v>269</v>
      </c>
      <c r="U63" s="7" t="s">
        <v>720</v>
      </c>
      <c r="V63" s="6" t="s">
        <v>357</v>
      </c>
      <c r="W63" s="6" t="s">
        <v>160</v>
      </c>
      <c r="X63" s="7" t="s">
        <v>44</v>
      </c>
      <c r="Y63" s="19" t="s">
        <v>9</v>
      </c>
      <c r="Z63" s="6" t="s">
        <v>729</v>
      </c>
    </row>
    <row r="64" customFormat="false" ht="57" hidden="false" customHeight="true" outlineLevel="0" collapsed="false">
      <c r="A64" s="7" t="s">
        <v>730</v>
      </c>
      <c r="B64" s="6" t="s">
        <v>710</v>
      </c>
      <c r="C64" s="7" t="s">
        <v>40</v>
      </c>
      <c r="D64" s="7" t="s">
        <v>100</v>
      </c>
      <c r="E64" s="7" t="s">
        <v>711</v>
      </c>
      <c r="F64" s="6" t="s">
        <v>712</v>
      </c>
      <c r="G64" s="6" t="s">
        <v>731</v>
      </c>
      <c r="H64" s="6" t="s">
        <v>732</v>
      </c>
      <c r="I64" s="7" t="s">
        <v>49</v>
      </c>
      <c r="J64" s="15" t="s">
        <v>18</v>
      </c>
      <c r="K64" s="19" t="n">
        <v>3</v>
      </c>
      <c r="L64" s="7" t="s">
        <v>62</v>
      </c>
      <c r="M64" s="6" t="s">
        <v>733</v>
      </c>
      <c r="N64" s="6" t="s">
        <v>130</v>
      </c>
      <c r="O64" s="6" t="s">
        <v>734</v>
      </c>
      <c r="P64" s="6" t="s">
        <v>735</v>
      </c>
      <c r="Q64" s="6" t="s">
        <v>736</v>
      </c>
      <c r="R64" s="7" t="s">
        <v>134</v>
      </c>
      <c r="S64" s="6" t="s">
        <v>719</v>
      </c>
      <c r="T64" s="7" t="s">
        <v>269</v>
      </c>
      <c r="U64" s="7" t="s">
        <v>720</v>
      </c>
      <c r="V64" s="6" t="s">
        <v>357</v>
      </c>
      <c r="W64" s="6" t="s">
        <v>160</v>
      </c>
      <c r="X64" s="7" t="s">
        <v>44</v>
      </c>
      <c r="Y64" s="19" t="s">
        <v>9</v>
      </c>
      <c r="Z64" s="6" t="s">
        <v>737</v>
      </c>
    </row>
    <row r="65" customFormat="false" ht="68.25" hidden="false" customHeight="true" outlineLevel="0" collapsed="false">
      <c r="A65" s="7" t="s">
        <v>738</v>
      </c>
      <c r="B65" s="6" t="s">
        <v>710</v>
      </c>
      <c r="C65" s="7" t="s">
        <v>40</v>
      </c>
      <c r="D65" s="7" t="s">
        <v>100</v>
      </c>
      <c r="E65" s="7" t="s">
        <v>711</v>
      </c>
      <c r="F65" s="6" t="s">
        <v>712</v>
      </c>
      <c r="G65" s="6" t="s">
        <v>739</v>
      </c>
      <c r="H65" s="6" t="s">
        <v>740</v>
      </c>
      <c r="I65" s="7" t="s">
        <v>51</v>
      </c>
      <c r="J65" s="15" t="s">
        <v>16</v>
      </c>
      <c r="K65" s="16" t="n">
        <v>1</v>
      </c>
      <c r="L65" s="7" t="s">
        <v>64</v>
      </c>
      <c r="M65" s="6" t="s">
        <v>741</v>
      </c>
      <c r="N65" s="6" t="s">
        <v>130</v>
      </c>
      <c r="O65" s="6" t="s">
        <v>742</v>
      </c>
      <c r="P65" s="6" t="s">
        <v>743</v>
      </c>
      <c r="Q65" s="6" t="s">
        <v>744</v>
      </c>
      <c r="R65" s="7" t="s">
        <v>134</v>
      </c>
      <c r="S65" s="6" t="s">
        <v>719</v>
      </c>
      <c r="T65" s="7" t="s">
        <v>256</v>
      </c>
      <c r="U65" s="7" t="s">
        <v>720</v>
      </c>
      <c r="V65" s="6" t="s">
        <v>745</v>
      </c>
      <c r="W65" s="6" t="s">
        <v>160</v>
      </c>
      <c r="X65" s="7" t="s">
        <v>44</v>
      </c>
      <c r="Y65" s="19" t="s">
        <v>9</v>
      </c>
      <c r="Z65" s="6" t="s">
        <v>746</v>
      </c>
    </row>
    <row r="66" customFormat="false" ht="57" hidden="false" customHeight="true" outlineLevel="0" collapsed="false">
      <c r="A66" s="7" t="s">
        <v>747</v>
      </c>
      <c r="B66" s="6" t="s">
        <v>748</v>
      </c>
      <c r="C66" s="7" t="s">
        <v>40</v>
      </c>
      <c r="D66" s="7" t="s">
        <v>100</v>
      </c>
      <c r="E66" s="7" t="s">
        <v>749</v>
      </c>
      <c r="F66" s="6" t="s">
        <v>750</v>
      </c>
      <c r="G66" s="6" t="s">
        <v>751</v>
      </c>
      <c r="H66" s="6" t="s">
        <v>752</v>
      </c>
      <c r="I66" s="7" t="s">
        <v>50</v>
      </c>
      <c r="J66" s="15" t="s">
        <v>18</v>
      </c>
      <c r="K66" s="19" t="n">
        <v>3</v>
      </c>
      <c r="L66" s="7" t="s">
        <v>62</v>
      </c>
      <c r="M66" s="6" t="s">
        <v>753</v>
      </c>
      <c r="N66" s="6" t="s">
        <v>130</v>
      </c>
      <c r="O66" s="6" t="s">
        <v>754</v>
      </c>
      <c r="P66" s="6" t="s">
        <v>755</v>
      </c>
      <c r="Q66" s="6" t="s">
        <v>756</v>
      </c>
      <c r="R66" s="7" t="s">
        <v>134</v>
      </c>
      <c r="S66" s="6" t="s">
        <v>757</v>
      </c>
      <c r="T66" s="7" t="s">
        <v>136</v>
      </c>
      <c r="U66" s="7" t="s">
        <v>758</v>
      </c>
      <c r="V66" s="6" t="s">
        <v>138</v>
      </c>
      <c r="W66" s="6" t="s">
        <v>160</v>
      </c>
      <c r="X66" s="7" t="s">
        <v>44</v>
      </c>
      <c r="Y66" s="17" t="s">
        <v>7</v>
      </c>
      <c r="Z66" s="6" t="s">
        <v>759</v>
      </c>
    </row>
    <row r="67" customFormat="false" ht="57" hidden="false" customHeight="true" outlineLevel="0" collapsed="false">
      <c r="A67" s="7" t="s">
        <v>760</v>
      </c>
      <c r="B67" s="6" t="s">
        <v>748</v>
      </c>
      <c r="C67" s="7" t="s">
        <v>40</v>
      </c>
      <c r="D67" s="7" t="s">
        <v>100</v>
      </c>
      <c r="E67" s="7" t="s">
        <v>749</v>
      </c>
      <c r="F67" s="6" t="s">
        <v>750</v>
      </c>
      <c r="G67" s="6" t="s">
        <v>761</v>
      </c>
      <c r="H67" s="6" t="s">
        <v>762</v>
      </c>
      <c r="I67" s="7" t="s">
        <v>50</v>
      </c>
      <c r="J67" s="15" t="s">
        <v>18</v>
      </c>
      <c r="K67" s="19" t="n">
        <v>3</v>
      </c>
      <c r="L67" s="7" t="s">
        <v>62</v>
      </c>
      <c r="M67" s="6" t="s">
        <v>753</v>
      </c>
      <c r="N67" s="6" t="s">
        <v>130</v>
      </c>
      <c r="O67" s="6" t="s">
        <v>763</v>
      </c>
      <c r="P67" s="6" t="s">
        <v>764</v>
      </c>
      <c r="Q67" s="6" t="s">
        <v>765</v>
      </c>
      <c r="R67" s="7" t="s">
        <v>134</v>
      </c>
      <c r="S67" s="6" t="s">
        <v>757</v>
      </c>
      <c r="T67" s="7" t="s">
        <v>136</v>
      </c>
      <c r="U67" s="7" t="s">
        <v>758</v>
      </c>
      <c r="V67" s="6" t="s">
        <v>138</v>
      </c>
      <c r="W67" s="6" t="s">
        <v>160</v>
      </c>
      <c r="X67" s="7" t="s">
        <v>44</v>
      </c>
      <c r="Y67" s="17" t="s">
        <v>7</v>
      </c>
      <c r="Z67" s="6" t="s">
        <v>766</v>
      </c>
    </row>
    <row r="68" customFormat="false" ht="68.25" hidden="false" customHeight="true" outlineLevel="0" collapsed="false">
      <c r="A68" s="7" t="s">
        <v>767</v>
      </c>
      <c r="B68" s="6" t="s">
        <v>768</v>
      </c>
      <c r="C68" s="7" t="s">
        <v>40</v>
      </c>
      <c r="D68" s="7" t="s">
        <v>469</v>
      </c>
      <c r="E68" s="7" t="s">
        <v>769</v>
      </c>
      <c r="F68" s="6" t="s">
        <v>770</v>
      </c>
      <c r="G68" s="6" t="s">
        <v>771</v>
      </c>
      <c r="H68" s="6" t="s">
        <v>772</v>
      </c>
      <c r="I68" s="7" t="s">
        <v>50</v>
      </c>
      <c r="J68" s="15" t="s">
        <v>16</v>
      </c>
      <c r="K68" s="18" t="n">
        <v>2</v>
      </c>
      <c r="L68" s="7" t="s">
        <v>62</v>
      </c>
      <c r="M68" s="6" t="s">
        <v>773</v>
      </c>
      <c r="N68" s="6" t="s">
        <v>130</v>
      </c>
      <c r="O68" s="6" t="s">
        <v>774</v>
      </c>
      <c r="P68" s="6" t="s">
        <v>775</v>
      </c>
      <c r="Q68" s="6" t="s">
        <v>776</v>
      </c>
      <c r="R68" s="7" t="s">
        <v>134</v>
      </c>
      <c r="S68" s="6" t="s">
        <v>777</v>
      </c>
      <c r="T68" s="7" t="s">
        <v>136</v>
      </c>
      <c r="U68" s="7" t="s">
        <v>778</v>
      </c>
      <c r="V68" s="6" t="s">
        <v>138</v>
      </c>
      <c r="W68" s="6" t="s">
        <v>160</v>
      </c>
      <c r="X68" s="7" t="s">
        <v>44</v>
      </c>
      <c r="Y68" s="17" t="s">
        <v>7</v>
      </c>
      <c r="Z68" s="6" t="s">
        <v>779</v>
      </c>
    </row>
    <row r="69" customFormat="false" ht="68.25" hidden="false" customHeight="true" outlineLevel="0" collapsed="false">
      <c r="A69" s="7" t="s">
        <v>780</v>
      </c>
      <c r="B69" s="6" t="s">
        <v>768</v>
      </c>
      <c r="C69" s="7" t="s">
        <v>40</v>
      </c>
      <c r="D69" s="7" t="s">
        <v>469</v>
      </c>
      <c r="E69" s="7" t="s">
        <v>769</v>
      </c>
      <c r="F69" s="6" t="s">
        <v>770</v>
      </c>
      <c r="G69" s="6" t="s">
        <v>781</v>
      </c>
      <c r="H69" s="6" t="s">
        <v>782</v>
      </c>
      <c r="I69" s="7" t="s">
        <v>49</v>
      </c>
      <c r="J69" s="15" t="s">
        <v>16</v>
      </c>
      <c r="K69" s="16" t="n">
        <v>1</v>
      </c>
      <c r="L69" s="7" t="s">
        <v>62</v>
      </c>
      <c r="M69" s="6" t="s">
        <v>783</v>
      </c>
      <c r="N69" s="6" t="s">
        <v>130</v>
      </c>
      <c r="O69" s="6" t="s">
        <v>784</v>
      </c>
      <c r="P69" s="6" t="s">
        <v>785</v>
      </c>
      <c r="Q69" s="6" t="s">
        <v>786</v>
      </c>
      <c r="R69" s="7" t="s">
        <v>134</v>
      </c>
      <c r="S69" s="6" t="s">
        <v>777</v>
      </c>
      <c r="T69" s="7" t="s">
        <v>136</v>
      </c>
      <c r="U69" s="7" t="s">
        <v>778</v>
      </c>
      <c r="V69" s="6" t="s">
        <v>787</v>
      </c>
      <c r="W69" s="6" t="s">
        <v>160</v>
      </c>
      <c r="X69" s="7" t="s">
        <v>44</v>
      </c>
      <c r="Y69" s="19" t="s">
        <v>9</v>
      </c>
      <c r="Z69" s="6" t="s">
        <v>788</v>
      </c>
    </row>
    <row r="70" customFormat="false" ht="68.25" hidden="false" customHeight="true" outlineLevel="0" collapsed="false">
      <c r="A70" s="7" t="s">
        <v>789</v>
      </c>
      <c r="B70" s="6" t="s">
        <v>768</v>
      </c>
      <c r="C70" s="7" t="s">
        <v>40</v>
      </c>
      <c r="D70" s="7" t="s">
        <v>469</v>
      </c>
      <c r="E70" s="7" t="s">
        <v>769</v>
      </c>
      <c r="F70" s="6" t="s">
        <v>770</v>
      </c>
      <c r="G70" s="6" t="s">
        <v>790</v>
      </c>
      <c r="H70" s="6" t="s">
        <v>791</v>
      </c>
      <c r="I70" s="7" t="s">
        <v>54</v>
      </c>
      <c r="J70" s="15" t="s">
        <v>17</v>
      </c>
      <c r="K70" s="19" t="n">
        <v>3</v>
      </c>
      <c r="L70" s="7" t="s">
        <v>63</v>
      </c>
      <c r="M70" s="6" t="s">
        <v>792</v>
      </c>
      <c r="N70" s="6" t="s">
        <v>130</v>
      </c>
      <c r="O70" s="6" t="s">
        <v>793</v>
      </c>
      <c r="P70" s="6" t="s">
        <v>794</v>
      </c>
      <c r="Q70" s="6" t="s">
        <v>795</v>
      </c>
      <c r="R70" s="7" t="s">
        <v>134</v>
      </c>
      <c r="S70" s="6" t="s">
        <v>777</v>
      </c>
      <c r="T70" s="7" t="s">
        <v>256</v>
      </c>
      <c r="U70" s="7" t="s">
        <v>778</v>
      </c>
      <c r="V70" s="6" t="s">
        <v>787</v>
      </c>
      <c r="W70" s="6" t="s">
        <v>160</v>
      </c>
      <c r="X70" s="7" t="s">
        <v>44</v>
      </c>
      <c r="Y70" s="19" t="s">
        <v>9</v>
      </c>
      <c r="Z70" s="6" t="s">
        <v>796</v>
      </c>
    </row>
    <row r="71" customFormat="false" ht="57" hidden="false" customHeight="true" outlineLevel="0" collapsed="false">
      <c r="A71" s="7" t="s">
        <v>797</v>
      </c>
      <c r="B71" s="6" t="s">
        <v>798</v>
      </c>
      <c r="C71" s="7" t="s">
        <v>39</v>
      </c>
      <c r="D71" s="7" t="s">
        <v>101</v>
      </c>
      <c r="E71" s="7" t="s">
        <v>799</v>
      </c>
      <c r="F71" s="6" t="s">
        <v>800</v>
      </c>
      <c r="G71" s="6" t="s">
        <v>801</v>
      </c>
      <c r="H71" s="6" t="s">
        <v>802</v>
      </c>
      <c r="I71" s="7" t="s">
        <v>50</v>
      </c>
      <c r="J71" s="15" t="s">
        <v>18</v>
      </c>
      <c r="K71" s="18" t="n">
        <v>2</v>
      </c>
      <c r="L71" s="7" t="s">
        <v>62</v>
      </c>
      <c r="M71" s="6" t="s">
        <v>803</v>
      </c>
      <c r="N71" s="6" t="s">
        <v>130</v>
      </c>
      <c r="O71" s="6" t="s">
        <v>804</v>
      </c>
      <c r="P71" s="6" t="s">
        <v>805</v>
      </c>
      <c r="Q71" s="6" t="s">
        <v>806</v>
      </c>
      <c r="R71" s="7" t="s">
        <v>134</v>
      </c>
      <c r="S71" s="6" t="s">
        <v>807</v>
      </c>
      <c r="T71" s="7" t="s">
        <v>269</v>
      </c>
      <c r="U71" s="7" t="s">
        <v>808</v>
      </c>
      <c r="V71" s="6" t="s">
        <v>809</v>
      </c>
      <c r="W71" s="6" t="s">
        <v>160</v>
      </c>
      <c r="X71" s="7" t="s">
        <v>44</v>
      </c>
      <c r="Y71" s="19" t="s">
        <v>9</v>
      </c>
      <c r="Z71" s="6" t="s">
        <v>810</v>
      </c>
    </row>
    <row r="72" customFormat="false" ht="57" hidden="false" customHeight="true" outlineLevel="0" collapsed="false">
      <c r="A72" s="7" t="s">
        <v>811</v>
      </c>
      <c r="B72" s="6" t="s">
        <v>798</v>
      </c>
      <c r="C72" s="7" t="s">
        <v>39</v>
      </c>
      <c r="D72" s="7" t="s">
        <v>101</v>
      </c>
      <c r="E72" s="7" t="s">
        <v>799</v>
      </c>
      <c r="F72" s="6" t="s">
        <v>800</v>
      </c>
      <c r="G72" s="6" t="s">
        <v>812</v>
      </c>
      <c r="H72" s="6" t="s">
        <v>813</v>
      </c>
      <c r="I72" s="7" t="s">
        <v>48</v>
      </c>
      <c r="J72" s="15" t="s">
        <v>18</v>
      </c>
      <c r="K72" s="18" t="n">
        <v>2</v>
      </c>
      <c r="L72" s="7" t="s">
        <v>64</v>
      </c>
      <c r="M72" s="6" t="s">
        <v>814</v>
      </c>
      <c r="N72" s="6" t="s">
        <v>130</v>
      </c>
      <c r="O72" s="6" t="s">
        <v>815</v>
      </c>
      <c r="P72" s="6" t="s">
        <v>816</v>
      </c>
      <c r="Q72" s="6" t="s">
        <v>817</v>
      </c>
      <c r="R72" s="7" t="s">
        <v>134</v>
      </c>
      <c r="S72" s="6" t="s">
        <v>807</v>
      </c>
      <c r="T72" s="7" t="s">
        <v>256</v>
      </c>
      <c r="U72" s="7" t="s">
        <v>808</v>
      </c>
      <c r="V72" s="6" t="s">
        <v>809</v>
      </c>
      <c r="W72" s="6" t="s">
        <v>160</v>
      </c>
      <c r="X72" s="7" t="s">
        <v>44</v>
      </c>
      <c r="Y72" s="19" t="s">
        <v>9</v>
      </c>
      <c r="Z72" s="6" t="s">
        <v>818</v>
      </c>
    </row>
    <row r="73" customFormat="false" ht="68.25" hidden="false" customHeight="true" outlineLevel="0" collapsed="false">
      <c r="A73" s="7" t="s">
        <v>819</v>
      </c>
      <c r="B73" s="6" t="s">
        <v>820</v>
      </c>
      <c r="C73" s="7" t="s">
        <v>39</v>
      </c>
      <c r="D73" s="7" t="s">
        <v>101</v>
      </c>
      <c r="E73" s="7" t="s">
        <v>821</v>
      </c>
      <c r="F73" s="6" t="s">
        <v>822</v>
      </c>
      <c r="G73" s="6" t="s">
        <v>823</v>
      </c>
      <c r="H73" s="6" t="s">
        <v>824</v>
      </c>
      <c r="I73" s="7" t="s">
        <v>48</v>
      </c>
      <c r="J73" s="15" t="s">
        <v>17</v>
      </c>
      <c r="K73" s="16" t="n">
        <v>1</v>
      </c>
      <c r="L73" s="7" t="s">
        <v>64</v>
      </c>
      <c r="M73" s="6" t="s">
        <v>825</v>
      </c>
      <c r="N73" s="6" t="s">
        <v>130</v>
      </c>
      <c r="O73" s="6" t="s">
        <v>826</v>
      </c>
      <c r="P73" s="6" t="s">
        <v>827</v>
      </c>
      <c r="Q73" s="6" t="s">
        <v>828</v>
      </c>
      <c r="R73" s="7" t="s">
        <v>134</v>
      </c>
      <c r="S73" s="6" t="s">
        <v>829</v>
      </c>
      <c r="T73" s="7" t="s">
        <v>256</v>
      </c>
      <c r="U73" s="7" t="s">
        <v>830</v>
      </c>
      <c r="V73" s="6" t="s">
        <v>809</v>
      </c>
      <c r="W73" s="6" t="s">
        <v>160</v>
      </c>
      <c r="X73" s="7" t="s">
        <v>44</v>
      </c>
      <c r="Y73" s="19" t="s">
        <v>9</v>
      </c>
      <c r="Z73" s="6" t="s">
        <v>831</v>
      </c>
    </row>
    <row r="74" customFormat="false" ht="68.25" hidden="false" customHeight="true" outlineLevel="0" collapsed="false">
      <c r="A74" s="7" t="s">
        <v>832</v>
      </c>
      <c r="B74" s="6" t="s">
        <v>820</v>
      </c>
      <c r="C74" s="7" t="s">
        <v>39</v>
      </c>
      <c r="D74" s="7" t="s">
        <v>101</v>
      </c>
      <c r="E74" s="7" t="s">
        <v>821</v>
      </c>
      <c r="F74" s="6" t="s">
        <v>822</v>
      </c>
      <c r="G74" s="6" t="s">
        <v>833</v>
      </c>
      <c r="H74" s="6" t="s">
        <v>834</v>
      </c>
      <c r="I74" s="7" t="s">
        <v>51</v>
      </c>
      <c r="J74" s="15" t="s">
        <v>17</v>
      </c>
      <c r="K74" s="16" t="n">
        <v>1</v>
      </c>
      <c r="L74" s="7" t="s">
        <v>62</v>
      </c>
      <c r="M74" s="6" t="s">
        <v>835</v>
      </c>
      <c r="N74" s="6" t="s">
        <v>130</v>
      </c>
      <c r="O74" s="6" t="s">
        <v>836</v>
      </c>
      <c r="P74" s="6" t="s">
        <v>837</v>
      </c>
      <c r="Q74" s="6" t="s">
        <v>838</v>
      </c>
      <c r="R74" s="7" t="s">
        <v>134</v>
      </c>
      <c r="S74" s="6" t="s">
        <v>829</v>
      </c>
      <c r="T74" s="7" t="s">
        <v>136</v>
      </c>
      <c r="U74" s="7" t="s">
        <v>830</v>
      </c>
      <c r="V74" s="6" t="s">
        <v>809</v>
      </c>
      <c r="W74" s="6" t="s">
        <v>160</v>
      </c>
      <c r="X74" s="7" t="s">
        <v>44</v>
      </c>
      <c r="Y74" s="19" t="s">
        <v>9</v>
      </c>
      <c r="Z74" s="6" t="s">
        <v>839</v>
      </c>
    </row>
    <row r="75" customFormat="false" ht="45.75" hidden="false" customHeight="true" outlineLevel="0" collapsed="false">
      <c r="A75" s="7" t="s">
        <v>840</v>
      </c>
      <c r="B75" s="6" t="s">
        <v>841</v>
      </c>
      <c r="C75" s="7" t="s">
        <v>39</v>
      </c>
      <c r="D75" s="7" t="s">
        <v>101</v>
      </c>
      <c r="E75" s="7" t="s">
        <v>842</v>
      </c>
      <c r="F75" s="6" t="s">
        <v>843</v>
      </c>
      <c r="G75" s="6" t="s">
        <v>844</v>
      </c>
      <c r="H75" s="6" t="s">
        <v>845</v>
      </c>
      <c r="I75" s="7" t="s">
        <v>51</v>
      </c>
      <c r="J75" s="15" t="s">
        <v>18</v>
      </c>
      <c r="K75" s="18" t="n">
        <v>2</v>
      </c>
      <c r="L75" s="7" t="s">
        <v>62</v>
      </c>
      <c r="M75" s="6" t="s">
        <v>846</v>
      </c>
      <c r="N75" s="6" t="s">
        <v>176</v>
      </c>
      <c r="O75" s="6" t="s">
        <v>847</v>
      </c>
      <c r="P75" s="6" t="s">
        <v>848</v>
      </c>
      <c r="Q75" s="6" t="s">
        <v>849</v>
      </c>
      <c r="R75" s="7" t="s">
        <v>134</v>
      </c>
      <c r="S75" s="6" t="s">
        <v>850</v>
      </c>
      <c r="T75" s="7" t="s">
        <v>136</v>
      </c>
      <c r="U75" s="7" t="s">
        <v>851</v>
      </c>
      <c r="V75" s="6" t="s">
        <v>852</v>
      </c>
      <c r="W75" s="6" t="s">
        <v>160</v>
      </c>
      <c r="X75" s="7" t="s">
        <v>44</v>
      </c>
      <c r="Y75" s="19" t="s">
        <v>9</v>
      </c>
      <c r="Z75" s="6" t="s">
        <v>853</v>
      </c>
    </row>
    <row r="76" customFormat="false" ht="57" hidden="false" customHeight="true" outlineLevel="0" collapsed="false">
      <c r="A76" s="7" t="s">
        <v>854</v>
      </c>
      <c r="B76" s="6" t="s">
        <v>855</v>
      </c>
      <c r="C76" s="7" t="s">
        <v>39</v>
      </c>
      <c r="D76" s="7" t="s">
        <v>101</v>
      </c>
      <c r="E76" s="7" t="s">
        <v>856</v>
      </c>
      <c r="F76" s="6" t="s">
        <v>857</v>
      </c>
      <c r="G76" s="6" t="s">
        <v>858</v>
      </c>
      <c r="H76" s="6" t="s">
        <v>859</v>
      </c>
      <c r="I76" s="7" t="s">
        <v>59</v>
      </c>
      <c r="J76" s="15" t="s">
        <v>19</v>
      </c>
      <c r="K76" s="19" t="n">
        <v>3</v>
      </c>
      <c r="L76" s="7" t="s">
        <v>62</v>
      </c>
      <c r="M76" s="6" t="s">
        <v>860</v>
      </c>
      <c r="N76" s="6" t="s">
        <v>130</v>
      </c>
      <c r="O76" s="6" t="s">
        <v>861</v>
      </c>
      <c r="P76" s="6" t="s">
        <v>862</v>
      </c>
      <c r="Q76" s="6" t="s">
        <v>863</v>
      </c>
      <c r="R76" s="7" t="s">
        <v>134</v>
      </c>
      <c r="S76" s="6" t="s">
        <v>864</v>
      </c>
      <c r="T76" s="7" t="s">
        <v>136</v>
      </c>
      <c r="U76" s="7" t="s">
        <v>865</v>
      </c>
      <c r="V76" s="6" t="s">
        <v>138</v>
      </c>
      <c r="W76" s="6" t="s">
        <v>160</v>
      </c>
      <c r="X76" s="7" t="s">
        <v>44</v>
      </c>
      <c r="Y76" s="17" t="s">
        <v>7</v>
      </c>
      <c r="Z76" s="6" t="s">
        <v>866</v>
      </c>
    </row>
    <row r="77" customFormat="false" ht="68.25" hidden="false" customHeight="true" outlineLevel="0" collapsed="false">
      <c r="A77" s="7" t="s">
        <v>867</v>
      </c>
      <c r="B77" s="6" t="s">
        <v>868</v>
      </c>
      <c r="C77" s="7" t="s">
        <v>39</v>
      </c>
      <c r="D77" s="7" t="s">
        <v>101</v>
      </c>
      <c r="E77" s="7" t="s">
        <v>869</v>
      </c>
      <c r="F77" s="6" t="s">
        <v>870</v>
      </c>
      <c r="G77" s="6" t="s">
        <v>871</v>
      </c>
      <c r="H77" s="6" t="s">
        <v>872</v>
      </c>
      <c r="I77" s="7" t="s">
        <v>53</v>
      </c>
      <c r="J77" s="15" t="s">
        <v>18</v>
      </c>
      <c r="K77" s="18" t="n">
        <v>2</v>
      </c>
      <c r="L77" s="7" t="s">
        <v>62</v>
      </c>
      <c r="M77" s="6" t="s">
        <v>873</v>
      </c>
      <c r="N77" s="6" t="s">
        <v>130</v>
      </c>
      <c r="O77" s="6" t="s">
        <v>874</v>
      </c>
      <c r="P77" s="6" t="s">
        <v>875</v>
      </c>
      <c r="Q77" s="6" t="s">
        <v>876</v>
      </c>
      <c r="R77" s="7" t="s">
        <v>134</v>
      </c>
      <c r="S77" s="6" t="s">
        <v>877</v>
      </c>
      <c r="T77" s="7" t="s">
        <v>136</v>
      </c>
      <c r="U77" s="7" t="s">
        <v>878</v>
      </c>
      <c r="V77" s="6" t="s">
        <v>879</v>
      </c>
      <c r="W77" s="6" t="s">
        <v>160</v>
      </c>
      <c r="X77" s="7" t="s">
        <v>44</v>
      </c>
      <c r="Y77" s="19" t="s">
        <v>9</v>
      </c>
      <c r="Z77" s="6" t="s">
        <v>880</v>
      </c>
    </row>
    <row r="78" customFormat="false" ht="68.25" hidden="false" customHeight="true" outlineLevel="0" collapsed="false">
      <c r="A78" s="7" t="s">
        <v>881</v>
      </c>
      <c r="B78" s="6" t="s">
        <v>868</v>
      </c>
      <c r="C78" s="7" t="s">
        <v>39</v>
      </c>
      <c r="D78" s="7" t="s">
        <v>101</v>
      </c>
      <c r="E78" s="7" t="s">
        <v>869</v>
      </c>
      <c r="F78" s="6" t="s">
        <v>870</v>
      </c>
      <c r="G78" s="6" t="s">
        <v>882</v>
      </c>
      <c r="H78" s="6" t="s">
        <v>883</v>
      </c>
      <c r="I78" s="7" t="s">
        <v>59</v>
      </c>
      <c r="J78" s="15" t="s">
        <v>18</v>
      </c>
      <c r="K78" s="18" t="n">
        <v>2</v>
      </c>
      <c r="L78" s="7" t="s">
        <v>62</v>
      </c>
      <c r="M78" s="6" t="s">
        <v>884</v>
      </c>
      <c r="N78" s="6" t="s">
        <v>130</v>
      </c>
      <c r="O78" s="6" t="s">
        <v>885</v>
      </c>
      <c r="P78" s="6" t="s">
        <v>886</v>
      </c>
      <c r="Q78" s="6" t="s">
        <v>887</v>
      </c>
      <c r="R78" s="7" t="s">
        <v>134</v>
      </c>
      <c r="S78" s="6" t="s">
        <v>877</v>
      </c>
      <c r="T78" s="7" t="s">
        <v>136</v>
      </c>
      <c r="U78" s="7" t="s">
        <v>878</v>
      </c>
      <c r="V78" s="6" t="s">
        <v>809</v>
      </c>
      <c r="W78" s="6" t="s">
        <v>160</v>
      </c>
      <c r="X78" s="7" t="s">
        <v>44</v>
      </c>
      <c r="Y78" s="19" t="s">
        <v>9</v>
      </c>
      <c r="Z78" s="6" t="s">
        <v>888</v>
      </c>
    </row>
    <row r="79" customFormat="false" ht="68.25" hidden="false" customHeight="true" outlineLevel="0" collapsed="false">
      <c r="A79" s="7" t="s">
        <v>889</v>
      </c>
      <c r="B79" s="6" t="s">
        <v>868</v>
      </c>
      <c r="C79" s="7" t="s">
        <v>39</v>
      </c>
      <c r="D79" s="7" t="s">
        <v>101</v>
      </c>
      <c r="E79" s="7" t="s">
        <v>869</v>
      </c>
      <c r="F79" s="6" t="s">
        <v>870</v>
      </c>
      <c r="G79" s="6" t="s">
        <v>890</v>
      </c>
      <c r="H79" s="6" t="s">
        <v>891</v>
      </c>
      <c r="I79" s="7" t="s">
        <v>59</v>
      </c>
      <c r="J79" s="15" t="s">
        <v>17</v>
      </c>
      <c r="K79" s="16" t="n">
        <v>1</v>
      </c>
      <c r="L79" s="7" t="s">
        <v>62</v>
      </c>
      <c r="M79" s="6" t="s">
        <v>432</v>
      </c>
      <c r="N79" s="6" t="s">
        <v>130</v>
      </c>
      <c r="O79" s="6" t="s">
        <v>892</v>
      </c>
      <c r="P79" s="6" t="s">
        <v>893</v>
      </c>
      <c r="Q79" s="6" t="s">
        <v>894</v>
      </c>
      <c r="R79" s="7" t="s">
        <v>134</v>
      </c>
      <c r="S79" s="6" t="s">
        <v>877</v>
      </c>
      <c r="T79" s="7" t="s">
        <v>300</v>
      </c>
      <c r="U79" s="7" t="s">
        <v>878</v>
      </c>
      <c r="V79" s="6" t="s">
        <v>809</v>
      </c>
      <c r="W79" s="6" t="s">
        <v>160</v>
      </c>
      <c r="X79" s="7" t="s">
        <v>44</v>
      </c>
      <c r="Y79" s="19" t="s">
        <v>9</v>
      </c>
      <c r="Z79" s="6" t="s">
        <v>895</v>
      </c>
    </row>
    <row r="80" customFormat="false" ht="68.25" hidden="false" customHeight="true" outlineLevel="0" collapsed="false">
      <c r="A80" s="7" t="s">
        <v>896</v>
      </c>
      <c r="B80" s="6" t="s">
        <v>868</v>
      </c>
      <c r="C80" s="7" t="s">
        <v>39</v>
      </c>
      <c r="D80" s="7" t="s">
        <v>101</v>
      </c>
      <c r="E80" s="7" t="s">
        <v>869</v>
      </c>
      <c r="F80" s="6" t="s">
        <v>870</v>
      </c>
      <c r="G80" s="6" t="s">
        <v>897</v>
      </c>
      <c r="H80" s="6" t="s">
        <v>898</v>
      </c>
      <c r="I80" s="7" t="s">
        <v>53</v>
      </c>
      <c r="J80" s="15" t="s">
        <v>19</v>
      </c>
      <c r="K80" s="19" t="n">
        <v>3</v>
      </c>
      <c r="L80" s="7" t="s">
        <v>62</v>
      </c>
      <c r="M80" s="6" t="s">
        <v>884</v>
      </c>
      <c r="N80" s="6" t="s">
        <v>176</v>
      </c>
      <c r="O80" s="6" t="s">
        <v>861</v>
      </c>
      <c r="P80" s="6" t="s">
        <v>899</v>
      </c>
      <c r="Q80" s="6" t="s">
        <v>900</v>
      </c>
      <c r="R80" s="7" t="s">
        <v>134</v>
      </c>
      <c r="S80" s="6" t="s">
        <v>877</v>
      </c>
      <c r="T80" s="7" t="s">
        <v>136</v>
      </c>
      <c r="U80" s="7" t="s">
        <v>878</v>
      </c>
      <c r="V80" s="6" t="s">
        <v>138</v>
      </c>
      <c r="W80" s="6" t="s">
        <v>160</v>
      </c>
      <c r="X80" s="7" t="s">
        <v>44</v>
      </c>
      <c r="Y80" s="17" t="s">
        <v>7</v>
      </c>
      <c r="Z80" s="6" t="s">
        <v>901</v>
      </c>
    </row>
    <row r="81" customFormat="false" ht="79.5" hidden="false" customHeight="true" outlineLevel="0" collapsed="false">
      <c r="A81" s="7" t="s">
        <v>902</v>
      </c>
      <c r="B81" s="6" t="s">
        <v>903</v>
      </c>
      <c r="C81" s="7" t="s">
        <v>39</v>
      </c>
      <c r="D81" s="7" t="s">
        <v>101</v>
      </c>
      <c r="E81" s="7" t="s">
        <v>904</v>
      </c>
      <c r="F81" s="6" t="s">
        <v>905</v>
      </c>
      <c r="G81" s="6" t="s">
        <v>906</v>
      </c>
      <c r="H81" s="6" t="s">
        <v>907</v>
      </c>
      <c r="I81" s="7" t="s">
        <v>57</v>
      </c>
      <c r="J81" s="15" t="s">
        <v>18</v>
      </c>
      <c r="K81" s="18" t="n">
        <v>2</v>
      </c>
      <c r="L81" s="7" t="s">
        <v>62</v>
      </c>
      <c r="M81" s="6" t="s">
        <v>908</v>
      </c>
      <c r="N81" s="6" t="s">
        <v>130</v>
      </c>
      <c r="O81" s="6" t="s">
        <v>177</v>
      </c>
      <c r="P81" s="6" t="s">
        <v>909</v>
      </c>
      <c r="Q81" s="6" t="s">
        <v>910</v>
      </c>
      <c r="R81" s="7" t="s">
        <v>134</v>
      </c>
      <c r="S81" s="6" t="s">
        <v>911</v>
      </c>
      <c r="T81" s="7" t="s">
        <v>269</v>
      </c>
      <c r="U81" s="7" t="s">
        <v>912</v>
      </c>
      <c r="V81" s="6" t="s">
        <v>913</v>
      </c>
      <c r="W81" s="6" t="s">
        <v>160</v>
      </c>
      <c r="X81" s="7" t="s">
        <v>44</v>
      </c>
      <c r="Y81" s="19" t="s">
        <v>9</v>
      </c>
      <c r="Z81" s="6" t="s">
        <v>914</v>
      </c>
    </row>
    <row r="82" customFormat="false" ht="68.25" hidden="false" customHeight="true" outlineLevel="0" collapsed="false">
      <c r="A82" s="7" t="s">
        <v>915</v>
      </c>
      <c r="B82" s="6" t="s">
        <v>903</v>
      </c>
      <c r="C82" s="7" t="s">
        <v>39</v>
      </c>
      <c r="D82" s="7" t="s">
        <v>101</v>
      </c>
      <c r="E82" s="7" t="s">
        <v>904</v>
      </c>
      <c r="F82" s="6" t="s">
        <v>905</v>
      </c>
      <c r="G82" s="6" t="s">
        <v>916</v>
      </c>
      <c r="H82" s="6" t="s">
        <v>917</v>
      </c>
      <c r="I82" s="7" t="s">
        <v>57</v>
      </c>
      <c r="J82" s="15" t="s">
        <v>18</v>
      </c>
      <c r="K82" s="18" t="n">
        <v>2</v>
      </c>
      <c r="L82" s="7" t="s">
        <v>63</v>
      </c>
      <c r="M82" s="6" t="s">
        <v>918</v>
      </c>
      <c r="N82" s="6" t="s">
        <v>176</v>
      </c>
      <c r="O82" s="6" t="s">
        <v>558</v>
      </c>
      <c r="P82" s="6" t="s">
        <v>919</v>
      </c>
      <c r="Q82" s="6" t="s">
        <v>920</v>
      </c>
      <c r="R82" s="7" t="s">
        <v>134</v>
      </c>
      <c r="S82" s="6" t="s">
        <v>911</v>
      </c>
      <c r="T82" s="7" t="s">
        <v>269</v>
      </c>
      <c r="U82" s="7" t="s">
        <v>912</v>
      </c>
      <c r="V82" s="6" t="s">
        <v>913</v>
      </c>
      <c r="W82" s="6" t="s">
        <v>160</v>
      </c>
      <c r="X82" s="7" t="s">
        <v>44</v>
      </c>
      <c r="Y82" s="19" t="s">
        <v>9</v>
      </c>
      <c r="Z82" s="6" t="s">
        <v>921</v>
      </c>
    </row>
    <row r="83" customFormat="false" ht="68.25" hidden="false" customHeight="true" outlineLevel="0" collapsed="false">
      <c r="A83" s="7" t="s">
        <v>922</v>
      </c>
      <c r="B83" s="6" t="s">
        <v>923</v>
      </c>
      <c r="C83" s="7" t="s">
        <v>39</v>
      </c>
      <c r="D83" s="7" t="s">
        <v>101</v>
      </c>
      <c r="E83" s="7" t="s">
        <v>924</v>
      </c>
      <c r="F83" s="6" t="s">
        <v>925</v>
      </c>
      <c r="G83" s="6" t="s">
        <v>926</v>
      </c>
      <c r="H83" s="6" t="s">
        <v>927</v>
      </c>
      <c r="I83" s="7" t="s">
        <v>59</v>
      </c>
      <c r="J83" s="15" t="s">
        <v>18</v>
      </c>
      <c r="K83" s="18" t="n">
        <v>2</v>
      </c>
      <c r="L83" s="7" t="s">
        <v>62</v>
      </c>
      <c r="M83" s="6" t="s">
        <v>928</v>
      </c>
      <c r="N83" s="6" t="s">
        <v>130</v>
      </c>
      <c r="O83" s="6" t="s">
        <v>177</v>
      </c>
      <c r="P83" s="6" t="s">
        <v>929</v>
      </c>
      <c r="Q83" s="6" t="s">
        <v>930</v>
      </c>
      <c r="R83" s="7" t="s">
        <v>134</v>
      </c>
      <c r="S83" s="6" t="s">
        <v>931</v>
      </c>
      <c r="T83" s="7" t="s">
        <v>136</v>
      </c>
      <c r="U83" s="7" t="s">
        <v>932</v>
      </c>
      <c r="V83" s="6" t="s">
        <v>933</v>
      </c>
      <c r="W83" s="6" t="s">
        <v>160</v>
      </c>
      <c r="X83" s="7" t="s">
        <v>44</v>
      </c>
      <c r="Y83" s="19" t="s">
        <v>9</v>
      </c>
      <c r="Z83" s="6" t="s">
        <v>934</v>
      </c>
    </row>
    <row r="84" customFormat="false" ht="68.25" hidden="false" customHeight="true" outlineLevel="0" collapsed="false">
      <c r="A84" s="7" t="s">
        <v>935</v>
      </c>
      <c r="B84" s="6" t="s">
        <v>923</v>
      </c>
      <c r="C84" s="7" t="s">
        <v>39</v>
      </c>
      <c r="D84" s="7" t="s">
        <v>101</v>
      </c>
      <c r="E84" s="7" t="s">
        <v>924</v>
      </c>
      <c r="F84" s="6" t="s">
        <v>925</v>
      </c>
      <c r="G84" s="6" t="s">
        <v>936</v>
      </c>
      <c r="H84" s="6" t="s">
        <v>937</v>
      </c>
      <c r="I84" s="7" t="s">
        <v>59</v>
      </c>
      <c r="J84" s="15" t="s">
        <v>18</v>
      </c>
      <c r="K84" s="18" t="n">
        <v>2</v>
      </c>
      <c r="L84" s="7" t="s">
        <v>62</v>
      </c>
      <c r="M84" s="6" t="s">
        <v>938</v>
      </c>
      <c r="N84" s="6" t="s">
        <v>176</v>
      </c>
      <c r="O84" s="6" t="s">
        <v>177</v>
      </c>
      <c r="P84" s="6" t="s">
        <v>939</v>
      </c>
      <c r="Q84" s="6" t="s">
        <v>940</v>
      </c>
      <c r="R84" s="7" t="s">
        <v>134</v>
      </c>
      <c r="S84" s="6" t="s">
        <v>931</v>
      </c>
      <c r="T84" s="7" t="s">
        <v>136</v>
      </c>
      <c r="U84" s="7" t="s">
        <v>932</v>
      </c>
      <c r="V84" s="6" t="s">
        <v>933</v>
      </c>
      <c r="W84" s="6" t="s">
        <v>160</v>
      </c>
      <c r="X84" s="7" t="s">
        <v>44</v>
      </c>
      <c r="Y84" s="19" t="s">
        <v>9</v>
      </c>
      <c r="Z84" s="6" t="s">
        <v>941</v>
      </c>
    </row>
    <row r="85" customFormat="false" ht="68.25" hidden="false" customHeight="true" outlineLevel="0" collapsed="false">
      <c r="A85" s="7" t="s">
        <v>942</v>
      </c>
      <c r="B85" s="6" t="s">
        <v>943</v>
      </c>
      <c r="C85" s="7" t="s">
        <v>39</v>
      </c>
      <c r="D85" s="7" t="s">
        <v>101</v>
      </c>
      <c r="E85" s="7" t="s">
        <v>944</v>
      </c>
      <c r="F85" s="6" t="s">
        <v>945</v>
      </c>
      <c r="G85" s="6" t="s">
        <v>946</v>
      </c>
      <c r="H85" s="6" t="s">
        <v>947</v>
      </c>
      <c r="I85" s="7" t="s">
        <v>50</v>
      </c>
      <c r="J85" s="15" t="s">
        <v>19</v>
      </c>
      <c r="K85" s="21" t="n">
        <v>4</v>
      </c>
      <c r="L85" s="7" t="s">
        <v>62</v>
      </c>
      <c r="M85" s="6" t="s">
        <v>948</v>
      </c>
      <c r="N85" s="6" t="s">
        <v>130</v>
      </c>
      <c r="O85" s="6" t="s">
        <v>949</v>
      </c>
      <c r="P85" s="6" t="s">
        <v>950</v>
      </c>
      <c r="Q85" s="6" t="s">
        <v>951</v>
      </c>
      <c r="R85" s="7" t="s">
        <v>134</v>
      </c>
      <c r="S85" s="6" t="s">
        <v>952</v>
      </c>
      <c r="T85" s="7" t="s">
        <v>136</v>
      </c>
      <c r="U85" s="7" t="s">
        <v>953</v>
      </c>
      <c r="V85" s="6" t="s">
        <v>138</v>
      </c>
      <c r="W85" s="6" t="s">
        <v>160</v>
      </c>
      <c r="X85" s="7" t="s">
        <v>44</v>
      </c>
      <c r="Y85" s="17" t="s">
        <v>7</v>
      </c>
      <c r="Z85" s="6" t="s">
        <v>954</v>
      </c>
    </row>
    <row r="86" customFormat="false" ht="68.25" hidden="false" customHeight="true" outlineLevel="0" collapsed="false">
      <c r="A86" s="7" t="s">
        <v>955</v>
      </c>
      <c r="B86" s="6" t="s">
        <v>956</v>
      </c>
      <c r="C86" s="7" t="s">
        <v>39</v>
      </c>
      <c r="D86" s="7" t="s">
        <v>101</v>
      </c>
      <c r="E86" s="7" t="s">
        <v>957</v>
      </c>
      <c r="F86" s="6" t="s">
        <v>958</v>
      </c>
      <c r="G86" s="6" t="s">
        <v>959</v>
      </c>
      <c r="H86" s="6" t="s">
        <v>960</v>
      </c>
      <c r="I86" s="7" t="s">
        <v>59</v>
      </c>
      <c r="J86" s="15" t="s">
        <v>19</v>
      </c>
      <c r="K86" s="19" t="n">
        <v>3</v>
      </c>
      <c r="L86" s="7" t="s">
        <v>62</v>
      </c>
      <c r="M86" s="6" t="s">
        <v>961</v>
      </c>
      <c r="N86" s="6" t="s">
        <v>130</v>
      </c>
      <c r="O86" s="6" t="s">
        <v>177</v>
      </c>
      <c r="P86" s="6" t="s">
        <v>962</v>
      </c>
      <c r="Q86" s="6" t="s">
        <v>963</v>
      </c>
      <c r="R86" s="7" t="s">
        <v>134</v>
      </c>
      <c r="S86" s="6" t="s">
        <v>964</v>
      </c>
      <c r="T86" s="7" t="s">
        <v>136</v>
      </c>
      <c r="U86" s="7" t="s">
        <v>965</v>
      </c>
      <c r="V86" s="6" t="s">
        <v>966</v>
      </c>
      <c r="W86" s="6" t="s">
        <v>160</v>
      </c>
      <c r="X86" s="7" t="s">
        <v>44</v>
      </c>
      <c r="Y86" s="19" t="s">
        <v>9</v>
      </c>
      <c r="Z86" s="6" t="s">
        <v>967</v>
      </c>
    </row>
    <row r="87" customFormat="false" ht="45.75" hidden="false" customHeight="true" outlineLevel="0" collapsed="false">
      <c r="A87" s="7" t="s">
        <v>968</v>
      </c>
      <c r="B87" s="6" t="s">
        <v>969</v>
      </c>
      <c r="C87" s="7" t="s">
        <v>39</v>
      </c>
      <c r="D87" s="7" t="s">
        <v>101</v>
      </c>
      <c r="E87" s="7" t="s">
        <v>970</v>
      </c>
      <c r="F87" s="6" t="s">
        <v>971</v>
      </c>
      <c r="G87" s="6" t="s">
        <v>972</v>
      </c>
      <c r="H87" s="6" t="s">
        <v>973</v>
      </c>
      <c r="I87" s="7" t="s">
        <v>50</v>
      </c>
      <c r="J87" s="15" t="s">
        <v>19</v>
      </c>
      <c r="K87" s="19" t="n">
        <v>3</v>
      </c>
      <c r="L87" s="7" t="s">
        <v>62</v>
      </c>
      <c r="M87" s="6" t="s">
        <v>974</v>
      </c>
      <c r="N87" s="6" t="s">
        <v>130</v>
      </c>
      <c r="O87" s="6" t="s">
        <v>177</v>
      </c>
      <c r="P87" s="6" t="s">
        <v>975</v>
      </c>
      <c r="Q87" s="6" t="s">
        <v>976</v>
      </c>
      <c r="R87" s="7" t="s">
        <v>134</v>
      </c>
      <c r="S87" s="6" t="s">
        <v>977</v>
      </c>
      <c r="T87" s="7" t="s">
        <v>136</v>
      </c>
      <c r="U87" s="7" t="s">
        <v>978</v>
      </c>
      <c r="V87" s="6" t="s">
        <v>933</v>
      </c>
      <c r="W87" s="6" t="s">
        <v>160</v>
      </c>
      <c r="X87" s="7" t="s">
        <v>44</v>
      </c>
      <c r="Y87" s="19" t="s">
        <v>9</v>
      </c>
      <c r="Z87" s="6" t="s">
        <v>979</v>
      </c>
    </row>
    <row r="88" customFormat="false" ht="45.75" hidden="false" customHeight="true" outlineLevel="0" collapsed="false">
      <c r="A88" s="7" t="s">
        <v>980</v>
      </c>
      <c r="B88" s="6" t="s">
        <v>981</v>
      </c>
      <c r="C88" s="7" t="s">
        <v>38</v>
      </c>
      <c r="D88" s="7" t="s">
        <v>99</v>
      </c>
      <c r="E88" s="7" t="s">
        <v>982</v>
      </c>
      <c r="F88" s="6" t="s">
        <v>983</v>
      </c>
      <c r="G88" s="6" t="s">
        <v>984</v>
      </c>
      <c r="H88" s="6" t="s">
        <v>985</v>
      </c>
      <c r="I88" s="7" t="s">
        <v>48</v>
      </c>
      <c r="J88" s="15" t="s">
        <v>16</v>
      </c>
      <c r="K88" s="18" t="n">
        <v>2</v>
      </c>
      <c r="L88" s="7" t="s">
        <v>64</v>
      </c>
      <c r="M88" s="6" t="s">
        <v>986</v>
      </c>
      <c r="N88" s="6" t="s">
        <v>130</v>
      </c>
      <c r="O88" s="6" t="s">
        <v>987</v>
      </c>
      <c r="P88" s="6" t="s">
        <v>988</v>
      </c>
      <c r="Q88" s="6" t="s">
        <v>989</v>
      </c>
      <c r="R88" s="7" t="s">
        <v>134</v>
      </c>
      <c r="S88" s="6" t="s">
        <v>990</v>
      </c>
      <c r="T88" s="7" t="s">
        <v>256</v>
      </c>
      <c r="U88" s="7" t="s">
        <v>991</v>
      </c>
      <c r="V88" s="6" t="s">
        <v>992</v>
      </c>
      <c r="W88" s="6" t="s">
        <v>160</v>
      </c>
      <c r="X88" s="7" t="s">
        <v>44</v>
      </c>
      <c r="Y88" s="19" t="s">
        <v>9</v>
      </c>
      <c r="Z88" s="6" t="s">
        <v>993</v>
      </c>
    </row>
    <row r="89" customFormat="false" ht="57" hidden="false" customHeight="true" outlineLevel="0" collapsed="false">
      <c r="A89" s="7" t="s">
        <v>994</v>
      </c>
      <c r="B89" s="6" t="s">
        <v>981</v>
      </c>
      <c r="C89" s="7" t="s">
        <v>38</v>
      </c>
      <c r="D89" s="7" t="s">
        <v>99</v>
      </c>
      <c r="E89" s="7" t="s">
        <v>982</v>
      </c>
      <c r="F89" s="6" t="s">
        <v>983</v>
      </c>
      <c r="G89" s="6" t="s">
        <v>995</v>
      </c>
      <c r="H89" s="6" t="s">
        <v>996</v>
      </c>
      <c r="I89" s="7" t="s">
        <v>53</v>
      </c>
      <c r="J89" s="15" t="s">
        <v>17</v>
      </c>
      <c r="K89" s="19" t="n">
        <v>3</v>
      </c>
      <c r="L89" s="7" t="s">
        <v>62</v>
      </c>
      <c r="M89" s="6" t="s">
        <v>997</v>
      </c>
      <c r="N89" s="6" t="s">
        <v>130</v>
      </c>
      <c r="O89" s="6" t="s">
        <v>998</v>
      </c>
      <c r="P89" s="6" t="s">
        <v>999</v>
      </c>
      <c r="Q89" s="6" t="s">
        <v>1000</v>
      </c>
      <c r="R89" s="7" t="s">
        <v>134</v>
      </c>
      <c r="S89" s="6" t="s">
        <v>990</v>
      </c>
      <c r="T89" s="7" t="s">
        <v>136</v>
      </c>
      <c r="U89" s="7" t="s">
        <v>991</v>
      </c>
      <c r="V89" s="6" t="s">
        <v>138</v>
      </c>
      <c r="W89" s="6" t="s">
        <v>160</v>
      </c>
      <c r="X89" s="7" t="s">
        <v>44</v>
      </c>
      <c r="Y89" s="17" t="s">
        <v>7</v>
      </c>
      <c r="Z89" s="6" t="s">
        <v>1001</v>
      </c>
    </row>
    <row r="90" customFormat="false" ht="57" hidden="false" customHeight="true" outlineLevel="0" collapsed="false">
      <c r="A90" s="7" t="s">
        <v>1002</v>
      </c>
      <c r="B90" s="6" t="s">
        <v>981</v>
      </c>
      <c r="C90" s="7" t="s">
        <v>39</v>
      </c>
      <c r="D90" s="7" t="s">
        <v>99</v>
      </c>
      <c r="E90" s="7" t="s">
        <v>1003</v>
      </c>
      <c r="F90" s="6" t="s">
        <v>1004</v>
      </c>
      <c r="G90" s="6" t="s">
        <v>1005</v>
      </c>
      <c r="H90" s="6" t="s">
        <v>1006</v>
      </c>
      <c r="I90" s="7" t="s">
        <v>59</v>
      </c>
      <c r="J90" s="15" t="s">
        <v>17</v>
      </c>
      <c r="K90" s="19" t="n">
        <v>3</v>
      </c>
      <c r="L90" s="7" t="s">
        <v>62</v>
      </c>
      <c r="M90" s="6" t="s">
        <v>997</v>
      </c>
      <c r="N90" s="6" t="s">
        <v>130</v>
      </c>
      <c r="O90" s="6" t="s">
        <v>1007</v>
      </c>
      <c r="P90" s="6" t="s">
        <v>1008</v>
      </c>
      <c r="Q90" s="6" t="s">
        <v>1009</v>
      </c>
      <c r="R90" s="7" t="s">
        <v>134</v>
      </c>
      <c r="S90" s="6" t="s">
        <v>1010</v>
      </c>
      <c r="T90" s="7" t="s">
        <v>136</v>
      </c>
      <c r="U90" s="7" t="s">
        <v>1011</v>
      </c>
      <c r="V90" s="6" t="s">
        <v>138</v>
      </c>
      <c r="W90" s="6" t="s">
        <v>160</v>
      </c>
      <c r="X90" s="7" t="s">
        <v>44</v>
      </c>
      <c r="Y90" s="17" t="s">
        <v>7</v>
      </c>
      <c r="Z90" s="6" t="s">
        <v>1012</v>
      </c>
    </row>
    <row r="91" customFormat="false" ht="45.75" hidden="false" customHeight="true" outlineLevel="0" collapsed="false">
      <c r="A91" s="7" t="s">
        <v>1013</v>
      </c>
      <c r="B91" s="6" t="s">
        <v>1014</v>
      </c>
      <c r="C91" s="7" t="s">
        <v>39</v>
      </c>
      <c r="D91" s="7" t="s">
        <v>99</v>
      </c>
      <c r="E91" s="7" t="s">
        <v>1015</v>
      </c>
      <c r="F91" s="6" t="s">
        <v>1016</v>
      </c>
      <c r="G91" s="6" t="s">
        <v>1017</v>
      </c>
      <c r="H91" s="6" t="s">
        <v>1018</v>
      </c>
      <c r="I91" s="7" t="s">
        <v>50</v>
      </c>
      <c r="J91" s="15" t="s">
        <v>18</v>
      </c>
      <c r="K91" s="21" t="n">
        <v>4</v>
      </c>
      <c r="L91" s="7" t="s">
        <v>62</v>
      </c>
      <c r="M91" s="6" t="s">
        <v>1019</v>
      </c>
      <c r="N91" s="6" t="s">
        <v>130</v>
      </c>
      <c r="O91" s="6" t="s">
        <v>1020</v>
      </c>
      <c r="P91" s="6" t="s">
        <v>1021</v>
      </c>
      <c r="Q91" s="6" t="s">
        <v>1022</v>
      </c>
      <c r="R91" s="7" t="s">
        <v>134</v>
      </c>
      <c r="S91" s="6" t="s">
        <v>1023</v>
      </c>
      <c r="T91" s="7" t="s">
        <v>136</v>
      </c>
      <c r="U91" s="7" t="s">
        <v>1024</v>
      </c>
      <c r="V91" s="6" t="s">
        <v>138</v>
      </c>
      <c r="W91" s="6" t="s">
        <v>160</v>
      </c>
      <c r="X91" s="7" t="s">
        <v>44</v>
      </c>
      <c r="Y91" s="17" t="s">
        <v>7</v>
      </c>
      <c r="Z91" s="6" t="s">
        <v>1025</v>
      </c>
    </row>
    <row r="92" customFormat="false" ht="57" hidden="false" customHeight="true" outlineLevel="0" collapsed="false">
      <c r="A92" s="7" t="s">
        <v>1026</v>
      </c>
      <c r="B92" s="6" t="s">
        <v>1027</v>
      </c>
      <c r="C92" s="7" t="s">
        <v>39</v>
      </c>
      <c r="D92" s="7" t="s">
        <v>99</v>
      </c>
      <c r="E92" s="7" t="s">
        <v>1028</v>
      </c>
      <c r="F92" s="6" t="s">
        <v>1029</v>
      </c>
      <c r="G92" s="6" t="s">
        <v>1030</v>
      </c>
      <c r="H92" s="6" t="s">
        <v>1031</v>
      </c>
      <c r="I92" s="7" t="s">
        <v>59</v>
      </c>
      <c r="J92" s="15" t="s">
        <v>17</v>
      </c>
      <c r="K92" s="19" t="n">
        <v>3</v>
      </c>
      <c r="L92" s="7" t="s">
        <v>62</v>
      </c>
      <c r="M92" s="6" t="s">
        <v>1032</v>
      </c>
      <c r="N92" s="6" t="s">
        <v>130</v>
      </c>
      <c r="O92" s="6" t="s">
        <v>1033</v>
      </c>
      <c r="P92" s="6" t="s">
        <v>1034</v>
      </c>
      <c r="Q92" s="6" t="s">
        <v>1035</v>
      </c>
      <c r="R92" s="7" t="s">
        <v>134</v>
      </c>
      <c r="S92" s="6" t="s">
        <v>1036</v>
      </c>
      <c r="T92" s="7" t="s">
        <v>136</v>
      </c>
      <c r="U92" s="7" t="s">
        <v>1037</v>
      </c>
      <c r="V92" s="6" t="s">
        <v>879</v>
      </c>
      <c r="W92" s="6" t="s">
        <v>160</v>
      </c>
      <c r="X92" s="7" t="s">
        <v>44</v>
      </c>
      <c r="Y92" s="19" t="s">
        <v>9</v>
      </c>
      <c r="Z92" s="6" t="s">
        <v>1038</v>
      </c>
    </row>
    <row r="93" customFormat="false" ht="68.25" hidden="false" customHeight="true" outlineLevel="0" collapsed="false">
      <c r="A93" s="7" t="s">
        <v>1039</v>
      </c>
      <c r="B93" s="6" t="s">
        <v>1040</v>
      </c>
      <c r="C93" s="7" t="s">
        <v>38</v>
      </c>
      <c r="D93" s="7" t="s">
        <v>99</v>
      </c>
      <c r="E93" s="7" t="s">
        <v>1041</v>
      </c>
      <c r="F93" s="6" t="s">
        <v>1042</v>
      </c>
      <c r="G93" s="6" t="s">
        <v>1043</v>
      </c>
      <c r="H93" s="6" t="s">
        <v>1044</v>
      </c>
      <c r="I93" s="7" t="s">
        <v>59</v>
      </c>
      <c r="J93" s="15" t="s">
        <v>16</v>
      </c>
      <c r="K93" s="18" t="n">
        <v>2</v>
      </c>
      <c r="L93" s="7" t="s">
        <v>62</v>
      </c>
      <c r="M93" s="6" t="s">
        <v>1045</v>
      </c>
      <c r="N93" s="6" t="s">
        <v>130</v>
      </c>
      <c r="O93" s="6" t="s">
        <v>1046</v>
      </c>
      <c r="P93" s="6" t="s">
        <v>1047</v>
      </c>
      <c r="Q93" s="6" t="s">
        <v>1048</v>
      </c>
      <c r="R93" s="7" t="s">
        <v>134</v>
      </c>
      <c r="S93" s="6" t="s">
        <v>1049</v>
      </c>
      <c r="T93" s="7" t="s">
        <v>300</v>
      </c>
      <c r="U93" s="7" t="s">
        <v>1050</v>
      </c>
      <c r="V93" s="6" t="s">
        <v>1051</v>
      </c>
      <c r="W93" s="6" t="s">
        <v>160</v>
      </c>
      <c r="X93" s="7" t="s">
        <v>44</v>
      </c>
      <c r="Y93" s="19" t="s">
        <v>9</v>
      </c>
      <c r="Z93" s="6" t="s">
        <v>1052</v>
      </c>
    </row>
    <row r="94" customFormat="false" ht="57" hidden="false" customHeight="true" outlineLevel="0" collapsed="false">
      <c r="A94" s="7" t="s">
        <v>1053</v>
      </c>
      <c r="B94" s="6" t="s">
        <v>1054</v>
      </c>
      <c r="C94" s="7" t="s">
        <v>38</v>
      </c>
      <c r="D94" s="7" t="s">
        <v>99</v>
      </c>
      <c r="E94" s="7" t="s">
        <v>1055</v>
      </c>
      <c r="F94" s="6" t="s">
        <v>1056</v>
      </c>
      <c r="G94" s="6" t="s">
        <v>1057</v>
      </c>
      <c r="H94" s="6" t="s">
        <v>1058</v>
      </c>
      <c r="I94" s="7" t="s">
        <v>50</v>
      </c>
      <c r="J94" s="15" t="s">
        <v>17</v>
      </c>
      <c r="K94" s="19" t="n">
        <v>3</v>
      </c>
      <c r="L94" s="7" t="s">
        <v>62</v>
      </c>
      <c r="M94" s="6" t="s">
        <v>1059</v>
      </c>
      <c r="N94" s="6" t="s">
        <v>176</v>
      </c>
      <c r="O94" s="6" t="s">
        <v>1060</v>
      </c>
      <c r="P94" s="6" t="s">
        <v>1061</v>
      </c>
      <c r="Q94" s="6" t="s">
        <v>1062</v>
      </c>
      <c r="R94" s="7" t="s">
        <v>134</v>
      </c>
      <c r="S94" s="6" t="s">
        <v>1063</v>
      </c>
      <c r="T94" s="7" t="s">
        <v>136</v>
      </c>
      <c r="U94" s="7" t="s">
        <v>1064</v>
      </c>
      <c r="V94" s="6" t="s">
        <v>138</v>
      </c>
      <c r="W94" s="6" t="s">
        <v>160</v>
      </c>
      <c r="X94" s="7" t="s">
        <v>44</v>
      </c>
      <c r="Y94" s="17" t="s">
        <v>7</v>
      </c>
      <c r="Z94" s="6" t="s">
        <v>1065</v>
      </c>
    </row>
    <row r="95" customFormat="false" ht="57" hidden="false" customHeight="true" outlineLevel="0" collapsed="false">
      <c r="A95" s="7" t="s">
        <v>1066</v>
      </c>
      <c r="B95" s="6" t="s">
        <v>1067</v>
      </c>
      <c r="C95" s="7" t="s">
        <v>38</v>
      </c>
      <c r="D95" s="7" t="s">
        <v>99</v>
      </c>
      <c r="E95" s="7" t="s">
        <v>1068</v>
      </c>
      <c r="F95" s="6" t="s">
        <v>1069</v>
      </c>
      <c r="G95" s="6" t="s">
        <v>1070</v>
      </c>
      <c r="H95" s="6" t="s">
        <v>1071</v>
      </c>
      <c r="I95" s="7" t="s">
        <v>53</v>
      </c>
      <c r="J95" s="15" t="s">
        <v>16</v>
      </c>
      <c r="K95" s="18" t="n">
        <v>2</v>
      </c>
      <c r="L95" s="7" t="s">
        <v>62</v>
      </c>
      <c r="M95" s="6" t="s">
        <v>1072</v>
      </c>
      <c r="N95" s="6" t="s">
        <v>130</v>
      </c>
      <c r="O95" s="6" t="s">
        <v>1073</v>
      </c>
      <c r="P95" s="6" t="s">
        <v>1074</v>
      </c>
      <c r="Q95" s="6" t="s">
        <v>1075</v>
      </c>
      <c r="R95" s="7" t="s">
        <v>134</v>
      </c>
      <c r="S95" s="6" t="s">
        <v>1076</v>
      </c>
      <c r="T95" s="7" t="s">
        <v>136</v>
      </c>
      <c r="U95" s="7" t="s">
        <v>1077</v>
      </c>
      <c r="V95" s="6" t="s">
        <v>1078</v>
      </c>
      <c r="W95" s="6" t="s">
        <v>160</v>
      </c>
      <c r="X95" s="7" t="s">
        <v>44</v>
      </c>
      <c r="Y95" s="19" t="s">
        <v>9</v>
      </c>
      <c r="Z95" s="6" t="s">
        <v>1079</v>
      </c>
    </row>
    <row r="96" customFormat="false" ht="57" hidden="false" customHeight="true" outlineLevel="0" collapsed="false">
      <c r="A96" s="7" t="s">
        <v>1080</v>
      </c>
      <c r="B96" s="6" t="s">
        <v>1081</v>
      </c>
      <c r="C96" s="7" t="s">
        <v>38</v>
      </c>
      <c r="D96" s="7" t="s">
        <v>99</v>
      </c>
      <c r="E96" s="7" t="s">
        <v>1082</v>
      </c>
      <c r="F96" s="6" t="s">
        <v>1083</v>
      </c>
      <c r="G96" s="6" t="s">
        <v>1084</v>
      </c>
      <c r="H96" s="6" t="s">
        <v>1085</v>
      </c>
      <c r="I96" s="7" t="s">
        <v>54</v>
      </c>
      <c r="J96" s="15" t="s">
        <v>16</v>
      </c>
      <c r="K96" s="18" t="n">
        <v>2</v>
      </c>
      <c r="L96" s="7" t="s">
        <v>63</v>
      </c>
      <c r="M96" s="6" t="s">
        <v>1086</v>
      </c>
      <c r="N96" s="6" t="s">
        <v>130</v>
      </c>
      <c r="O96" s="6" t="s">
        <v>1087</v>
      </c>
      <c r="P96" s="6" t="s">
        <v>1088</v>
      </c>
      <c r="Q96" s="6" t="s">
        <v>1089</v>
      </c>
      <c r="R96" s="7" t="s">
        <v>134</v>
      </c>
      <c r="S96" s="6" t="s">
        <v>1090</v>
      </c>
      <c r="T96" s="7" t="s">
        <v>136</v>
      </c>
      <c r="U96" s="7" t="s">
        <v>1091</v>
      </c>
      <c r="V96" s="6" t="s">
        <v>1092</v>
      </c>
      <c r="W96" s="6" t="s">
        <v>160</v>
      </c>
      <c r="X96" s="7" t="s">
        <v>44</v>
      </c>
      <c r="Y96" s="19" t="s">
        <v>9</v>
      </c>
      <c r="Z96" s="6" t="s">
        <v>1093</v>
      </c>
    </row>
    <row r="97" customFormat="false" ht="68.25" hidden="false" customHeight="true" outlineLevel="0" collapsed="false">
      <c r="A97" s="7" t="s">
        <v>1094</v>
      </c>
      <c r="B97" s="6" t="s">
        <v>1081</v>
      </c>
      <c r="C97" s="7" t="s">
        <v>38</v>
      </c>
      <c r="D97" s="7" t="s">
        <v>99</v>
      </c>
      <c r="E97" s="7" t="s">
        <v>1082</v>
      </c>
      <c r="F97" s="6" t="s">
        <v>1083</v>
      </c>
      <c r="G97" s="6" t="s">
        <v>1095</v>
      </c>
      <c r="H97" s="6" t="s">
        <v>1096</v>
      </c>
      <c r="I97" s="7" t="s">
        <v>54</v>
      </c>
      <c r="J97" s="15" t="s">
        <v>16</v>
      </c>
      <c r="K97" s="18" t="n">
        <v>2</v>
      </c>
      <c r="L97" s="7" t="s">
        <v>63</v>
      </c>
      <c r="M97" s="6" t="s">
        <v>1086</v>
      </c>
      <c r="N97" s="6" t="s">
        <v>130</v>
      </c>
      <c r="O97" s="6" t="s">
        <v>1097</v>
      </c>
      <c r="P97" s="6" t="s">
        <v>1098</v>
      </c>
      <c r="Q97" s="6" t="s">
        <v>1099</v>
      </c>
      <c r="R97" s="7" t="s">
        <v>134</v>
      </c>
      <c r="S97" s="6" t="s">
        <v>1090</v>
      </c>
      <c r="T97" s="7" t="s">
        <v>136</v>
      </c>
      <c r="U97" s="7" t="s">
        <v>1091</v>
      </c>
      <c r="V97" s="6" t="s">
        <v>1092</v>
      </c>
      <c r="W97" s="6" t="s">
        <v>160</v>
      </c>
      <c r="X97" s="7" t="s">
        <v>44</v>
      </c>
      <c r="Y97" s="19" t="s">
        <v>9</v>
      </c>
      <c r="Z97" s="6" t="s">
        <v>1100</v>
      </c>
    </row>
    <row r="98" customFormat="false" ht="57" hidden="false" customHeight="true" outlineLevel="0" collapsed="false">
      <c r="A98" s="7" t="s">
        <v>1101</v>
      </c>
      <c r="B98" s="6" t="s">
        <v>1081</v>
      </c>
      <c r="C98" s="7" t="s">
        <v>38</v>
      </c>
      <c r="D98" s="7" t="s">
        <v>99</v>
      </c>
      <c r="E98" s="7" t="s">
        <v>1082</v>
      </c>
      <c r="F98" s="6" t="s">
        <v>1083</v>
      </c>
      <c r="G98" s="6" t="s">
        <v>1102</v>
      </c>
      <c r="H98" s="6" t="s">
        <v>1103</v>
      </c>
      <c r="I98" s="7" t="s">
        <v>48</v>
      </c>
      <c r="J98" s="15" t="s">
        <v>17</v>
      </c>
      <c r="K98" s="19" t="n">
        <v>3</v>
      </c>
      <c r="L98" s="7" t="s">
        <v>64</v>
      </c>
      <c r="M98" s="6" t="s">
        <v>1104</v>
      </c>
      <c r="N98" s="6" t="s">
        <v>130</v>
      </c>
      <c r="O98" s="6" t="s">
        <v>1105</v>
      </c>
      <c r="P98" s="6" t="s">
        <v>1106</v>
      </c>
      <c r="Q98" s="6" t="s">
        <v>1107</v>
      </c>
      <c r="R98" s="7" t="s">
        <v>134</v>
      </c>
      <c r="S98" s="6" t="s">
        <v>1090</v>
      </c>
      <c r="T98" s="7" t="s">
        <v>256</v>
      </c>
      <c r="U98" s="7" t="s">
        <v>1091</v>
      </c>
      <c r="V98" s="6" t="s">
        <v>1092</v>
      </c>
      <c r="W98" s="6" t="s">
        <v>160</v>
      </c>
      <c r="X98" s="7" t="s">
        <v>44</v>
      </c>
      <c r="Y98" s="19" t="s">
        <v>9</v>
      </c>
      <c r="Z98" s="6" t="s">
        <v>1108</v>
      </c>
    </row>
    <row r="99" customFormat="false" ht="68.25" hidden="false" customHeight="true" outlineLevel="0" collapsed="false">
      <c r="A99" s="7" t="s">
        <v>1109</v>
      </c>
      <c r="B99" s="6" t="s">
        <v>1110</v>
      </c>
      <c r="C99" s="7" t="s">
        <v>38</v>
      </c>
      <c r="D99" s="7" t="s">
        <v>100</v>
      </c>
      <c r="E99" s="7" t="s">
        <v>1111</v>
      </c>
      <c r="F99" s="6" t="s">
        <v>1112</v>
      </c>
      <c r="G99" s="6" t="s">
        <v>1113</v>
      </c>
      <c r="H99" s="6" t="s">
        <v>1114</v>
      </c>
      <c r="I99" s="7" t="s">
        <v>59</v>
      </c>
      <c r="J99" s="15" t="s">
        <v>17</v>
      </c>
      <c r="K99" s="18" t="n">
        <v>2</v>
      </c>
      <c r="L99" s="7" t="s">
        <v>62</v>
      </c>
      <c r="M99" s="6" t="s">
        <v>1115</v>
      </c>
      <c r="N99" s="6" t="s">
        <v>130</v>
      </c>
      <c r="O99" s="6" t="s">
        <v>1116</v>
      </c>
      <c r="P99" s="6" t="s">
        <v>1117</v>
      </c>
      <c r="Q99" s="6" t="s">
        <v>1118</v>
      </c>
      <c r="R99" s="7" t="s">
        <v>134</v>
      </c>
      <c r="S99" s="6" t="s">
        <v>1119</v>
      </c>
      <c r="T99" s="7" t="s">
        <v>269</v>
      </c>
      <c r="U99" s="7" t="s">
        <v>1120</v>
      </c>
      <c r="V99" s="6" t="s">
        <v>1121</v>
      </c>
      <c r="W99" s="6" t="s">
        <v>160</v>
      </c>
      <c r="X99" s="7" t="s">
        <v>44</v>
      </c>
      <c r="Y99" s="19" t="s">
        <v>9</v>
      </c>
      <c r="Z99" s="6" t="s">
        <v>1122</v>
      </c>
    </row>
    <row r="100" customFormat="false" ht="68.25" hidden="false" customHeight="true" outlineLevel="0" collapsed="false">
      <c r="A100" s="7" t="s">
        <v>1123</v>
      </c>
      <c r="B100" s="6" t="s">
        <v>1110</v>
      </c>
      <c r="C100" s="7" t="s">
        <v>38</v>
      </c>
      <c r="D100" s="7" t="s">
        <v>100</v>
      </c>
      <c r="E100" s="7" t="s">
        <v>1111</v>
      </c>
      <c r="F100" s="6" t="s">
        <v>1112</v>
      </c>
      <c r="G100" s="6" t="s">
        <v>1124</v>
      </c>
      <c r="H100" s="6" t="s">
        <v>1125</v>
      </c>
      <c r="I100" s="7" t="s">
        <v>59</v>
      </c>
      <c r="J100" s="15" t="s">
        <v>17</v>
      </c>
      <c r="K100" s="18" t="n">
        <v>2</v>
      </c>
      <c r="L100" s="7" t="s">
        <v>62</v>
      </c>
      <c r="M100" s="6" t="s">
        <v>1115</v>
      </c>
      <c r="N100" s="6" t="s">
        <v>130</v>
      </c>
      <c r="O100" s="6" t="s">
        <v>1126</v>
      </c>
      <c r="P100" s="6" t="s">
        <v>1127</v>
      </c>
      <c r="Q100" s="6" t="s">
        <v>1128</v>
      </c>
      <c r="R100" s="7" t="s">
        <v>134</v>
      </c>
      <c r="S100" s="6" t="s">
        <v>1119</v>
      </c>
      <c r="T100" s="7" t="s">
        <v>269</v>
      </c>
      <c r="U100" s="7" t="s">
        <v>1120</v>
      </c>
      <c r="V100" s="6" t="s">
        <v>1121</v>
      </c>
      <c r="W100" s="6" t="s">
        <v>160</v>
      </c>
      <c r="X100" s="7" t="s">
        <v>44</v>
      </c>
      <c r="Y100" s="19" t="s">
        <v>9</v>
      </c>
      <c r="Z100" s="6" t="s">
        <v>1129</v>
      </c>
    </row>
    <row r="101" customFormat="false" ht="68.25" hidden="false" customHeight="true" outlineLevel="0" collapsed="false">
      <c r="A101" s="7" t="s">
        <v>1130</v>
      </c>
      <c r="B101" s="6" t="s">
        <v>1110</v>
      </c>
      <c r="C101" s="7" t="s">
        <v>38</v>
      </c>
      <c r="D101" s="7" t="s">
        <v>100</v>
      </c>
      <c r="E101" s="7" t="s">
        <v>1111</v>
      </c>
      <c r="F101" s="6" t="s">
        <v>1112</v>
      </c>
      <c r="G101" s="6" t="s">
        <v>1131</v>
      </c>
      <c r="H101" s="6" t="s">
        <v>1132</v>
      </c>
      <c r="I101" s="7" t="s">
        <v>53</v>
      </c>
      <c r="J101" s="15" t="s">
        <v>18</v>
      </c>
      <c r="K101" s="19" t="n">
        <v>3</v>
      </c>
      <c r="L101" s="7" t="s">
        <v>62</v>
      </c>
      <c r="M101" s="6" t="s">
        <v>1133</v>
      </c>
      <c r="N101" s="6" t="s">
        <v>176</v>
      </c>
      <c r="O101" s="6" t="s">
        <v>1134</v>
      </c>
      <c r="P101" s="6" t="s">
        <v>1135</v>
      </c>
      <c r="Q101" s="6" t="s">
        <v>1136</v>
      </c>
      <c r="R101" s="7" t="s">
        <v>134</v>
      </c>
      <c r="S101" s="6" t="s">
        <v>1119</v>
      </c>
      <c r="T101" s="7" t="s">
        <v>136</v>
      </c>
      <c r="U101" s="7" t="s">
        <v>1120</v>
      </c>
      <c r="V101" s="6" t="s">
        <v>138</v>
      </c>
      <c r="W101" s="6" t="s">
        <v>160</v>
      </c>
      <c r="X101" s="7" t="s">
        <v>44</v>
      </c>
      <c r="Y101" s="17" t="s">
        <v>7</v>
      </c>
      <c r="Z101" s="6" t="s">
        <v>1137</v>
      </c>
    </row>
    <row r="102" customFormat="false" ht="45.75" hidden="false" customHeight="true" outlineLevel="0" collapsed="false">
      <c r="A102" s="7" t="s">
        <v>1138</v>
      </c>
      <c r="B102" s="6" t="s">
        <v>1139</v>
      </c>
      <c r="C102" s="7" t="s">
        <v>38</v>
      </c>
      <c r="D102" s="7" t="s">
        <v>99</v>
      </c>
      <c r="E102" s="7" t="s">
        <v>1140</v>
      </c>
      <c r="F102" s="6" t="s">
        <v>1141</v>
      </c>
      <c r="G102" s="6" t="s">
        <v>1142</v>
      </c>
      <c r="H102" s="6" t="s">
        <v>1143</v>
      </c>
      <c r="I102" s="7" t="s">
        <v>51</v>
      </c>
      <c r="J102" s="15" t="s">
        <v>17</v>
      </c>
      <c r="K102" s="19" t="n">
        <v>3</v>
      </c>
      <c r="L102" s="7" t="s">
        <v>62</v>
      </c>
      <c r="M102" s="6" t="s">
        <v>1144</v>
      </c>
      <c r="N102" s="6" t="s">
        <v>176</v>
      </c>
      <c r="O102" s="6" t="s">
        <v>1145</v>
      </c>
      <c r="P102" s="6" t="s">
        <v>1146</v>
      </c>
      <c r="Q102" s="6" t="s">
        <v>1147</v>
      </c>
      <c r="R102" s="7" t="s">
        <v>134</v>
      </c>
      <c r="S102" s="6" t="s">
        <v>1148</v>
      </c>
      <c r="T102" s="7" t="s">
        <v>136</v>
      </c>
      <c r="U102" s="7" t="s">
        <v>1149</v>
      </c>
      <c r="V102" s="6" t="s">
        <v>138</v>
      </c>
      <c r="W102" s="6" t="s">
        <v>160</v>
      </c>
      <c r="X102" s="7" t="s">
        <v>44</v>
      </c>
      <c r="Y102" s="17" t="s">
        <v>7</v>
      </c>
      <c r="Z102" s="6" t="s">
        <v>1150</v>
      </c>
    </row>
    <row r="103" customFormat="false" ht="57" hidden="false" customHeight="true" outlineLevel="0" collapsed="false">
      <c r="A103" s="7" t="s">
        <v>1151</v>
      </c>
      <c r="B103" s="6" t="s">
        <v>1152</v>
      </c>
      <c r="C103" s="7" t="s">
        <v>38</v>
      </c>
      <c r="D103" s="7" t="s">
        <v>99</v>
      </c>
      <c r="E103" s="7" t="s">
        <v>1153</v>
      </c>
      <c r="F103" s="6" t="s">
        <v>1154</v>
      </c>
      <c r="G103" s="6" t="s">
        <v>1155</v>
      </c>
      <c r="H103" s="6" t="s">
        <v>1156</v>
      </c>
      <c r="I103" s="7" t="s">
        <v>53</v>
      </c>
      <c r="J103" s="15" t="s">
        <v>17</v>
      </c>
      <c r="K103" s="19" t="n">
        <v>3</v>
      </c>
      <c r="L103" s="7" t="s">
        <v>62</v>
      </c>
      <c r="M103" s="6" t="s">
        <v>1086</v>
      </c>
      <c r="N103" s="6" t="s">
        <v>130</v>
      </c>
      <c r="O103" s="6" t="s">
        <v>1157</v>
      </c>
      <c r="P103" s="6" t="s">
        <v>1158</v>
      </c>
      <c r="Q103" s="6" t="s">
        <v>1159</v>
      </c>
      <c r="R103" s="7" t="s">
        <v>134</v>
      </c>
      <c r="S103" s="6" t="s">
        <v>1160</v>
      </c>
      <c r="T103" s="7" t="s">
        <v>136</v>
      </c>
      <c r="U103" s="7" t="s">
        <v>1161</v>
      </c>
      <c r="V103" s="6" t="s">
        <v>138</v>
      </c>
      <c r="W103" s="6" t="s">
        <v>160</v>
      </c>
      <c r="X103" s="7" t="s">
        <v>44</v>
      </c>
      <c r="Y103" s="17" t="s">
        <v>7</v>
      </c>
      <c r="Z103" s="6" t="s">
        <v>1162</v>
      </c>
    </row>
    <row r="104" customFormat="false" ht="45.75" hidden="false" customHeight="true" outlineLevel="0" collapsed="false">
      <c r="A104" s="7" t="s">
        <v>1163</v>
      </c>
      <c r="B104" s="6" t="s">
        <v>1164</v>
      </c>
      <c r="C104" s="7" t="s">
        <v>40</v>
      </c>
      <c r="D104" s="7" t="s">
        <v>100</v>
      </c>
      <c r="E104" s="7" t="s">
        <v>1165</v>
      </c>
      <c r="F104" s="6" t="s">
        <v>1166</v>
      </c>
      <c r="G104" s="6" t="s">
        <v>1167</v>
      </c>
      <c r="H104" s="6" t="s">
        <v>1168</v>
      </c>
      <c r="I104" s="7" t="s">
        <v>59</v>
      </c>
      <c r="J104" s="15" t="s">
        <v>17</v>
      </c>
      <c r="K104" s="18" t="n">
        <v>2</v>
      </c>
      <c r="L104" s="7" t="s">
        <v>62</v>
      </c>
      <c r="M104" s="6" t="s">
        <v>1169</v>
      </c>
      <c r="N104" s="6" t="s">
        <v>130</v>
      </c>
      <c r="O104" s="6" t="s">
        <v>177</v>
      </c>
      <c r="P104" s="6" t="s">
        <v>1170</v>
      </c>
      <c r="Q104" s="6" t="s">
        <v>1171</v>
      </c>
      <c r="R104" s="7" t="s">
        <v>134</v>
      </c>
      <c r="S104" s="6" t="s">
        <v>1172</v>
      </c>
      <c r="T104" s="7" t="s">
        <v>269</v>
      </c>
      <c r="U104" s="7" t="s">
        <v>1173</v>
      </c>
      <c r="V104" s="6" t="s">
        <v>138</v>
      </c>
      <c r="W104" s="6" t="s">
        <v>160</v>
      </c>
      <c r="X104" s="7" t="s">
        <v>44</v>
      </c>
      <c r="Y104" s="17" t="s">
        <v>7</v>
      </c>
      <c r="Z104" s="6" t="s">
        <v>1174</v>
      </c>
    </row>
    <row r="105" customFormat="false" ht="45.75" hidden="false" customHeight="true" outlineLevel="0" collapsed="false">
      <c r="A105" s="7" t="s">
        <v>1175</v>
      </c>
      <c r="B105" s="6" t="s">
        <v>1164</v>
      </c>
      <c r="C105" s="7" t="s">
        <v>40</v>
      </c>
      <c r="D105" s="7" t="s">
        <v>100</v>
      </c>
      <c r="E105" s="7" t="s">
        <v>1165</v>
      </c>
      <c r="F105" s="6" t="s">
        <v>1166</v>
      </c>
      <c r="G105" s="6" t="s">
        <v>1176</v>
      </c>
      <c r="H105" s="6" t="s">
        <v>1177</v>
      </c>
      <c r="I105" s="7" t="s">
        <v>59</v>
      </c>
      <c r="J105" s="15" t="s">
        <v>17</v>
      </c>
      <c r="K105" s="18" t="n">
        <v>2</v>
      </c>
      <c r="L105" s="7" t="s">
        <v>62</v>
      </c>
      <c r="M105" s="6" t="s">
        <v>1178</v>
      </c>
      <c r="N105" s="6" t="s">
        <v>130</v>
      </c>
      <c r="O105" s="6" t="s">
        <v>177</v>
      </c>
      <c r="P105" s="6" t="s">
        <v>1179</v>
      </c>
      <c r="Q105" s="6" t="s">
        <v>1180</v>
      </c>
      <c r="R105" s="7" t="s">
        <v>134</v>
      </c>
      <c r="S105" s="6" t="s">
        <v>1172</v>
      </c>
      <c r="T105" s="7" t="s">
        <v>269</v>
      </c>
      <c r="U105" s="7" t="s">
        <v>1173</v>
      </c>
      <c r="V105" s="6" t="s">
        <v>138</v>
      </c>
      <c r="W105" s="6" t="s">
        <v>160</v>
      </c>
      <c r="X105" s="7" t="s">
        <v>44</v>
      </c>
      <c r="Y105" s="17" t="s">
        <v>7</v>
      </c>
      <c r="Z105" s="6" t="s">
        <v>1181</v>
      </c>
    </row>
    <row r="106" customFormat="false" ht="68.25" hidden="false" customHeight="true" outlineLevel="0" collapsed="false">
      <c r="A106" s="7" t="s">
        <v>1182</v>
      </c>
      <c r="B106" s="6" t="s">
        <v>1164</v>
      </c>
      <c r="C106" s="7" t="s">
        <v>40</v>
      </c>
      <c r="D106" s="7" t="s">
        <v>100</v>
      </c>
      <c r="E106" s="7" t="s">
        <v>1165</v>
      </c>
      <c r="F106" s="6" t="s">
        <v>1166</v>
      </c>
      <c r="G106" s="6" t="s">
        <v>1183</v>
      </c>
      <c r="H106" s="6" t="s">
        <v>1184</v>
      </c>
      <c r="I106" s="7" t="s">
        <v>59</v>
      </c>
      <c r="J106" s="15" t="s">
        <v>17</v>
      </c>
      <c r="K106" s="18" t="n">
        <v>2</v>
      </c>
      <c r="L106" s="7" t="s">
        <v>62</v>
      </c>
      <c r="M106" s="6" t="s">
        <v>1178</v>
      </c>
      <c r="N106" s="6" t="s">
        <v>130</v>
      </c>
      <c r="O106" s="6" t="s">
        <v>177</v>
      </c>
      <c r="P106" s="6" t="s">
        <v>1185</v>
      </c>
      <c r="Q106" s="6" t="s">
        <v>1186</v>
      </c>
      <c r="R106" s="7" t="s">
        <v>134</v>
      </c>
      <c r="S106" s="6" t="s">
        <v>1172</v>
      </c>
      <c r="T106" s="7" t="s">
        <v>269</v>
      </c>
      <c r="U106" s="7" t="s">
        <v>1173</v>
      </c>
      <c r="V106" s="6" t="s">
        <v>643</v>
      </c>
      <c r="W106" s="6" t="s">
        <v>160</v>
      </c>
      <c r="X106" s="7" t="s">
        <v>44</v>
      </c>
      <c r="Y106" s="19" t="s">
        <v>9</v>
      </c>
      <c r="Z106" s="6" t="s">
        <v>1187</v>
      </c>
    </row>
    <row r="107" customFormat="false" ht="57" hidden="false" customHeight="true" outlineLevel="0" collapsed="false">
      <c r="A107" s="7" t="s">
        <v>1188</v>
      </c>
      <c r="B107" s="6" t="s">
        <v>1189</v>
      </c>
      <c r="C107" s="7" t="s">
        <v>38</v>
      </c>
      <c r="D107" s="7" t="s">
        <v>99</v>
      </c>
      <c r="E107" s="7" t="s">
        <v>1190</v>
      </c>
      <c r="F107" s="6" t="s">
        <v>1191</v>
      </c>
      <c r="G107" s="6" t="s">
        <v>1192</v>
      </c>
      <c r="H107" s="6" t="s">
        <v>1193</v>
      </c>
      <c r="I107" s="7" t="s">
        <v>51</v>
      </c>
      <c r="J107" s="15" t="s">
        <v>16</v>
      </c>
      <c r="K107" s="18" t="n">
        <v>2</v>
      </c>
      <c r="L107" s="7" t="s">
        <v>62</v>
      </c>
      <c r="M107" s="6" t="s">
        <v>208</v>
      </c>
      <c r="N107" s="6" t="s">
        <v>130</v>
      </c>
      <c r="O107" s="6" t="s">
        <v>1194</v>
      </c>
      <c r="P107" s="6" t="s">
        <v>1195</v>
      </c>
      <c r="Q107" s="6" t="s">
        <v>1196</v>
      </c>
      <c r="R107" s="7" t="s">
        <v>134</v>
      </c>
      <c r="S107" s="6" t="s">
        <v>1197</v>
      </c>
      <c r="T107" s="7" t="s">
        <v>136</v>
      </c>
      <c r="U107" s="7" t="s">
        <v>1198</v>
      </c>
      <c r="V107" s="6" t="s">
        <v>138</v>
      </c>
      <c r="W107" s="6" t="s">
        <v>160</v>
      </c>
      <c r="X107" s="7" t="s">
        <v>44</v>
      </c>
      <c r="Y107" s="17" t="s">
        <v>7</v>
      </c>
      <c r="Z107" s="6" t="s">
        <v>1199</v>
      </c>
    </row>
    <row r="108" customFormat="false" ht="57" hidden="false" customHeight="true" outlineLevel="0" collapsed="false">
      <c r="A108" s="7" t="s">
        <v>1200</v>
      </c>
      <c r="B108" s="6" t="s">
        <v>1201</v>
      </c>
      <c r="C108" s="7" t="s">
        <v>38</v>
      </c>
      <c r="D108" s="7" t="s">
        <v>99</v>
      </c>
      <c r="E108" s="7" t="s">
        <v>1202</v>
      </c>
      <c r="F108" s="6" t="s">
        <v>1203</v>
      </c>
      <c r="G108" s="6" t="s">
        <v>1204</v>
      </c>
      <c r="H108" s="6" t="s">
        <v>1205</v>
      </c>
      <c r="I108" s="7" t="s">
        <v>48</v>
      </c>
      <c r="J108" s="15" t="s">
        <v>16</v>
      </c>
      <c r="K108" s="16" t="n">
        <v>1</v>
      </c>
      <c r="L108" s="7" t="s">
        <v>64</v>
      </c>
      <c r="M108" s="6" t="s">
        <v>1206</v>
      </c>
      <c r="N108" s="6" t="s">
        <v>130</v>
      </c>
      <c r="O108" s="6" t="s">
        <v>1207</v>
      </c>
      <c r="P108" s="6" t="s">
        <v>1208</v>
      </c>
      <c r="Q108" s="6" t="s">
        <v>1209</v>
      </c>
      <c r="R108" s="7" t="s">
        <v>134</v>
      </c>
      <c r="S108" s="6" t="s">
        <v>1210</v>
      </c>
      <c r="T108" s="7" t="s">
        <v>256</v>
      </c>
      <c r="U108" s="7" t="s">
        <v>1211</v>
      </c>
      <c r="V108" s="6" t="s">
        <v>1212</v>
      </c>
      <c r="W108" s="6" t="s">
        <v>160</v>
      </c>
      <c r="X108" s="7" t="s">
        <v>44</v>
      </c>
      <c r="Y108" s="19" t="s">
        <v>9</v>
      </c>
      <c r="Z108" s="6" t="s">
        <v>1213</v>
      </c>
    </row>
    <row r="109" customFormat="false" ht="57" hidden="false" customHeight="true" outlineLevel="0" collapsed="false">
      <c r="A109" s="7" t="s">
        <v>1214</v>
      </c>
      <c r="B109" s="6" t="s">
        <v>1201</v>
      </c>
      <c r="C109" s="7" t="s">
        <v>38</v>
      </c>
      <c r="D109" s="7" t="s">
        <v>99</v>
      </c>
      <c r="E109" s="7" t="s">
        <v>1202</v>
      </c>
      <c r="F109" s="6" t="s">
        <v>1203</v>
      </c>
      <c r="G109" s="6" t="s">
        <v>1215</v>
      </c>
      <c r="H109" s="6" t="s">
        <v>1216</v>
      </c>
      <c r="I109" s="7" t="s">
        <v>54</v>
      </c>
      <c r="J109" s="15" t="s">
        <v>17</v>
      </c>
      <c r="K109" s="19" t="n">
        <v>3</v>
      </c>
      <c r="L109" s="7" t="s">
        <v>63</v>
      </c>
      <c r="M109" s="6" t="s">
        <v>997</v>
      </c>
      <c r="N109" s="6" t="s">
        <v>130</v>
      </c>
      <c r="O109" s="6" t="s">
        <v>1217</v>
      </c>
      <c r="P109" s="6" t="s">
        <v>1218</v>
      </c>
      <c r="Q109" s="6" t="s">
        <v>1219</v>
      </c>
      <c r="R109" s="7" t="s">
        <v>134</v>
      </c>
      <c r="S109" s="6" t="s">
        <v>1210</v>
      </c>
      <c r="T109" s="7" t="s">
        <v>256</v>
      </c>
      <c r="U109" s="7" t="s">
        <v>1211</v>
      </c>
      <c r="V109" s="6" t="s">
        <v>1212</v>
      </c>
      <c r="W109" s="6" t="s">
        <v>160</v>
      </c>
      <c r="X109" s="7" t="s">
        <v>44</v>
      </c>
      <c r="Y109" s="19" t="s">
        <v>9</v>
      </c>
      <c r="Z109" s="6" t="s">
        <v>1220</v>
      </c>
    </row>
    <row r="110" customFormat="false" ht="68.25" hidden="false" customHeight="true" outlineLevel="0" collapsed="false">
      <c r="A110" s="7" t="s">
        <v>1221</v>
      </c>
      <c r="B110" s="6" t="s">
        <v>1222</v>
      </c>
      <c r="C110" s="7" t="s">
        <v>38</v>
      </c>
      <c r="D110" s="7" t="s">
        <v>99</v>
      </c>
      <c r="E110" s="7" t="s">
        <v>1223</v>
      </c>
      <c r="F110" s="6" t="s">
        <v>1224</v>
      </c>
      <c r="G110" s="6" t="s">
        <v>1225</v>
      </c>
      <c r="H110" s="6" t="s">
        <v>1226</v>
      </c>
      <c r="I110" s="7" t="s">
        <v>57</v>
      </c>
      <c r="J110" s="15" t="s">
        <v>16</v>
      </c>
      <c r="K110" s="16" t="n">
        <v>1</v>
      </c>
      <c r="L110" s="7" t="s">
        <v>62</v>
      </c>
      <c r="M110" s="6" t="s">
        <v>1227</v>
      </c>
      <c r="N110" s="6" t="s">
        <v>130</v>
      </c>
      <c r="O110" s="6" t="s">
        <v>1228</v>
      </c>
      <c r="P110" s="6" t="s">
        <v>1229</v>
      </c>
      <c r="Q110" s="6" t="s">
        <v>1230</v>
      </c>
      <c r="R110" s="7" t="s">
        <v>134</v>
      </c>
      <c r="S110" s="6" t="s">
        <v>1231</v>
      </c>
      <c r="T110" s="7" t="s">
        <v>300</v>
      </c>
      <c r="U110" s="7" t="s">
        <v>1232</v>
      </c>
      <c r="V110" s="6" t="s">
        <v>1233</v>
      </c>
      <c r="W110" s="6" t="s">
        <v>160</v>
      </c>
      <c r="X110" s="7" t="s">
        <v>44</v>
      </c>
      <c r="Y110" s="19" t="s">
        <v>9</v>
      </c>
      <c r="Z110" s="6" t="s">
        <v>1234</v>
      </c>
    </row>
    <row r="111" customFormat="false" ht="45.75" hidden="false" customHeight="true" outlineLevel="0" collapsed="false">
      <c r="A111" s="7" t="s">
        <v>1235</v>
      </c>
      <c r="B111" s="6" t="s">
        <v>1236</v>
      </c>
      <c r="C111" s="7" t="s">
        <v>38</v>
      </c>
      <c r="D111" s="7" t="s">
        <v>99</v>
      </c>
      <c r="E111" s="7" t="s">
        <v>1237</v>
      </c>
      <c r="F111" s="6" t="s">
        <v>1238</v>
      </c>
      <c r="G111" s="6" t="s">
        <v>1239</v>
      </c>
      <c r="H111" s="6" t="s">
        <v>1240</v>
      </c>
      <c r="I111" s="7" t="s">
        <v>59</v>
      </c>
      <c r="J111" s="15" t="s">
        <v>16</v>
      </c>
      <c r="K111" s="18" t="n">
        <v>2</v>
      </c>
      <c r="L111" s="7" t="s">
        <v>62</v>
      </c>
      <c r="M111" s="6" t="s">
        <v>1241</v>
      </c>
      <c r="N111" s="6" t="s">
        <v>130</v>
      </c>
      <c r="O111" s="6" t="s">
        <v>1242</v>
      </c>
      <c r="P111" s="6" t="s">
        <v>1243</v>
      </c>
      <c r="Q111" s="6" t="s">
        <v>1244</v>
      </c>
      <c r="R111" s="7" t="s">
        <v>134</v>
      </c>
      <c r="S111" s="6" t="s">
        <v>1245</v>
      </c>
      <c r="T111" s="7" t="s">
        <v>136</v>
      </c>
      <c r="U111" s="7" t="s">
        <v>1246</v>
      </c>
      <c r="V111" s="6" t="s">
        <v>1247</v>
      </c>
      <c r="W111" s="6" t="s">
        <v>160</v>
      </c>
      <c r="X111" s="7" t="s">
        <v>44</v>
      </c>
      <c r="Y111" s="19" t="s">
        <v>9</v>
      </c>
      <c r="Z111" s="6" t="s">
        <v>1248</v>
      </c>
    </row>
    <row r="112" customFormat="false" ht="68.25" hidden="false" customHeight="true" outlineLevel="0" collapsed="false">
      <c r="A112" s="7" t="s">
        <v>1249</v>
      </c>
      <c r="B112" s="6" t="s">
        <v>1250</v>
      </c>
      <c r="C112" s="7" t="s">
        <v>40</v>
      </c>
      <c r="D112" s="7" t="s">
        <v>101</v>
      </c>
      <c r="E112" s="7" t="s">
        <v>1251</v>
      </c>
      <c r="F112" s="6" t="s">
        <v>1252</v>
      </c>
      <c r="G112" s="6" t="s">
        <v>1253</v>
      </c>
      <c r="H112" s="6" t="s">
        <v>1254</v>
      </c>
      <c r="I112" s="7" t="s">
        <v>50</v>
      </c>
      <c r="J112" s="15" t="s">
        <v>19</v>
      </c>
      <c r="K112" s="19" t="n">
        <v>3</v>
      </c>
      <c r="L112" s="7" t="s">
        <v>62</v>
      </c>
      <c r="M112" s="6" t="s">
        <v>1255</v>
      </c>
      <c r="N112" s="6" t="s">
        <v>130</v>
      </c>
      <c r="O112" s="6" t="s">
        <v>1256</v>
      </c>
      <c r="P112" s="6" t="s">
        <v>1257</v>
      </c>
      <c r="Q112" s="6" t="s">
        <v>1258</v>
      </c>
      <c r="R112" s="7" t="s">
        <v>134</v>
      </c>
      <c r="S112" s="6" t="s">
        <v>1259</v>
      </c>
      <c r="T112" s="7" t="s">
        <v>136</v>
      </c>
      <c r="U112" s="7" t="s">
        <v>1260</v>
      </c>
      <c r="V112" s="6" t="s">
        <v>513</v>
      </c>
      <c r="W112" s="6" t="s">
        <v>160</v>
      </c>
      <c r="X112" s="7" t="s">
        <v>44</v>
      </c>
      <c r="Y112" s="19" t="s">
        <v>9</v>
      </c>
      <c r="Z112" s="6" t="s">
        <v>1261</v>
      </c>
    </row>
    <row r="113" customFormat="false" ht="68.25" hidden="false" customHeight="true" outlineLevel="0" collapsed="false">
      <c r="A113" s="7" t="s">
        <v>1262</v>
      </c>
      <c r="B113" s="6" t="s">
        <v>1250</v>
      </c>
      <c r="C113" s="7" t="s">
        <v>40</v>
      </c>
      <c r="D113" s="7" t="s">
        <v>101</v>
      </c>
      <c r="E113" s="7" t="s">
        <v>1251</v>
      </c>
      <c r="F113" s="6" t="s">
        <v>1252</v>
      </c>
      <c r="G113" s="6" t="s">
        <v>1263</v>
      </c>
      <c r="H113" s="6" t="s">
        <v>1264</v>
      </c>
      <c r="I113" s="7" t="s">
        <v>50</v>
      </c>
      <c r="J113" s="15" t="s">
        <v>19</v>
      </c>
      <c r="K113" s="19" t="n">
        <v>3</v>
      </c>
      <c r="L113" s="7" t="s">
        <v>62</v>
      </c>
      <c r="M113" s="6" t="s">
        <v>1265</v>
      </c>
      <c r="N113" s="6" t="s">
        <v>130</v>
      </c>
      <c r="O113" s="6" t="s">
        <v>1266</v>
      </c>
      <c r="P113" s="6" t="s">
        <v>1267</v>
      </c>
      <c r="Q113" s="6" t="s">
        <v>1268</v>
      </c>
      <c r="R113" s="7" t="s">
        <v>134</v>
      </c>
      <c r="S113" s="6" t="s">
        <v>1259</v>
      </c>
      <c r="T113" s="7" t="s">
        <v>136</v>
      </c>
      <c r="U113" s="7" t="s">
        <v>1260</v>
      </c>
      <c r="V113" s="6" t="s">
        <v>513</v>
      </c>
      <c r="W113" s="6" t="s">
        <v>160</v>
      </c>
      <c r="X113" s="7" t="s">
        <v>44</v>
      </c>
      <c r="Y113" s="19" t="s">
        <v>9</v>
      </c>
      <c r="Z113" s="6" t="s">
        <v>1269</v>
      </c>
    </row>
    <row r="114" customFormat="false" ht="57" hidden="false" customHeight="true" outlineLevel="0" collapsed="false">
      <c r="A114" s="7" t="s">
        <v>1270</v>
      </c>
      <c r="B114" s="6" t="s">
        <v>1271</v>
      </c>
      <c r="C114" s="7" t="s">
        <v>38</v>
      </c>
      <c r="D114" s="7" t="s">
        <v>101</v>
      </c>
      <c r="E114" s="7" t="s">
        <v>1272</v>
      </c>
      <c r="F114" s="6" t="s">
        <v>1273</v>
      </c>
      <c r="G114" s="6" t="s">
        <v>1274</v>
      </c>
      <c r="H114" s="6" t="s">
        <v>1275</v>
      </c>
      <c r="I114" s="7" t="s">
        <v>59</v>
      </c>
      <c r="J114" s="15" t="s">
        <v>19</v>
      </c>
      <c r="K114" s="19" t="n">
        <v>3</v>
      </c>
      <c r="L114" s="7" t="s">
        <v>62</v>
      </c>
      <c r="M114" s="6" t="s">
        <v>1276</v>
      </c>
      <c r="N114" s="6" t="s">
        <v>176</v>
      </c>
      <c r="O114" s="6" t="s">
        <v>177</v>
      </c>
      <c r="P114" s="6" t="s">
        <v>1277</v>
      </c>
      <c r="Q114" s="6" t="s">
        <v>1278</v>
      </c>
      <c r="R114" s="7" t="s">
        <v>134</v>
      </c>
      <c r="S114" s="6" t="s">
        <v>1279</v>
      </c>
      <c r="T114" s="7" t="s">
        <v>136</v>
      </c>
      <c r="U114" s="7" t="s">
        <v>1280</v>
      </c>
      <c r="V114" s="6" t="s">
        <v>966</v>
      </c>
      <c r="W114" s="6" t="s">
        <v>160</v>
      </c>
      <c r="X114" s="7" t="s">
        <v>44</v>
      </c>
      <c r="Y114" s="19" t="s">
        <v>9</v>
      </c>
      <c r="Z114" s="6" t="s">
        <v>1281</v>
      </c>
    </row>
    <row r="115" customFormat="false" ht="57" hidden="false" customHeight="true" outlineLevel="0" collapsed="false">
      <c r="A115" s="7" t="s">
        <v>1282</v>
      </c>
      <c r="B115" s="6" t="s">
        <v>1271</v>
      </c>
      <c r="C115" s="7" t="s">
        <v>38</v>
      </c>
      <c r="D115" s="7" t="s">
        <v>101</v>
      </c>
      <c r="E115" s="7" t="s">
        <v>1272</v>
      </c>
      <c r="F115" s="6" t="s">
        <v>1273</v>
      </c>
      <c r="G115" s="6" t="s">
        <v>1283</v>
      </c>
      <c r="H115" s="6" t="s">
        <v>1284</v>
      </c>
      <c r="I115" s="7" t="s">
        <v>59</v>
      </c>
      <c r="J115" s="15" t="s">
        <v>19</v>
      </c>
      <c r="K115" s="19" t="n">
        <v>3</v>
      </c>
      <c r="L115" s="7" t="s">
        <v>62</v>
      </c>
      <c r="M115" s="6" t="s">
        <v>1285</v>
      </c>
      <c r="N115" s="6" t="s">
        <v>176</v>
      </c>
      <c r="O115" s="6" t="s">
        <v>1286</v>
      </c>
      <c r="P115" s="6" t="s">
        <v>1287</v>
      </c>
      <c r="Q115" s="6" t="s">
        <v>1288</v>
      </c>
      <c r="R115" s="7" t="s">
        <v>134</v>
      </c>
      <c r="S115" s="6" t="s">
        <v>1279</v>
      </c>
      <c r="T115" s="7" t="s">
        <v>136</v>
      </c>
      <c r="U115" s="7" t="s">
        <v>1280</v>
      </c>
      <c r="V115" s="6" t="s">
        <v>966</v>
      </c>
      <c r="W115" s="6" t="s">
        <v>160</v>
      </c>
      <c r="X115" s="7" t="s">
        <v>44</v>
      </c>
      <c r="Y115" s="19" t="s">
        <v>9</v>
      </c>
      <c r="Z115" s="6" t="s">
        <v>1289</v>
      </c>
    </row>
    <row r="116" customFormat="false" ht="34.5" hidden="false" customHeight="true" outlineLevel="0" collapsed="false">
      <c r="A116" s="7" t="s">
        <v>1290</v>
      </c>
      <c r="B116" s="6" t="s">
        <v>1291</v>
      </c>
      <c r="C116" s="7" t="s">
        <v>38</v>
      </c>
      <c r="D116" s="7" t="s">
        <v>99</v>
      </c>
      <c r="E116" s="7" t="s">
        <v>1292</v>
      </c>
      <c r="F116" s="6" t="s">
        <v>1293</v>
      </c>
      <c r="G116" s="6" t="s">
        <v>1294</v>
      </c>
      <c r="H116" s="6" t="s">
        <v>1295</v>
      </c>
      <c r="I116" s="7" t="s">
        <v>56</v>
      </c>
      <c r="J116" s="15" t="s">
        <v>16</v>
      </c>
      <c r="K116" s="18" t="n">
        <v>2</v>
      </c>
      <c r="L116" s="7" t="s">
        <v>62</v>
      </c>
      <c r="M116" s="6" t="s">
        <v>1296</v>
      </c>
      <c r="N116" s="6" t="s">
        <v>130</v>
      </c>
      <c r="O116" s="6" t="s">
        <v>1297</v>
      </c>
      <c r="P116" s="6" t="s">
        <v>1298</v>
      </c>
      <c r="Q116" s="6" t="s">
        <v>1299</v>
      </c>
      <c r="R116" s="7" t="s">
        <v>134</v>
      </c>
      <c r="S116" s="6" t="s">
        <v>1300</v>
      </c>
      <c r="T116" s="7" t="s">
        <v>136</v>
      </c>
      <c r="U116" s="7" t="s">
        <v>1301</v>
      </c>
      <c r="V116" s="6" t="s">
        <v>138</v>
      </c>
      <c r="W116" s="6" t="s">
        <v>160</v>
      </c>
      <c r="X116" s="7" t="s">
        <v>44</v>
      </c>
      <c r="Y116" s="17" t="s">
        <v>7</v>
      </c>
      <c r="Z116" s="6" t="s">
        <v>1302</v>
      </c>
    </row>
    <row r="117" customFormat="false" ht="45.75" hidden="false" customHeight="true" outlineLevel="0" collapsed="false">
      <c r="A117" s="7" t="s">
        <v>1303</v>
      </c>
      <c r="B117" s="6" t="s">
        <v>1291</v>
      </c>
      <c r="C117" s="7" t="s">
        <v>38</v>
      </c>
      <c r="D117" s="7" t="s">
        <v>99</v>
      </c>
      <c r="E117" s="7" t="s">
        <v>1292</v>
      </c>
      <c r="F117" s="6" t="s">
        <v>1293</v>
      </c>
      <c r="G117" s="6" t="s">
        <v>1304</v>
      </c>
      <c r="H117" s="6" t="s">
        <v>1305</v>
      </c>
      <c r="I117" s="7" t="s">
        <v>54</v>
      </c>
      <c r="J117" s="15" t="s">
        <v>16</v>
      </c>
      <c r="K117" s="18" t="n">
        <v>2</v>
      </c>
      <c r="L117" s="7" t="s">
        <v>63</v>
      </c>
      <c r="M117" s="6" t="s">
        <v>1306</v>
      </c>
      <c r="N117" s="6" t="s">
        <v>176</v>
      </c>
      <c r="O117" s="6" t="s">
        <v>1307</v>
      </c>
      <c r="P117" s="6" t="s">
        <v>1308</v>
      </c>
      <c r="Q117" s="6" t="s">
        <v>1309</v>
      </c>
      <c r="R117" s="7" t="s">
        <v>134</v>
      </c>
      <c r="S117" s="6" t="s">
        <v>1300</v>
      </c>
      <c r="T117" s="7" t="s">
        <v>136</v>
      </c>
      <c r="U117" s="7" t="s">
        <v>1301</v>
      </c>
      <c r="V117" s="6" t="s">
        <v>1310</v>
      </c>
      <c r="W117" s="6" t="s">
        <v>160</v>
      </c>
      <c r="X117" s="7" t="s">
        <v>44</v>
      </c>
      <c r="Y117" s="19" t="s">
        <v>9</v>
      </c>
      <c r="Z117" s="6" t="s">
        <v>1311</v>
      </c>
    </row>
    <row r="118" customFormat="false" ht="68.25" hidden="false" customHeight="true" outlineLevel="0" collapsed="false">
      <c r="A118" s="7" t="s">
        <v>1312</v>
      </c>
      <c r="B118" s="6" t="s">
        <v>1313</v>
      </c>
      <c r="C118" s="7" t="s">
        <v>38</v>
      </c>
      <c r="D118" s="7" t="s">
        <v>99</v>
      </c>
      <c r="E118" s="7" t="s">
        <v>1314</v>
      </c>
      <c r="F118" s="6" t="s">
        <v>1315</v>
      </c>
      <c r="G118" s="6" t="s">
        <v>1316</v>
      </c>
      <c r="H118" s="6" t="s">
        <v>1317</v>
      </c>
      <c r="I118" s="7" t="s">
        <v>49</v>
      </c>
      <c r="J118" s="15" t="s">
        <v>16</v>
      </c>
      <c r="K118" s="16" t="n">
        <v>1</v>
      </c>
      <c r="L118" s="7" t="s">
        <v>62</v>
      </c>
      <c r="M118" s="6" t="s">
        <v>1086</v>
      </c>
      <c r="N118" s="6" t="s">
        <v>130</v>
      </c>
      <c r="O118" s="6" t="s">
        <v>1318</v>
      </c>
      <c r="P118" s="6" t="s">
        <v>1319</v>
      </c>
      <c r="Q118" s="6" t="s">
        <v>1320</v>
      </c>
      <c r="R118" s="7" t="s">
        <v>134</v>
      </c>
      <c r="S118" s="6" t="s">
        <v>1321</v>
      </c>
      <c r="T118" s="7" t="s">
        <v>269</v>
      </c>
      <c r="U118" s="7" t="s">
        <v>1322</v>
      </c>
      <c r="V118" s="6" t="s">
        <v>1323</v>
      </c>
      <c r="W118" s="6" t="s">
        <v>160</v>
      </c>
      <c r="X118" s="7" t="s">
        <v>44</v>
      </c>
      <c r="Y118" s="19" t="s">
        <v>9</v>
      </c>
      <c r="Z118" s="6" t="s">
        <v>1324</v>
      </c>
    </row>
    <row r="119" customFormat="false" ht="68.25" hidden="false" customHeight="true" outlineLevel="0" collapsed="false">
      <c r="A119" s="7" t="s">
        <v>1325</v>
      </c>
      <c r="B119" s="6" t="s">
        <v>1313</v>
      </c>
      <c r="C119" s="7" t="s">
        <v>38</v>
      </c>
      <c r="D119" s="7" t="s">
        <v>99</v>
      </c>
      <c r="E119" s="7" t="s">
        <v>1314</v>
      </c>
      <c r="F119" s="6" t="s">
        <v>1315</v>
      </c>
      <c r="G119" s="6" t="s">
        <v>1326</v>
      </c>
      <c r="H119" s="6" t="s">
        <v>1327</v>
      </c>
      <c r="I119" s="7" t="s">
        <v>54</v>
      </c>
      <c r="J119" s="15" t="s">
        <v>16</v>
      </c>
      <c r="K119" s="16" t="n">
        <v>1</v>
      </c>
      <c r="L119" s="7" t="s">
        <v>63</v>
      </c>
      <c r="M119" s="6" t="s">
        <v>1086</v>
      </c>
      <c r="N119" s="6" t="s">
        <v>130</v>
      </c>
      <c r="O119" s="6" t="s">
        <v>1318</v>
      </c>
      <c r="P119" s="6" t="s">
        <v>1328</v>
      </c>
      <c r="Q119" s="6" t="s">
        <v>1329</v>
      </c>
      <c r="R119" s="7" t="s">
        <v>134</v>
      </c>
      <c r="S119" s="6" t="s">
        <v>1321</v>
      </c>
      <c r="T119" s="7" t="s">
        <v>269</v>
      </c>
      <c r="U119" s="7" t="s">
        <v>1322</v>
      </c>
      <c r="V119" s="6" t="s">
        <v>1323</v>
      </c>
      <c r="W119" s="6" t="s">
        <v>160</v>
      </c>
      <c r="X119" s="7" t="s">
        <v>44</v>
      </c>
      <c r="Y119" s="19" t="s">
        <v>9</v>
      </c>
      <c r="Z119" s="6" t="s">
        <v>1330</v>
      </c>
    </row>
    <row r="120" customFormat="false" ht="68.25" hidden="false" customHeight="true" outlineLevel="0" collapsed="false">
      <c r="A120" s="7" t="s">
        <v>1331</v>
      </c>
      <c r="B120" s="6" t="s">
        <v>1313</v>
      </c>
      <c r="C120" s="7" t="s">
        <v>38</v>
      </c>
      <c r="D120" s="7" t="s">
        <v>99</v>
      </c>
      <c r="E120" s="7" t="s">
        <v>1314</v>
      </c>
      <c r="F120" s="6" t="s">
        <v>1315</v>
      </c>
      <c r="G120" s="6" t="s">
        <v>1332</v>
      </c>
      <c r="H120" s="6" t="s">
        <v>1333</v>
      </c>
      <c r="I120" s="7" t="s">
        <v>49</v>
      </c>
      <c r="J120" s="15" t="s">
        <v>16</v>
      </c>
      <c r="K120" s="18" t="n">
        <v>2</v>
      </c>
      <c r="L120" s="7" t="s">
        <v>62</v>
      </c>
      <c r="M120" s="6" t="s">
        <v>1334</v>
      </c>
      <c r="N120" s="6" t="s">
        <v>176</v>
      </c>
      <c r="O120" s="6" t="s">
        <v>1335</v>
      </c>
      <c r="P120" s="6" t="s">
        <v>1336</v>
      </c>
      <c r="Q120" s="6" t="s">
        <v>1337</v>
      </c>
      <c r="R120" s="7" t="s">
        <v>134</v>
      </c>
      <c r="S120" s="6" t="s">
        <v>1321</v>
      </c>
      <c r="T120" s="7" t="s">
        <v>269</v>
      </c>
      <c r="U120" s="7" t="s">
        <v>1322</v>
      </c>
      <c r="V120" s="6" t="s">
        <v>1323</v>
      </c>
      <c r="W120" s="6" t="s">
        <v>160</v>
      </c>
      <c r="X120" s="7" t="s">
        <v>44</v>
      </c>
      <c r="Y120" s="19" t="s">
        <v>9</v>
      </c>
      <c r="Z120" s="6" t="s">
        <v>1338</v>
      </c>
    </row>
    <row r="121" customFormat="false" ht="57" hidden="false" customHeight="true" outlineLevel="0" collapsed="false">
      <c r="A121" s="7" t="s">
        <v>1339</v>
      </c>
      <c r="B121" s="6" t="s">
        <v>1340</v>
      </c>
      <c r="C121" s="7" t="s">
        <v>38</v>
      </c>
      <c r="D121" s="7" t="s">
        <v>99</v>
      </c>
      <c r="E121" s="7" t="s">
        <v>1341</v>
      </c>
      <c r="F121" s="6" t="s">
        <v>1342</v>
      </c>
      <c r="G121" s="6" t="s">
        <v>1343</v>
      </c>
      <c r="H121" s="6" t="s">
        <v>1344</v>
      </c>
      <c r="I121" s="7" t="s">
        <v>49</v>
      </c>
      <c r="J121" s="15" t="s">
        <v>17</v>
      </c>
      <c r="K121" s="19" t="n">
        <v>3</v>
      </c>
      <c r="L121" s="7" t="s">
        <v>62</v>
      </c>
      <c r="M121" s="6" t="s">
        <v>1086</v>
      </c>
      <c r="N121" s="6" t="s">
        <v>130</v>
      </c>
      <c r="O121" s="6" t="s">
        <v>1345</v>
      </c>
      <c r="P121" s="6" t="s">
        <v>1346</v>
      </c>
      <c r="Q121" s="6" t="s">
        <v>1347</v>
      </c>
      <c r="R121" s="7" t="s">
        <v>134</v>
      </c>
      <c r="S121" s="6" t="s">
        <v>1348</v>
      </c>
      <c r="T121" s="7" t="s">
        <v>136</v>
      </c>
      <c r="U121" s="7" t="s">
        <v>1349</v>
      </c>
      <c r="V121" s="6" t="s">
        <v>138</v>
      </c>
      <c r="W121" s="6" t="s">
        <v>160</v>
      </c>
      <c r="X121" s="7" t="s">
        <v>44</v>
      </c>
      <c r="Y121" s="17" t="s">
        <v>7</v>
      </c>
      <c r="Z121" s="6" t="s">
        <v>1350</v>
      </c>
    </row>
    <row r="122" customFormat="false" ht="45.75" hidden="false" customHeight="true" outlineLevel="0" collapsed="false">
      <c r="A122" s="7" t="s">
        <v>1351</v>
      </c>
      <c r="B122" s="6" t="s">
        <v>1352</v>
      </c>
      <c r="C122" s="7" t="s">
        <v>38</v>
      </c>
      <c r="D122" s="7" t="s">
        <v>99</v>
      </c>
      <c r="E122" s="7" t="s">
        <v>1353</v>
      </c>
      <c r="F122" s="6" t="s">
        <v>1354</v>
      </c>
      <c r="G122" s="6" t="s">
        <v>1355</v>
      </c>
      <c r="H122" s="6" t="s">
        <v>1356</v>
      </c>
      <c r="I122" s="7" t="s">
        <v>53</v>
      </c>
      <c r="J122" s="15" t="s">
        <v>16</v>
      </c>
      <c r="K122" s="18" t="n">
        <v>2</v>
      </c>
      <c r="L122" s="7" t="s">
        <v>62</v>
      </c>
      <c r="M122" s="6" t="s">
        <v>1357</v>
      </c>
      <c r="N122" s="6" t="s">
        <v>130</v>
      </c>
      <c r="O122" s="6" t="s">
        <v>1358</v>
      </c>
      <c r="P122" s="6" t="s">
        <v>1359</v>
      </c>
      <c r="Q122" s="6" t="s">
        <v>1360</v>
      </c>
      <c r="R122" s="7" t="s">
        <v>134</v>
      </c>
      <c r="S122" s="6" t="s">
        <v>1361</v>
      </c>
      <c r="T122" s="7" t="s">
        <v>136</v>
      </c>
      <c r="U122" s="7" t="s">
        <v>1362</v>
      </c>
      <c r="V122" s="6" t="s">
        <v>138</v>
      </c>
      <c r="W122" s="6" t="s">
        <v>160</v>
      </c>
      <c r="X122" s="7" t="s">
        <v>44</v>
      </c>
      <c r="Y122" s="17" t="s">
        <v>7</v>
      </c>
      <c r="Z122" s="6" t="s">
        <v>1363</v>
      </c>
    </row>
    <row r="123" customFormat="false" ht="90.75" hidden="false" customHeight="true" outlineLevel="0" collapsed="false">
      <c r="A123" s="7" t="s">
        <v>1364</v>
      </c>
      <c r="B123" s="6" t="s">
        <v>1365</v>
      </c>
      <c r="C123" s="7" t="s">
        <v>38</v>
      </c>
      <c r="D123" s="7" t="s">
        <v>99</v>
      </c>
      <c r="E123" s="7" t="s">
        <v>1366</v>
      </c>
      <c r="F123" s="6" t="s">
        <v>1367</v>
      </c>
      <c r="G123" s="6" t="s">
        <v>1368</v>
      </c>
      <c r="H123" s="6" t="s">
        <v>1369</v>
      </c>
      <c r="I123" s="7" t="s">
        <v>50</v>
      </c>
      <c r="J123" s="15" t="s">
        <v>16</v>
      </c>
      <c r="K123" s="18" t="n">
        <v>2</v>
      </c>
      <c r="L123" s="7" t="s">
        <v>62</v>
      </c>
      <c r="M123" s="6" t="s">
        <v>1370</v>
      </c>
      <c r="N123" s="6" t="s">
        <v>176</v>
      </c>
      <c r="O123" s="6" t="s">
        <v>1371</v>
      </c>
      <c r="P123" s="6" t="s">
        <v>1372</v>
      </c>
      <c r="Q123" s="6" t="s">
        <v>1373</v>
      </c>
      <c r="R123" s="7" t="s">
        <v>134</v>
      </c>
      <c r="S123" s="6" t="s">
        <v>1374</v>
      </c>
      <c r="T123" s="7" t="s">
        <v>136</v>
      </c>
      <c r="U123" s="7" t="s">
        <v>1375</v>
      </c>
      <c r="V123" s="6" t="s">
        <v>1376</v>
      </c>
      <c r="W123" s="6" t="s">
        <v>139</v>
      </c>
      <c r="X123" s="7" t="s">
        <v>45</v>
      </c>
      <c r="Y123" s="19" t="s">
        <v>9</v>
      </c>
      <c r="Z123" s="6" t="s">
        <v>1377</v>
      </c>
    </row>
    <row r="124" customFormat="false" ht="79.5" hidden="false" customHeight="true" outlineLevel="0" collapsed="false">
      <c r="A124" s="7" t="s">
        <v>1378</v>
      </c>
      <c r="B124" s="6" t="s">
        <v>1365</v>
      </c>
      <c r="C124" s="7" t="s">
        <v>38</v>
      </c>
      <c r="D124" s="7" t="s">
        <v>99</v>
      </c>
      <c r="E124" s="7" t="s">
        <v>1366</v>
      </c>
      <c r="F124" s="6" t="s">
        <v>1367</v>
      </c>
      <c r="G124" s="6" t="s">
        <v>1379</v>
      </c>
      <c r="H124" s="6" t="s">
        <v>1380</v>
      </c>
      <c r="I124" s="7" t="s">
        <v>52</v>
      </c>
      <c r="J124" s="15" t="s">
        <v>17</v>
      </c>
      <c r="K124" s="19" t="n">
        <v>3</v>
      </c>
      <c r="L124" s="7" t="s">
        <v>65</v>
      </c>
      <c r="M124" s="6" t="s">
        <v>1381</v>
      </c>
      <c r="N124" s="6" t="s">
        <v>176</v>
      </c>
      <c r="O124" s="6" t="s">
        <v>1371</v>
      </c>
      <c r="P124" s="6" t="s">
        <v>1382</v>
      </c>
      <c r="Q124" s="6" t="s">
        <v>1383</v>
      </c>
      <c r="R124" s="7" t="s">
        <v>134</v>
      </c>
      <c r="S124" s="6" t="s">
        <v>1374</v>
      </c>
      <c r="T124" s="7" t="s">
        <v>136</v>
      </c>
      <c r="U124" s="7" t="s">
        <v>1375</v>
      </c>
      <c r="V124" s="6" t="s">
        <v>1384</v>
      </c>
      <c r="W124" s="6" t="s">
        <v>139</v>
      </c>
      <c r="X124" s="7" t="s">
        <v>45</v>
      </c>
      <c r="Y124" s="19" t="s">
        <v>9</v>
      </c>
      <c r="Z124" s="6" t="s">
        <v>1385</v>
      </c>
    </row>
    <row r="125" customFormat="false" ht="68.25" hidden="false" customHeight="true" outlineLevel="0" collapsed="false">
      <c r="A125" s="7" t="s">
        <v>1386</v>
      </c>
      <c r="B125" s="6" t="s">
        <v>1387</v>
      </c>
      <c r="C125" s="7" t="s">
        <v>38</v>
      </c>
      <c r="D125" s="7" t="s">
        <v>99</v>
      </c>
      <c r="E125" s="7" t="s">
        <v>1388</v>
      </c>
      <c r="F125" s="6" t="s">
        <v>1389</v>
      </c>
      <c r="G125" s="6" t="s">
        <v>1390</v>
      </c>
      <c r="H125" s="6" t="s">
        <v>1391</v>
      </c>
      <c r="I125" s="7" t="s">
        <v>57</v>
      </c>
      <c r="J125" s="15" t="s">
        <v>16</v>
      </c>
      <c r="K125" s="18" t="n">
        <v>2</v>
      </c>
      <c r="L125" s="7" t="s">
        <v>62</v>
      </c>
      <c r="M125" s="6" t="s">
        <v>1086</v>
      </c>
      <c r="N125" s="6" t="s">
        <v>130</v>
      </c>
      <c r="O125" s="6" t="s">
        <v>1392</v>
      </c>
      <c r="P125" s="6" t="s">
        <v>1393</v>
      </c>
      <c r="Q125" s="6" t="s">
        <v>1394</v>
      </c>
      <c r="R125" s="7" t="s">
        <v>134</v>
      </c>
      <c r="S125" s="6" t="s">
        <v>1395</v>
      </c>
      <c r="T125" s="7" t="s">
        <v>300</v>
      </c>
      <c r="U125" s="7" t="s">
        <v>1396</v>
      </c>
      <c r="V125" s="6" t="s">
        <v>1397</v>
      </c>
      <c r="W125" s="6" t="s">
        <v>160</v>
      </c>
      <c r="X125" s="7" t="s">
        <v>44</v>
      </c>
      <c r="Y125" s="19" t="s">
        <v>9</v>
      </c>
      <c r="Z125" s="6" t="s">
        <v>1398</v>
      </c>
    </row>
    <row r="126" customFormat="false" ht="57" hidden="false" customHeight="true" outlineLevel="0" collapsed="false">
      <c r="A126" s="7" t="s">
        <v>1399</v>
      </c>
      <c r="B126" s="6" t="s">
        <v>1387</v>
      </c>
      <c r="C126" s="7" t="s">
        <v>38</v>
      </c>
      <c r="D126" s="7" t="s">
        <v>99</v>
      </c>
      <c r="E126" s="7" t="s">
        <v>1388</v>
      </c>
      <c r="F126" s="6" t="s">
        <v>1389</v>
      </c>
      <c r="G126" s="6" t="s">
        <v>1400</v>
      </c>
      <c r="H126" s="6" t="s">
        <v>1401</v>
      </c>
      <c r="I126" s="7" t="s">
        <v>54</v>
      </c>
      <c r="J126" s="15" t="s">
        <v>17</v>
      </c>
      <c r="K126" s="19" t="n">
        <v>3</v>
      </c>
      <c r="L126" s="7" t="s">
        <v>62</v>
      </c>
      <c r="M126" s="6" t="s">
        <v>1086</v>
      </c>
      <c r="N126" s="6" t="s">
        <v>130</v>
      </c>
      <c r="O126" s="6" t="s">
        <v>1402</v>
      </c>
      <c r="P126" s="6" t="s">
        <v>1403</v>
      </c>
      <c r="Q126" s="6" t="s">
        <v>1404</v>
      </c>
      <c r="R126" s="7" t="s">
        <v>134</v>
      </c>
      <c r="S126" s="6" t="s">
        <v>1395</v>
      </c>
      <c r="T126" s="7" t="s">
        <v>136</v>
      </c>
      <c r="U126" s="7" t="s">
        <v>1396</v>
      </c>
      <c r="V126" s="6" t="s">
        <v>138</v>
      </c>
      <c r="W126" s="6" t="s">
        <v>160</v>
      </c>
      <c r="X126" s="7" t="s">
        <v>44</v>
      </c>
      <c r="Y126" s="17" t="s">
        <v>7</v>
      </c>
      <c r="Z126" s="6" t="s">
        <v>1405</v>
      </c>
    </row>
    <row r="127" customFormat="false" ht="79.5" hidden="false" customHeight="true" outlineLevel="0" collapsed="false">
      <c r="A127" s="7" t="s">
        <v>1406</v>
      </c>
      <c r="B127" s="6" t="s">
        <v>1407</v>
      </c>
      <c r="C127" s="7" t="s">
        <v>38</v>
      </c>
      <c r="D127" s="7" t="s">
        <v>99</v>
      </c>
      <c r="E127" s="7" t="s">
        <v>1408</v>
      </c>
      <c r="F127" s="6" t="s">
        <v>1409</v>
      </c>
      <c r="G127" s="6" t="s">
        <v>1410</v>
      </c>
      <c r="H127" s="6" t="s">
        <v>1411</v>
      </c>
      <c r="I127" s="7" t="s">
        <v>59</v>
      </c>
      <c r="J127" s="15" t="s">
        <v>17</v>
      </c>
      <c r="K127" s="19" t="n">
        <v>3</v>
      </c>
      <c r="L127" s="7" t="s">
        <v>62</v>
      </c>
      <c r="M127" s="6" t="s">
        <v>1412</v>
      </c>
      <c r="N127" s="6" t="s">
        <v>130</v>
      </c>
      <c r="O127" s="6" t="s">
        <v>1413</v>
      </c>
      <c r="P127" s="6" t="s">
        <v>1414</v>
      </c>
      <c r="Q127" s="6" t="s">
        <v>1415</v>
      </c>
      <c r="R127" s="7" t="s">
        <v>134</v>
      </c>
      <c r="S127" s="6" t="s">
        <v>1416</v>
      </c>
      <c r="T127" s="7" t="s">
        <v>136</v>
      </c>
      <c r="U127" s="7" t="s">
        <v>1417</v>
      </c>
      <c r="V127" s="6" t="s">
        <v>1418</v>
      </c>
      <c r="W127" s="6" t="s">
        <v>160</v>
      </c>
      <c r="X127" s="7" t="s">
        <v>44</v>
      </c>
      <c r="Y127" s="19" t="s">
        <v>9</v>
      </c>
      <c r="Z127" s="6" t="s">
        <v>1419</v>
      </c>
    </row>
    <row r="128" customFormat="false" ht="57" hidden="false" customHeight="true" outlineLevel="0" collapsed="false">
      <c r="A128" s="7" t="s">
        <v>1420</v>
      </c>
      <c r="B128" s="6" t="s">
        <v>1407</v>
      </c>
      <c r="C128" s="7" t="s">
        <v>38</v>
      </c>
      <c r="D128" s="7" t="s">
        <v>99</v>
      </c>
      <c r="E128" s="7" t="s">
        <v>1408</v>
      </c>
      <c r="F128" s="6" t="s">
        <v>1409</v>
      </c>
      <c r="G128" s="6" t="s">
        <v>1421</v>
      </c>
      <c r="H128" s="6" t="s">
        <v>1422</v>
      </c>
      <c r="I128" s="7" t="s">
        <v>59</v>
      </c>
      <c r="J128" s="15" t="s">
        <v>17</v>
      </c>
      <c r="K128" s="19" t="n">
        <v>3</v>
      </c>
      <c r="L128" s="7" t="s">
        <v>62</v>
      </c>
      <c r="M128" s="6" t="s">
        <v>1423</v>
      </c>
      <c r="N128" s="6" t="s">
        <v>130</v>
      </c>
      <c r="O128" s="6" t="s">
        <v>1424</v>
      </c>
      <c r="P128" s="6" t="s">
        <v>1425</v>
      </c>
      <c r="Q128" s="6" t="s">
        <v>1426</v>
      </c>
      <c r="R128" s="7" t="s">
        <v>134</v>
      </c>
      <c r="S128" s="6" t="s">
        <v>1416</v>
      </c>
      <c r="T128" s="7" t="s">
        <v>136</v>
      </c>
      <c r="U128" s="7" t="s">
        <v>1417</v>
      </c>
      <c r="V128" s="6" t="s">
        <v>138</v>
      </c>
      <c r="W128" s="6" t="s">
        <v>160</v>
      </c>
      <c r="X128" s="7" t="s">
        <v>44</v>
      </c>
      <c r="Y128" s="17" t="s">
        <v>7</v>
      </c>
      <c r="Z128" s="6" t="s">
        <v>1427</v>
      </c>
    </row>
    <row r="129" customFormat="false" ht="45.75" hidden="false" customHeight="true" outlineLevel="0" collapsed="false">
      <c r="A129" s="7" t="s">
        <v>1428</v>
      </c>
      <c r="B129" s="6" t="s">
        <v>1429</v>
      </c>
      <c r="C129" s="7" t="s">
        <v>38</v>
      </c>
      <c r="D129" s="7" t="s">
        <v>99</v>
      </c>
      <c r="E129" s="7" t="s">
        <v>1430</v>
      </c>
      <c r="F129" s="6" t="s">
        <v>1431</v>
      </c>
      <c r="G129" s="6" t="s">
        <v>1432</v>
      </c>
      <c r="H129" s="6" t="s">
        <v>1433</v>
      </c>
      <c r="I129" s="7" t="s">
        <v>53</v>
      </c>
      <c r="J129" s="15" t="s">
        <v>16</v>
      </c>
      <c r="K129" s="18" t="n">
        <v>2</v>
      </c>
      <c r="L129" s="7" t="s">
        <v>62</v>
      </c>
      <c r="M129" s="6" t="s">
        <v>1434</v>
      </c>
      <c r="N129" s="6" t="s">
        <v>130</v>
      </c>
      <c r="O129" s="6" t="s">
        <v>1435</v>
      </c>
      <c r="P129" s="6" t="s">
        <v>1436</v>
      </c>
      <c r="Q129" s="6" t="s">
        <v>1437</v>
      </c>
      <c r="R129" s="7" t="s">
        <v>134</v>
      </c>
      <c r="S129" s="6" t="s">
        <v>1438</v>
      </c>
      <c r="T129" s="7" t="s">
        <v>136</v>
      </c>
      <c r="U129" s="7" t="s">
        <v>1439</v>
      </c>
      <c r="V129" s="6" t="s">
        <v>138</v>
      </c>
      <c r="W129" s="6" t="s">
        <v>160</v>
      </c>
      <c r="X129" s="7" t="s">
        <v>44</v>
      </c>
      <c r="Y129" s="17" t="s">
        <v>7</v>
      </c>
      <c r="Z129" s="6" t="s">
        <v>1440</v>
      </c>
    </row>
    <row r="130" customFormat="false" ht="45.75" hidden="false" customHeight="true" outlineLevel="0" collapsed="false">
      <c r="A130" s="7" t="s">
        <v>1441</v>
      </c>
      <c r="B130" s="6" t="s">
        <v>1429</v>
      </c>
      <c r="C130" s="7" t="s">
        <v>38</v>
      </c>
      <c r="D130" s="7" t="s">
        <v>99</v>
      </c>
      <c r="E130" s="7" t="s">
        <v>1430</v>
      </c>
      <c r="F130" s="6" t="s">
        <v>1431</v>
      </c>
      <c r="G130" s="6" t="s">
        <v>1442</v>
      </c>
      <c r="H130" s="6" t="s">
        <v>1443</v>
      </c>
      <c r="I130" s="7" t="s">
        <v>53</v>
      </c>
      <c r="J130" s="15" t="s">
        <v>16</v>
      </c>
      <c r="K130" s="18" t="n">
        <v>2</v>
      </c>
      <c r="L130" s="7" t="s">
        <v>62</v>
      </c>
      <c r="M130" s="6" t="s">
        <v>1434</v>
      </c>
      <c r="N130" s="6" t="s">
        <v>130</v>
      </c>
      <c r="O130" s="6" t="s">
        <v>1444</v>
      </c>
      <c r="P130" s="6" t="s">
        <v>1445</v>
      </c>
      <c r="Q130" s="6" t="s">
        <v>1446</v>
      </c>
      <c r="R130" s="7" t="s">
        <v>134</v>
      </c>
      <c r="S130" s="6" t="s">
        <v>1438</v>
      </c>
      <c r="T130" s="7" t="s">
        <v>136</v>
      </c>
      <c r="U130" s="7" t="s">
        <v>1439</v>
      </c>
      <c r="V130" s="6" t="s">
        <v>138</v>
      </c>
      <c r="W130" s="6" t="s">
        <v>160</v>
      </c>
      <c r="X130" s="7" t="s">
        <v>44</v>
      </c>
      <c r="Y130" s="17" t="s">
        <v>7</v>
      </c>
      <c r="Z130" s="6" t="s">
        <v>1447</v>
      </c>
    </row>
    <row r="131" customFormat="false" ht="68.25" hidden="false" customHeight="true" outlineLevel="0" collapsed="false">
      <c r="A131" s="7" t="s">
        <v>1448</v>
      </c>
      <c r="B131" s="6" t="s">
        <v>1449</v>
      </c>
      <c r="C131" s="7" t="s">
        <v>40</v>
      </c>
      <c r="D131" s="7" t="s">
        <v>99</v>
      </c>
      <c r="E131" s="7" t="s">
        <v>1450</v>
      </c>
      <c r="F131" s="6" t="s">
        <v>1451</v>
      </c>
      <c r="G131" s="6" t="s">
        <v>1452</v>
      </c>
      <c r="H131" s="6" t="s">
        <v>1453</v>
      </c>
      <c r="I131" s="7" t="s">
        <v>59</v>
      </c>
      <c r="J131" s="15" t="s">
        <v>16</v>
      </c>
      <c r="K131" s="18" t="n">
        <v>2</v>
      </c>
      <c r="L131" s="7" t="s">
        <v>62</v>
      </c>
      <c r="M131" s="6" t="s">
        <v>1454</v>
      </c>
      <c r="N131" s="6" t="s">
        <v>130</v>
      </c>
      <c r="O131" s="6" t="s">
        <v>1455</v>
      </c>
      <c r="P131" s="6" t="s">
        <v>1456</v>
      </c>
      <c r="Q131" s="6" t="s">
        <v>1457</v>
      </c>
      <c r="R131" s="7" t="s">
        <v>134</v>
      </c>
      <c r="S131" s="6" t="s">
        <v>1458</v>
      </c>
      <c r="T131" s="7" t="s">
        <v>136</v>
      </c>
      <c r="U131" s="7" t="s">
        <v>1459</v>
      </c>
      <c r="V131" s="6" t="s">
        <v>138</v>
      </c>
      <c r="W131" s="6" t="s">
        <v>160</v>
      </c>
      <c r="X131" s="7" t="s">
        <v>44</v>
      </c>
      <c r="Y131" s="17" t="s">
        <v>7</v>
      </c>
      <c r="Z131" s="6" t="s">
        <v>1460</v>
      </c>
    </row>
    <row r="132" customFormat="false" ht="68.25" hidden="false" customHeight="true" outlineLevel="0" collapsed="false">
      <c r="A132" s="7" t="s">
        <v>1461</v>
      </c>
      <c r="B132" s="6" t="s">
        <v>1449</v>
      </c>
      <c r="C132" s="7" t="s">
        <v>40</v>
      </c>
      <c r="D132" s="7" t="s">
        <v>99</v>
      </c>
      <c r="E132" s="7" t="s">
        <v>1450</v>
      </c>
      <c r="F132" s="6" t="s">
        <v>1451</v>
      </c>
      <c r="G132" s="6" t="s">
        <v>1462</v>
      </c>
      <c r="H132" s="6" t="s">
        <v>1463</v>
      </c>
      <c r="I132" s="7" t="s">
        <v>59</v>
      </c>
      <c r="J132" s="15" t="s">
        <v>16</v>
      </c>
      <c r="K132" s="18" t="n">
        <v>2</v>
      </c>
      <c r="L132" s="7" t="s">
        <v>62</v>
      </c>
      <c r="M132" s="6" t="s">
        <v>1454</v>
      </c>
      <c r="N132" s="6" t="s">
        <v>130</v>
      </c>
      <c r="O132" s="6" t="s">
        <v>1464</v>
      </c>
      <c r="P132" s="6" t="s">
        <v>1465</v>
      </c>
      <c r="Q132" s="6" t="s">
        <v>1466</v>
      </c>
      <c r="R132" s="7" t="s">
        <v>134</v>
      </c>
      <c r="S132" s="6" t="s">
        <v>1458</v>
      </c>
      <c r="T132" s="7" t="s">
        <v>136</v>
      </c>
      <c r="U132" s="7" t="s">
        <v>1459</v>
      </c>
      <c r="V132" s="6" t="s">
        <v>138</v>
      </c>
      <c r="W132" s="6" t="s">
        <v>160</v>
      </c>
      <c r="X132" s="7" t="s">
        <v>44</v>
      </c>
      <c r="Y132" s="17" t="s">
        <v>7</v>
      </c>
      <c r="Z132" s="6" t="s">
        <v>1467</v>
      </c>
    </row>
    <row r="133" customFormat="false" ht="79.5" hidden="false" customHeight="true" outlineLevel="0" collapsed="false">
      <c r="A133" s="7" t="s">
        <v>1468</v>
      </c>
      <c r="B133" s="6" t="s">
        <v>1449</v>
      </c>
      <c r="C133" s="7" t="s">
        <v>40</v>
      </c>
      <c r="D133" s="7" t="s">
        <v>99</v>
      </c>
      <c r="E133" s="7" t="s">
        <v>1450</v>
      </c>
      <c r="F133" s="6" t="s">
        <v>1451</v>
      </c>
      <c r="G133" s="6" t="s">
        <v>1469</v>
      </c>
      <c r="H133" s="6" t="s">
        <v>1470</v>
      </c>
      <c r="I133" s="7" t="s">
        <v>54</v>
      </c>
      <c r="J133" s="15" t="s">
        <v>17</v>
      </c>
      <c r="K133" s="19" t="n">
        <v>3</v>
      </c>
      <c r="L133" s="7" t="s">
        <v>63</v>
      </c>
      <c r="M133" s="6" t="s">
        <v>1454</v>
      </c>
      <c r="N133" s="6" t="s">
        <v>130</v>
      </c>
      <c r="O133" s="6" t="s">
        <v>1471</v>
      </c>
      <c r="P133" s="6" t="s">
        <v>1472</v>
      </c>
      <c r="Q133" s="6" t="s">
        <v>1473</v>
      </c>
      <c r="R133" s="7" t="s">
        <v>134</v>
      </c>
      <c r="S133" s="6" t="s">
        <v>1458</v>
      </c>
      <c r="T133" s="7" t="s">
        <v>136</v>
      </c>
      <c r="U133" s="7" t="s">
        <v>1459</v>
      </c>
      <c r="V133" s="6" t="s">
        <v>1474</v>
      </c>
      <c r="W133" s="6" t="s">
        <v>160</v>
      </c>
      <c r="X133" s="7" t="s">
        <v>44</v>
      </c>
      <c r="Y133" s="19" t="s">
        <v>9</v>
      </c>
      <c r="Z133" s="6" t="s">
        <v>1475</v>
      </c>
    </row>
    <row r="134" customFormat="false" ht="45.75" hidden="false" customHeight="true" outlineLevel="0" collapsed="false">
      <c r="A134" s="7" t="s">
        <v>1476</v>
      </c>
      <c r="B134" s="6" t="s">
        <v>1477</v>
      </c>
      <c r="C134" s="7" t="s">
        <v>38</v>
      </c>
      <c r="D134" s="7" t="s">
        <v>99</v>
      </c>
      <c r="E134" s="7" t="s">
        <v>1478</v>
      </c>
      <c r="F134" s="6" t="s">
        <v>1479</v>
      </c>
      <c r="G134" s="6" t="s">
        <v>1480</v>
      </c>
      <c r="H134" s="6" t="s">
        <v>1481</v>
      </c>
      <c r="I134" s="7" t="s">
        <v>54</v>
      </c>
      <c r="J134" s="15" t="s">
        <v>16</v>
      </c>
      <c r="K134" s="18" t="n">
        <v>2</v>
      </c>
      <c r="L134" s="7" t="s">
        <v>63</v>
      </c>
      <c r="M134" s="6" t="s">
        <v>1482</v>
      </c>
      <c r="N134" s="6" t="s">
        <v>130</v>
      </c>
      <c r="O134" s="6" t="s">
        <v>1483</v>
      </c>
      <c r="P134" s="6" t="s">
        <v>1484</v>
      </c>
      <c r="Q134" s="6" t="s">
        <v>1485</v>
      </c>
      <c r="R134" s="7" t="s">
        <v>134</v>
      </c>
      <c r="S134" s="6" t="s">
        <v>1486</v>
      </c>
      <c r="T134" s="7" t="s">
        <v>136</v>
      </c>
      <c r="U134" s="7" t="s">
        <v>1487</v>
      </c>
      <c r="V134" s="6" t="s">
        <v>1488</v>
      </c>
      <c r="W134" s="6" t="s">
        <v>160</v>
      </c>
      <c r="X134" s="7" t="s">
        <v>44</v>
      </c>
      <c r="Y134" s="19" t="s">
        <v>9</v>
      </c>
      <c r="Z134" s="6" t="s">
        <v>1489</v>
      </c>
    </row>
    <row r="135" customFormat="false" ht="45.75" hidden="false" customHeight="true" outlineLevel="0" collapsed="false">
      <c r="A135" s="7" t="s">
        <v>1490</v>
      </c>
      <c r="B135" s="6" t="s">
        <v>1477</v>
      </c>
      <c r="C135" s="7" t="s">
        <v>38</v>
      </c>
      <c r="D135" s="7" t="s">
        <v>99</v>
      </c>
      <c r="E135" s="7" t="s">
        <v>1478</v>
      </c>
      <c r="F135" s="6" t="s">
        <v>1479</v>
      </c>
      <c r="G135" s="6" t="s">
        <v>1491</v>
      </c>
      <c r="H135" s="6" t="s">
        <v>1492</v>
      </c>
      <c r="I135" s="7" t="s">
        <v>53</v>
      </c>
      <c r="J135" s="15" t="s">
        <v>17</v>
      </c>
      <c r="K135" s="19" t="n">
        <v>3</v>
      </c>
      <c r="L135" s="7" t="s">
        <v>62</v>
      </c>
      <c r="M135" s="6" t="s">
        <v>1482</v>
      </c>
      <c r="N135" s="6" t="s">
        <v>130</v>
      </c>
      <c r="O135" s="6" t="s">
        <v>1493</v>
      </c>
      <c r="P135" s="6" t="s">
        <v>1494</v>
      </c>
      <c r="Q135" s="6" t="s">
        <v>1495</v>
      </c>
      <c r="R135" s="7" t="s">
        <v>134</v>
      </c>
      <c r="S135" s="6" t="s">
        <v>1486</v>
      </c>
      <c r="T135" s="7" t="s">
        <v>136</v>
      </c>
      <c r="U135" s="7" t="s">
        <v>1487</v>
      </c>
      <c r="V135" s="6" t="s">
        <v>138</v>
      </c>
      <c r="W135" s="6" t="s">
        <v>160</v>
      </c>
      <c r="X135" s="7" t="s">
        <v>44</v>
      </c>
      <c r="Y135" s="17" t="s">
        <v>7</v>
      </c>
      <c r="Z135" s="6" t="s">
        <v>1496</v>
      </c>
    </row>
    <row r="136" customFormat="false" ht="57" hidden="false" customHeight="true" outlineLevel="0" collapsed="false">
      <c r="A136" s="7" t="s">
        <v>1497</v>
      </c>
      <c r="B136" s="6" t="s">
        <v>1498</v>
      </c>
      <c r="C136" s="7" t="s">
        <v>38</v>
      </c>
      <c r="D136" s="7" t="s">
        <v>100</v>
      </c>
      <c r="E136" s="7" t="s">
        <v>1499</v>
      </c>
      <c r="F136" s="6" t="s">
        <v>1500</v>
      </c>
      <c r="G136" s="6" t="s">
        <v>1501</v>
      </c>
      <c r="H136" s="6" t="s">
        <v>1502</v>
      </c>
      <c r="I136" s="7" t="s">
        <v>53</v>
      </c>
      <c r="J136" s="15" t="s">
        <v>17</v>
      </c>
      <c r="K136" s="18" t="n">
        <v>2</v>
      </c>
      <c r="L136" s="7" t="s">
        <v>62</v>
      </c>
      <c r="M136" s="6" t="s">
        <v>1072</v>
      </c>
      <c r="N136" s="6" t="s">
        <v>130</v>
      </c>
      <c r="O136" s="6" t="s">
        <v>1503</v>
      </c>
      <c r="P136" s="6" t="s">
        <v>1504</v>
      </c>
      <c r="Q136" s="6" t="s">
        <v>1505</v>
      </c>
      <c r="R136" s="7" t="s">
        <v>134</v>
      </c>
      <c r="S136" s="6" t="s">
        <v>1506</v>
      </c>
      <c r="T136" s="7" t="s">
        <v>136</v>
      </c>
      <c r="U136" s="7" t="s">
        <v>1507</v>
      </c>
      <c r="V136" s="6" t="s">
        <v>879</v>
      </c>
      <c r="W136" s="6" t="s">
        <v>160</v>
      </c>
      <c r="X136" s="7" t="s">
        <v>44</v>
      </c>
      <c r="Y136" s="19" t="s">
        <v>9</v>
      </c>
      <c r="Z136" s="6" t="s">
        <v>1508</v>
      </c>
    </row>
    <row r="137" customFormat="false" ht="57" hidden="false" customHeight="true" outlineLevel="0" collapsed="false">
      <c r="A137" s="7" t="s">
        <v>1509</v>
      </c>
      <c r="B137" s="6" t="s">
        <v>1498</v>
      </c>
      <c r="C137" s="7" t="s">
        <v>38</v>
      </c>
      <c r="D137" s="7" t="s">
        <v>100</v>
      </c>
      <c r="E137" s="7" t="s">
        <v>1499</v>
      </c>
      <c r="F137" s="6" t="s">
        <v>1500</v>
      </c>
      <c r="G137" s="6" t="s">
        <v>1510</v>
      </c>
      <c r="H137" s="6" t="s">
        <v>1511</v>
      </c>
      <c r="I137" s="7" t="s">
        <v>54</v>
      </c>
      <c r="J137" s="15" t="s">
        <v>18</v>
      </c>
      <c r="K137" s="19" t="n">
        <v>3</v>
      </c>
      <c r="L137" s="7" t="s">
        <v>63</v>
      </c>
      <c r="M137" s="6" t="s">
        <v>1512</v>
      </c>
      <c r="N137" s="6" t="s">
        <v>130</v>
      </c>
      <c r="O137" s="6" t="s">
        <v>1513</v>
      </c>
      <c r="P137" s="6" t="s">
        <v>1514</v>
      </c>
      <c r="Q137" s="6" t="s">
        <v>1515</v>
      </c>
      <c r="R137" s="7" t="s">
        <v>134</v>
      </c>
      <c r="S137" s="6" t="s">
        <v>1506</v>
      </c>
      <c r="T137" s="7" t="s">
        <v>136</v>
      </c>
      <c r="U137" s="7" t="s">
        <v>1507</v>
      </c>
      <c r="V137" s="6" t="s">
        <v>879</v>
      </c>
      <c r="W137" s="6" t="s">
        <v>160</v>
      </c>
      <c r="X137" s="7" t="s">
        <v>44</v>
      </c>
      <c r="Y137" s="19" t="s">
        <v>9</v>
      </c>
      <c r="Z137" s="6" t="s">
        <v>1516</v>
      </c>
    </row>
    <row r="138" customFormat="false" ht="45.75" hidden="false" customHeight="true" outlineLevel="0" collapsed="false">
      <c r="A138" s="7" t="s">
        <v>1517</v>
      </c>
      <c r="B138" s="6" t="s">
        <v>1518</v>
      </c>
      <c r="C138" s="7" t="s">
        <v>38</v>
      </c>
      <c r="D138" s="7" t="s">
        <v>100</v>
      </c>
      <c r="E138" s="7" t="s">
        <v>1519</v>
      </c>
      <c r="F138" s="6" t="s">
        <v>1520</v>
      </c>
      <c r="G138" s="6" t="s">
        <v>1521</v>
      </c>
      <c r="H138" s="6" t="s">
        <v>1522</v>
      </c>
      <c r="I138" s="7" t="s">
        <v>48</v>
      </c>
      <c r="J138" s="15" t="s">
        <v>17</v>
      </c>
      <c r="K138" s="18" t="n">
        <v>2</v>
      </c>
      <c r="L138" s="7" t="s">
        <v>64</v>
      </c>
      <c r="M138" s="6" t="s">
        <v>1523</v>
      </c>
      <c r="N138" s="6" t="s">
        <v>130</v>
      </c>
      <c r="O138" s="6" t="s">
        <v>502</v>
      </c>
      <c r="P138" s="6" t="s">
        <v>1524</v>
      </c>
      <c r="Q138" s="6" t="s">
        <v>1525</v>
      </c>
      <c r="R138" s="7" t="s">
        <v>134</v>
      </c>
      <c r="S138" s="6" t="s">
        <v>1526</v>
      </c>
      <c r="T138" s="7" t="s">
        <v>256</v>
      </c>
      <c r="U138" s="7" t="s">
        <v>1527</v>
      </c>
      <c r="V138" s="6" t="s">
        <v>1528</v>
      </c>
      <c r="W138" s="6" t="s">
        <v>160</v>
      </c>
      <c r="X138" s="7" t="s">
        <v>44</v>
      </c>
      <c r="Y138" s="19" t="s">
        <v>9</v>
      </c>
      <c r="Z138" s="6" t="s">
        <v>1529</v>
      </c>
    </row>
    <row r="139" customFormat="false" ht="45.75" hidden="false" customHeight="true" outlineLevel="0" collapsed="false">
      <c r="A139" s="7" t="s">
        <v>1530</v>
      </c>
      <c r="B139" s="6" t="s">
        <v>1518</v>
      </c>
      <c r="C139" s="7" t="s">
        <v>38</v>
      </c>
      <c r="D139" s="7" t="s">
        <v>100</v>
      </c>
      <c r="E139" s="7" t="s">
        <v>1519</v>
      </c>
      <c r="F139" s="6" t="s">
        <v>1520</v>
      </c>
      <c r="G139" s="6" t="s">
        <v>1531</v>
      </c>
      <c r="H139" s="6" t="s">
        <v>1532</v>
      </c>
      <c r="I139" s="7" t="s">
        <v>48</v>
      </c>
      <c r="J139" s="15" t="s">
        <v>17</v>
      </c>
      <c r="K139" s="18" t="n">
        <v>2</v>
      </c>
      <c r="L139" s="7" t="s">
        <v>64</v>
      </c>
      <c r="M139" s="6" t="s">
        <v>1523</v>
      </c>
      <c r="N139" s="6" t="s">
        <v>130</v>
      </c>
      <c r="O139" s="6" t="s">
        <v>1533</v>
      </c>
      <c r="P139" s="6" t="s">
        <v>1534</v>
      </c>
      <c r="Q139" s="6" t="s">
        <v>1535</v>
      </c>
      <c r="R139" s="7" t="s">
        <v>134</v>
      </c>
      <c r="S139" s="6" t="s">
        <v>1526</v>
      </c>
      <c r="T139" s="7" t="s">
        <v>256</v>
      </c>
      <c r="U139" s="7" t="s">
        <v>1527</v>
      </c>
      <c r="V139" s="6" t="s">
        <v>1528</v>
      </c>
      <c r="W139" s="6" t="s">
        <v>160</v>
      </c>
      <c r="X139" s="7" t="s">
        <v>44</v>
      </c>
      <c r="Y139" s="19" t="s">
        <v>9</v>
      </c>
      <c r="Z139" s="6" t="s">
        <v>1536</v>
      </c>
    </row>
    <row r="140" customFormat="false" ht="45.75" hidden="false" customHeight="true" outlineLevel="0" collapsed="false">
      <c r="A140" s="7" t="s">
        <v>1537</v>
      </c>
      <c r="B140" s="6" t="s">
        <v>1518</v>
      </c>
      <c r="C140" s="7" t="s">
        <v>38</v>
      </c>
      <c r="D140" s="7" t="s">
        <v>100</v>
      </c>
      <c r="E140" s="7" t="s">
        <v>1519</v>
      </c>
      <c r="F140" s="6" t="s">
        <v>1520</v>
      </c>
      <c r="G140" s="6" t="s">
        <v>1538</v>
      </c>
      <c r="H140" s="6" t="s">
        <v>1539</v>
      </c>
      <c r="I140" s="7" t="s">
        <v>53</v>
      </c>
      <c r="J140" s="15" t="s">
        <v>18</v>
      </c>
      <c r="K140" s="19" t="n">
        <v>3</v>
      </c>
      <c r="L140" s="7" t="s">
        <v>62</v>
      </c>
      <c r="M140" s="6" t="s">
        <v>1540</v>
      </c>
      <c r="N140" s="6" t="s">
        <v>130</v>
      </c>
      <c r="O140" s="6" t="s">
        <v>1541</v>
      </c>
      <c r="P140" s="6" t="s">
        <v>1542</v>
      </c>
      <c r="Q140" s="6" t="s">
        <v>1543</v>
      </c>
      <c r="R140" s="7" t="s">
        <v>134</v>
      </c>
      <c r="S140" s="6" t="s">
        <v>1526</v>
      </c>
      <c r="T140" s="7" t="s">
        <v>136</v>
      </c>
      <c r="U140" s="7" t="s">
        <v>1527</v>
      </c>
      <c r="V140" s="6" t="s">
        <v>1528</v>
      </c>
      <c r="W140" s="6" t="s">
        <v>160</v>
      </c>
      <c r="X140" s="7" t="s">
        <v>44</v>
      </c>
      <c r="Y140" s="19" t="s">
        <v>9</v>
      </c>
      <c r="Z140" s="6" t="s">
        <v>1544</v>
      </c>
    </row>
    <row r="141" customFormat="false" ht="57" hidden="false" customHeight="true" outlineLevel="0" collapsed="false">
      <c r="A141" s="7" t="s">
        <v>1545</v>
      </c>
      <c r="B141" s="6" t="s">
        <v>1546</v>
      </c>
      <c r="C141" s="7" t="s">
        <v>40</v>
      </c>
      <c r="D141" s="7" t="s">
        <v>100</v>
      </c>
      <c r="E141" s="7" t="s">
        <v>1547</v>
      </c>
      <c r="F141" s="6" t="s">
        <v>1548</v>
      </c>
      <c r="G141" s="6" t="s">
        <v>1549</v>
      </c>
      <c r="H141" s="6" t="s">
        <v>1550</v>
      </c>
      <c r="I141" s="7" t="s">
        <v>49</v>
      </c>
      <c r="J141" s="15" t="s">
        <v>16</v>
      </c>
      <c r="K141" s="16" t="n">
        <v>1</v>
      </c>
      <c r="L141" s="7" t="s">
        <v>62</v>
      </c>
      <c r="M141" s="6" t="s">
        <v>1551</v>
      </c>
      <c r="N141" s="6" t="s">
        <v>130</v>
      </c>
      <c r="O141" s="6" t="s">
        <v>1552</v>
      </c>
      <c r="P141" s="6" t="s">
        <v>1553</v>
      </c>
      <c r="Q141" s="6" t="s">
        <v>1554</v>
      </c>
      <c r="R141" s="7" t="s">
        <v>134</v>
      </c>
      <c r="S141" s="6" t="s">
        <v>1555</v>
      </c>
      <c r="T141" s="7" t="s">
        <v>269</v>
      </c>
      <c r="U141" s="7" t="s">
        <v>1556</v>
      </c>
      <c r="V141" s="6" t="s">
        <v>357</v>
      </c>
      <c r="W141" s="6" t="s">
        <v>160</v>
      </c>
      <c r="X141" s="7" t="s">
        <v>44</v>
      </c>
      <c r="Y141" s="19" t="s">
        <v>9</v>
      </c>
      <c r="Z141" s="6" t="s">
        <v>1557</v>
      </c>
    </row>
    <row r="142" customFormat="false" ht="57" hidden="false" customHeight="true" outlineLevel="0" collapsed="false">
      <c r="A142" s="7" t="s">
        <v>1558</v>
      </c>
      <c r="B142" s="6" t="s">
        <v>1546</v>
      </c>
      <c r="C142" s="7" t="s">
        <v>40</v>
      </c>
      <c r="D142" s="7" t="s">
        <v>100</v>
      </c>
      <c r="E142" s="7" t="s">
        <v>1547</v>
      </c>
      <c r="F142" s="6" t="s">
        <v>1548</v>
      </c>
      <c r="G142" s="6" t="s">
        <v>1559</v>
      </c>
      <c r="H142" s="6" t="s">
        <v>1560</v>
      </c>
      <c r="I142" s="7" t="s">
        <v>54</v>
      </c>
      <c r="J142" s="15" t="s">
        <v>16</v>
      </c>
      <c r="K142" s="16" t="n">
        <v>1</v>
      </c>
      <c r="L142" s="7" t="s">
        <v>63</v>
      </c>
      <c r="M142" s="6" t="s">
        <v>1561</v>
      </c>
      <c r="N142" s="6" t="s">
        <v>130</v>
      </c>
      <c r="O142" s="6" t="s">
        <v>1552</v>
      </c>
      <c r="P142" s="6" t="s">
        <v>1562</v>
      </c>
      <c r="Q142" s="6" t="s">
        <v>1563</v>
      </c>
      <c r="R142" s="7" t="s">
        <v>134</v>
      </c>
      <c r="S142" s="6" t="s">
        <v>1555</v>
      </c>
      <c r="T142" s="7" t="s">
        <v>269</v>
      </c>
      <c r="U142" s="7" t="s">
        <v>1556</v>
      </c>
      <c r="V142" s="6" t="s">
        <v>357</v>
      </c>
      <c r="W142" s="6" t="s">
        <v>160</v>
      </c>
      <c r="X142" s="7" t="s">
        <v>44</v>
      </c>
      <c r="Y142" s="19" t="s">
        <v>9</v>
      </c>
      <c r="Z142" s="6" t="s">
        <v>1564</v>
      </c>
    </row>
    <row r="143" customFormat="false" ht="45.75" hidden="false" customHeight="true" outlineLevel="0" collapsed="false">
      <c r="A143" s="7" t="s">
        <v>1565</v>
      </c>
      <c r="B143" s="6" t="s">
        <v>1566</v>
      </c>
      <c r="C143" s="7" t="s">
        <v>38</v>
      </c>
      <c r="D143" s="7" t="s">
        <v>100</v>
      </c>
      <c r="E143" s="7" t="s">
        <v>1567</v>
      </c>
      <c r="F143" s="6" t="s">
        <v>1568</v>
      </c>
      <c r="G143" s="6" t="s">
        <v>1569</v>
      </c>
      <c r="H143" s="6" t="s">
        <v>1570</v>
      </c>
      <c r="I143" s="7" t="s">
        <v>49</v>
      </c>
      <c r="J143" s="15" t="s">
        <v>16</v>
      </c>
      <c r="K143" s="16" t="n">
        <v>1</v>
      </c>
      <c r="L143" s="7" t="s">
        <v>63</v>
      </c>
      <c r="M143" s="6" t="s">
        <v>1571</v>
      </c>
      <c r="N143" s="6" t="s">
        <v>130</v>
      </c>
      <c r="O143" s="6" t="s">
        <v>1572</v>
      </c>
      <c r="P143" s="6" t="s">
        <v>1573</v>
      </c>
      <c r="Q143" s="6" t="s">
        <v>1574</v>
      </c>
      <c r="R143" s="7" t="s">
        <v>134</v>
      </c>
      <c r="S143" s="6" t="s">
        <v>1575</v>
      </c>
      <c r="T143" s="7" t="s">
        <v>269</v>
      </c>
      <c r="U143" s="7" t="s">
        <v>1576</v>
      </c>
      <c r="V143" s="6" t="s">
        <v>1577</v>
      </c>
      <c r="W143" s="6" t="s">
        <v>160</v>
      </c>
      <c r="X143" s="7" t="s">
        <v>44</v>
      </c>
      <c r="Y143" s="19" t="s">
        <v>9</v>
      </c>
      <c r="Z143" s="6" t="s">
        <v>1578</v>
      </c>
    </row>
    <row r="144" customFormat="false" ht="45.75" hidden="false" customHeight="true" outlineLevel="0" collapsed="false">
      <c r="A144" s="7" t="s">
        <v>1579</v>
      </c>
      <c r="B144" s="6" t="s">
        <v>1566</v>
      </c>
      <c r="C144" s="7" t="s">
        <v>38</v>
      </c>
      <c r="D144" s="7" t="s">
        <v>100</v>
      </c>
      <c r="E144" s="7" t="s">
        <v>1567</v>
      </c>
      <c r="F144" s="6" t="s">
        <v>1568</v>
      </c>
      <c r="G144" s="6" t="s">
        <v>1580</v>
      </c>
      <c r="H144" s="6" t="s">
        <v>1581</v>
      </c>
      <c r="I144" s="7" t="s">
        <v>49</v>
      </c>
      <c r="J144" s="15" t="s">
        <v>16</v>
      </c>
      <c r="K144" s="16" t="n">
        <v>1</v>
      </c>
      <c r="L144" s="7" t="s">
        <v>63</v>
      </c>
      <c r="M144" s="6" t="s">
        <v>1571</v>
      </c>
      <c r="N144" s="6" t="s">
        <v>130</v>
      </c>
      <c r="O144" s="6" t="s">
        <v>1582</v>
      </c>
      <c r="P144" s="6" t="s">
        <v>1583</v>
      </c>
      <c r="Q144" s="6" t="s">
        <v>1584</v>
      </c>
      <c r="R144" s="7" t="s">
        <v>134</v>
      </c>
      <c r="S144" s="6" t="s">
        <v>1575</v>
      </c>
      <c r="T144" s="7" t="s">
        <v>269</v>
      </c>
      <c r="U144" s="7" t="s">
        <v>1576</v>
      </c>
      <c r="V144" s="6" t="s">
        <v>1577</v>
      </c>
      <c r="W144" s="6" t="s">
        <v>160</v>
      </c>
      <c r="X144" s="7" t="s">
        <v>44</v>
      </c>
      <c r="Y144" s="19" t="s">
        <v>9</v>
      </c>
      <c r="Z144" s="6" t="s">
        <v>1585</v>
      </c>
    </row>
    <row r="145" customFormat="false" ht="34.5" hidden="false" customHeight="true" outlineLevel="0" collapsed="false">
      <c r="A145" s="7" t="s">
        <v>1586</v>
      </c>
      <c r="B145" s="6" t="s">
        <v>1566</v>
      </c>
      <c r="C145" s="7" t="s">
        <v>38</v>
      </c>
      <c r="D145" s="7" t="s">
        <v>100</v>
      </c>
      <c r="E145" s="7" t="s">
        <v>1567</v>
      </c>
      <c r="F145" s="6" t="s">
        <v>1568</v>
      </c>
      <c r="G145" s="6" t="s">
        <v>1587</v>
      </c>
      <c r="H145" s="6" t="s">
        <v>1588</v>
      </c>
      <c r="I145" s="7" t="s">
        <v>53</v>
      </c>
      <c r="J145" s="15" t="s">
        <v>17</v>
      </c>
      <c r="K145" s="18" t="n">
        <v>2</v>
      </c>
      <c r="L145" s="7" t="s">
        <v>62</v>
      </c>
      <c r="M145" s="6" t="s">
        <v>1589</v>
      </c>
      <c r="N145" s="6" t="s">
        <v>130</v>
      </c>
      <c r="O145" s="6" t="s">
        <v>1590</v>
      </c>
      <c r="P145" s="6" t="s">
        <v>1591</v>
      </c>
      <c r="Q145" s="6" t="s">
        <v>1592</v>
      </c>
      <c r="R145" s="7" t="s">
        <v>134</v>
      </c>
      <c r="S145" s="6" t="s">
        <v>1575</v>
      </c>
      <c r="T145" s="7" t="s">
        <v>136</v>
      </c>
      <c r="U145" s="7" t="s">
        <v>1576</v>
      </c>
      <c r="V145" s="6" t="s">
        <v>138</v>
      </c>
      <c r="W145" s="6" t="s">
        <v>160</v>
      </c>
      <c r="X145" s="7" t="s">
        <v>44</v>
      </c>
      <c r="Y145" s="17" t="s">
        <v>7</v>
      </c>
      <c r="Z145" s="6" t="s">
        <v>1593</v>
      </c>
    </row>
    <row r="146" customFormat="false" ht="45.75" hidden="false" customHeight="true" outlineLevel="0" collapsed="false">
      <c r="A146" s="7" t="s">
        <v>1594</v>
      </c>
      <c r="B146" s="6" t="s">
        <v>1595</v>
      </c>
      <c r="C146" s="7" t="s">
        <v>38</v>
      </c>
      <c r="D146" s="7" t="s">
        <v>99</v>
      </c>
      <c r="E146" s="7" t="s">
        <v>1596</v>
      </c>
      <c r="F146" s="6" t="s">
        <v>1597</v>
      </c>
      <c r="G146" s="6" t="s">
        <v>1598</v>
      </c>
      <c r="H146" s="6" t="s">
        <v>1599</v>
      </c>
      <c r="I146" s="7" t="s">
        <v>51</v>
      </c>
      <c r="J146" s="15" t="s">
        <v>17</v>
      </c>
      <c r="K146" s="19" t="n">
        <v>3</v>
      </c>
      <c r="L146" s="7" t="s">
        <v>62</v>
      </c>
      <c r="M146" s="6" t="s">
        <v>1600</v>
      </c>
      <c r="N146" s="6" t="s">
        <v>130</v>
      </c>
      <c r="O146" s="6" t="s">
        <v>1601</v>
      </c>
      <c r="P146" s="6" t="s">
        <v>1602</v>
      </c>
      <c r="Q146" s="6" t="s">
        <v>1603</v>
      </c>
      <c r="R146" s="7" t="s">
        <v>134</v>
      </c>
      <c r="S146" s="6" t="s">
        <v>1604</v>
      </c>
      <c r="T146" s="7" t="s">
        <v>136</v>
      </c>
      <c r="U146" s="7" t="s">
        <v>1605</v>
      </c>
      <c r="V146" s="6" t="s">
        <v>138</v>
      </c>
      <c r="W146" s="6" t="s">
        <v>160</v>
      </c>
      <c r="X146" s="7" t="s">
        <v>44</v>
      </c>
      <c r="Y146" s="17" t="s">
        <v>7</v>
      </c>
      <c r="Z146" s="6" t="s">
        <v>1606</v>
      </c>
    </row>
    <row r="147" customFormat="false" ht="57" hidden="false" customHeight="true" outlineLevel="0" collapsed="false">
      <c r="A147" s="7" t="s">
        <v>1607</v>
      </c>
      <c r="B147" s="6" t="s">
        <v>1608</v>
      </c>
      <c r="C147" s="7" t="s">
        <v>40</v>
      </c>
      <c r="D147" s="7" t="s">
        <v>100</v>
      </c>
      <c r="E147" s="7" t="s">
        <v>1609</v>
      </c>
      <c r="F147" s="6" t="s">
        <v>1610</v>
      </c>
      <c r="G147" s="6" t="s">
        <v>1611</v>
      </c>
      <c r="H147" s="6" t="s">
        <v>1612</v>
      </c>
      <c r="I147" s="7" t="s">
        <v>59</v>
      </c>
      <c r="J147" s="15" t="s">
        <v>17</v>
      </c>
      <c r="K147" s="18" t="n">
        <v>2</v>
      </c>
      <c r="L147" s="7" t="s">
        <v>62</v>
      </c>
      <c r="M147" s="6" t="s">
        <v>1613</v>
      </c>
      <c r="N147" s="6" t="s">
        <v>130</v>
      </c>
      <c r="O147" s="6" t="s">
        <v>1614</v>
      </c>
      <c r="P147" s="6" t="s">
        <v>1615</v>
      </c>
      <c r="Q147" s="6" t="s">
        <v>1616</v>
      </c>
      <c r="R147" s="7" t="s">
        <v>134</v>
      </c>
      <c r="S147" s="6" t="s">
        <v>1617</v>
      </c>
      <c r="T147" s="7" t="s">
        <v>136</v>
      </c>
      <c r="U147" s="7" t="s">
        <v>1618</v>
      </c>
      <c r="V147" s="6" t="s">
        <v>138</v>
      </c>
      <c r="W147" s="6" t="s">
        <v>160</v>
      </c>
      <c r="X147" s="7" t="s">
        <v>44</v>
      </c>
      <c r="Y147" s="17" t="s">
        <v>7</v>
      </c>
      <c r="Z147" s="6" t="s">
        <v>1619</v>
      </c>
    </row>
    <row r="148" customFormat="false" ht="57" hidden="false" customHeight="true" outlineLevel="0" collapsed="false">
      <c r="A148" s="7" t="s">
        <v>1620</v>
      </c>
      <c r="B148" s="6" t="s">
        <v>1608</v>
      </c>
      <c r="C148" s="7" t="s">
        <v>40</v>
      </c>
      <c r="D148" s="7" t="s">
        <v>100</v>
      </c>
      <c r="E148" s="7" t="s">
        <v>1609</v>
      </c>
      <c r="F148" s="6" t="s">
        <v>1610</v>
      </c>
      <c r="G148" s="6" t="s">
        <v>1621</v>
      </c>
      <c r="H148" s="6" t="s">
        <v>1622</v>
      </c>
      <c r="I148" s="7" t="s">
        <v>59</v>
      </c>
      <c r="J148" s="15" t="s">
        <v>18</v>
      </c>
      <c r="K148" s="19" t="n">
        <v>3</v>
      </c>
      <c r="L148" s="7" t="s">
        <v>63</v>
      </c>
      <c r="M148" s="6" t="s">
        <v>1613</v>
      </c>
      <c r="N148" s="6" t="s">
        <v>130</v>
      </c>
      <c r="O148" s="6" t="s">
        <v>1623</v>
      </c>
      <c r="P148" s="6" t="s">
        <v>1624</v>
      </c>
      <c r="Q148" s="6" t="s">
        <v>1625</v>
      </c>
      <c r="R148" s="7" t="s">
        <v>134</v>
      </c>
      <c r="S148" s="6" t="s">
        <v>1617</v>
      </c>
      <c r="T148" s="7" t="s">
        <v>136</v>
      </c>
      <c r="U148" s="7" t="s">
        <v>1618</v>
      </c>
      <c r="V148" s="6" t="s">
        <v>700</v>
      </c>
      <c r="W148" s="6" t="s">
        <v>160</v>
      </c>
      <c r="X148" s="7" t="s">
        <v>44</v>
      </c>
      <c r="Y148" s="19" t="s">
        <v>9</v>
      </c>
      <c r="Z148" s="6" t="s">
        <v>1626</v>
      </c>
    </row>
    <row r="149" customFormat="false" ht="57" hidden="false" customHeight="true" outlineLevel="0" collapsed="false">
      <c r="A149" s="7" t="s">
        <v>1627</v>
      </c>
      <c r="B149" s="6" t="s">
        <v>1628</v>
      </c>
      <c r="C149" s="7" t="s">
        <v>40</v>
      </c>
      <c r="D149" s="7" t="s">
        <v>101</v>
      </c>
      <c r="E149" s="7" t="s">
        <v>1629</v>
      </c>
      <c r="F149" s="6" t="s">
        <v>1630</v>
      </c>
      <c r="G149" s="6" t="s">
        <v>1631</v>
      </c>
      <c r="H149" s="6" t="s">
        <v>1632</v>
      </c>
      <c r="I149" s="7" t="s">
        <v>50</v>
      </c>
      <c r="J149" s="15" t="s">
        <v>19</v>
      </c>
      <c r="K149" s="19" t="n">
        <v>3</v>
      </c>
      <c r="L149" s="7" t="s">
        <v>62</v>
      </c>
      <c r="M149" s="6" t="s">
        <v>1633</v>
      </c>
      <c r="N149" s="6" t="s">
        <v>176</v>
      </c>
      <c r="O149" s="6" t="s">
        <v>379</v>
      </c>
      <c r="P149" s="6" t="s">
        <v>1634</v>
      </c>
      <c r="Q149" s="6" t="s">
        <v>1635</v>
      </c>
      <c r="R149" s="7" t="s">
        <v>134</v>
      </c>
      <c r="S149" s="6" t="s">
        <v>1636</v>
      </c>
      <c r="T149" s="7" t="s">
        <v>136</v>
      </c>
      <c r="U149" s="7" t="s">
        <v>1637</v>
      </c>
      <c r="V149" s="6" t="s">
        <v>1638</v>
      </c>
      <c r="W149" s="6" t="s">
        <v>160</v>
      </c>
      <c r="X149" s="7" t="s">
        <v>44</v>
      </c>
      <c r="Y149" s="19" t="s">
        <v>9</v>
      </c>
      <c r="Z149" s="6" t="s">
        <v>1639</v>
      </c>
    </row>
    <row r="150" customFormat="false" ht="57" hidden="false" customHeight="true" outlineLevel="0" collapsed="false">
      <c r="A150" s="7" t="s">
        <v>1640</v>
      </c>
      <c r="B150" s="6" t="s">
        <v>1628</v>
      </c>
      <c r="C150" s="7" t="s">
        <v>40</v>
      </c>
      <c r="D150" s="7" t="s">
        <v>101</v>
      </c>
      <c r="E150" s="7" t="s">
        <v>1629</v>
      </c>
      <c r="F150" s="6" t="s">
        <v>1630</v>
      </c>
      <c r="G150" s="6" t="s">
        <v>1641</v>
      </c>
      <c r="H150" s="6" t="s">
        <v>1642</v>
      </c>
      <c r="I150" s="7" t="s">
        <v>54</v>
      </c>
      <c r="J150" s="15" t="s">
        <v>19</v>
      </c>
      <c r="K150" s="21" t="n">
        <v>4</v>
      </c>
      <c r="L150" s="7" t="s">
        <v>63</v>
      </c>
      <c r="M150" s="6" t="s">
        <v>1643</v>
      </c>
      <c r="N150" s="6" t="s">
        <v>176</v>
      </c>
      <c r="O150" s="6" t="s">
        <v>1345</v>
      </c>
      <c r="P150" s="6" t="s">
        <v>1644</v>
      </c>
      <c r="Q150" s="6" t="s">
        <v>1645</v>
      </c>
      <c r="R150" s="7" t="s">
        <v>134</v>
      </c>
      <c r="S150" s="6" t="s">
        <v>1636</v>
      </c>
      <c r="T150" s="7" t="s">
        <v>136</v>
      </c>
      <c r="U150" s="7" t="s">
        <v>1637</v>
      </c>
      <c r="V150" s="6" t="s">
        <v>1638</v>
      </c>
      <c r="W150" s="6" t="s">
        <v>160</v>
      </c>
      <c r="X150" s="7" t="s">
        <v>44</v>
      </c>
      <c r="Y150" s="19" t="s">
        <v>9</v>
      </c>
      <c r="Z150" s="6" t="s">
        <v>1646</v>
      </c>
    </row>
    <row r="151" customFormat="false" ht="34.5" hidden="false" customHeight="true" outlineLevel="0" collapsed="false">
      <c r="A151" s="7" t="s">
        <v>1647</v>
      </c>
      <c r="B151" s="6" t="s">
        <v>1648</v>
      </c>
      <c r="C151" s="7" t="s">
        <v>40</v>
      </c>
      <c r="D151" s="7" t="s">
        <v>99</v>
      </c>
      <c r="E151" s="7" t="s">
        <v>1649</v>
      </c>
      <c r="F151" s="6" t="s">
        <v>1650</v>
      </c>
      <c r="G151" s="6" t="s">
        <v>1651</v>
      </c>
      <c r="H151" s="6" t="s">
        <v>1652</v>
      </c>
      <c r="I151" s="7" t="s">
        <v>50</v>
      </c>
      <c r="J151" s="15" t="s">
        <v>16</v>
      </c>
      <c r="K151" s="18" t="n">
        <v>2</v>
      </c>
      <c r="L151" s="7" t="s">
        <v>62</v>
      </c>
      <c r="M151" s="6" t="s">
        <v>1653</v>
      </c>
      <c r="N151" s="6" t="s">
        <v>176</v>
      </c>
      <c r="O151" s="6" t="s">
        <v>1654</v>
      </c>
      <c r="P151" s="6" t="s">
        <v>1655</v>
      </c>
      <c r="Q151" s="6" t="s">
        <v>1656</v>
      </c>
      <c r="R151" s="7" t="s">
        <v>134</v>
      </c>
      <c r="S151" s="6" t="s">
        <v>1657</v>
      </c>
      <c r="T151" s="7" t="s">
        <v>136</v>
      </c>
      <c r="U151" s="7" t="s">
        <v>1658</v>
      </c>
      <c r="V151" s="6" t="s">
        <v>138</v>
      </c>
      <c r="W151" s="6" t="s">
        <v>139</v>
      </c>
      <c r="X151" s="7" t="s">
        <v>45</v>
      </c>
      <c r="Y151" s="17" t="s">
        <v>7</v>
      </c>
      <c r="Z151" s="6" t="s">
        <v>1659</v>
      </c>
    </row>
    <row r="152" customFormat="false" ht="34.5" hidden="false" customHeight="true" outlineLevel="0" collapsed="false">
      <c r="A152" s="7" t="s">
        <v>1660</v>
      </c>
      <c r="B152" s="6" t="s">
        <v>1648</v>
      </c>
      <c r="C152" s="7" t="s">
        <v>40</v>
      </c>
      <c r="D152" s="7" t="s">
        <v>99</v>
      </c>
      <c r="E152" s="7" t="s">
        <v>1649</v>
      </c>
      <c r="F152" s="6" t="s">
        <v>1650</v>
      </c>
      <c r="G152" s="6" t="s">
        <v>1661</v>
      </c>
      <c r="H152" s="6" t="s">
        <v>1662</v>
      </c>
      <c r="I152" s="7" t="s">
        <v>50</v>
      </c>
      <c r="J152" s="15" t="s">
        <v>17</v>
      </c>
      <c r="K152" s="19" t="n">
        <v>3</v>
      </c>
      <c r="L152" s="7" t="s">
        <v>62</v>
      </c>
      <c r="M152" s="6" t="s">
        <v>1663</v>
      </c>
      <c r="N152" s="6" t="s">
        <v>176</v>
      </c>
      <c r="O152" s="6" t="s">
        <v>1664</v>
      </c>
      <c r="P152" s="6" t="s">
        <v>1665</v>
      </c>
      <c r="Q152" s="6" t="s">
        <v>1666</v>
      </c>
      <c r="R152" s="7" t="s">
        <v>134</v>
      </c>
      <c r="S152" s="6" t="s">
        <v>1657</v>
      </c>
      <c r="T152" s="7" t="s">
        <v>136</v>
      </c>
      <c r="U152" s="7" t="s">
        <v>1658</v>
      </c>
      <c r="V152" s="6" t="s">
        <v>138</v>
      </c>
      <c r="W152" s="6" t="s">
        <v>139</v>
      </c>
      <c r="X152" s="7" t="s">
        <v>45</v>
      </c>
      <c r="Y152" s="17" t="s">
        <v>7</v>
      </c>
      <c r="Z152" s="6" t="s">
        <v>1667</v>
      </c>
    </row>
    <row r="153" customFormat="false" ht="113.25" hidden="false" customHeight="true" outlineLevel="0" collapsed="false">
      <c r="A153" s="7" t="s">
        <v>1668</v>
      </c>
      <c r="B153" s="6" t="s">
        <v>1669</v>
      </c>
      <c r="C153" s="7" t="s">
        <v>40</v>
      </c>
      <c r="D153" s="7" t="s">
        <v>101</v>
      </c>
      <c r="E153" s="7" t="s">
        <v>1670</v>
      </c>
      <c r="F153" s="6" t="s">
        <v>1671</v>
      </c>
      <c r="G153" s="6" t="s">
        <v>1672</v>
      </c>
      <c r="H153" s="6" t="s">
        <v>1673</v>
      </c>
      <c r="I153" s="7" t="s">
        <v>51</v>
      </c>
      <c r="J153" s="15" t="s">
        <v>17</v>
      </c>
      <c r="K153" s="16" t="n">
        <v>1</v>
      </c>
      <c r="L153" s="7" t="s">
        <v>62</v>
      </c>
      <c r="M153" s="6" t="s">
        <v>1674</v>
      </c>
      <c r="N153" s="6" t="s">
        <v>130</v>
      </c>
      <c r="O153" s="6" t="s">
        <v>1675</v>
      </c>
      <c r="P153" s="6" t="s">
        <v>1676</v>
      </c>
      <c r="Q153" s="6" t="s">
        <v>1677</v>
      </c>
      <c r="R153" s="7" t="s">
        <v>134</v>
      </c>
      <c r="S153" s="6" t="s">
        <v>1678</v>
      </c>
      <c r="T153" s="7" t="s">
        <v>136</v>
      </c>
      <c r="U153" s="7" t="s">
        <v>1679</v>
      </c>
      <c r="V153" s="6" t="s">
        <v>528</v>
      </c>
      <c r="W153" s="6" t="s">
        <v>160</v>
      </c>
      <c r="X153" s="7" t="s">
        <v>44</v>
      </c>
      <c r="Y153" s="19" t="s">
        <v>9</v>
      </c>
      <c r="Z153" s="6" t="s">
        <v>1680</v>
      </c>
    </row>
    <row r="154" customFormat="false" ht="57" hidden="false" customHeight="true" outlineLevel="0" collapsed="false">
      <c r="A154" s="7" t="s">
        <v>1681</v>
      </c>
      <c r="B154" s="6" t="s">
        <v>1669</v>
      </c>
      <c r="C154" s="7" t="s">
        <v>40</v>
      </c>
      <c r="D154" s="7" t="s">
        <v>101</v>
      </c>
      <c r="E154" s="7" t="s">
        <v>1670</v>
      </c>
      <c r="F154" s="6" t="s">
        <v>1671</v>
      </c>
      <c r="G154" s="6" t="s">
        <v>1682</v>
      </c>
      <c r="H154" s="6" t="s">
        <v>1683</v>
      </c>
      <c r="I154" s="7" t="s">
        <v>51</v>
      </c>
      <c r="J154" s="15" t="s">
        <v>17</v>
      </c>
      <c r="K154" s="16" t="n">
        <v>1</v>
      </c>
      <c r="L154" s="7" t="s">
        <v>62</v>
      </c>
      <c r="M154" s="6" t="s">
        <v>1684</v>
      </c>
      <c r="N154" s="6" t="s">
        <v>176</v>
      </c>
      <c r="O154" s="6" t="s">
        <v>1685</v>
      </c>
      <c r="P154" s="6" t="s">
        <v>1686</v>
      </c>
      <c r="Q154" s="6" t="s">
        <v>1687</v>
      </c>
      <c r="R154" s="7" t="s">
        <v>134</v>
      </c>
      <c r="S154" s="6" t="s">
        <v>1678</v>
      </c>
      <c r="T154" s="7" t="s">
        <v>136</v>
      </c>
      <c r="U154" s="7" t="s">
        <v>1679</v>
      </c>
      <c r="V154" s="6" t="s">
        <v>480</v>
      </c>
      <c r="W154" s="6" t="s">
        <v>160</v>
      </c>
      <c r="X154" s="7" t="s">
        <v>44</v>
      </c>
      <c r="Y154" s="19" t="s">
        <v>9</v>
      </c>
      <c r="Z154" s="6" t="s">
        <v>1688</v>
      </c>
    </row>
    <row r="155" customFormat="false" ht="79.5" hidden="false" customHeight="true" outlineLevel="0" collapsed="false">
      <c r="A155" s="7" t="s">
        <v>1689</v>
      </c>
      <c r="B155" s="6" t="s">
        <v>1690</v>
      </c>
      <c r="C155" s="7" t="s">
        <v>38</v>
      </c>
      <c r="D155" s="7" t="s">
        <v>469</v>
      </c>
      <c r="E155" s="7" t="s">
        <v>1691</v>
      </c>
      <c r="F155" s="6" t="s">
        <v>1692</v>
      </c>
      <c r="G155" s="6" t="s">
        <v>1693</v>
      </c>
      <c r="H155" s="6" t="s">
        <v>1694</v>
      </c>
      <c r="I155" s="7" t="s">
        <v>58</v>
      </c>
      <c r="J155" s="15" t="s">
        <v>16</v>
      </c>
      <c r="K155" s="18" t="n">
        <v>2</v>
      </c>
      <c r="L155" s="7" t="s">
        <v>62</v>
      </c>
      <c r="M155" s="6" t="s">
        <v>1086</v>
      </c>
      <c r="N155" s="6" t="s">
        <v>176</v>
      </c>
      <c r="O155" s="6" t="s">
        <v>1695</v>
      </c>
      <c r="P155" s="6" t="s">
        <v>1696</v>
      </c>
      <c r="Q155" s="6" t="s">
        <v>1697</v>
      </c>
      <c r="R155" s="7" t="s">
        <v>134</v>
      </c>
      <c r="S155" s="6" t="s">
        <v>1698</v>
      </c>
      <c r="T155" s="7" t="s">
        <v>136</v>
      </c>
      <c r="U155" s="7" t="s">
        <v>1699</v>
      </c>
      <c r="V155" s="6" t="s">
        <v>1474</v>
      </c>
      <c r="W155" s="6" t="s">
        <v>160</v>
      </c>
      <c r="X155" s="7" t="s">
        <v>44</v>
      </c>
      <c r="Y155" s="19" t="s">
        <v>9</v>
      </c>
      <c r="Z155" s="6" t="s">
        <v>1700</v>
      </c>
    </row>
    <row r="156" customFormat="false" ht="68.25" hidden="false" customHeight="true" outlineLevel="0" collapsed="false">
      <c r="A156" s="7" t="s">
        <v>1701</v>
      </c>
      <c r="B156" s="6" t="s">
        <v>1690</v>
      </c>
      <c r="C156" s="7" t="s">
        <v>38</v>
      </c>
      <c r="D156" s="7" t="s">
        <v>469</v>
      </c>
      <c r="E156" s="7" t="s">
        <v>1691</v>
      </c>
      <c r="F156" s="6" t="s">
        <v>1692</v>
      </c>
      <c r="G156" s="6" t="s">
        <v>1702</v>
      </c>
      <c r="H156" s="6" t="s">
        <v>1703</v>
      </c>
      <c r="I156" s="7" t="s">
        <v>51</v>
      </c>
      <c r="J156" s="15" t="s">
        <v>16</v>
      </c>
      <c r="K156" s="18" t="n">
        <v>2</v>
      </c>
      <c r="L156" s="7" t="s">
        <v>62</v>
      </c>
      <c r="M156" s="6" t="s">
        <v>1086</v>
      </c>
      <c r="N156" s="6" t="s">
        <v>130</v>
      </c>
      <c r="O156" s="6" t="s">
        <v>1704</v>
      </c>
      <c r="P156" s="6" t="s">
        <v>1705</v>
      </c>
      <c r="Q156" s="6" t="s">
        <v>1706</v>
      </c>
      <c r="R156" s="7" t="s">
        <v>134</v>
      </c>
      <c r="S156" s="6" t="s">
        <v>1698</v>
      </c>
      <c r="T156" s="7" t="s">
        <v>136</v>
      </c>
      <c r="U156" s="7" t="s">
        <v>1699</v>
      </c>
      <c r="V156" s="6" t="s">
        <v>1474</v>
      </c>
      <c r="W156" s="6" t="s">
        <v>160</v>
      </c>
      <c r="X156" s="7" t="s">
        <v>44</v>
      </c>
      <c r="Y156" s="19" t="s">
        <v>9</v>
      </c>
      <c r="Z156" s="6" t="s">
        <v>1707</v>
      </c>
    </row>
    <row r="157" customFormat="false" ht="68.25" hidden="false" customHeight="true" outlineLevel="0" collapsed="false">
      <c r="A157" s="7" t="s">
        <v>1708</v>
      </c>
      <c r="B157" s="6" t="s">
        <v>1709</v>
      </c>
      <c r="C157" s="7" t="s">
        <v>38</v>
      </c>
      <c r="D157" s="7" t="s">
        <v>100</v>
      </c>
      <c r="E157" s="7" t="s">
        <v>1710</v>
      </c>
      <c r="F157" s="6" t="s">
        <v>1711</v>
      </c>
      <c r="G157" s="6" t="s">
        <v>1712</v>
      </c>
      <c r="H157" s="6" t="s">
        <v>1713</v>
      </c>
      <c r="I157" s="7" t="s">
        <v>54</v>
      </c>
      <c r="J157" s="15" t="s">
        <v>16</v>
      </c>
      <c r="K157" s="16" t="n">
        <v>1</v>
      </c>
      <c r="L157" s="7" t="s">
        <v>63</v>
      </c>
      <c r="M157" s="6" t="s">
        <v>1714</v>
      </c>
      <c r="N157" s="6" t="s">
        <v>130</v>
      </c>
      <c r="O157" s="6" t="s">
        <v>1715</v>
      </c>
      <c r="P157" s="6" t="s">
        <v>1716</v>
      </c>
      <c r="Q157" s="6" t="s">
        <v>1717</v>
      </c>
      <c r="R157" s="7" t="s">
        <v>134</v>
      </c>
      <c r="S157" s="6" t="s">
        <v>1718</v>
      </c>
      <c r="T157" s="7" t="s">
        <v>269</v>
      </c>
      <c r="U157" s="7" t="s">
        <v>1719</v>
      </c>
      <c r="V157" s="6" t="s">
        <v>1720</v>
      </c>
      <c r="W157" s="6" t="s">
        <v>160</v>
      </c>
      <c r="X157" s="7" t="s">
        <v>44</v>
      </c>
      <c r="Y157" s="19" t="s">
        <v>9</v>
      </c>
      <c r="Z157" s="6" t="s">
        <v>1721</v>
      </c>
    </row>
    <row r="158" customFormat="false" ht="68.25" hidden="false" customHeight="true" outlineLevel="0" collapsed="false">
      <c r="A158" s="7" t="s">
        <v>1722</v>
      </c>
      <c r="B158" s="6" t="s">
        <v>1709</v>
      </c>
      <c r="C158" s="7" t="s">
        <v>38</v>
      </c>
      <c r="D158" s="7" t="s">
        <v>100</v>
      </c>
      <c r="E158" s="7" t="s">
        <v>1710</v>
      </c>
      <c r="F158" s="6" t="s">
        <v>1711</v>
      </c>
      <c r="G158" s="6" t="s">
        <v>1723</v>
      </c>
      <c r="H158" s="6" t="s">
        <v>1724</v>
      </c>
      <c r="I158" s="7" t="s">
        <v>53</v>
      </c>
      <c r="J158" s="15" t="s">
        <v>17</v>
      </c>
      <c r="K158" s="18" t="n">
        <v>2</v>
      </c>
      <c r="L158" s="7" t="s">
        <v>62</v>
      </c>
      <c r="M158" s="6" t="s">
        <v>1725</v>
      </c>
      <c r="N158" s="6" t="s">
        <v>130</v>
      </c>
      <c r="O158" s="6" t="s">
        <v>1726</v>
      </c>
      <c r="P158" s="6" t="s">
        <v>1727</v>
      </c>
      <c r="Q158" s="6" t="s">
        <v>1728</v>
      </c>
      <c r="R158" s="7" t="s">
        <v>134</v>
      </c>
      <c r="S158" s="6" t="s">
        <v>1718</v>
      </c>
      <c r="T158" s="7" t="s">
        <v>269</v>
      </c>
      <c r="U158" s="7" t="s">
        <v>1719</v>
      </c>
      <c r="V158" s="6" t="s">
        <v>138</v>
      </c>
      <c r="W158" s="6" t="s">
        <v>160</v>
      </c>
      <c r="X158" s="7" t="s">
        <v>44</v>
      </c>
      <c r="Y158" s="17" t="s">
        <v>7</v>
      </c>
      <c r="Z158" s="6" t="s">
        <v>1729</v>
      </c>
    </row>
    <row r="159" customFormat="false" ht="79.5" hidden="false" customHeight="true" outlineLevel="0" collapsed="false">
      <c r="A159" s="7" t="s">
        <v>1730</v>
      </c>
      <c r="B159" s="6" t="s">
        <v>1731</v>
      </c>
      <c r="C159" s="7" t="s">
        <v>38</v>
      </c>
      <c r="D159" s="7" t="s">
        <v>100</v>
      </c>
      <c r="E159" s="7" t="s">
        <v>1732</v>
      </c>
      <c r="F159" s="6" t="s">
        <v>1733</v>
      </c>
      <c r="G159" s="6" t="s">
        <v>1734</v>
      </c>
      <c r="H159" s="6" t="s">
        <v>1735</v>
      </c>
      <c r="I159" s="7" t="s">
        <v>50</v>
      </c>
      <c r="J159" s="15" t="s">
        <v>17</v>
      </c>
      <c r="K159" s="18" t="n">
        <v>2</v>
      </c>
      <c r="L159" s="7" t="s">
        <v>62</v>
      </c>
      <c r="M159" s="6" t="s">
        <v>1736</v>
      </c>
      <c r="N159" s="6" t="s">
        <v>176</v>
      </c>
      <c r="O159" s="6" t="s">
        <v>1737</v>
      </c>
      <c r="P159" s="6" t="s">
        <v>1738</v>
      </c>
      <c r="Q159" s="6" t="s">
        <v>1739</v>
      </c>
      <c r="R159" s="7" t="s">
        <v>134</v>
      </c>
      <c r="S159" s="6" t="s">
        <v>1740</v>
      </c>
      <c r="T159" s="7" t="s">
        <v>136</v>
      </c>
      <c r="U159" s="7" t="s">
        <v>1741</v>
      </c>
      <c r="V159" s="6" t="s">
        <v>1474</v>
      </c>
      <c r="W159" s="6" t="s">
        <v>160</v>
      </c>
      <c r="X159" s="7" t="s">
        <v>44</v>
      </c>
      <c r="Y159" s="19" t="s">
        <v>9</v>
      </c>
      <c r="Z159" s="6" t="s">
        <v>1742</v>
      </c>
    </row>
    <row r="160" customFormat="false" ht="57" hidden="false" customHeight="true" outlineLevel="0" collapsed="false">
      <c r="A160" s="7" t="s">
        <v>1743</v>
      </c>
      <c r="B160" s="6" t="s">
        <v>1744</v>
      </c>
      <c r="C160" s="7" t="s">
        <v>38</v>
      </c>
      <c r="D160" s="7" t="s">
        <v>100</v>
      </c>
      <c r="E160" s="7" t="s">
        <v>1745</v>
      </c>
      <c r="F160" s="6" t="s">
        <v>1746</v>
      </c>
      <c r="G160" s="6" t="s">
        <v>1747</v>
      </c>
      <c r="H160" s="6" t="s">
        <v>1748</v>
      </c>
      <c r="I160" s="7" t="s">
        <v>56</v>
      </c>
      <c r="J160" s="15" t="s">
        <v>17</v>
      </c>
      <c r="K160" s="18" t="n">
        <v>2</v>
      </c>
      <c r="L160" s="7" t="s">
        <v>62</v>
      </c>
      <c r="M160" s="6" t="s">
        <v>1749</v>
      </c>
      <c r="N160" s="6" t="s">
        <v>130</v>
      </c>
      <c r="O160" s="6" t="s">
        <v>1750</v>
      </c>
      <c r="P160" s="6" t="s">
        <v>1751</v>
      </c>
      <c r="Q160" s="6" t="s">
        <v>1752</v>
      </c>
      <c r="R160" s="7" t="s">
        <v>134</v>
      </c>
      <c r="S160" s="6" t="s">
        <v>1753</v>
      </c>
      <c r="T160" s="7" t="s">
        <v>136</v>
      </c>
      <c r="U160" s="7" t="s">
        <v>1754</v>
      </c>
      <c r="V160" s="6" t="s">
        <v>138</v>
      </c>
      <c r="W160" s="6" t="s">
        <v>160</v>
      </c>
      <c r="X160" s="7" t="s">
        <v>44</v>
      </c>
      <c r="Y160" s="17" t="s">
        <v>7</v>
      </c>
      <c r="Z160" s="6" t="s">
        <v>1755</v>
      </c>
    </row>
    <row r="161" customFormat="false" ht="57" hidden="false" customHeight="true" outlineLevel="0" collapsed="false">
      <c r="A161" s="7" t="s">
        <v>1756</v>
      </c>
      <c r="B161" s="6" t="s">
        <v>1744</v>
      </c>
      <c r="C161" s="7" t="s">
        <v>38</v>
      </c>
      <c r="D161" s="7" t="s">
        <v>100</v>
      </c>
      <c r="E161" s="7" t="s">
        <v>1745</v>
      </c>
      <c r="F161" s="6" t="s">
        <v>1746</v>
      </c>
      <c r="G161" s="6" t="s">
        <v>1757</v>
      </c>
      <c r="H161" s="6" t="s">
        <v>1758</v>
      </c>
      <c r="I161" s="7" t="s">
        <v>53</v>
      </c>
      <c r="J161" s="15" t="s">
        <v>17</v>
      </c>
      <c r="K161" s="18" t="n">
        <v>2</v>
      </c>
      <c r="L161" s="7" t="s">
        <v>62</v>
      </c>
      <c r="M161" s="6" t="s">
        <v>1759</v>
      </c>
      <c r="N161" s="6" t="s">
        <v>130</v>
      </c>
      <c r="O161" s="6" t="s">
        <v>1286</v>
      </c>
      <c r="P161" s="6" t="s">
        <v>1760</v>
      </c>
      <c r="Q161" s="6" t="s">
        <v>1761</v>
      </c>
      <c r="R161" s="7" t="s">
        <v>134</v>
      </c>
      <c r="S161" s="6" t="s">
        <v>1753</v>
      </c>
      <c r="T161" s="7" t="s">
        <v>136</v>
      </c>
      <c r="U161" s="7" t="s">
        <v>1754</v>
      </c>
      <c r="V161" s="6" t="s">
        <v>138</v>
      </c>
      <c r="W161" s="6" t="s">
        <v>160</v>
      </c>
      <c r="X161" s="7" t="s">
        <v>44</v>
      </c>
      <c r="Y161" s="17" t="s">
        <v>7</v>
      </c>
      <c r="Z161" s="6" t="s">
        <v>1762</v>
      </c>
    </row>
    <row r="162" customFormat="false" ht="45.75" hidden="false" customHeight="true" outlineLevel="0" collapsed="false">
      <c r="A162" s="7" t="s">
        <v>1763</v>
      </c>
      <c r="B162" s="6" t="s">
        <v>1764</v>
      </c>
      <c r="C162" s="7" t="s">
        <v>38</v>
      </c>
      <c r="D162" s="7" t="s">
        <v>100</v>
      </c>
      <c r="E162" s="7" t="s">
        <v>1765</v>
      </c>
      <c r="F162" s="6" t="s">
        <v>1766</v>
      </c>
      <c r="G162" s="6" t="s">
        <v>1767</v>
      </c>
      <c r="H162" s="6" t="s">
        <v>1768</v>
      </c>
      <c r="I162" s="7" t="s">
        <v>53</v>
      </c>
      <c r="J162" s="15" t="s">
        <v>17</v>
      </c>
      <c r="K162" s="18" t="n">
        <v>2</v>
      </c>
      <c r="L162" s="7" t="s">
        <v>62</v>
      </c>
      <c r="M162" s="6" t="s">
        <v>1334</v>
      </c>
      <c r="N162" s="6" t="s">
        <v>130</v>
      </c>
      <c r="O162" s="6" t="s">
        <v>1769</v>
      </c>
      <c r="P162" s="6" t="s">
        <v>1770</v>
      </c>
      <c r="Q162" s="6" t="s">
        <v>1771</v>
      </c>
      <c r="R162" s="7" t="s">
        <v>134</v>
      </c>
      <c r="S162" s="6" t="s">
        <v>1772</v>
      </c>
      <c r="T162" s="7" t="s">
        <v>136</v>
      </c>
      <c r="U162" s="7" t="s">
        <v>1773</v>
      </c>
      <c r="V162" s="6" t="s">
        <v>1774</v>
      </c>
      <c r="W162" s="6" t="s">
        <v>160</v>
      </c>
      <c r="X162" s="7" t="s">
        <v>44</v>
      </c>
      <c r="Y162" s="19" t="s">
        <v>9</v>
      </c>
      <c r="Z162" s="6" t="s">
        <v>1775</v>
      </c>
    </row>
    <row r="163" customFormat="false" ht="34.5" hidden="false" customHeight="true" outlineLevel="0" collapsed="false">
      <c r="A163" s="7" t="s">
        <v>1776</v>
      </c>
      <c r="B163" s="6" t="s">
        <v>1764</v>
      </c>
      <c r="C163" s="7" t="s">
        <v>38</v>
      </c>
      <c r="D163" s="7" t="s">
        <v>100</v>
      </c>
      <c r="E163" s="7" t="s">
        <v>1765</v>
      </c>
      <c r="F163" s="6" t="s">
        <v>1766</v>
      </c>
      <c r="G163" s="6" t="s">
        <v>1777</v>
      </c>
      <c r="H163" s="6" t="s">
        <v>1778</v>
      </c>
      <c r="I163" s="7" t="s">
        <v>54</v>
      </c>
      <c r="J163" s="15" t="s">
        <v>17</v>
      </c>
      <c r="K163" s="18" t="n">
        <v>2</v>
      </c>
      <c r="L163" s="7" t="s">
        <v>63</v>
      </c>
      <c r="M163" s="6" t="s">
        <v>1334</v>
      </c>
      <c r="N163" s="6" t="s">
        <v>130</v>
      </c>
      <c r="O163" s="6" t="s">
        <v>1779</v>
      </c>
      <c r="P163" s="6" t="s">
        <v>1780</v>
      </c>
      <c r="Q163" s="6" t="s">
        <v>1781</v>
      </c>
      <c r="R163" s="7" t="s">
        <v>134</v>
      </c>
      <c r="S163" s="6" t="s">
        <v>1772</v>
      </c>
      <c r="T163" s="7" t="s">
        <v>136</v>
      </c>
      <c r="U163" s="7" t="s">
        <v>1773</v>
      </c>
      <c r="V163" s="6" t="s">
        <v>1774</v>
      </c>
      <c r="W163" s="6" t="s">
        <v>160</v>
      </c>
      <c r="X163" s="7" t="s">
        <v>44</v>
      </c>
      <c r="Y163" s="19" t="s">
        <v>9</v>
      </c>
      <c r="Z163" s="6" t="s">
        <v>1782</v>
      </c>
    </row>
    <row r="164" customFormat="false" ht="45.75" hidden="false" customHeight="true" outlineLevel="0" collapsed="false">
      <c r="A164" s="7" t="s">
        <v>1783</v>
      </c>
      <c r="B164" s="6" t="s">
        <v>1784</v>
      </c>
      <c r="C164" s="7" t="s">
        <v>38</v>
      </c>
      <c r="D164" s="7" t="s">
        <v>100</v>
      </c>
      <c r="E164" s="7" t="s">
        <v>1785</v>
      </c>
      <c r="F164" s="6" t="s">
        <v>1786</v>
      </c>
      <c r="G164" s="6" t="s">
        <v>1787</v>
      </c>
      <c r="H164" s="6" t="s">
        <v>1788</v>
      </c>
      <c r="I164" s="7" t="s">
        <v>50</v>
      </c>
      <c r="J164" s="15" t="s">
        <v>18</v>
      </c>
      <c r="K164" s="19" t="n">
        <v>3</v>
      </c>
      <c r="L164" s="7" t="s">
        <v>62</v>
      </c>
      <c r="M164" s="6" t="s">
        <v>1789</v>
      </c>
      <c r="N164" s="6" t="s">
        <v>176</v>
      </c>
      <c r="O164" s="6" t="s">
        <v>1286</v>
      </c>
      <c r="P164" s="6" t="s">
        <v>1790</v>
      </c>
      <c r="Q164" s="6" t="s">
        <v>1791</v>
      </c>
      <c r="R164" s="7" t="s">
        <v>134</v>
      </c>
      <c r="S164" s="6" t="s">
        <v>1792</v>
      </c>
      <c r="T164" s="7" t="s">
        <v>136</v>
      </c>
      <c r="U164" s="7" t="s">
        <v>1793</v>
      </c>
      <c r="V164" s="6" t="s">
        <v>138</v>
      </c>
      <c r="W164" s="6" t="s">
        <v>160</v>
      </c>
      <c r="X164" s="7" t="s">
        <v>44</v>
      </c>
      <c r="Y164" s="17" t="s">
        <v>7</v>
      </c>
      <c r="Z164" s="6" t="s">
        <v>1794</v>
      </c>
    </row>
    <row r="165" customFormat="false" ht="57" hidden="false" customHeight="true" outlineLevel="0" collapsed="false">
      <c r="A165" s="7" t="s">
        <v>1795</v>
      </c>
      <c r="B165" s="6" t="s">
        <v>1796</v>
      </c>
      <c r="C165" s="7" t="s">
        <v>38</v>
      </c>
      <c r="D165" s="7" t="s">
        <v>100</v>
      </c>
      <c r="E165" s="7" t="s">
        <v>1797</v>
      </c>
      <c r="F165" s="6" t="s">
        <v>1798</v>
      </c>
      <c r="G165" s="6" t="s">
        <v>1799</v>
      </c>
      <c r="H165" s="6" t="s">
        <v>1800</v>
      </c>
      <c r="I165" s="7" t="s">
        <v>57</v>
      </c>
      <c r="J165" s="15" t="s">
        <v>18</v>
      </c>
      <c r="K165" s="19" t="n">
        <v>3</v>
      </c>
      <c r="L165" s="7" t="s">
        <v>62</v>
      </c>
      <c r="M165" s="6" t="s">
        <v>1801</v>
      </c>
      <c r="N165" s="6" t="s">
        <v>130</v>
      </c>
      <c r="O165" s="6" t="s">
        <v>1802</v>
      </c>
      <c r="P165" s="6" t="s">
        <v>1803</v>
      </c>
      <c r="Q165" s="6" t="s">
        <v>1804</v>
      </c>
      <c r="R165" s="7" t="s">
        <v>134</v>
      </c>
      <c r="S165" s="6" t="s">
        <v>1805</v>
      </c>
      <c r="T165" s="7" t="s">
        <v>300</v>
      </c>
      <c r="U165" s="7" t="s">
        <v>1806</v>
      </c>
      <c r="V165" s="6" t="s">
        <v>1397</v>
      </c>
      <c r="W165" s="6" t="s">
        <v>160</v>
      </c>
      <c r="X165" s="7" t="s">
        <v>44</v>
      </c>
      <c r="Y165" s="19" t="s">
        <v>9</v>
      </c>
      <c r="Z165" s="6" t="s">
        <v>1807</v>
      </c>
    </row>
    <row r="166" customFormat="false" ht="45.75" hidden="false" customHeight="true" outlineLevel="0" collapsed="false">
      <c r="A166" s="7" t="s">
        <v>1808</v>
      </c>
      <c r="B166" s="6" t="s">
        <v>1809</v>
      </c>
      <c r="C166" s="7" t="s">
        <v>38</v>
      </c>
      <c r="D166" s="7" t="s">
        <v>100</v>
      </c>
      <c r="E166" s="7" t="s">
        <v>1810</v>
      </c>
      <c r="F166" s="6" t="s">
        <v>1811</v>
      </c>
      <c r="G166" s="6" t="s">
        <v>1812</v>
      </c>
      <c r="H166" s="6" t="s">
        <v>1813</v>
      </c>
      <c r="I166" s="7" t="s">
        <v>59</v>
      </c>
      <c r="J166" s="15" t="s">
        <v>19</v>
      </c>
      <c r="K166" s="21" t="n">
        <v>4</v>
      </c>
      <c r="L166" s="7" t="s">
        <v>62</v>
      </c>
      <c r="M166" s="6" t="s">
        <v>1814</v>
      </c>
      <c r="N166" s="6" t="s">
        <v>130</v>
      </c>
      <c r="O166" s="6" t="s">
        <v>1286</v>
      </c>
      <c r="P166" s="6" t="s">
        <v>1815</v>
      </c>
      <c r="Q166" s="6" t="s">
        <v>1816</v>
      </c>
      <c r="R166" s="7" t="s">
        <v>134</v>
      </c>
      <c r="S166" s="6" t="s">
        <v>1817</v>
      </c>
      <c r="T166" s="7" t="s">
        <v>136</v>
      </c>
      <c r="U166" s="7" t="s">
        <v>1818</v>
      </c>
      <c r="V166" s="6" t="s">
        <v>138</v>
      </c>
      <c r="W166" s="6" t="s">
        <v>160</v>
      </c>
      <c r="X166" s="7" t="s">
        <v>44</v>
      </c>
      <c r="Y166" s="17" t="s">
        <v>7</v>
      </c>
      <c r="Z166" s="6" t="s">
        <v>1819</v>
      </c>
    </row>
    <row r="167" customFormat="false" ht="34.5" hidden="false" customHeight="true" outlineLevel="0" collapsed="false">
      <c r="A167" s="7" t="s">
        <v>1820</v>
      </c>
      <c r="B167" s="6" t="s">
        <v>1821</v>
      </c>
      <c r="C167" s="7" t="s">
        <v>38</v>
      </c>
      <c r="D167" s="7" t="s">
        <v>100</v>
      </c>
      <c r="E167" s="7" t="s">
        <v>1822</v>
      </c>
      <c r="F167" s="6" t="s">
        <v>1823</v>
      </c>
      <c r="G167" s="6" t="s">
        <v>1824</v>
      </c>
      <c r="H167" s="6" t="s">
        <v>1825</v>
      </c>
      <c r="I167" s="7" t="s">
        <v>53</v>
      </c>
      <c r="J167" s="15" t="s">
        <v>18</v>
      </c>
      <c r="K167" s="19" t="n">
        <v>3</v>
      </c>
      <c r="L167" s="7" t="s">
        <v>62</v>
      </c>
      <c r="M167" s="6" t="s">
        <v>1826</v>
      </c>
      <c r="N167" s="6" t="s">
        <v>130</v>
      </c>
      <c r="O167" s="6" t="s">
        <v>1286</v>
      </c>
      <c r="P167" s="6" t="s">
        <v>1827</v>
      </c>
      <c r="Q167" s="6" t="s">
        <v>1828</v>
      </c>
      <c r="R167" s="7" t="s">
        <v>134</v>
      </c>
      <c r="S167" s="6" t="s">
        <v>1829</v>
      </c>
      <c r="T167" s="7" t="s">
        <v>136</v>
      </c>
      <c r="U167" s="7" t="s">
        <v>1830</v>
      </c>
      <c r="V167" s="6" t="s">
        <v>138</v>
      </c>
      <c r="W167" s="6" t="s">
        <v>160</v>
      </c>
      <c r="X167" s="7" t="s">
        <v>44</v>
      </c>
      <c r="Y167" s="17" t="s">
        <v>7</v>
      </c>
      <c r="Z167" s="6" t="s">
        <v>1831</v>
      </c>
    </row>
    <row r="168" customFormat="false" ht="45.75" hidden="false" customHeight="true" outlineLevel="0" collapsed="false">
      <c r="A168" s="7" t="s">
        <v>1832</v>
      </c>
      <c r="B168" s="6" t="s">
        <v>1833</v>
      </c>
      <c r="C168" s="7" t="s">
        <v>38</v>
      </c>
      <c r="D168" s="7" t="s">
        <v>100</v>
      </c>
      <c r="E168" s="7" t="s">
        <v>1834</v>
      </c>
      <c r="F168" s="6" t="s">
        <v>1835</v>
      </c>
      <c r="G168" s="6" t="s">
        <v>1836</v>
      </c>
      <c r="H168" s="6" t="s">
        <v>1837</v>
      </c>
      <c r="I168" s="7" t="s">
        <v>54</v>
      </c>
      <c r="J168" s="15" t="s">
        <v>18</v>
      </c>
      <c r="K168" s="19" t="n">
        <v>3</v>
      </c>
      <c r="L168" s="7" t="s">
        <v>63</v>
      </c>
      <c r="M168" s="6" t="s">
        <v>1838</v>
      </c>
      <c r="N168" s="6" t="s">
        <v>130</v>
      </c>
      <c r="O168" s="6" t="s">
        <v>1483</v>
      </c>
      <c r="P168" s="6" t="s">
        <v>1839</v>
      </c>
      <c r="Q168" s="6" t="s">
        <v>1840</v>
      </c>
      <c r="R168" s="7" t="s">
        <v>134</v>
      </c>
      <c r="S168" s="6" t="s">
        <v>1841</v>
      </c>
      <c r="T168" s="7" t="s">
        <v>136</v>
      </c>
      <c r="U168" s="7" t="s">
        <v>1842</v>
      </c>
      <c r="V168" s="6" t="s">
        <v>1488</v>
      </c>
      <c r="W168" s="6" t="s">
        <v>160</v>
      </c>
      <c r="X168" s="7" t="s">
        <v>44</v>
      </c>
      <c r="Y168" s="19" t="s">
        <v>9</v>
      </c>
      <c r="Z168" s="6" t="s">
        <v>1843</v>
      </c>
    </row>
    <row r="169" customFormat="false" ht="57" hidden="false" customHeight="true" outlineLevel="0" collapsed="false">
      <c r="A169" s="7" t="s">
        <v>1844</v>
      </c>
      <c r="B169" s="6" t="s">
        <v>1845</v>
      </c>
      <c r="C169" s="7" t="s">
        <v>38</v>
      </c>
      <c r="D169" s="7" t="s">
        <v>100</v>
      </c>
      <c r="E169" s="7" t="s">
        <v>1846</v>
      </c>
      <c r="F169" s="6" t="s">
        <v>1847</v>
      </c>
      <c r="G169" s="6" t="s">
        <v>1848</v>
      </c>
      <c r="H169" s="6" t="s">
        <v>1849</v>
      </c>
      <c r="I169" s="7" t="s">
        <v>53</v>
      </c>
      <c r="J169" s="15" t="s">
        <v>18</v>
      </c>
      <c r="K169" s="19" t="n">
        <v>3</v>
      </c>
      <c r="L169" s="7" t="s">
        <v>62</v>
      </c>
      <c r="M169" s="6" t="s">
        <v>1850</v>
      </c>
      <c r="N169" s="6" t="s">
        <v>130</v>
      </c>
      <c r="O169" s="6" t="s">
        <v>1503</v>
      </c>
      <c r="P169" s="6" t="s">
        <v>1851</v>
      </c>
      <c r="Q169" s="6" t="s">
        <v>1852</v>
      </c>
      <c r="R169" s="7" t="s">
        <v>134</v>
      </c>
      <c r="S169" s="6" t="s">
        <v>1853</v>
      </c>
      <c r="T169" s="7" t="s">
        <v>136</v>
      </c>
      <c r="U169" s="7" t="s">
        <v>1854</v>
      </c>
      <c r="V169" s="6" t="s">
        <v>879</v>
      </c>
      <c r="W169" s="6" t="s">
        <v>160</v>
      </c>
      <c r="X169" s="7" t="s">
        <v>44</v>
      </c>
      <c r="Y169" s="19" t="s">
        <v>9</v>
      </c>
      <c r="Z169" s="6" t="s">
        <v>1855</v>
      </c>
    </row>
    <row r="170" customFormat="false" ht="45.75" hidden="false" customHeight="true" outlineLevel="0" collapsed="false">
      <c r="A170" s="7" t="s">
        <v>1856</v>
      </c>
      <c r="B170" s="6" t="s">
        <v>1857</v>
      </c>
      <c r="C170" s="7" t="s">
        <v>38</v>
      </c>
      <c r="D170" s="7" t="s">
        <v>100</v>
      </c>
      <c r="E170" s="7" t="s">
        <v>1858</v>
      </c>
      <c r="F170" s="6" t="s">
        <v>1859</v>
      </c>
      <c r="G170" s="6" t="s">
        <v>1860</v>
      </c>
      <c r="H170" s="6" t="s">
        <v>1861</v>
      </c>
      <c r="I170" s="7" t="s">
        <v>54</v>
      </c>
      <c r="J170" s="15" t="s">
        <v>17</v>
      </c>
      <c r="K170" s="18" t="n">
        <v>2</v>
      </c>
      <c r="L170" s="7" t="s">
        <v>63</v>
      </c>
      <c r="M170" s="6" t="s">
        <v>1334</v>
      </c>
      <c r="N170" s="6" t="s">
        <v>130</v>
      </c>
      <c r="O170" s="6" t="s">
        <v>1779</v>
      </c>
      <c r="P170" s="6" t="s">
        <v>1862</v>
      </c>
      <c r="Q170" s="6" t="s">
        <v>1781</v>
      </c>
      <c r="R170" s="7" t="s">
        <v>134</v>
      </c>
      <c r="S170" s="6" t="s">
        <v>1863</v>
      </c>
      <c r="T170" s="7" t="s">
        <v>136</v>
      </c>
      <c r="U170" s="7" t="s">
        <v>1864</v>
      </c>
      <c r="V170" s="6" t="s">
        <v>1774</v>
      </c>
      <c r="W170" s="6" t="s">
        <v>160</v>
      </c>
      <c r="X170" s="7" t="s">
        <v>44</v>
      </c>
      <c r="Y170" s="19" t="s">
        <v>9</v>
      </c>
      <c r="Z170" s="6" t="s">
        <v>1865</v>
      </c>
    </row>
    <row r="171" customFormat="false" ht="34.5" hidden="false" customHeight="true" outlineLevel="0" collapsed="false">
      <c r="A171" s="7" t="s">
        <v>1866</v>
      </c>
      <c r="B171" s="6" t="s">
        <v>1867</v>
      </c>
      <c r="C171" s="7" t="s">
        <v>38</v>
      </c>
      <c r="D171" s="7" t="s">
        <v>100</v>
      </c>
      <c r="E171" s="7" t="s">
        <v>1868</v>
      </c>
      <c r="F171" s="6" t="s">
        <v>1869</v>
      </c>
      <c r="G171" s="6" t="s">
        <v>1870</v>
      </c>
      <c r="H171" s="6" t="s">
        <v>1871</v>
      </c>
      <c r="I171" s="7" t="s">
        <v>51</v>
      </c>
      <c r="J171" s="15" t="s">
        <v>19</v>
      </c>
      <c r="K171" s="21" t="n">
        <v>4</v>
      </c>
      <c r="L171" s="7" t="s">
        <v>62</v>
      </c>
      <c r="M171" s="6" t="s">
        <v>1872</v>
      </c>
      <c r="N171" s="6" t="s">
        <v>130</v>
      </c>
      <c r="O171" s="6" t="s">
        <v>1286</v>
      </c>
      <c r="P171" s="6" t="s">
        <v>1873</v>
      </c>
      <c r="Q171" s="6" t="s">
        <v>1874</v>
      </c>
      <c r="R171" s="7" t="s">
        <v>134</v>
      </c>
      <c r="S171" s="6" t="s">
        <v>1875</v>
      </c>
      <c r="T171" s="7" t="s">
        <v>136</v>
      </c>
      <c r="U171" s="7" t="s">
        <v>1876</v>
      </c>
      <c r="V171" s="6" t="s">
        <v>138</v>
      </c>
      <c r="W171" s="6" t="s">
        <v>160</v>
      </c>
      <c r="X171" s="7" t="s">
        <v>44</v>
      </c>
      <c r="Y171" s="17" t="s">
        <v>7</v>
      </c>
      <c r="Z171" s="6" t="s">
        <v>1877</v>
      </c>
    </row>
    <row r="172" customFormat="false" ht="102" hidden="false" customHeight="true" outlineLevel="0" collapsed="false">
      <c r="A172" s="7" t="s">
        <v>1878</v>
      </c>
      <c r="B172" s="6" t="s">
        <v>1879</v>
      </c>
      <c r="C172" s="7" t="s">
        <v>40</v>
      </c>
      <c r="D172" s="7" t="s">
        <v>100</v>
      </c>
      <c r="E172" s="7" t="s">
        <v>1880</v>
      </c>
      <c r="F172" s="6" t="s">
        <v>1881</v>
      </c>
      <c r="G172" s="6" t="s">
        <v>1882</v>
      </c>
      <c r="H172" s="6" t="s">
        <v>1883</v>
      </c>
      <c r="I172" s="7" t="s">
        <v>59</v>
      </c>
      <c r="J172" s="15" t="s">
        <v>17</v>
      </c>
      <c r="K172" s="18" t="n">
        <v>2</v>
      </c>
      <c r="L172" s="7" t="s">
        <v>62</v>
      </c>
      <c r="M172" s="6" t="s">
        <v>1884</v>
      </c>
      <c r="N172" s="6" t="s">
        <v>130</v>
      </c>
      <c r="O172" s="6" t="s">
        <v>1885</v>
      </c>
      <c r="P172" s="6" t="s">
        <v>1886</v>
      </c>
      <c r="Q172" s="6" t="s">
        <v>1887</v>
      </c>
      <c r="R172" s="7" t="s">
        <v>134</v>
      </c>
      <c r="S172" s="6" t="s">
        <v>1888</v>
      </c>
      <c r="T172" s="7" t="s">
        <v>136</v>
      </c>
      <c r="U172" s="7" t="s">
        <v>1889</v>
      </c>
      <c r="V172" s="6" t="s">
        <v>700</v>
      </c>
      <c r="W172" s="6" t="s">
        <v>139</v>
      </c>
      <c r="X172" s="7" t="s">
        <v>45</v>
      </c>
      <c r="Y172" s="19" t="s">
        <v>9</v>
      </c>
      <c r="Z172" s="6" t="s">
        <v>1890</v>
      </c>
    </row>
    <row r="173" customFormat="false" ht="102" hidden="false" customHeight="true" outlineLevel="0" collapsed="false">
      <c r="A173" s="7" t="s">
        <v>1891</v>
      </c>
      <c r="B173" s="6" t="s">
        <v>1879</v>
      </c>
      <c r="C173" s="7" t="s">
        <v>40</v>
      </c>
      <c r="D173" s="7" t="s">
        <v>100</v>
      </c>
      <c r="E173" s="7" t="s">
        <v>1880</v>
      </c>
      <c r="F173" s="6" t="s">
        <v>1881</v>
      </c>
      <c r="G173" s="6" t="s">
        <v>1892</v>
      </c>
      <c r="H173" s="6" t="s">
        <v>1893</v>
      </c>
      <c r="I173" s="7" t="s">
        <v>54</v>
      </c>
      <c r="J173" s="15" t="s">
        <v>17</v>
      </c>
      <c r="K173" s="18" t="n">
        <v>2</v>
      </c>
      <c r="L173" s="7" t="s">
        <v>63</v>
      </c>
      <c r="M173" s="6" t="s">
        <v>1894</v>
      </c>
      <c r="N173" s="6" t="s">
        <v>130</v>
      </c>
      <c r="O173" s="6" t="s">
        <v>1895</v>
      </c>
      <c r="P173" s="6" t="s">
        <v>1896</v>
      </c>
      <c r="Q173" s="6" t="s">
        <v>1897</v>
      </c>
      <c r="R173" s="7" t="s">
        <v>134</v>
      </c>
      <c r="S173" s="6" t="s">
        <v>1888</v>
      </c>
      <c r="T173" s="7" t="s">
        <v>136</v>
      </c>
      <c r="U173" s="7" t="s">
        <v>1889</v>
      </c>
      <c r="V173" s="6" t="s">
        <v>700</v>
      </c>
      <c r="W173" s="6" t="s">
        <v>139</v>
      </c>
      <c r="X173" s="7" t="s">
        <v>45</v>
      </c>
      <c r="Y173" s="19" t="s">
        <v>9</v>
      </c>
      <c r="Z173" s="6" t="s">
        <v>1898</v>
      </c>
    </row>
    <row r="174" customFormat="false" ht="45.75" hidden="false" customHeight="true" outlineLevel="0" collapsed="false">
      <c r="A174" s="7" t="s">
        <v>1899</v>
      </c>
      <c r="B174" s="6" t="s">
        <v>1900</v>
      </c>
      <c r="C174" s="7" t="s">
        <v>38</v>
      </c>
      <c r="D174" s="7" t="s">
        <v>100</v>
      </c>
      <c r="E174" s="7" t="s">
        <v>1901</v>
      </c>
      <c r="F174" s="6" t="s">
        <v>1902</v>
      </c>
      <c r="G174" s="6" t="s">
        <v>1903</v>
      </c>
      <c r="H174" s="6" t="s">
        <v>1904</v>
      </c>
      <c r="I174" s="7" t="s">
        <v>54</v>
      </c>
      <c r="J174" s="15" t="s">
        <v>18</v>
      </c>
      <c r="K174" s="19" t="n">
        <v>3</v>
      </c>
      <c r="L174" s="7" t="s">
        <v>63</v>
      </c>
      <c r="M174" s="6" t="s">
        <v>1838</v>
      </c>
      <c r="N174" s="6" t="s">
        <v>130</v>
      </c>
      <c r="O174" s="6" t="s">
        <v>1483</v>
      </c>
      <c r="P174" s="6" t="s">
        <v>1905</v>
      </c>
      <c r="Q174" s="6" t="s">
        <v>1840</v>
      </c>
      <c r="R174" s="7" t="s">
        <v>134</v>
      </c>
      <c r="S174" s="6" t="s">
        <v>1906</v>
      </c>
      <c r="T174" s="7" t="s">
        <v>136</v>
      </c>
      <c r="U174" s="7" t="s">
        <v>1907</v>
      </c>
      <c r="V174" s="6" t="s">
        <v>1488</v>
      </c>
      <c r="W174" s="6" t="s">
        <v>160</v>
      </c>
      <c r="X174" s="7" t="s">
        <v>44</v>
      </c>
      <c r="Y174" s="19" t="s">
        <v>9</v>
      </c>
      <c r="Z174" s="6" t="s">
        <v>1908</v>
      </c>
    </row>
    <row r="175" customFormat="false" ht="68.25" hidden="false" customHeight="true" outlineLevel="0" collapsed="false">
      <c r="A175" s="7" t="s">
        <v>1909</v>
      </c>
      <c r="B175" s="6" t="s">
        <v>1910</v>
      </c>
      <c r="C175" s="7" t="s">
        <v>38</v>
      </c>
      <c r="D175" s="7" t="s">
        <v>100</v>
      </c>
      <c r="E175" s="7" t="s">
        <v>1911</v>
      </c>
      <c r="F175" s="6" t="s">
        <v>1912</v>
      </c>
      <c r="G175" s="6" t="s">
        <v>1913</v>
      </c>
      <c r="H175" s="6" t="s">
        <v>1914</v>
      </c>
      <c r="I175" s="7" t="s">
        <v>59</v>
      </c>
      <c r="J175" s="15" t="s">
        <v>18</v>
      </c>
      <c r="K175" s="19" t="n">
        <v>3</v>
      </c>
      <c r="L175" s="7" t="s">
        <v>62</v>
      </c>
      <c r="M175" s="6" t="s">
        <v>1915</v>
      </c>
      <c r="N175" s="6" t="s">
        <v>130</v>
      </c>
      <c r="O175" s="6" t="s">
        <v>1916</v>
      </c>
      <c r="P175" s="6" t="s">
        <v>1917</v>
      </c>
      <c r="Q175" s="6" t="s">
        <v>1918</v>
      </c>
      <c r="R175" s="7" t="s">
        <v>134</v>
      </c>
      <c r="S175" s="6" t="s">
        <v>1919</v>
      </c>
      <c r="T175" s="7" t="s">
        <v>136</v>
      </c>
      <c r="U175" s="7" t="s">
        <v>1920</v>
      </c>
      <c r="V175" s="6" t="s">
        <v>1921</v>
      </c>
      <c r="W175" s="6" t="s">
        <v>160</v>
      </c>
      <c r="X175" s="7" t="s">
        <v>44</v>
      </c>
      <c r="Y175" s="19" t="s">
        <v>9</v>
      </c>
      <c r="Z175" s="6" t="s">
        <v>1922</v>
      </c>
    </row>
    <row r="176" customFormat="false" ht="68.25" hidden="false" customHeight="true" outlineLevel="0" collapsed="false">
      <c r="A176" s="7" t="s">
        <v>1923</v>
      </c>
      <c r="B176" s="6" t="s">
        <v>1924</v>
      </c>
      <c r="C176" s="7" t="s">
        <v>38</v>
      </c>
      <c r="D176" s="7" t="s">
        <v>100</v>
      </c>
      <c r="E176" s="7" t="s">
        <v>1925</v>
      </c>
      <c r="F176" s="6" t="s">
        <v>1926</v>
      </c>
      <c r="G176" s="6" t="s">
        <v>1927</v>
      </c>
      <c r="H176" s="6" t="s">
        <v>1928</v>
      </c>
      <c r="I176" s="7" t="s">
        <v>59</v>
      </c>
      <c r="J176" s="15" t="s">
        <v>18</v>
      </c>
      <c r="K176" s="19" t="n">
        <v>3</v>
      </c>
      <c r="L176" s="7" t="s">
        <v>62</v>
      </c>
      <c r="M176" s="6" t="s">
        <v>1929</v>
      </c>
      <c r="N176" s="6" t="s">
        <v>130</v>
      </c>
      <c r="O176" s="6" t="s">
        <v>1930</v>
      </c>
      <c r="P176" s="6" t="s">
        <v>1931</v>
      </c>
      <c r="Q176" s="6" t="s">
        <v>1932</v>
      </c>
      <c r="R176" s="7" t="s">
        <v>134</v>
      </c>
      <c r="S176" s="6" t="s">
        <v>1933</v>
      </c>
      <c r="T176" s="7" t="s">
        <v>136</v>
      </c>
      <c r="U176" s="7" t="s">
        <v>1934</v>
      </c>
      <c r="V176" s="6" t="s">
        <v>1935</v>
      </c>
      <c r="W176" s="6" t="s">
        <v>160</v>
      </c>
      <c r="X176" s="7" t="s">
        <v>44</v>
      </c>
      <c r="Y176" s="19" t="s">
        <v>9</v>
      </c>
      <c r="Z176" s="6" t="s">
        <v>1936</v>
      </c>
    </row>
    <row r="177" customFormat="false" ht="68.25" hidden="false" customHeight="true" outlineLevel="0" collapsed="false">
      <c r="A177" s="7" t="s">
        <v>1937</v>
      </c>
      <c r="B177" s="6" t="s">
        <v>1938</v>
      </c>
      <c r="C177" s="7" t="s">
        <v>38</v>
      </c>
      <c r="D177" s="7" t="s">
        <v>100</v>
      </c>
      <c r="E177" s="7" t="s">
        <v>1939</v>
      </c>
      <c r="F177" s="6" t="s">
        <v>1940</v>
      </c>
      <c r="G177" s="6" t="s">
        <v>1941</v>
      </c>
      <c r="H177" s="6" t="s">
        <v>1942</v>
      </c>
      <c r="I177" s="7" t="s">
        <v>59</v>
      </c>
      <c r="J177" s="15" t="s">
        <v>18</v>
      </c>
      <c r="K177" s="19" t="n">
        <v>3</v>
      </c>
      <c r="L177" s="7" t="s">
        <v>62</v>
      </c>
      <c r="M177" s="6" t="s">
        <v>1943</v>
      </c>
      <c r="N177" s="6" t="s">
        <v>176</v>
      </c>
      <c r="O177" s="6" t="s">
        <v>1930</v>
      </c>
      <c r="P177" s="6" t="s">
        <v>1944</v>
      </c>
      <c r="Q177" s="6" t="s">
        <v>1945</v>
      </c>
      <c r="R177" s="7" t="s">
        <v>134</v>
      </c>
      <c r="S177" s="6" t="s">
        <v>1946</v>
      </c>
      <c r="T177" s="7" t="s">
        <v>136</v>
      </c>
      <c r="U177" s="7" t="s">
        <v>1947</v>
      </c>
      <c r="V177" s="6" t="s">
        <v>1935</v>
      </c>
      <c r="W177" s="6" t="s">
        <v>160</v>
      </c>
      <c r="X177" s="7" t="s">
        <v>44</v>
      </c>
      <c r="Y177" s="19" t="s">
        <v>9</v>
      </c>
      <c r="Z177" s="6" t="s">
        <v>1948</v>
      </c>
    </row>
    <row r="178" customFormat="false" ht="68.25" hidden="false" customHeight="true" outlineLevel="0" collapsed="false">
      <c r="A178" s="7" t="s">
        <v>1949</v>
      </c>
      <c r="B178" s="6" t="s">
        <v>1950</v>
      </c>
      <c r="C178" s="7" t="s">
        <v>38</v>
      </c>
      <c r="D178" s="7" t="s">
        <v>100</v>
      </c>
      <c r="E178" s="7" t="s">
        <v>1951</v>
      </c>
      <c r="F178" s="6" t="s">
        <v>1952</v>
      </c>
      <c r="G178" s="6" t="s">
        <v>1953</v>
      </c>
      <c r="H178" s="6" t="s">
        <v>1954</v>
      </c>
      <c r="I178" s="7" t="s">
        <v>57</v>
      </c>
      <c r="J178" s="15" t="s">
        <v>16</v>
      </c>
      <c r="K178" s="16" t="n">
        <v>1</v>
      </c>
      <c r="L178" s="7" t="s">
        <v>62</v>
      </c>
      <c r="M178" s="6" t="s">
        <v>1955</v>
      </c>
      <c r="N178" s="6" t="s">
        <v>130</v>
      </c>
      <c r="O178" s="6" t="s">
        <v>1956</v>
      </c>
      <c r="P178" s="6" t="s">
        <v>1957</v>
      </c>
      <c r="Q178" s="6" t="s">
        <v>1958</v>
      </c>
      <c r="R178" s="7" t="s">
        <v>134</v>
      </c>
      <c r="S178" s="6" t="s">
        <v>1959</v>
      </c>
      <c r="T178" s="7" t="s">
        <v>300</v>
      </c>
      <c r="U178" s="7" t="s">
        <v>1960</v>
      </c>
      <c r="V178" s="6" t="s">
        <v>1961</v>
      </c>
      <c r="W178" s="6" t="s">
        <v>160</v>
      </c>
      <c r="X178" s="7" t="s">
        <v>44</v>
      </c>
      <c r="Y178" s="19" t="s">
        <v>9</v>
      </c>
      <c r="Z178" s="6" t="s">
        <v>1962</v>
      </c>
    </row>
    <row r="179" customFormat="false" ht="68.25" hidden="false" customHeight="true" outlineLevel="0" collapsed="false">
      <c r="A179" s="7" t="s">
        <v>1963</v>
      </c>
      <c r="B179" s="6" t="s">
        <v>1950</v>
      </c>
      <c r="C179" s="7" t="s">
        <v>38</v>
      </c>
      <c r="D179" s="7" t="s">
        <v>100</v>
      </c>
      <c r="E179" s="7" t="s">
        <v>1951</v>
      </c>
      <c r="F179" s="6" t="s">
        <v>1952</v>
      </c>
      <c r="G179" s="6" t="s">
        <v>1964</v>
      </c>
      <c r="H179" s="6" t="s">
        <v>1965</v>
      </c>
      <c r="I179" s="7" t="s">
        <v>48</v>
      </c>
      <c r="J179" s="15" t="s">
        <v>16</v>
      </c>
      <c r="K179" s="16" t="n">
        <v>1</v>
      </c>
      <c r="L179" s="7" t="s">
        <v>64</v>
      </c>
      <c r="M179" s="6" t="s">
        <v>1966</v>
      </c>
      <c r="N179" s="6" t="s">
        <v>130</v>
      </c>
      <c r="O179" s="6" t="s">
        <v>1967</v>
      </c>
      <c r="P179" s="6" t="s">
        <v>1968</v>
      </c>
      <c r="Q179" s="6" t="s">
        <v>1969</v>
      </c>
      <c r="R179" s="7" t="s">
        <v>134</v>
      </c>
      <c r="S179" s="6" t="s">
        <v>1959</v>
      </c>
      <c r="T179" s="7" t="s">
        <v>256</v>
      </c>
      <c r="U179" s="7" t="s">
        <v>1960</v>
      </c>
      <c r="V179" s="6" t="s">
        <v>1961</v>
      </c>
      <c r="W179" s="6" t="s">
        <v>160</v>
      </c>
      <c r="X179" s="7" t="s">
        <v>44</v>
      </c>
      <c r="Y179" s="19" t="s">
        <v>9</v>
      </c>
      <c r="Z179" s="6" t="s">
        <v>1970</v>
      </c>
    </row>
    <row r="180" customFormat="false" ht="57" hidden="false" customHeight="true" outlineLevel="0" collapsed="false">
      <c r="A180" s="7" t="s">
        <v>1971</v>
      </c>
      <c r="B180" s="6" t="s">
        <v>1972</v>
      </c>
      <c r="C180" s="7" t="s">
        <v>38</v>
      </c>
      <c r="D180" s="7" t="s">
        <v>100</v>
      </c>
      <c r="E180" s="7" t="s">
        <v>1973</v>
      </c>
      <c r="F180" s="6" t="s">
        <v>1974</v>
      </c>
      <c r="G180" s="6" t="s">
        <v>1975</v>
      </c>
      <c r="H180" s="6" t="s">
        <v>1976</v>
      </c>
      <c r="I180" s="7" t="s">
        <v>59</v>
      </c>
      <c r="J180" s="15" t="s">
        <v>17</v>
      </c>
      <c r="K180" s="18" t="n">
        <v>2</v>
      </c>
      <c r="L180" s="7" t="s">
        <v>62</v>
      </c>
      <c r="M180" s="6" t="s">
        <v>1977</v>
      </c>
      <c r="N180" s="6" t="s">
        <v>130</v>
      </c>
      <c r="O180" s="6" t="s">
        <v>1978</v>
      </c>
      <c r="P180" s="6" t="s">
        <v>1979</v>
      </c>
      <c r="Q180" s="6" t="s">
        <v>1980</v>
      </c>
      <c r="R180" s="7" t="s">
        <v>134</v>
      </c>
      <c r="S180" s="6" t="s">
        <v>1981</v>
      </c>
      <c r="T180" s="7" t="s">
        <v>136</v>
      </c>
      <c r="U180" s="7" t="s">
        <v>1982</v>
      </c>
      <c r="V180" s="6" t="s">
        <v>1983</v>
      </c>
      <c r="W180" s="6" t="s">
        <v>160</v>
      </c>
      <c r="X180" s="7" t="s">
        <v>44</v>
      </c>
      <c r="Y180" s="19" t="s">
        <v>9</v>
      </c>
      <c r="Z180" s="6" t="s">
        <v>1984</v>
      </c>
    </row>
    <row r="181" customFormat="false" ht="45.75" hidden="false" customHeight="true" outlineLevel="0" collapsed="false">
      <c r="A181" s="7" t="s">
        <v>1985</v>
      </c>
      <c r="B181" s="6" t="s">
        <v>1986</v>
      </c>
      <c r="C181" s="7" t="s">
        <v>38</v>
      </c>
      <c r="D181" s="7" t="s">
        <v>100</v>
      </c>
      <c r="E181" s="7" t="s">
        <v>1987</v>
      </c>
      <c r="F181" s="6" t="s">
        <v>1988</v>
      </c>
      <c r="G181" s="6" t="s">
        <v>1989</v>
      </c>
      <c r="H181" s="6" t="s">
        <v>1990</v>
      </c>
      <c r="I181" s="7" t="s">
        <v>57</v>
      </c>
      <c r="J181" s="15" t="s">
        <v>16</v>
      </c>
      <c r="K181" s="16" t="n">
        <v>1</v>
      </c>
      <c r="L181" s="7" t="s">
        <v>62</v>
      </c>
      <c r="M181" s="6" t="s">
        <v>1991</v>
      </c>
      <c r="N181" s="6" t="s">
        <v>130</v>
      </c>
      <c r="O181" s="6" t="s">
        <v>1992</v>
      </c>
      <c r="P181" s="6" t="s">
        <v>1968</v>
      </c>
      <c r="Q181" s="6" t="s">
        <v>1993</v>
      </c>
      <c r="R181" s="7" t="s">
        <v>134</v>
      </c>
      <c r="S181" s="6" t="s">
        <v>1994</v>
      </c>
      <c r="T181" s="7" t="s">
        <v>300</v>
      </c>
      <c r="U181" s="7" t="s">
        <v>1995</v>
      </c>
      <c r="V181" s="6" t="s">
        <v>138</v>
      </c>
      <c r="W181" s="6" t="s">
        <v>160</v>
      </c>
      <c r="X181" s="7" t="s">
        <v>44</v>
      </c>
      <c r="Y181" s="17" t="s">
        <v>7</v>
      </c>
      <c r="Z181" s="6" t="s">
        <v>1996</v>
      </c>
    </row>
    <row r="182" customFormat="false" ht="68.25" hidden="false" customHeight="true" outlineLevel="0" collapsed="false">
      <c r="A182" s="7" t="s">
        <v>1997</v>
      </c>
      <c r="B182" s="6" t="s">
        <v>1986</v>
      </c>
      <c r="C182" s="7" t="s">
        <v>38</v>
      </c>
      <c r="D182" s="7" t="s">
        <v>100</v>
      </c>
      <c r="E182" s="7" t="s">
        <v>1987</v>
      </c>
      <c r="F182" s="6" t="s">
        <v>1988</v>
      </c>
      <c r="G182" s="6" t="s">
        <v>1998</v>
      </c>
      <c r="H182" s="6" t="s">
        <v>1999</v>
      </c>
      <c r="I182" s="7" t="s">
        <v>59</v>
      </c>
      <c r="J182" s="15" t="s">
        <v>17</v>
      </c>
      <c r="K182" s="18" t="n">
        <v>2</v>
      </c>
      <c r="L182" s="7" t="s">
        <v>62</v>
      </c>
      <c r="M182" s="6" t="s">
        <v>2000</v>
      </c>
      <c r="N182" s="6" t="s">
        <v>130</v>
      </c>
      <c r="O182" s="6" t="s">
        <v>1992</v>
      </c>
      <c r="P182" s="6" t="s">
        <v>2001</v>
      </c>
      <c r="Q182" s="6" t="s">
        <v>2002</v>
      </c>
      <c r="R182" s="7" t="s">
        <v>134</v>
      </c>
      <c r="S182" s="6" t="s">
        <v>1994</v>
      </c>
      <c r="T182" s="7" t="s">
        <v>136</v>
      </c>
      <c r="U182" s="7" t="s">
        <v>1995</v>
      </c>
      <c r="V182" s="6" t="s">
        <v>2003</v>
      </c>
      <c r="W182" s="6" t="s">
        <v>160</v>
      </c>
      <c r="X182" s="7" t="s">
        <v>44</v>
      </c>
      <c r="Y182" s="19" t="s">
        <v>9</v>
      </c>
      <c r="Z182" s="6" t="s">
        <v>2004</v>
      </c>
    </row>
    <row r="183" customFormat="false" ht="57" hidden="false" customHeight="true" outlineLevel="0" collapsed="false">
      <c r="A183" s="7" t="s">
        <v>2005</v>
      </c>
      <c r="B183" s="6" t="s">
        <v>1986</v>
      </c>
      <c r="C183" s="7" t="s">
        <v>38</v>
      </c>
      <c r="D183" s="7" t="s">
        <v>100</v>
      </c>
      <c r="E183" s="7" t="s">
        <v>1987</v>
      </c>
      <c r="F183" s="6" t="s">
        <v>1988</v>
      </c>
      <c r="G183" s="6" t="s">
        <v>2006</v>
      </c>
      <c r="H183" s="6" t="s">
        <v>2007</v>
      </c>
      <c r="I183" s="7" t="s">
        <v>59</v>
      </c>
      <c r="J183" s="15" t="s">
        <v>18</v>
      </c>
      <c r="K183" s="19" t="n">
        <v>3</v>
      </c>
      <c r="L183" s="7" t="s">
        <v>62</v>
      </c>
      <c r="M183" s="6" t="s">
        <v>2008</v>
      </c>
      <c r="N183" s="6" t="s">
        <v>176</v>
      </c>
      <c r="O183" s="6" t="s">
        <v>1992</v>
      </c>
      <c r="P183" s="6" t="s">
        <v>2009</v>
      </c>
      <c r="Q183" s="6" t="s">
        <v>2010</v>
      </c>
      <c r="R183" s="7" t="s">
        <v>134</v>
      </c>
      <c r="S183" s="6" t="s">
        <v>1994</v>
      </c>
      <c r="T183" s="7" t="s">
        <v>136</v>
      </c>
      <c r="U183" s="7" t="s">
        <v>1995</v>
      </c>
      <c r="V183" s="6" t="s">
        <v>1247</v>
      </c>
      <c r="W183" s="6" t="s">
        <v>160</v>
      </c>
      <c r="X183" s="7" t="s">
        <v>44</v>
      </c>
      <c r="Y183" s="19" t="s">
        <v>9</v>
      </c>
      <c r="Z183" s="6" t="s">
        <v>2011</v>
      </c>
    </row>
    <row r="184" customFormat="false" ht="45.75" hidden="false" customHeight="true" outlineLevel="0" collapsed="false">
      <c r="A184" s="7" t="s">
        <v>2012</v>
      </c>
      <c r="B184" s="6" t="s">
        <v>2013</v>
      </c>
      <c r="C184" s="7" t="s">
        <v>38</v>
      </c>
      <c r="D184" s="7" t="s">
        <v>100</v>
      </c>
      <c r="E184" s="7" t="s">
        <v>2014</v>
      </c>
      <c r="F184" s="6" t="s">
        <v>2015</v>
      </c>
      <c r="G184" s="6" t="s">
        <v>2016</v>
      </c>
      <c r="H184" s="6" t="s">
        <v>2017</v>
      </c>
      <c r="I184" s="7" t="s">
        <v>50</v>
      </c>
      <c r="J184" s="15" t="s">
        <v>18</v>
      </c>
      <c r="K184" s="19" t="n">
        <v>3</v>
      </c>
      <c r="L184" s="7" t="s">
        <v>62</v>
      </c>
      <c r="M184" s="6" t="s">
        <v>2018</v>
      </c>
      <c r="N184" s="6" t="s">
        <v>130</v>
      </c>
      <c r="O184" s="6" t="s">
        <v>2019</v>
      </c>
      <c r="P184" s="6" t="s">
        <v>2020</v>
      </c>
      <c r="Q184" s="6" t="s">
        <v>2021</v>
      </c>
      <c r="R184" s="7" t="s">
        <v>134</v>
      </c>
      <c r="S184" s="6" t="s">
        <v>2022</v>
      </c>
      <c r="T184" s="7" t="s">
        <v>136</v>
      </c>
      <c r="U184" s="7" t="s">
        <v>2023</v>
      </c>
      <c r="V184" s="6" t="s">
        <v>2024</v>
      </c>
      <c r="W184" s="6" t="s">
        <v>160</v>
      </c>
      <c r="X184" s="7" t="s">
        <v>44</v>
      </c>
      <c r="Y184" s="19" t="s">
        <v>9</v>
      </c>
      <c r="Z184" s="6" t="s">
        <v>2025</v>
      </c>
    </row>
    <row r="185" customFormat="false" ht="57" hidden="false" customHeight="true" outlineLevel="0" collapsed="false">
      <c r="A185" s="7" t="s">
        <v>2026</v>
      </c>
      <c r="B185" s="6" t="s">
        <v>2027</v>
      </c>
      <c r="C185" s="7" t="s">
        <v>38</v>
      </c>
      <c r="D185" s="7" t="s">
        <v>100</v>
      </c>
      <c r="E185" s="7" t="s">
        <v>2028</v>
      </c>
      <c r="F185" s="6" t="s">
        <v>2029</v>
      </c>
      <c r="G185" s="6" t="s">
        <v>2030</v>
      </c>
      <c r="H185" s="6" t="s">
        <v>2031</v>
      </c>
      <c r="I185" s="7" t="s">
        <v>48</v>
      </c>
      <c r="J185" s="15" t="s">
        <v>17</v>
      </c>
      <c r="K185" s="18" t="n">
        <v>2</v>
      </c>
      <c r="L185" s="7" t="s">
        <v>64</v>
      </c>
      <c r="M185" s="6" t="s">
        <v>2032</v>
      </c>
      <c r="N185" s="6" t="s">
        <v>130</v>
      </c>
      <c r="O185" s="6" t="s">
        <v>2033</v>
      </c>
      <c r="P185" s="6" t="s">
        <v>2034</v>
      </c>
      <c r="Q185" s="6" t="s">
        <v>2035</v>
      </c>
      <c r="R185" s="7" t="s">
        <v>134</v>
      </c>
      <c r="S185" s="6" t="s">
        <v>2036</v>
      </c>
      <c r="T185" s="7" t="s">
        <v>256</v>
      </c>
      <c r="U185" s="7" t="s">
        <v>2037</v>
      </c>
      <c r="V185" s="6" t="s">
        <v>2038</v>
      </c>
      <c r="W185" s="6" t="s">
        <v>160</v>
      </c>
      <c r="X185" s="7" t="s">
        <v>44</v>
      </c>
      <c r="Y185" s="19" t="s">
        <v>9</v>
      </c>
      <c r="Z185" s="6" t="s">
        <v>2039</v>
      </c>
    </row>
    <row r="186" customFormat="false" ht="57" hidden="false" customHeight="true" outlineLevel="0" collapsed="false">
      <c r="A186" s="7" t="s">
        <v>2040</v>
      </c>
      <c r="B186" s="6" t="s">
        <v>2027</v>
      </c>
      <c r="C186" s="7" t="s">
        <v>38</v>
      </c>
      <c r="D186" s="7" t="s">
        <v>100</v>
      </c>
      <c r="E186" s="7" t="s">
        <v>2028</v>
      </c>
      <c r="F186" s="6" t="s">
        <v>2029</v>
      </c>
      <c r="G186" s="6" t="s">
        <v>2041</v>
      </c>
      <c r="H186" s="6" t="s">
        <v>2042</v>
      </c>
      <c r="I186" s="7" t="s">
        <v>49</v>
      </c>
      <c r="J186" s="15" t="s">
        <v>17</v>
      </c>
      <c r="K186" s="18" t="n">
        <v>2</v>
      </c>
      <c r="L186" s="7" t="s">
        <v>63</v>
      </c>
      <c r="M186" s="6" t="s">
        <v>2043</v>
      </c>
      <c r="N186" s="6" t="s">
        <v>130</v>
      </c>
      <c r="O186" s="6" t="s">
        <v>1715</v>
      </c>
      <c r="P186" s="6" t="s">
        <v>2044</v>
      </c>
      <c r="Q186" s="6" t="s">
        <v>2045</v>
      </c>
      <c r="R186" s="7" t="s">
        <v>134</v>
      </c>
      <c r="S186" s="6" t="s">
        <v>2036</v>
      </c>
      <c r="T186" s="7" t="s">
        <v>269</v>
      </c>
      <c r="U186" s="7" t="s">
        <v>2037</v>
      </c>
      <c r="V186" s="6" t="s">
        <v>2038</v>
      </c>
      <c r="W186" s="6" t="s">
        <v>160</v>
      </c>
      <c r="X186" s="7" t="s">
        <v>44</v>
      </c>
      <c r="Y186" s="19" t="s">
        <v>9</v>
      </c>
      <c r="Z186" s="6" t="s">
        <v>2046</v>
      </c>
    </row>
    <row r="187" customFormat="false" ht="79.5" hidden="false" customHeight="true" outlineLevel="0" collapsed="false">
      <c r="A187" s="7" t="s">
        <v>2047</v>
      </c>
      <c r="B187" s="6" t="s">
        <v>2027</v>
      </c>
      <c r="C187" s="7" t="s">
        <v>38</v>
      </c>
      <c r="D187" s="7" t="s">
        <v>100</v>
      </c>
      <c r="E187" s="7" t="s">
        <v>2028</v>
      </c>
      <c r="F187" s="6" t="s">
        <v>2029</v>
      </c>
      <c r="G187" s="6" t="s">
        <v>2048</v>
      </c>
      <c r="H187" s="6" t="s">
        <v>2049</v>
      </c>
      <c r="I187" s="7" t="s">
        <v>49</v>
      </c>
      <c r="J187" s="15" t="s">
        <v>17</v>
      </c>
      <c r="K187" s="18" t="n">
        <v>2</v>
      </c>
      <c r="L187" s="7" t="s">
        <v>63</v>
      </c>
      <c r="M187" s="6" t="s">
        <v>2050</v>
      </c>
      <c r="N187" s="6" t="s">
        <v>130</v>
      </c>
      <c r="O187" s="6" t="s">
        <v>2051</v>
      </c>
      <c r="P187" s="6" t="s">
        <v>2052</v>
      </c>
      <c r="Q187" s="6" t="s">
        <v>2053</v>
      </c>
      <c r="R187" s="7" t="s">
        <v>134</v>
      </c>
      <c r="S187" s="6" t="s">
        <v>2036</v>
      </c>
      <c r="T187" s="7" t="s">
        <v>269</v>
      </c>
      <c r="U187" s="7" t="s">
        <v>2037</v>
      </c>
      <c r="V187" s="6" t="s">
        <v>2054</v>
      </c>
      <c r="W187" s="6" t="s">
        <v>160</v>
      </c>
      <c r="X187" s="7" t="s">
        <v>44</v>
      </c>
      <c r="Y187" s="19" t="s">
        <v>9</v>
      </c>
      <c r="Z187" s="6" t="s">
        <v>2055</v>
      </c>
    </row>
    <row r="188" customFormat="false" ht="57" hidden="false" customHeight="true" outlineLevel="0" collapsed="false">
      <c r="A188" s="7" t="s">
        <v>2056</v>
      </c>
      <c r="B188" s="6" t="s">
        <v>2027</v>
      </c>
      <c r="C188" s="7" t="s">
        <v>38</v>
      </c>
      <c r="D188" s="7" t="s">
        <v>100</v>
      </c>
      <c r="E188" s="7" t="s">
        <v>2028</v>
      </c>
      <c r="F188" s="6" t="s">
        <v>2029</v>
      </c>
      <c r="G188" s="6" t="s">
        <v>2057</v>
      </c>
      <c r="H188" s="6" t="s">
        <v>2058</v>
      </c>
      <c r="I188" s="7" t="s">
        <v>48</v>
      </c>
      <c r="J188" s="15" t="s">
        <v>16</v>
      </c>
      <c r="K188" s="16" t="n">
        <v>1</v>
      </c>
      <c r="L188" s="7" t="s">
        <v>64</v>
      </c>
      <c r="M188" s="6" t="s">
        <v>2059</v>
      </c>
      <c r="N188" s="6" t="s">
        <v>130</v>
      </c>
      <c r="O188" s="6" t="s">
        <v>2060</v>
      </c>
      <c r="P188" s="6" t="s">
        <v>2061</v>
      </c>
      <c r="Q188" s="6" t="s">
        <v>2062</v>
      </c>
      <c r="R188" s="7" t="s">
        <v>134</v>
      </c>
      <c r="S188" s="6" t="s">
        <v>2036</v>
      </c>
      <c r="T188" s="7" t="s">
        <v>256</v>
      </c>
      <c r="U188" s="7" t="s">
        <v>2037</v>
      </c>
      <c r="V188" s="6" t="s">
        <v>2038</v>
      </c>
      <c r="W188" s="6" t="s">
        <v>160</v>
      </c>
      <c r="X188" s="7" t="s">
        <v>44</v>
      </c>
      <c r="Y188" s="19" t="s">
        <v>9</v>
      </c>
      <c r="Z188" s="6" t="s">
        <v>2063</v>
      </c>
    </row>
    <row r="189" customFormat="false" ht="45.75" hidden="false" customHeight="true" outlineLevel="0" collapsed="false">
      <c r="A189" s="7" t="s">
        <v>2064</v>
      </c>
      <c r="B189" s="6" t="s">
        <v>2065</v>
      </c>
      <c r="C189" s="7" t="s">
        <v>38</v>
      </c>
      <c r="D189" s="7" t="s">
        <v>100</v>
      </c>
      <c r="E189" s="7" t="s">
        <v>2066</v>
      </c>
      <c r="F189" s="6" t="s">
        <v>2067</v>
      </c>
      <c r="G189" s="6" t="s">
        <v>2068</v>
      </c>
      <c r="H189" s="6" t="s">
        <v>2069</v>
      </c>
      <c r="I189" s="7" t="s">
        <v>59</v>
      </c>
      <c r="J189" s="15" t="s">
        <v>18</v>
      </c>
      <c r="K189" s="19" t="n">
        <v>3</v>
      </c>
      <c r="L189" s="7" t="s">
        <v>62</v>
      </c>
      <c r="M189" s="6" t="s">
        <v>2070</v>
      </c>
      <c r="N189" s="6" t="s">
        <v>130</v>
      </c>
      <c r="O189" s="6" t="s">
        <v>2071</v>
      </c>
      <c r="P189" s="6" t="s">
        <v>2072</v>
      </c>
      <c r="Q189" s="6" t="s">
        <v>2073</v>
      </c>
      <c r="R189" s="7" t="s">
        <v>134</v>
      </c>
      <c r="S189" s="6" t="s">
        <v>2074</v>
      </c>
      <c r="T189" s="7" t="s">
        <v>136</v>
      </c>
      <c r="U189" s="7" t="s">
        <v>2075</v>
      </c>
      <c r="V189" s="6" t="s">
        <v>138</v>
      </c>
      <c r="W189" s="6" t="s">
        <v>160</v>
      </c>
      <c r="X189" s="7" t="s">
        <v>44</v>
      </c>
      <c r="Y189" s="17" t="s">
        <v>7</v>
      </c>
      <c r="Z189" s="6" t="s">
        <v>2076</v>
      </c>
    </row>
    <row r="190" customFormat="false" ht="45.75" hidden="false" customHeight="true" outlineLevel="0" collapsed="false">
      <c r="A190" s="7" t="s">
        <v>2077</v>
      </c>
      <c r="B190" s="6" t="s">
        <v>2065</v>
      </c>
      <c r="C190" s="7" t="s">
        <v>38</v>
      </c>
      <c r="D190" s="7" t="s">
        <v>100</v>
      </c>
      <c r="E190" s="7" t="s">
        <v>2066</v>
      </c>
      <c r="F190" s="6" t="s">
        <v>2067</v>
      </c>
      <c r="G190" s="6" t="s">
        <v>2078</v>
      </c>
      <c r="H190" s="6" t="s">
        <v>2079</v>
      </c>
      <c r="I190" s="7" t="s">
        <v>59</v>
      </c>
      <c r="J190" s="15" t="s">
        <v>18</v>
      </c>
      <c r="K190" s="19" t="n">
        <v>3</v>
      </c>
      <c r="L190" s="7" t="s">
        <v>62</v>
      </c>
      <c r="M190" s="6" t="s">
        <v>2080</v>
      </c>
      <c r="N190" s="6" t="s">
        <v>130</v>
      </c>
      <c r="O190" s="6" t="s">
        <v>2081</v>
      </c>
      <c r="P190" s="6" t="s">
        <v>2082</v>
      </c>
      <c r="Q190" s="6" t="s">
        <v>2083</v>
      </c>
      <c r="R190" s="7" t="s">
        <v>134</v>
      </c>
      <c r="S190" s="6" t="s">
        <v>2074</v>
      </c>
      <c r="T190" s="7" t="s">
        <v>136</v>
      </c>
      <c r="U190" s="7" t="s">
        <v>2075</v>
      </c>
      <c r="V190" s="6" t="s">
        <v>138</v>
      </c>
      <c r="W190" s="6" t="s">
        <v>160</v>
      </c>
      <c r="X190" s="7" t="s">
        <v>44</v>
      </c>
      <c r="Y190" s="17" t="s">
        <v>7</v>
      </c>
      <c r="Z190" s="6" t="s">
        <v>2084</v>
      </c>
    </row>
    <row r="191" customFormat="false" ht="45.75" hidden="false" customHeight="true" outlineLevel="0" collapsed="false">
      <c r="A191" s="7" t="s">
        <v>2085</v>
      </c>
      <c r="B191" s="6" t="s">
        <v>2086</v>
      </c>
      <c r="C191" s="7" t="s">
        <v>38</v>
      </c>
      <c r="D191" s="7" t="s">
        <v>100</v>
      </c>
      <c r="E191" s="7" t="s">
        <v>2087</v>
      </c>
      <c r="F191" s="6" t="s">
        <v>2088</v>
      </c>
      <c r="G191" s="6" t="s">
        <v>2089</v>
      </c>
      <c r="H191" s="6" t="s">
        <v>2090</v>
      </c>
      <c r="I191" s="7" t="s">
        <v>48</v>
      </c>
      <c r="J191" s="15" t="s">
        <v>16</v>
      </c>
      <c r="K191" s="16" t="n">
        <v>1</v>
      </c>
      <c r="L191" s="7" t="s">
        <v>64</v>
      </c>
      <c r="M191" s="6" t="s">
        <v>2091</v>
      </c>
      <c r="N191" s="6" t="s">
        <v>130</v>
      </c>
      <c r="O191" s="6" t="s">
        <v>2092</v>
      </c>
      <c r="P191" s="6" t="s">
        <v>2093</v>
      </c>
      <c r="Q191" s="6" t="s">
        <v>2094</v>
      </c>
      <c r="R191" s="7" t="s">
        <v>134</v>
      </c>
      <c r="S191" s="6" t="s">
        <v>2095</v>
      </c>
      <c r="T191" s="7" t="s">
        <v>256</v>
      </c>
      <c r="U191" s="7" t="s">
        <v>2096</v>
      </c>
      <c r="V191" s="6" t="s">
        <v>138</v>
      </c>
      <c r="W191" s="6" t="s">
        <v>160</v>
      </c>
      <c r="X191" s="7" t="s">
        <v>44</v>
      </c>
      <c r="Y191" s="17" t="s">
        <v>7</v>
      </c>
      <c r="Z191" s="6" t="s">
        <v>2097</v>
      </c>
    </row>
    <row r="192" customFormat="false" ht="34.5" hidden="false" customHeight="true" outlineLevel="0" collapsed="false">
      <c r="A192" s="7" t="s">
        <v>2098</v>
      </c>
      <c r="B192" s="6" t="s">
        <v>2086</v>
      </c>
      <c r="C192" s="7" t="s">
        <v>38</v>
      </c>
      <c r="D192" s="7" t="s">
        <v>100</v>
      </c>
      <c r="E192" s="7" t="s">
        <v>2087</v>
      </c>
      <c r="F192" s="6" t="s">
        <v>2088</v>
      </c>
      <c r="G192" s="6" t="s">
        <v>2099</v>
      </c>
      <c r="H192" s="6" t="s">
        <v>2100</v>
      </c>
      <c r="I192" s="7" t="s">
        <v>48</v>
      </c>
      <c r="J192" s="15" t="s">
        <v>17</v>
      </c>
      <c r="K192" s="18" t="n">
        <v>2</v>
      </c>
      <c r="L192" s="7" t="s">
        <v>64</v>
      </c>
      <c r="M192" s="6" t="s">
        <v>2091</v>
      </c>
      <c r="N192" s="6" t="s">
        <v>130</v>
      </c>
      <c r="O192" s="6" t="s">
        <v>2092</v>
      </c>
      <c r="P192" s="6" t="s">
        <v>2101</v>
      </c>
      <c r="Q192" s="6" t="s">
        <v>2102</v>
      </c>
      <c r="R192" s="7" t="s">
        <v>134</v>
      </c>
      <c r="S192" s="6" t="s">
        <v>2095</v>
      </c>
      <c r="T192" s="7" t="s">
        <v>256</v>
      </c>
      <c r="U192" s="7" t="s">
        <v>2096</v>
      </c>
      <c r="V192" s="6" t="s">
        <v>138</v>
      </c>
      <c r="W192" s="6" t="s">
        <v>160</v>
      </c>
      <c r="X192" s="7" t="s">
        <v>44</v>
      </c>
      <c r="Y192" s="17" t="s">
        <v>7</v>
      </c>
      <c r="Z192" s="6" t="s">
        <v>2103</v>
      </c>
    </row>
    <row r="193" customFormat="false" ht="68.25" hidden="false" customHeight="true" outlineLevel="0" collapsed="false">
      <c r="A193" s="7" t="s">
        <v>2104</v>
      </c>
      <c r="B193" s="6" t="s">
        <v>2105</v>
      </c>
      <c r="C193" s="7" t="s">
        <v>38</v>
      </c>
      <c r="D193" s="7" t="s">
        <v>100</v>
      </c>
      <c r="E193" s="7" t="s">
        <v>2106</v>
      </c>
      <c r="F193" s="6" t="s">
        <v>2107</v>
      </c>
      <c r="G193" s="6" t="s">
        <v>2108</v>
      </c>
      <c r="H193" s="6" t="s">
        <v>2109</v>
      </c>
      <c r="I193" s="7" t="s">
        <v>59</v>
      </c>
      <c r="J193" s="15" t="s">
        <v>17</v>
      </c>
      <c r="K193" s="18" t="n">
        <v>2</v>
      </c>
      <c r="L193" s="7" t="s">
        <v>62</v>
      </c>
      <c r="M193" s="6" t="s">
        <v>2110</v>
      </c>
      <c r="N193" s="6" t="s">
        <v>130</v>
      </c>
      <c r="O193" s="6" t="s">
        <v>2111</v>
      </c>
      <c r="P193" s="6" t="s">
        <v>2112</v>
      </c>
      <c r="Q193" s="6" t="s">
        <v>2113</v>
      </c>
      <c r="R193" s="7" t="s">
        <v>134</v>
      </c>
      <c r="S193" s="6" t="s">
        <v>2114</v>
      </c>
      <c r="T193" s="7" t="s">
        <v>300</v>
      </c>
      <c r="U193" s="7" t="s">
        <v>2115</v>
      </c>
      <c r="V193" s="6" t="s">
        <v>2116</v>
      </c>
      <c r="W193" s="6" t="s">
        <v>160</v>
      </c>
      <c r="X193" s="7" t="s">
        <v>44</v>
      </c>
      <c r="Y193" s="19" t="s">
        <v>9</v>
      </c>
      <c r="Z193" s="6" t="s">
        <v>2117</v>
      </c>
    </row>
    <row r="194" customFormat="false" ht="68.25" hidden="false" customHeight="true" outlineLevel="0" collapsed="false">
      <c r="A194" s="7" t="s">
        <v>2118</v>
      </c>
      <c r="B194" s="6" t="s">
        <v>2105</v>
      </c>
      <c r="C194" s="7" t="s">
        <v>38</v>
      </c>
      <c r="D194" s="7" t="s">
        <v>100</v>
      </c>
      <c r="E194" s="7" t="s">
        <v>2106</v>
      </c>
      <c r="F194" s="6" t="s">
        <v>2107</v>
      </c>
      <c r="G194" s="6" t="s">
        <v>2119</v>
      </c>
      <c r="H194" s="6" t="s">
        <v>2120</v>
      </c>
      <c r="I194" s="7" t="s">
        <v>48</v>
      </c>
      <c r="J194" s="15" t="s">
        <v>17</v>
      </c>
      <c r="K194" s="18" t="n">
        <v>2</v>
      </c>
      <c r="L194" s="7" t="s">
        <v>64</v>
      </c>
      <c r="M194" s="6" t="s">
        <v>2121</v>
      </c>
      <c r="N194" s="6" t="s">
        <v>130</v>
      </c>
      <c r="O194" s="6" t="s">
        <v>2122</v>
      </c>
      <c r="P194" s="6" t="s">
        <v>2123</v>
      </c>
      <c r="Q194" s="6" t="s">
        <v>2124</v>
      </c>
      <c r="R194" s="7" t="s">
        <v>134</v>
      </c>
      <c r="S194" s="6" t="s">
        <v>2114</v>
      </c>
      <c r="T194" s="7" t="s">
        <v>256</v>
      </c>
      <c r="U194" s="7" t="s">
        <v>2115</v>
      </c>
      <c r="V194" s="6" t="s">
        <v>2116</v>
      </c>
      <c r="W194" s="6" t="s">
        <v>160</v>
      </c>
      <c r="X194" s="7" t="s">
        <v>44</v>
      </c>
      <c r="Y194" s="19" t="s">
        <v>9</v>
      </c>
      <c r="Z194" s="6" t="s">
        <v>2125</v>
      </c>
    </row>
    <row r="195" customFormat="false" ht="68.25" hidden="false" customHeight="true" outlineLevel="0" collapsed="false">
      <c r="A195" s="7" t="s">
        <v>2126</v>
      </c>
      <c r="B195" s="6" t="s">
        <v>2105</v>
      </c>
      <c r="C195" s="7" t="s">
        <v>38</v>
      </c>
      <c r="D195" s="7" t="s">
        <v>100</v>
      </c>
      <c r="E195" s="7" t="s">
        <v>2106</v>
      </c>
      <c r="F195" s="6" t="s">
        <v>2107</v>
      </c>
      <c r="G195" s="6" t="s">
        <v>2127</v>
      </c>
      <c r="H195" s="6" t="s">
        <v>2128</v>
      </c>
      <c r="I195" s="7" t="s">
        <v>51</v>
      </c>
      <c r="J195" s="15" t="s">
        <v>17</v>
      </c>
      <c r="K195" s="18" t="n">
        <v>2</v>
      </c>
      <c r="L195" s="7" t="s">
        <v>62</v>
      </c>
      <c r="M195" s="6" t="s">
        <v>2129</v>
      </c>
      <c r="N195" s="6" t="s">
        <v>176</v>
      </c>
      <c r="O195" s="6" t="s">
        <v>177</v>
      </c>
      <c r="P195" s="6" t="s">
        <v>2130</v>
      </c>
      <c r="Q195" s="6" t="s">
        <v>2131</v>
      </c>
      <c r="R195" s="7" t="s">
        <v>134</v>
      </c>
      <c r="S195" s="6" t="s">
        <v>2114</v>
      </c>
      <c r="T195" s="7" t="s">
        <v>136</v>
      </c>
      <c r="U195" s="7" t="s">
        <v>2115</v>
      </c>
      <c r="V195" s="6" t="s">
        <v>138</v>
      </c>
      <c r="W195" s="6" t="s">
        <v>160</v>
      </c>
      <c r="X195" s="7" t="s">
        <v>44</v>
      </c>
      <c r="Y195" s="17" t="s">
        <v>7</v>
      </c>
      <c r="Z195" s="6" t="s">
        <v>2132</v>
      </c>
    </row>
    <row r="196" customFormat="false" ht="45.75" hidden="false" customHeight="true" outlineLevel="0" collapsed="false">
      <c r="A196" s="7" t="s">
        <v>2133</v>
      </c>
      <c r="B196" s="6" t="s">
        <v>2134</v>
      </c>
      <c r="C196" s="7" t="s">
        <v>38</v>
      </c>
      <c r="D196" s="7" t="s">
        <v>100</v>
      </c>
      <c r="E196" s="7" t="s">
        <v>2135</v>
      </c>
      <c r="F196" s="6" t="s">
        <v>2136</v>
      </c>
      <c r="G196" s="6" t="s">
        <v>2137</v>
      </c>
      <c r="H196" s="6" t="s">
        <v>2138</v>
      </c>
      <c r="I196" s="7" t="s">
        <v>59</v>
      </c>
      <c r="J196" s="15" t="s">
        <v>17</v>
      </c>
      <c r="K196" s="18" t="n">
        <v>2</v>
      </c>
      <c r="L196" s="7" t="s">
        <v>62</v>
      </c>
      <c r="M196" s="6" t="s">
        <v>2139</v>
      </c>
      <c r="N196" s="6" t="s">
        <v>130</v>
      </c>
      <c r="O196" s="6" t="s">
        <v>177</v>
      </c>
      <c r="P196" s="6" t="s">
        <v>2140</v>
      </c>
      <c r="Q196" s="6" t="s">
        <v>2141</v>
      </c>
      <c r="R196" s="7" t="s">
        <v>134</v>
      </c>
      <c r="S196" s="6" t="s">
        <v>2142</v>
      </c>
      <c r="T196" s="7" t="s">
        <v>300</v>
      </c>
      <c r="U196" s="7" t="s">
        <v>2143</v>
      </c>
      <c r="V196" s="6" t="s">
        <v>2116</v>
      </c>
      <c r="W196" s="6" t="s">
        <v>160</v>
      </c>
      <c r="X196" s="7" t="s">
        <v>44</v>
      </c>
      <c r="Y196" s="19" t="s">
        <v>9</v>
      </c>
      <c r="Z196" s="6" t="s">
        <v>2144</v>
      </c>
    </row>
    <row r="197" customFormat="false" ht="45.75" hidden="false" customHeight="true" outlineLevel="0" collapsed="false">
      <c r="A197" s="7" t="s">
        <v>2145</v>
      </c>
      <c r="B197" s="6" t="s">
        <v>2134</v>
      </c>
      <c r="C197" s="7" t="s">
        <v>38</v>
      </c>
      <c r="D197" s="7" t="s">
        <v>100</v>
      </c>
      <c r="E197" s="7" t="s">
        <v>2135</v>
      </c>
      <c r="F197" s="6" t="s">
        <v>2136</v>
      </c>
      <c r="G197" s="6" t="s">
        <v>2146</v>
      </c>
      <c r="H197" s="6" t="s">
        <v>2147</v>
      </c>
      <c r="I197" s="7" t="s">
        <v>54</v>
      </c>
      <c r="J197" s="15" t="s">
        <v>17</v>
      </c>
      <c r="K197" s="18" t="n">
        <v>2</v>
      </c>
      <c r="L197" s="7" t="s">
        <v>63</v>
      </c>
      <c r="M197" s="6" t="s">
        <v>2139</v>
      </c>
      <c r="N197" s="6" t="s">
        <v>130</v>
      </c>
      <c r="O197" s="6" t="s">
        <v>177</v>
      </c>
      <c r="P197" s="6" t="s">
        <v>2148</v>
      </c>
      <c r="Q197" s="6" t="s">
        <v>2149</v>
      </c>
      <c r="R197" s="7" t="s">
        <v>134</v>
      </c>
      <c r="S197" s="6" t="s">
        <v>2142</v>
      </c>
      <c r="T197" s="7" t="s">
        <v>300</v>
      </c>
      <c r="U197" s="7" t="s">
        <v>2143</v>
      </c>
      <c r="V197" s="6" t="s">
        <v>2116</v>
      </c>
      <c r="W197" s="6" t="s">
        <v>160</v>
      </c>
      <c r="X197" s="7" t="s">
        <v>44</v>
      </c>
      <c r="Y197" s="19" t="s">
        <v>9</v>
      </c>
      <c r="Z197" s="6" t="s">
        <v>2150</v>
      </c>
    </row>
    <row r="198" customFormat="false" ht="45.75" hidden="false" customHeight="true" outlineLevel="0" collapsed="false">
      <c r="A198" s="7" t="s">
        <v>2151</v>
      </c>
      <c r="B198" s="6" t="s">
        <v>2152</v>
      </c>
      <c r="C198" s="7" t="s">
        <v>38</v>
      </c>
      <c r="D198" s="7" t="s">
        <v>100</v>
      </c>
      <c r="E198" s="7" t="s">
        <v>2153</v>
      </c>
      <c r="F198" s="6" t="s">
        <v>2154</v>
      </c>
      <c r="G198" s="6" t="s">
        <v>2155</v>
      </c>
      <c r="H198" s="6" t="s">
        <v>2156</v>
      </c>
      <c r="I198" s="7" t="s">
        <v>57</v>
      </c>
      <c r="J198" s="15" t="s">
        <v>17</v>
      </c>
      <c r="K198" s="18" t="n">
        <v>2</v>
      </c>
      <c r="L198" s="7" t="s">
        <v>62</v>
      </c>
      <c r="M198" s="6" t="s">
        <v>1115</v>
      </c>
      <c r="N198" s="6" t="s">
        <v>130</v>
      </c>
      <c r="O198" s="6" t="s">
        <v>177</v>
      </c>
      <c r="P198" s="6" t="s">
        <v>2157</v>
      </c>
      <c r="Q198" s="6" t="s">
        <v>2158</v>
      </c>
      <c r="R198" s="7" t="s">
        <v>134</v>
      </c>
      <c r="S198" s="6" t="s">
        <v>2159</v>
      </c>
      <c r="T198" s="7" t="s">
        <v>300</v>
      </c>
      <c r="U198" s="7" t="s">
        <v>2160</v>
      </c>
      <c r="V198" s="6" t="s">
        <v>2116</v>
      </c>
      <c r="W198" s="6" t="s">
        <v>160</v>
      </c>
      <c r="X198" s="7" t="s">
        <v>44</v>
      </c>
      <c r="Y198" s="19" t="s">
        <v>9</v>
      </c>
      <c r="Z198" s="6" t="s">
        <v>2161</v>
      </c>
    </row>
    <row r="199" customFormat="false" ht="45.75" hidden="false" customHeight="true" outlineLevel="0" collapsed="false">
      <c r="A199" s="7" t="s">
        <v>2162</v>
      </c>
      <c r="B199" s="6" t="s">
        <v>2152</v>
      </c>
      <c r="C199" s="7" t="s">
        <v>38</v>
      </c>
      <c r="D199" s="7" t="s">
        <v>100</v>
      </c>
      <c r="E199" s="7" t="s">
        <v>2153</v>
      </c>
      <c r="F199" s="6" t="s">
        <v>2154</v>
      </c>
      <c r="G199" s="6" t="s">
        <v>2163</v>
      </c>
      <c r="H199" s="6" t="s">
        <v>2164</v>
      </c>
      <c r="I199" s="7" t="s">
        <v>54</v>
      </c>
      <c r="J199" s="15" t="s">
        <v>17</v>
      </c>
      <c r="K199" s="18" t="n">
        <v>2</v>
      </c>
      <c r="L199" s="7" t="s">
        <v>63</v>
      </c>
      <c r="M199" s="6" t="s">
        <v>1115</v>
      </c>
      <c r="N199" s="6" t="s">
        <v>130</v>
      </c>
      <c r="O199" s="6" t="s">
        <v>177</v>
      </c>
      <c r="P199" s="6" t="s">
        <v>2165</v>
      </c>
      <c r="Q199" s="6" t="s">
        <v>2166</v>
      </c>
      <c r="R199" s="7" t="s">
        <v>134</v>
      </c>
      <c r="S199" s="6" t="s">
        <v>2159</v>
      </c>
      <c r="T199" s="7" t="s">
        <v>300</v>
      </c>
      <c r="U199" s="7" t="s">
        <v>2160</v>
      </c>
      <c r="V199" s="6" t="s">
        <v>2116</v>
      </c>
      <c r="W199" s="6" t="s">
        <v>160</v>
      </c>
      <c r="X199" s="7" t="s">
        <v>44</v>
      </c>
      <c r="Y199" s="19" t="s">
        <v>9</v>
      </c>
      <c r="Z199" s="6" t="s">
        <v>2167</v>
      </c>
    </row>
    <row r="200" customFormat="false" ht="79.5" hidden="false" customHeight="true" outlineLevel="0" collapsed="false">
      <c r="A200" s="7" t="s">
        <v>2168</v>
      </c>
      <c r="B200" s="6" t="s">
        <v>2169</v>
      </c>
      <c r="C200" s="7" t="s">
        <v>38</v>
      </c>
      <c r="D200" s="7" t="s">
        <v>101</v>
      </c>
      <c r="E200" s="7" t="s">
        <v>2170</v>
      </c>
      <c r="F200" s="6" t="s">
        <v>2171</v>
      </c>
      <c r="G200" s="6" t="s">
        <v>2172</v>
      </c>
      <c r="H200" s="6" t="s">
        <v>2173</v>
      </c>
      <c r="I200" s="7" t="s">
        <v>59</v>
      </c>
      <c r="J200" s="15" t="s">
        <v>18</v>
      </c>
      <c r="K200" s="18" t="n">
        <v>2</v>
      </c>
      <c r="L200" s="7" t="s">
        <v>62</v>
      </c>
      <c r="M200" s="6" t="s">
        <v>2174</v>
      </c>
      <c r="N200" s="6" t="s">
        <v>130</v>
      </c>
      <c r="O200" s="6" t="s">
        <v>2175</v>
      </c>
      <c r="P200" s="6" t="s">
        <v>2176</v>
      </c>
      <c r="Q200" s="6" t="s">
        <v>2177</v>
      </c>
      <c r="R200" s="7" t="s">
        <v>134</v>
      </c>
      <c r="S200" s="6" t="s">
        <v>2178</v>
      </c>
      <c r="T200" s="7" t="s">
        <v>136</v>
      </c>
      <c r="U200" s="7" t="s">
        <v>2179</v>
      </c>
      <c r="V200" s="6" t="s">
        <v>2180</v>
      </c>
      <c r="W200" s="6" t="s">
        <v>160</v>
      </c>
      <c r="X200" s="7" t="s">
        <v>45</v>
      </c>
      <c r="Y200" s="19" t="s">
        <v>9</v>
      </c>
      <c r="Z200" s="6" t="s">
        <v>2181</v>
      </c>
    </row>
    <row r="201" customFormat="false" ht="79.5" hidden="false" customHeight="true" outlineLevel="0" collapsed="false">
      <c r="A201" s="7" t="s">
        <v>2182</v>
      </c>
      <c r="B201" s="6" t="s">
        <v>2169</v>
      </c>
      <c r="C201" s="7" t="s">
        <v>38</v>
      </c>
      <c r="D201" s="7" t="s">
        <v>101</v>
      </c>
      <c r="E201" s="7" t="s">
        <v>2170</v>
      </c>
      <c r="F201" s="6" t="s">
        <v>2171</v>
      </c>
      <c r="G201" s="6" t="s">
        <v>2183</v>
      </c>
      <c r="H201" s="6" t="s">
        <v>2184</v>
      </c>
      <c r="I201" s="7" t="s">
        <v>59</v>
      </c>
      <c r="J201" s="15" t="s">
        <v>18</v>
      </c>
      <c r="K201" s="18" t="n">
        <v>2</v>
      </c>
      <c r="L201" s="7" t="s">
        <v>62</v>
      </c>
      <c r="M201" s="6" t="s">
        <v>2185</v>
      </c>
      <c r="N201" s="6" t="s">
        <v>130</v>
      </c>
      <c r="O201" s="6" t="s">
        <v>2186</v>
      </c>
      <c r="P201" s="6" t="s">
        <v>2187</v>
      </c>
      <c r="Q201" s="6" t="s">
        <v>2188</v>
      </c>
      <c r="R201" s="7" t="s">
        <v>134</v>
      </c>
      <c r="S201" s="6" t="s">
        <v>2178</v>
      </c>
      <c r="T201" s="7" t="s">
        <v>136</v>
      </c>
      <c r="U201" s="7" t="s">
        <v>2179</v>
      </c>
      <c r="V201" s="6" t="s">
        <v>2180</v>
      </c>
      <c r="W201" s="6" t="s">
        <v>160</v>
      </c>
      <c r="X201" s="7" t="s">
        <v>45</v>
      </c>
      <c r="Y201" s="19" t="s">
        <v>9</v>
      </c>
      <c r="Z201" s="6" t="s">
        <v>2189</v>
      </c>
    </row>
    <row r="202" customFormat="false" ht="68.25" hidden="false" customHeight="true" outlineLevel="0" collapsed="false">
      <c r="A202" s="7" t="s">
        <v>2190</v>
      </c>
      <c r="B202" s="6" t="s">
        <v>2191</v>
      </c>
      <c r="C202" s="7" t="s">
        <v>38</v>
      </c>
      <c r="D202" s="7" t="s">
        <v>101</v>
      </c>
      <c r="E202" s="7" t="s">
        <v>2192</v>
      </c>
      <c r="F202" s="6" t="s">
        <v>2193</v>
      </c>
      <c r="G202" s="6" t="s">
        <v>2194</v>
      </c>
      <c r="H202" s="6" t="s">
        <v>2195</v>
      </c>
      <c r="I202" s="7" t="s">
        <v>59</v>
      </c>
      <c r="J202" s="15" t="s">
        <v>18</v>
      </c>
      <c r="K202" s="18" t="n">
        <v>2</v>
      </c>
      <c r="L202" s="7" t="s">
        <v>62</v>
      </c>
      <c r="M202" s="6" t="s">
        <v>2196</v>
      </c>
      <c r="N202" s="6" t="s">
        <v>130</v>
      </c>
      <c r="O202" s="6" t="s">
        <v>2175</v>
      </c>
      <c r="P202" s="6" t="s">
        <v>2197</v>
      </c>
      <c r="Q202" s="6" t="s">
        <v>2198</v>
      </c>
      <c r="R202" s="7" t="s">
        <v>134</v>
      </c>
      <c r="S202" s="6" t="s">
        <v>2199</v>
      </c>
      <c r="T202" s="7" t="s">
        <v>136</v>
      </c>
      <c r="U202" s="7" t="s">
        <v>2200</v>
      </c>
      <c r="V202" s="6" t="s">
        <v>2180</v>
      </c>
      <c r="W202" s="6" t="s">
        <v>160</v>
      </c>
      <c r="X202" s="7" t="s">
        <v>45</v>
      </c>
      <c r="Y202" s="19" t="s">
        <v>9</v>
      </c>
      <c r="Z202" s="6" t="s">
        <v>2201</v>
      </c>
    </row>
    <row r="203" customFormat="false" ht="68.25" hidden="false" customHeight="true" outlineLevel="0" collapsed="false">
      <c r="A203" s="7" t="s">
        <v>2202</v>
      </c>
      <c r="B203" s="6" t="s">
        <v>2191</v>
      </c>
      <c r="C203" s="7" t="s">
        <v>38</v>
      </c>
      <c r="D203" s="7" t="s">
        <v>101</v>
      </c>
      <c r="E203" s="7" t="s">
        <v>2192</v>
      </c>
      <c r="F203" s="6" t="s">
        <v>2193</v>
      </c>
      <c r="G203" s="6" t="s">
        <v>2203</v>
      </c>
      <c r="H203" s="6" t="s">
        <v>2204</v>
      </c>
      <c r="I203" s="7" t="s">
        <v>59</v>
      </c>
      <c r="J203" s="15" t="s">
        <v>19</v>
      </c>
      <c r="K203" s="19" t="n">
        <v>3</v>
      </c>
      <c r="L203" s="7" t="s">
        <v>62</v>
      </c>
      <c r="M203" s="6" t="s">
        <v>2205</v>
      </c>
      <c r="N203" s="6" t="s">
        <v>130</v>
      </c>
      <c r="O203" s="6" t="s">
        <v>177</v>
      </c>
      <c r="P203" s="6" t="s">
        <v>2206</v>
      </c>
      <c r="Q203" s="6" t="s">
        <v>2207</v>
      </c>
      <c r="R203" s="7" t="s">
        <v>134</v>
      </c>
      <c r="S203" s="6" t="s">
        <v>2199</v>
      </c>
      <c r="T203" s="7" t="s">
        <v>136</v>
      </c>
      <c r="U203" s="7" t="s">
        <v>2200</v>
      </c>
      <c r="V203" s="6" t="s">
        <v>2180</v>
      </c>
      <c r="W203" s="6" t="s">
        <v>160</v>
      </c>
      <c r="X203" s="7" t="s">
        <v>44</v>
      </c>
      <c r="Y203" s="19" t="s">
        <v>9</v>
      </c>
      <c r="Z203" s="6" t="s">
        <v>2208</v>
      </c>
    </row>
    <row r="204" customFormat="false" ht="68.25" hidden="false" customHeight="true" outlineLevel="0" collapsed="false">
      <c r="A204" s="7" t="s">
        <v>2209</v>
      </c>
      <c r="B204" s="6" t="s">
        <v>2210</v>
      </c>
      <c r="C204" s="7" t="s">
        <v>38</v>
      </c>
      <c r="D204" s="7" t="s">
        <v>101</v>
      </c>
      <c r="E204" s="7" t="s">
        <v>2211</v>
      </c>
      <c r="F204" s="6" t="s">
        <v>2212</v>
      </c>
      <c r="G204" s="6" t="s">
        <v>2213</v>
      </c>
      <c r="H204" s="6" t="s">
        <v>2214</v>
      </c>
      <c r="I204" s="7" t="s">
        <v>51</v>
      </c>
      <c r="J204" s="15" t="s">
        <v>18</v>
      </c>
      <c r="K204" s="18" t="n">
        <v>2</v>
      </c>
      <c r="L204" s="7" t="s">
        <v>62</v>
      </c>
      <c r="M204" s="6" t="s">
        <v>2215</v>
      </c>
      <c r="N204" s="6" t="s">
        <v>130</v>
      </c>
      <c r="O204" s="6" t="s">
        <v>2175</v>
      </c>
      <c r="P204" s="6" t="s">
        <v>2216</v>
      </c>
      <c r="Q204" s="6" t="s">
        <v>2217</v>
      </c>
      <c r="R204" s="7" t="s">
        <v>134</v>
      </c>
      <c r="S204" s="6" t="s">
        <v>2218</v>
      </c>
      <c r="T204" s="7" t="s">
        <v>136</v>
      </c>
      <c r="U204" s="7" t="s">
        <v>2219</v>
      </c>
      <c r="V204" s="6" t="s">
        <v>2180</v>
      </c>
      <c r="W204" s="6" t="s">
        <v>160</v>
      </c>
      <c r="X204" s="7" t="s">
        <v>45</v>
      </c>
      <c r="Y204" s="19" t="s">
        <v>9</v>
      </c>
      <c r="Z204" s="6" t="s">
        <v>2220</v>
      </c>
    </row>
    <row r="205" customFormat="false" ht="68.25" hidden="false" customHeight="true" outlineLevel="0" collapsed="false">
      <c r="A205" s="7" t="s">
        <v>2221</v>
      </c>
      <c r="B205" s="6" t="s">
        <v>2222</v>
      </c>
      <c r="C205" s="7" t="s">
        <v>38</v>
      </c>
      <c r="D205" s="7" t="s">
        <v>101</v>
      </c>
      <c r="E205" s="7" t="s">
        <v>2223</v>
      </c>
      <c r="F205" s="6" t="s">
        <v>2224</v>
      </c>
      <c r="G205" s="6" t="s">
        <v>2225</v>
      </c>
      <c r="H205" s="6" t="s">
        <v>2226</v>
      </c>
      <c r="I205" s="7" t="s">
        <v>51</v>
      </c>
      <c r="J205" s="15" t="s">
        <v>18</v>
      </c>
      <c r="K205" s="18" t="n">
        <v>2</v>
      </c>
      <c r="L205" s="7" t="s">
        <v>62</v>
      </c>
      <c r="M205" s="6" t="s">
        <v>2227</v>
      </c>
      <c r="N205" s="6" t="s">
        <v>130</v>
      </c>
      <c r="O205" s="6" t="s">
        <v>2228</v>
      </c>
      <c r="P205" s="6" t="s">
        <v>2229</v>
      </c>
      <c r="Q205" s="6" t="s">
        <v>2230</v>
      </c>
      <c r="R205" s="7" t="s">
        <v>134</v>
      </c>
      <c r="S205" s="6" t="s">
        <v>2231</v>
      </c>
      <c r="T205" s="7" t="s">
        <v>136</v>
      </c>
      <c r="U205" s="7" t="s">
        <v>2232</v>
      </c>
      <c r="V205" s="6" t="s">
        <v>2180</v>
      </c>
      <c r="W205" s="6" t="s">
        <v>160</v>
      </c>
      <c r="X205" s="7" t="s">
        <v>45</v>
      </c>
      <c r="Y205" s="19" t="s">
        <v>9</v>
      </c>
      <c r="Z205" s="6" t="s">
        <v>2233</v>
      </c>
    </row>
    <row r="206" customFormat="false" ht="45.75" hidden="false" customHeight="true" outlineLevel="0" collapsed="false">
      <c r="A206" s="7" t="s">
        <v>2234</v>
      </c>
      <c r="B206" s="6" t="s">
        <v>2235</v>
      </c>
      <c r="C206" s="7" t="s">
        <v>38</v>
      </c>
      <c r="D206" s="7" t="s">
        <v>36</v>
      </c>
      <c r="E206" s="7" t="s">
        <v>2236</v>
      </c>
      <c r="F206" s="6" t="s">
        <v>2237</v>
      </c>
      <c r="G206" s="6" t="s">
        <v>2238</v>
      </c>
      <c r="H206" s="6" t="s">
        <v>2239</v>
      </c>
      <c r="I206" s="7" t="s">
        <v>49</v>
      </c>
      <c r="J206" s="15" t="s">
        <v>18</v>
      </c>
      <c r="K206" s="18" t="n">
        <v>2</v>
      </c>
      <c r="L206" s="7" t="s">
        <v>63</v>
      </c>
      <c r="M206" s="6" t="s">
        <v>138</v>
      </c>
      <c r="N206" s="6" t="s">
        <v>138</v>
      </c>
      <c r="O206" s="6" t="s">
        <v>138</v>
      </c>
      <c r="P206" s="6" t="s">
        <v>138</v>
      </c>
      <c r="Q206" s="6" t="s">
        <v>138</v>
      </c>
      <c r="R206" s="7" t="s">
        <v>134</v>
      </c>
      <c r="S206" s="6" t="s">
        <v>2240</v>
      </c>
      <c r="T206" s="7" t="s">
        <v>138</v>
      </c>
      <c r="U206" s="7" t="s">
        <v>2241</v>
      </c>
      <c r="V206" s="6" t="s">
        <v>138</v>
      </c>
      <c r="W206" s="6" t="s">
        <v>160</v>
      </c>
      <c r="X206" s="7" t="s">
        <v>44</v>
      </c>
      <c r="Y206" s="20" t="s">
        <v>11</v>
      </c>
      <c r="Z206" s="6" t="s">
        <v>2242</v>
      </c>
    </row>
    <row r="207" customFormat="false" ht="45.75" hidden="false" customHeight="true" outlineLevel="0" collapsed="false">
      <c r="A207" s="7" t="s">
        <v>2243</v>
      </c>
      <c r="B207" s="6" t="s">
        <v>2244</v>
      </c>
      <c r="C207" s="7" t="s">
        <v>38</v>
      </c>
      <c r="D207" s="7" t="s">
        <v>100</v>
      </c>
      <c r="E207" s="7" t="s">
        <v>2245</v>
      </c>
      <c r="F207" s="6" t="s">
        <v>2246</v>
      </c>
      <c r="G207" s="6" t="s">
        <v>2247</v>
      </c>
      <c r="H207" s="6" t="s">
        <v>2248</v>
      </c>
      <c r="I207" s="7" t="s">
        <v>59</v>
      </c>
      <c r="J207" s="15" t="s">
        <v>16</v>
      </c>
      <c r="K207" s="16" t="n">
        <v>1</v>
      </c>
      <c r="L207" s="7" t="s">
        <v>62</v>
      </c>
      <c r="M207" s="6" t="s">
        <v>2249</v>
      </c>
      <c r="N207" s="6" t="s">
        <v>176</v>
      </c>
      <c r="O207" s="6" t="s">
        <v>2250</v>
      </c>
      <c r="P207" s="6" t="s">
        <v>2251</v>
      </c>
      <c r="Q207" s="6" t="s">
        <v>2252</v>
      </c>
      <c r="R207" s="7" t="s">
        <v>134</v>
      </c>
      <c r="S207" s="6" t="s">
        <v>2253</v>
      </c>
      <c r="T207" s="7" t="s">
        <v>136</v>
      </c>
      <c r="U207" s="7" t="s">
        <v>2254</v>
      </c>
      <c r="V207" s="6" t="s">
        <v>138</v>
      </c>
      <c r="W207" s="6" t="s">
        <v>139</v>
      </c>
      <c r="X207" s="7" t="s">
        <v>45</v>
      </c>
      <c r="Y207" s="19" t="s">
        <v>9</v>
      </c>
      <c r="Z207" s="6" t="s">
        <v>2255</v>
      </c>
    </row>
    <row r="208" customFormat="false" ht="79.5" hidden="false" customHeight="true" outlineLevel="0" collapsed="false">
      <c r="A208" s="7" t="s">
        <v>2256</v>
      </c>
      <c r="B208" s="6" t="s">
        <v>2244</v>
      </c>
      <c r="C208" s="7" t="s">
        <v>38</v>
      </c>
      <c r="D208" s="7" t="s">
        <v>100</v>
      </c>
      <c r="E208" s="7" t="s">
        <v>2245</v>
      </c>
      <c r="F208" s="6" t="s">
        <v>2246</v>
      </c>
      <c r="G208" s="6" t="s">
        <v>2257</v>
      </c>
      <c r="H208" s="6" t="s">
        <v>2258</v>
      </c>
      <c r="I208" s="7" t="s">
        <v>52</v>
      </c>
      <c r="J208" s="15" t="s">
        <v>17</v>
      </c>
      <c r="K208" s="18" t="n">
        <v>2</v>
      </c>
      <c r="L208" s="7" t="s">
        <v>65</v>
      </c>
      <c r="M208" s="6" t="s">
        <v>2259</v>
      </c>
      <c r="N208" s="6" t="s">
        <v>176</v>
      </c>
      <c r="O208" s="6" t="s">
        <v>2260</v>
      </c>
      <c r="P208" s="6" t="s">
        <v>2261</v>
      </c>
      <c r="Q208" s="6" t="s">
        <v>2262</v>
      </c>
      <c r="R208" s="7" t="s">
        <v>134</v>
      </c>
      <c r="S208" s="6" t="s">
        <v>2253</v>
      </c>
      <c r="T208" s="7" t="s">
        <v>136</v>
      </c>
      <c r="U208" s="7" t="s">
        <v>2254</v>
      </c>
      <c r="V208" s="6" t="s">
        <v>616</v>
      </c>
      <c r="W208" s="6" t="s">
        <v>139</v>
      </c>
      <c r="X208" s="7" t="s">
        <v>45</v>
      </c>
      <c r="Y208" s="19" t="s">
        <v>9</v>
      </c>
      <c r="Z208" s="6" t="s">
        <v>2263</v>
      </c>
    </row>
    <row r="209" customFormat="false" ht="68.25" hidden="false" customHeight="true" outlineLevel="0" collapsed="false">
      <c r="A209" s="7" t="s">
        <v>2264</v>
      </c>
      <c r="B209" s="6" t="s">
        <v>2265</v>
      </c>
      <c r="C209" s="7" t="s">
        <v>38</v>
      </c>
      <c r="D209" s="7" t="s">
        <v>101</v>
      </c>
      <c r="E209" s="7" t="s">
        <v>2266</v>
      </c>
      <c r="F209" s="6" t="s">
        <v>2267</v>
      </c>
      <c r="G209" s="6" t="s">
        <v>2268</v>
      </c>
      <c r="H209" s="6" t="s">
        <v>2269</v>
      </c>
      <c r="I209" s="7" t="s">
        <v>49</v>
      </c>
      <c r="J209" s="15" t="s">
        <v>17</v>
      </c>
      <c r="K209" s="16" t="n">
        <v>1</v>
      </c>
      <c r="L209" s="7" t="s">
        <v>63</v>
      </c>
      <c r="M209" s="6" t="s">
        <v>2270</v>
      </c>
      <c r="N209" s="6" t="s">
        <v>130</v>
      </c>
      <c r="O209" s="6" t="s">
        <v>2271</v>
      </c>
      <c r="P209" s="6" t="s">
        <v>2272</v>
      </c>
      <c r="Q209" s="6" t="s">
        <v>2273</v>
      </c>
      <c r="R209" s="7" t="s">
        <v>134</v>
      </c>
      <c r="S209" s="6" t="s">
        <v>2274</v>
      </c>
      <c r="T209" s="7" t="s">
        <v>269</v>
      </c>
      <c r="U209" s="7" t="s">
        <v>2275</v>
      </c>
      <c r="V209" s="6" t="s">
        <v>2276</v>
      </c>
      <c r="W209" s="6" t="s">
        <v>160</v>
      </c>
      <c r="X209" s="7" t="s">
        <v>44</v>
      </c>
      <c r="Y209" s="19" t="s">
        <v>9</v>
      </c>
      <c r="Z209" s="6" t="s">
        <v>2277</v>
      </c>
    </row>
    <row r="210" customFormat="false" ht="68.25" hidden="false" customHeight="true" outlineLevel="0" collapsed="false">
      <c r="A210" s="7" t="s">
        <v>2278</v>
      </c>
      <c r="B210" s="6" t="s">
        <v>2265</v>
      </c>
      <c r="C210" s="7" t="s">
        <v>38</v>
      </c>
      <c r="D210" s="7" t="s">
        <v>101</v>
      </c>
      <c r="E210" s="7" t="s">
        <v>2266</v>
      </c>
      <c r="F210" s="6" t="s">
        <v>2267</v>
      </c>
      <c r="G210" s="6" t="s">
        <v>2279</v>
      </c>
      <c r="H210" s="6" t="s">
        <v>2280</v>
      </c>
      <c r="I210" s="7" t="s">
        <v>49</v>
      </c>
      <c r="J210" s="15" t="s">
        <v>17</v>
      </c>
      <c r="K210" s="16" t="n">
        <v>1</v>
      </c>
      <c r="L210" s="7" t="s">
        <v>63</v>
      </c>
      <c r="M210" s="6" t="s">
        <v>2281</v>
      </c>
      <c r="N210" s="6" t="s">
        <v>130</v>
      </c>
      <c r="O210" s="6" t="s">
        <v>2282</v>
      </c>
      <c r="P210" s="6" t="s">
        <v>2283</v>
      </c>
      <c r="Q210" s="6" t="s">
        <v>2284</v>
      </c>
      <c r="R210" s="7" t="s">
        <v>134</v>
      </c>
      <c r="S210" s="6" t="s">
        <v>2274</v>
      </c>
      <c r="T210" s="7" t="s">
        <v>269</v>
      </c>
      <c r="U210" s="7" t="s">
        <v>2275</v>
      </c>
      <c r="V210" s="6" t="s">
        <v>2276</v>
      </c>
      <c r="W210" s="6" t="s">
        <v>160</v>
      </c>
      <c r="X210" s="7" t="s">
        <v>44</v>
      </c>
      <c r="Y210" s="19" t="s">
        <v>9</v>
      </c>
      <c r="Z210" s="6" t="s">
        <v>2285</v>
      </c>
    </row>
    <row r="211" customFormat="false" ht="68.25" hidden="false" customHeight="true" outlineLevel="0" collapsed="false">
      <c r="A211" s="7" t="s">
        <v>2286</v>
      </c>
      <c r="B211" s="6" t="s">
        <v>2265</v>
      </c>
      <c r="C211" s="7" t="s">
        <v>38</v>
      </c>
      <c r="D211" s="7" t="s">
        <v>101</v>
      </c>
      <c r="E211" s="7" t="s">
        <v>2266</v>
      </c>
      <c r="F211" s="6" t="s">
        <v>2267</v>
      </c>
      <c r="G211" s="6" t="s">
        <v>2287</v>
      </c>
      <c r="H211" s="6" t="s">
        <v>2288</v>
      </c>
      <c r="I211" s="7" t="s">
        <v>49</v>
      </c>
      <c r="J211" s="15" t="s">
        <v>18</v>
      </c>
      <c r="K211" s="18" t="n">
        <v>2</v>
      </c>
      <c r="L211" s="7" t="s">
        <v>63</v>
      </c>
      <c r="M211" s="6" t="s">
        <v>2289</v>
      </c>
      <c r="N211" s="6" t="s">
        <v>130</v>
      </c>
      <c r="O211" s="6" t="s">
        <v>2290</v>
      </c>
      <c r="P211" s="6" t="s">
        <v>2291</v>
      </c>
      <c r="Q211" s="6" t="s">
        <v>2292</v>
      </c>
      <c r="R211" s="7" t="s">
        <v>134</v>
      </c>
      <c r="S211" s="6" t="s">
        <v>2274</v>
      </c>
      <c r="T211" s="7" t="s">
        <v>269</v>
      </c>
      <c r="U211" s="7" t="s">
        <v>2275</v>
      </c>
      <c r="V211" s="6" t="s">
        <v>2276</v>
      </c>
      <c r="W211" s="6" t="s">
        <v>160</v>
      </c>
      <c r="X211" s="7" t="s">
        <v>44</v>
      </c>
      <c r="Y211" s="19" t="s">
        <v>9</v>
      </c>
      <c r="Z211" s="6" t="s">
        <v>2293</v>
      </c>
    </row>
    <row r="212" customFormat="false" ht="68.25" hidden="false" customHeight="true" outlineLevel="0" collapsed="false">
      <c r="A212" s="7" t="s">
        <v>2294</v>
      </c>
      <c r="B212" s="6" t="s">
        <v>2265</v>
      </c>
      <c r="C212" s="7" t="s">
        <v>38</v>
      </c>
      <c r="D212" s="7" t="s">
        <v>101</v>
      </c>
      <c r="E212" s="7" t="s">
        <v>2266</v>
      </c>
      <c r="F212" s="6" t="s">
        <v>2267</v>
      </c>
      <c r="G212" s="6" t="s">
        <v>2295</v>
      </c>
      <c r="H212" s="6" t="s">
        <v>2296</v>
      </c>
      <c r="I212" s="7" t="s">
        <v>51</v>
      </c>
      <c r="J212" s="15" t="s">
        <v>18</v>
      </c>
      <c r="K212" s="18" t="n">
        <v>2</v>
      </c>
      <c r="L212" s="7" t="s">
        <v>62</v>
      </c>
      <c r="M212" s="6" t="s">
        <v>2297</v>
      </c>
      <c r="N212" s="6" t="s">
        <v>176</v>
      </c>
      <c r="O212" s="6" t="s">
        <v>2298</v>
      </c>
      <c r="P212" s="6" t="s">
        <v>2299</v>
      </c>
      <c r="Q212" s="6" t="s">
        <v>2300</v>
      </c>
      <c r="R212" s="7" t="s">
        <v>134</v>
      </c>
      <c r="S212" s="6" t="s">
        <v>2274</v>
      </c>
      <c r="T212" s="7" t="s">
        <v>136</v>
      </c>
      <c r="U212" s="7" t="s">
        <v>2275</v>
      </c>
      <c r="V212" s="6" t="s">
        <v>2276</v>
      </c>
      <c r="W212" s="6" t="s">
        <v>160</v>
      </c>
      <c r="X212" s="7" t="s">
        <v>44</v>
      </c>
      <c r="Y212" s="19" t="s">
        <v>9</v>
      </c>
      <c r="Z212" s="6" t="s">
        <v>2301</v>
      </c>
    </row>
    <row r="213" customFormat="false" ht="79.5" hidden="false" customHeight="true" outlineLevel="0" collapsed="false">
      <c r="A213" s="7" t="s">
        <v>2302</v>
      </c>
      <c r="B213" s="6" t="s">
        <v>2303</v>
      </c>
      <c r="C213" s="7" t="s">
        <v>38</v>
      </c>
      <c r="D213" s="7" t="s">
        <v>101</v>
      </c>
      <c r="E213" s="7" t="s">
        <v>2304</v>
      </c>
      <c r="F213" s="6" t="s">
        <v>2305</v>
      </c>
      <c r="G213" s="6" t="s">
        <v>2306</v>
      </c>
      <c r="H213" s="6" t="s">
        <v>2307</v>
      </c>
      <c r="I213" s="7" t="s">
        <v>51</v>
      </c>
      <c r="J213" s="15" t="s">
        <v>18</v>
      </c>
      <c r="K213" s="18" t="n">
        <v>2</v>
      </c>
      <c r="L213" s="7" t="s">
        <v>62</v>
      </c>
      <c r="M213" s="6" t="s">
        <v>2308</v>
      </c>
      <c r="N213" s="6" t="s">
        <v>130</v>
      </c>
      <c r="O213" s="6" t="s">
        <v>2309</v>
      </c>
      <c r="P213" s="6" t="s">
        <v>2310</v>
      </c>
      <c r="Q213" s="6" t="s">
        <v>2311</v>
      </c>
      <c r="R213" s="7" t="s">
        <v>134</v>
      </c>
      <c r="S213" s="6" t="s">
        <v>2312</v>
      </c>
      <c r="T213" s="7" t="s">
        <v>136</v>
      </c>
      <c r="U213" s="7" t="s">
        <v>2313</v>
      </c>
      <c r="V213" s="6" t="s">
        <v>2276</v>
      </c>
      <c r="W213" s="6" t="s">
        <v>139</v>
      </c>
      <c r="X213" s="7" t="s">
        <v>45</v>
      </c>
      <c r="Y213" s="19" t="s">
        <v>9</v>
      </c>
      <c r="Z213" s="6" t="s">
        <v>2314</v>
      </c>
    </row>
    <row r="214" customFormat="false" ht="57" hidden="false" customHeight="true" outlineLevel="0" collapsed="false">
      <c r="A214" s="7" t="s">
        <v>2315</v>
      </c>
      <c r="B214" s="6" t="s">
        <v>2303</v>
      </c>
      <c r="C214" s="7" t="s">
        <v>38</v>
      </c>
      <c r="D214" s="7" t="s">
        <v>101</v>
      </c>
      <c r="E214" s="7" t="s">
        <v>2304</v>
      </c>
      <c r="F214" s="6" t="s">
        <v>2305</v>
      </c>
      <c r="G214" s="6" t="s">
        <v>2316</v>
      </c>
      <c r="H214" s="6" t="s">
        <v>2317</v>
      </c>
      <c r="I214" s="7" t="s">
        <v>49</v>
      </c>
      <c r="J214" s="15" t="s">
        <v>18</v>
      </c>
      <c r="K214" s="18" t="n">
        <v>2</v>
      </c>
      <c r="L214" s="7" t="s">
        <v>62</v>
      </c>
      <c r="M214" s="6" t="s">
        <v>2318</v>
      </c>
      <c r="N214" s="6" t="s">
        <v>130</v>
      </c>
      <c r="O214" s="6" t="s">
        <v>2319</v>
      </c>
      <c r="P214" s="6" t="s">
        <v>2320</v>
      </c>
      <c r="Q214" s="6" t="s">
        <v>2321</v>
      </c>
      <c r="R214" s="7" t="s">
        <v>134</v>
      </c>
      <c r="S214" s="6" t="s">
        <v>2312</v>
      </c>
      <c r="T214" s="7" t="s">
        <v>136</v>
      </c>
      <c r="U214" s="7" t="s">
        <v>2313</v>
      </c>
      <c r="V214" s="6" t="s">
        <v>2276</v>
      </c>
      <c r="W214" s="6" t="s">
        <v>160</v>
      </c>
      <c r="X214" s="7" t="s">
        <v>44</v>
      </c>
      <c r="Y214" s="19" t="s">
        <v>9</v>
      </c>
      <c r="Z214" s="6" t="s">
        <v>2322</v>
      </c>
    </row>
    <row r="215" customFormat="false" ht="68.25" hidden="false" customHeight="true" outlineLevel="0" collapsed="false">
      <c r="A215" s="7" t="s">
        <v>2323</v>
      </c>
      <c r="B215" s="6" t="s">
        <v>2324</v>
      </c>
      <c r="C215" s="7" t="s">
        <v>40</v>
      </c>
      <c r="D215" s="7" t="s">
        <v>101</v>
      </c>
      <c r="E215" s="7" t="s">
        <v>2325</v>
      </c>
      <c r="F215" s="6" t="s">
        <v>2326</v>
      </c>
      <c r="G215" s="6" t="s">
        <v>2327</v>
      </c>
      <c r="H215" s="6" t="s">
        <v>2328</v>
      </c>
      <c r="I215" s="7" t="s">
        <v>49</v>
      </c>
      <c r="J215" s="15" t="s">
        <v>18</v>
      </c>
      <c r="K215" s="18" t="n">
        <v>2</v>
      </c>
      <c r="L215" s="7" t="s">
        <v>62</v>
      </c>
      <c r="M215" s="6" t="s">
        <v>2329</v>
      </c>
      <c r="N215" s="6" t="s">
        <v>130</v>
      </c>
      <c r="O215" s="6" t="s">
        <v>670</v>
      </c>
      <c r="P215" s="6" t="s">
        <v>2330</v>
      </c>
      <c r="Q215" s="6" t="s">
        <v>2331</v>
      </c>
      <c r="R215" s="7" t="s">
        <v>134</v>
      </c>
      <c r="S215" s="6" t="s">
        <v>2332</v>
      </c>
      <c r="T215" s="7" t="s">
        <v>136</v>
      </c>
      <c r="U215" s="7" t="s">
        <v>2333</v>
      </c>
      <c r="V215" s="6" t="s">
        <v>673</v>
      </c>
      <c r="W215" s="6" t="s">
        <v>160</v>
      </c>
      <c r="X215" s="7" t="s">
        <v>44</v>
      </c>
      <c r="Y215" s="19" t="s">
        <v>9</v>
      </c>
      <c r="Z215" s="6" t="s">
        <v>2334</v>
      </c>
    </row>
    <row r="216" customFormat="false" ht="68.25" hidden="false" customHeight="true" outlineLevel="0" collapsed="false">
      <c r="A216" s="7" t="s">
        <v>2335</v>
      </c>
      <c r="B216" s="6" t="s">
        <v>2324</v>
      </c>
      <c r="C216" s="7" t="s">
        <v>40</v>
      </c>
      <c r="D216" s="7" t="s">
        <v>101</v>
      </c>
      <c r="E216" s="7" t="s">
        <v>2325</v>
      </c>
      <c r="F216" s="6" t="s">
        <v>2326</v>
      </c>
      <c r="G216" s="6" t="s">
        <v>2336</v>
      </c>
      <c r="H216" s="6" t="s">
        <v>2337</v>
      </c>
      <c r="I216" s="7" t="s">
        <v>50</v>
      </c>
      <c r="J216" s="15" t="s">
        <v>19</v>
      </c>
      <c r="K216" s="19" t="n">
        <v>3</v>
      </c>
      <c r="L216" s="7" t="s">
        <v>62</v>
      </c>
      <c r="M216" s="6" t="s">
        <v>2338</v>
      </c>
      <c r="N216" s="6" t="s">
        <v>130</v>
      </c>
      <c r="O216" s="6" t="s">
        <v>2339</v>
      </c>
      <c r="P216" s="6" t="s">
        <v>2340</v>
      </c>
      <c r="Q216" s="6" t="s">
        <v>2341</v>
      </c>
      <c r="R216" s="7" t="s">
        <v>134</v>
      </c>
      <c r="S216" s="6" t="s">
        <v>2332</v>
      </c>
      <c r="T216" s="7" t="s">
        <v>136</v>
      </c>
      <c r="U216" s="7" t="s">
        <v>2333</v>
      </c>
      <c r="V216" s="6" t="s">
        <v>138</v>
      </c>
      <c r="W216" s="6" t="s">
        <v>160</v>
      </c>
      <c r="X216" s="7" t="s">
        <v>44</v>
      </c>
      <c r="Y216" s="17" t="s">
        <v>7</v>
      </c>
      <c r="Z216" s="6" t="s">
        <v>2342</v>
      </c>
    </row>
    <row r="217" customFormat="false" ht="68.25" hidden="false" customHeight="true" outlineLevel="0" collapsed="false">
      <c r="A217" s="7" t="s">
        <v>2343</v>
      </c>
      <c r="B217" s="6" t="s">
        <v>2324</v>
      </c>
      <c r="C217" s="7" t="s">
        <v>40</v>
      </c>
      <c r="D217" s="7" t="s">
        <v>101</v>
      </c>
      <c r="E217" s="7" t="s">
        <v>2325</v>
      </c>
      <c r="F217" s="6" t="s">
        <v>2326</v>
      </c>
      <c r="G217" s="6" t="s">
        <v>2344</v>
      </c>
      <c r="H217" s="6" t="s">
        <v>2345</v>
      </c>
      <c r="I217" s="7" t="s">
        <v>50</v>
      </c>
      <c r="J217" s="15" t="s">
        <v>19</v>
      </c>
      <c r="K217" s="19" t="n">
        <v>3</v>
      </c>
      <c r="L217" s="7" t="s">
        <v>62</v>
      </c>
      <c r="M217" s="6" t="s">
        <v>2338</v>
      </c>
      <c r="N217" s="6" t="s">
        <v>130</v>
      </c>
      <c r="O217" s="6" t="s">
        <v>2346</v>
      </c>
      <c r="P217" s="6" t="s">
        <v>2347</v>
      </c>
      <c r="Q217" s="6" t="s">
        <v>2348</v>
      </c>
      <c r="R217" s="7" t="s">
        <v>134</v>
      </c>
      <c r="S217" s="6" t="s">
        <v>2332</v>
      </c>
      <c r="T217" s="7" t="s">
        <v>136</v>
      </c>
      <c r="U217" s="7" t="s">
        <v>2333</v>
      </c>
      <c r="V217" s="6" t="s">
        <v>138</v>
      </c>
      <c r="W217" s="6" t="s">
        <v>160</v>
      </c>
      <c r="X217" s="7" t="s">
        <v>44</v>
      </c>
      <c r="Y217" s="17" t="s">
        <v>7</v>
      </c>
      <c r="Z217" s="6" t="s">
        <v>2349</v>
      </c>
    </row>
    <row r="218" customFormat="false" ht="113.25" hidden="false" customHeight="true" outlineLevel="0" collapsed="false">
      <c r="A218" s="7" t="s">
        <v>2350</v>
      </c>
      <c r="B218" s="6" t="s">
        <v>2324</v>
      </c>
      <c r="C218" s="7" t="s">
        <v>40</v>
      </c>
      <c r="D218" s="7" t="s">
        <v>101</v>
      </c>
      <c r="E218" s="7" t="s">
        <v>2325</v>
      </c>
      <c r="F218" s="6" t="s">
        <v>2326</v>
      </c>
      <c r="G218" s="6" t="s">
        <v>2351</v>
      </c>
      <c r="H218" s="6" t="s">
        <v>2352</v>
      </c>
      <c r="I218" s="7" t="s">
        <v>48</v>
      </c>
      <c r="J218" s="15" t="s">
        <v>18</v>
      </c>
      <c r="K218" s="18" t="n">
        <v>2</v>
      </c>
      <c r="L218" s="7" t="s">
        <v>64</v>
      </c>
      <c r="M218" s="6" t="s">
        <v>2353</v>
      </c>
      <c r="N218" s="6" t="s">
        <v>130</v>
      </c>
      <c r="O218" s="6" t="s">
        <v>2354</v>
      </c>
      <c r="P218" s="6" t="s">
        <v>2355</v>
      </c>
      <c r="Q218" s="6" t="s">
        <v>2356</v>
      </c>
      <c r="R218" s="7" t="s">
        <v>134</v>
      </c>
      <c r="S218" s="6" t="s">
        <v>2332</v>
      </c>
      <c r="T218" s="7" t="s">
        <v>256</v>
      </c>
      <c r="U218" s="7" t="s">
        <v>2333</v>
      </c>
      <c r="V218" s="6" t="s">
        <v>2357</v>
      </c>
      <c r="W218" s="6" t="s">
        <v>160</v>
      </c>
      <c r="X218" s="7" t="s">
        <v>44</v>
      </c>
      <c r="Y218" s="19" t="s">
        <v>9</v>
      </c>
      <c r="Z218" s="6" t="s">
        <v>2358</v>
      </c>
    </row>
    <row r="219" customFormat="false" ht="57" hidden="false" customHeight="true" outlineLevel="0" collapsed="false">
      <c r="A219" s="7" t="s">
        <v>2359</v>
      </c>
      <c r="B219" s="6" t="s">
        <v>2360</v>
      </c>
      <c r="C219" s="7" t="s">
        <v>38</v>
      </c>
      <c r="D219" s="7" t="s">
        <v>101</v>
      </c>
      <c r="E219" s="7" t="s">
        <v>2361</v>
      </c>
      <c r="F219" s="6" t="s">
        <v>2362</v>
      </c>
      <c r="G219" s="6" t="s">
        <v>2363</v>
      </c>
      <c r="H219" s="6" t="s">
        <v>2364</v>
      </c>
      <c r="I219" s="7" t="s">
        <v>59</v>
      </c>
      <c r="J219" s="15" t="s">
        <v>18</v>
      </c>
      <c r="K219" s="18" t="n">
        <v>2</v>
      </c>
      <c r="L219" s="7" t="s">
        <v>62</v>
      </c>
      <c r="M219" s="6" t="s">
        <v>2365</v>
      </c>
      <c r="N219" s="6" t="s">
        <v>176</v>
      </c>
      <c r="O219" s="6" t="s">
        <v>177</v>
      </c>
      <c r="P219" s="6" t="s">
        <v>2366</v>
      </c>
      <c r="Q219" s="6" t="s">
        <v>2367</v>
      </c>
      <c r="R219" s="7" t="s">
        <v>134</v>
      </c>
      <c r="S219" s="6" t="s">
        <v>2368</v>
      </c>
      <c r="T219" s="7" t="s">
        <v>136</v>
      </c>
      <c r="U219" s="7" t="s">
        <v>2369</v>
      </c>
      <c r="V219" s="6" t="s">
        <v>2370</v>
      </c>
      <c r="W219" s="6" t="s">
        <v>160</v>
      </c>
      <c r="X219" s="7" t="s">
        <v>44</v>
      </c>
      <c r="Y219" s="19" t="s">
        <v>9</v>
      </c>
      <c r="Z219" s="6" t="s">
        <v>2371</v>
      </c>
    </row>
    <row r="220" customFormat="false" ht="45.75" hidden="false" customHeight="true" outlineLevel="0" collapsed="false">
      <c r="A220" s="7" t="s">
        <v>2372</v>
      </c>
      <c r="B220" s="6" t="s">
        <v>2373</v>
      </c>
      <c r="C220" s="7" t="s">
        <v>38</v>
      </c>
      <c r="D220" s="7" t="s">
        <v>101</v>
      </c>
      <c r="E220" s="7" t="s">
        <v>2374</v>
      </c>
      <c r="F220" s="6" t="s">
        <v>2375</v>
      </c>
      <c r="G220" s="6" t="s">
        <v>2376</v>
      </c>
      <c r="H220" s="6" t="s">
        <v>2377</v>
      </c>
      <c r="I220" s="7" t="s">
        <v>54</v>
      </c>
      <c r="J220" s="15" t="s">
        <v>18</v>
      </c>
      <c r="K220" s="18" t="n">
        <v>2</v>
      </c>
      <c r="L220" s="7" t="s">
        <v>63</v>
      </c>
      <c r="M220" s="6" t="s">
        <v>2043</v>
      </c>
      <c r="N220" s="6" t="s">
        <v>130</v>
      </c>
      <c r="O220" s="6" t="s">
        <v>1715</v>
      </c>
      <c r="P220" s="6" t="s">
        <v>2378</v>
      </c>
      <c r="Q220" s="6" t="s">
        <v>2379</v>
      </c>
      <c r="R220" s="7" t="s">
        <v>134</v>
      </c>
      <c r="S220" s="6" t="s">
        <v>2380</v>
      </c>
      <c r="T220" s="7" t="s">
        <v>269</v>
      </c>
      <c r="U220" s="7" t="s">
        <v>2381</v>
      </c>
      <c r="V220" s="6" t="s">
        <v>138</v>
      </c>
      <c r="W220" s="6" t="s">
        <v>160</v>
      </c>
      <c r="X220" s="7" t="s">
        <v>44</v>
      </c>
      <c r="Y220" s="17" t="s">
        <v>7</v>
      </c>
      <c r="Z220" s="6" t="s">
        <v>2382</v>
      </c>
    </row>
    <row r="221" customFormat="false" ht="45.75" hidden="false" customHeight="true" outlineLevel="0" collapsed="false">
      <c r="A221" s="7" t="s">
        <v>2383</v>
      </c>
      <c r="B221" s="6" t="s">
        <v>2373</v>
      </c>
      <c r="C221" s="7" t="s">
        <v>38</v>
      </c>
      <c r="D221" s="7" t="s">
        <v>101</v>
      </c>
      <c r="E221" s="7" t="s">
        <v>2374</v>
      </c>
      <c r="F221" s="6" t="s">
        <v>2375</v>
      </c>
      <c r="G221" s="6" t="s">
        <v>2384</v>
      </c>
      <c r="H221" s="6" t="s">
        <v>2385</v>
      </c>
      <c r="I221" s="7" t="s">
        <v>54</v>
      </c>
      <c r="J221" s="15" t="s">
        <v>18</v>
      </c>
      <c r="K221" s="18" t="n">
        <v>2</v>
      </c>
      <c r="L221" s="7" t="s">
        <v>63</v>
      </c>
      <c r="M221" s="6" t="s">
        <v>2386</v>
      </c>
      <c r="N221" s="6" t="s">
        <v>130</v>
      </c>
      <c r="O221" s="6" t="s">
        <v>1715</v>
      </c>
      <c r="P221" s="6" t="s">
        <v>2387</v>
      </c>
      <c r="Q221" s="6" t="s">
        <v>2388</v>
      </c>
      <c r="R221" s="7" t="s">
        <v>134</v>
      </c>
      <c r="S221" s="6" t="s">
        <v>2380</v>
      </c>
      <c r="T221" s="7" t="s">
        <v>269</v>
      </c>
      <c r="U221" s="7" t="s">
        <v>2381</v>
      </c>
      <c r="V221" s="6" t="s">
        <v>138</v>
      </c>
      <c r="W221" s="6" t="s">
        <v>160</v>
      </c>
      <c r="X221" s="7" t="s">
        <v>44</v>
      </c>
      <c r="Y221" s="17" t="s">
        <v>7</v>
      </c>
      <c r="Z221" s="6" t="s">
        <v>2389</v>
      </c>
    </row>
    <row r="222" customFormat="false" ht="68.25" hidden="false" customHeight="true" outlineLevel="0" collapsed="false">
      <c r="A222" s="7" t="s">
        <v>2390</v>
      </c>
      <c r="B222" s="6" t="s">
        <v>2391</v>
      </c>
      <c r="C222" s="7" t="s">
        <v>40</v>
      </c>
      <c r="D222" s="7" t="s">
        <v>100</v>
      </c>
      <c r="E222" s="7" t="s">
        <v>2392</v>
      </c>
      <c r="F222" s="6" t="s">
        <v>2393</v>
      </c>
      <c r="G222" s="6" t="s">
        <v>2394</v>
      </c>
      <c r="H222" s="6" t="s">
        <v>2395</v>
      </c>
      <c r="I222" s="7" t="s">
        <v>59</v>
      </c>
      <c r="J222" s="15" t="s">
        <v>17</v>
      </c>
      <c r="K222" s="18" t="n">
        <v>2</v>
      </c>
      <c r="L222" s="7" t="s">
        <v>62</v>
      </c>
      <c r="M222" s="6" t="s">
        <v>2396</v>
      </c>
      <c r="N222" s="6" t="s">
        <v>130</v>
      </c>
      <c r="O222" s="6" t="s">
        <v>2397</v>
      </c>
      <c r="P222" s="6" t="s">
        <v>2398</v>
      </c>
      <c r="Q222" s="6" t="s">
        <v>2399</v>
      </c>
      <c r="R222" s="7" t="s">
        <v>134</v>
      </c>
      <c r="S222" s="6" t="s">
        <v>2400</v>
      </c>
      <c r="T222" s="7" t="s">
        <v>136</v>
      </c>
      <c r="U222" s="7" t="s">
        <v>2401</v>
      </c>
      <c r="V222" s="6" t="s">
        <v>2402</v>
      </c>
      <c r="W222" s="6" t="s">
        <v>160</v>
      </c>
      <c r="X222" s="7" t="s">
        <v>44</v>
      </c>
      <c r="Y222" s="19" t="s">
        <v>9</v>
      </c>
      <c r="Z222" s="6" t="s">
        <v>2403</v>
      </c>
    </row>
    <row r="223" customFormat="false" ht="68.25" hidden="false" customHeight="true" outlineLevel="0" collapsed="false">
      <c r="A223" s="7" t="s">
        <v>2404</v>
      </c>
      <c r="B223" s="6" t="s">
        <v>2391</v>
      </c>
      <c r="C223" s="7" t="s">
        <v>40</v>
      </c>
      <c r="D223" s="7" t="s">
        <v>100</v>
      </c>
      <c r="E223" s="7" t="s">
        <v>2392</v>
      </c>
      <c r="F223" s="6" t="s">
        <v>2393</v>
      </c>
      <c r="G223" s="6" t="s">
        <v>2405</v>
      </c>
      <c r="H223" s="6" t="s">
        <v>2406</v>
      </c>
      <c r="I223" s="7" t="s">
        <v>59</v>
      </c>
      <c r="J223" s="15" t="s">
        <v>17</v>
      </c>
      <c r="K223" s="18" t="n">
        <v>2</v>
      </c>
      <c r="L223" s="7" t="s">
        <v>62</v>
      </c>
      <c r="M223" s="6" t="s">
        <v>2396</v>
      </c>
      <c r="N223" s="6" t="s">
        <v>130</v>
      </c>
      <c r="O223" s="6" t="s">
        <v>2407</v>
      </c>
      <c r="P223" s="6" t="s">
        <v>2408</v>
      </c>
      <c r="Q223" s="6" t="s">
        <v>2409</v>
      </c>
      <c r="R223" s="7" t="s">
        <v>134</v>
      </c>
      <c r="S223" s="6" t="s">
        <v>2400</v>
      </c>
      <c r="T223" s="7" t="s">
        <v>136</v>
      </c>
      <c r="U223" s="7" t="s">
        <v>2401</v>
      </c>
      <c r="V223" s="6" t="s">
        <v>2402</v>
      </c>
      <c r="W223" s="6" t="s">
        <v>160</v>
      </c>
      <c r="X223" s="7" t="s">
        <v>44</v>
      </c>
      <c r="Y223" s="19" t="s">
        <v>9</v>
      </c>
      <c r="Z223" s="6" t="s">
        <v>2410</v>
      </c>
    </row>
    <row r="224" customFormat="false" ht="68.25" hidden="false" customHeight="true" outlineLevel="0" collapsed="false">
      <c r="A224" s="7" t="s">
        <v>2411</v>
      </c>
      <c r="B224" s="6" t="s">
        <v>2391</v>
      </c>
      <c r="C224" s="7" t="s">
        <v>40</v>
      </c>
      <c r="D224" s="7" t="s">
        <v>101</v>
      </c>
      <c r="E224" s="7" t="s">
        <v>2392</v>
      </c>
      <c r="F224" s="6" t="s">
        <v>2393</v>
      </c>
      <c r="G224" s="6" t="s">
        <v>2412</v>
      </c>
      <c r="H224" s="6" t="s">
        <v>2413</v>
      </c>
      <c r="I224" s="7" t="s">
        <v>51</v>
      </c>
      <c r="J224" s="15" t="s">
        <v>17</v>
      </c>
      <c r="K224" s="16" t="n">
        <v>1</v>
      </c>
      <c r="L224" s="7" t="s">
        <v>62</v>
      </c>
      <c r="M224" s="6" t="s">
        <v>2414</v>
      </c>
      <c r="N224" s="6" t="s">
        <v>130</v>
      </c>
      <c r="O224" s="6" t="s">
        <v>2415</v>
      </c>
      <c r="P224" s="6" t="s">
        <v>2416</v>
      </c>
      <c r="Q224" s="6" t="s">
        <v>2417</v>
      </c>
      <c r="R224" s="7" t="s">
        <v>134</v>
      </c>
      <c r="S224" s="6" t="s">
        <v>2418</v>
      </c>
      <c r="T224" s="7" t="s">
        <v>136</v>
      </c>
      <c r="U224" s="7" t="s">
        <v>2401</v>
      </c>
      <c r="V224" s="6" t="s">
        <v>2402</v>
      </c>
      <c r="W224" s="6" t="s">
        <v>160</v>
      </c>
      <c r="X224" s="7" t="s">
        <v>44</v>
      </c>
      <c r="Y224" s="19" t="s">
        <v>9</v>
      </c>
      <c r="Z224" s="6" t="s">
        <v>2419</v>
      </c>
    </row>
    <row r="225" customFormat="false" ht="68.25" hidden="false" customHeight="true" outlineLevel="0" collapsed="false">
      <c r="A225" s="7" t="s">
        <v>2420</v>
      </c>
      <c r="B225" s="6" t="s">
        <v>2421</v>
      </c>
      <c r="C225" s="7" t="s">
        <v>40</v>
      </c>
      <c r="D225" s="7" t="s">
        <v>517</v>
      </c>
      <c r="E225" s="7" t="s">
        <v>2422</v>
      </c>
      <c r="F225" s="6" t="s">
        <v>2423</v>
      </c>
      <c r="G225" s="6" t="s">
        <v>2424</v>
      </c>
      <c r="H225" s="6" t="s">
        <v>2425</v>
      </c>
      <c r="I225" s="7" t="s">
        <v>51</v>
      </c>
      <c r="J225" s="15" t="s">
        <v>17</v>
      </c>
      <c r="K225" s="18" t="n">
        <v>2</v>
      </c>
      <c r="L225" s="7" t="s">
        <v>62</v>
      </c>
      <c r="M225" s="6" t="s">
        <v>2426</v>
      </c>
      <c r="N225" s="6" t="s">
        <v>130</v>
      </c>
      <c r="O225" s="6" t="s">
        <v>2427</v>
      </c>
      <c r="P225" s="6" t="s">
        <v>2428</v>
      </c>
      <c r="Q225" s="6" t="s">
        <v>2429</v>
      </c>
      <c r="R225" s="7" t="s">
        <v>134</v>
      </c>
      <c r="S225" s="6" t="s">
        <v>2430</v>
      </c>
      <c r="T225" s="7" t="s">
        <v>136</v>
      </c>
      <c r="U225" s="7" t="s">
        <v>2431</v>
      </c>
      <c r="V225" s="6" t="s">
        <v>2402</v>
      </c>
      <c r="W225" s="6" t="s">
        <v>160</v>
      </c>
      <c r="X225" s="7" t="s">
        <v>44</v>
      </c>
      <c r="Y225" s="19" t="s">
        <v>9</v>
      </c>
      <c r="Z225" s="6" t="s">
        <v>2432</v>
      </c>
    </row>
    <row r="226" customFormat="false" ht="68.25" hidden="false" customHeight="true" outlineLevel="0" collapsed="false">
      <c r="A226" s="7" t="s">
        <v>2433</v>
      </c>
      <c r="B226" s="6" t="s">
        <v>2421</v>
      </c>
      <c r="C226" s="7" t="s">
        <v>40</v>
      </c>
      <c r="D226" s="7" t="s">
        <v>517</v>
      </c>
      <c r="E226" s="7" t="s">
        <v>2422</v>
      </c>
      <c r="F226" s="6" t="s">
        <v>2423</v>
      </c>
      <c r="G226" s="6" t="s">
        <v>2434</v>
      </c>
      <c r="H226" s="6" t="s">
        <v>2435</v>
      </c>
      <c r="I226" s="7" t="s">
        <v>50</v>
      </c>
      <c r="J226" s="15" t="s">
        <v>19</v>
      </c>
      <c r="K226" s="21" t="n">
        <v>4</v>
      </c>
      <c r="L226" s="7" t="s">
        <v>62</v>
      </c>
      <c r="M226" s="6" t="s">
        <v>2436</v>
      </c>
      <c r="N226" s="6" t="s">
        <v>130</v>
      </c>
      <c r="O226" s="6" t="s">
        <v>2437</v>
      </c>
      <c r="P226" s="6" t="s">
        <v>2438</v>
      </c>
      <c r="Q226" s="6" t="s">
        <v>2439</v>
      </c>
      <c r="R226" s="7" t="s">
        <v>134</v>
      </c>
      <c r="S226" s="6" t="s">
        <v>2430</v>
      </c>
      <c r="T226" s="7" t="s">
        <v>136</v>
      </c>
      <c r="U226" s="7" t="s">
        <v>2431</v>
      </c>
      <c r="V226" s="6" t="s">
        <v>138</v>
      </c>
      <c r="W226" s="6" t="s">
        <v>160</v>
      </c>
      <c r="X226" s="7" t="s">
        <v>44</v>
      </c>
      <c r="Y226" s="17" t="s">
        <v>7</v>
      </c>
      <c r="Z226" s="6" t="s">
        <v>2440</v>
      </c>
    </row>
    <row r="227" customFormat="false" ht="68.25" hidden="false" customHeight="true" outlineLevel="0" collapsed="false">
      <c r="A227" s="7" t="s">
        <v>2441</v>
      </c>
      <c r="B227" s="6" t="s">
        <v>2421</v>
      </c>
      <c r="C227" s="7" t="s">
        <v>40</v>
      </c>
      <c r="D227" s="7" t="s">
        <v>517</v>
      </c>
      <c r="E227" s="7" t="s">
        <v>2422</v>
      </c>
      <c r="F227" s="6" t="s">
        <v>2423</v>
      </c>
      <c r="G227" s="6" t="s">
        <v>2442</v>
      </c>
      <c r="H227" s="6" t="s">
        <v>2443</v>
      </c>
      <c r="I227" s="7" t="s">
        <v>59</v>
      </c>
      <c r="J227" s="15" t="s">
        <v>18</v>
      </c>
      <c r="K227" s="19" t="n">
        <v>3</v>
      </c>
      <c r="L227" s="7" t="s">
        <v>62</v>
      </c>
      <c r="M227" s="6" t="s">
        <v>2444</v>
      </c>
      <c r="N227" s="6" t="s">
        <v>130</v>
      </c>
      <c r="O227" s="6" t="s">
        <v>2445</v>
      </c>
      <c r="P227" s="6" t="s">
        <v>2446</v>
      </c>
      <c r="Q227" s="6" t="s">
        <v>2447</v>
      </c>
      <c r="R227" s="7" t="s">
        <v>134</v>
      </c>
      <c r="S227" s="6" t="s">
        <v>2430</v>
      </c>
      <c r="T227" s="7" t="s">
        <v>136</v>
      </c>
      <c r="U227" s="7" t="s">
        <v>2431</v>
      </c>
      <c r="V227" s="6" t="s">
        <v>2402</v>
      </c>
      <c r="W227" s="6" t="s">
        <v>160</v>
      </c>
      <c r="X227" s="7" t="s">
        <v>44</v>
      </c>
      <c r="Y227" s="19" t="s">
        <v>9</v>
      </c>
      <c r="Z227" s="6" t="s">
        <v>2448</v>
      </c>
    </row>
    <row r="228" customFormat="false" ht="68.25" hidden="false" customHeight="true" outlineLevel="0" collapsed="false">
      <c r="A228" s="7" t="s">
        <v>2449</v>
      </c>
      <c r="B228" s="6" t="s">
        <v>2421</v>
      </c>
      <c r="C228" s="7" t="s">
        <v>40</v>
      </c>
      <c r="D228" s="7" t="s">
        <v>517</v>
      </c>
      <c r="E228" s="7" t="s">
        <v>2422</v>
      </c>
      <c r="F228" s="6" t="s">
        <v>2423</v>
      </c>
      <c r="G228" s="6" t="s">
        <v>2450</v>
      </c>
      <c r="H228" s="6" t="s">
        <v>2451</v>
      </c>
      <c r="I228" s="7" t="s">
        <v>59</v>
      </c>
      <c r="J228" s="15" t="s">
        <v>18</v>
      </c>
      <c r="K228" s="19" t="n">
        <v>3</v>
      </c>
      <c r="L228" s="7" t="s">
        <v>62</v>
      </c>
      <c r="M228" s="6" t="s">
        <v>2444</v>
      </c>
      <c r="N228" s="6" t="s">
        <v>130</v>
      </c>
      <c r="O228" s="6" t="s">
        <v>2452</v>
      </c>
      <c r="P228" s="6" t="s">
        <v>2453</v>
      </c>
      <c r="Q228" s="6" t="s">
        <v>2454</v>
      </c>
      <c r="R228" s="7" t="s">
        <v>134</v>
      </c>
      <c r="S228" s="6" t="s">
        <v>2430</v>
      </c>
      <c r="T228" s="7" t="s">
        <v>136</v>
      </c>
      <c r="U228" s="7" t="s">
        <v>2431</v>
      </c>
      <c r="V228" s="6" t="s">
        <v>2402</v>
      </c>
      <c r="W228" s="6" t="s">
        <v>160</v>
      </c>
      <c r="X228" s="7" t="s">
        <v>44</v>
      </c>
      <c r="Y228" s="19" t="s">
        <v>9</v>
      </c>
      <c r="Z228" s="6" t="s">
        <v>2448</v>
      </c>
    </row>
    <row r="229" customFormat="false" ht="90.75" hidden="false" customHeight="true" outlineLevel="0" collapsed="false">
      <c r="A229" s="7" t="s">
        <v>2455</v>
      </c>
      <c r="B229" s="6" t="s">
        <v>2456</v>
      </c>
      <c r="C229" s="7" t="s">
        <v>40</v>
      </c>
      <c r="D229" s="7" t="s">
        <v>100</v>
      </c>
      <c r="E229" s="7" t="s">
        <v>2457</v>
      </c>
      <c r="F229" s="6" t="s">
        <v>2458</v>
      </c>
      <c r="G229" s="6" t="s">
        <v>2459</v>
      </c>
      <c r="H229" s="6" t="s">
        <v>2460</v>
      </c>
      <c r="I229" s="7" t="s">
        <v>51</v>
      </c>
      <c r="J229" s="15" t="s">
        <v>16</v>
      </c>
      <c r="K229" s="16" t="n">
        <v>1</v>
      </c>
      <c r="L229" s="7" t="s">
        <v>62</v>
      </c>
      <c r="M229" s="6" t="s">
        <v>2461</v>
      </c>
      <c r="N229" s="6" t="s">
        <v>130</v>
      </c>
      <c r="O229" s="6" t="s">
        <v>2462</v>
      </c>
      <c r="P229" s="6" t="s">
        <v>2463</v>
      </c>
      <c r="Q229" s="6" t="s">
        <v>2464</v>
      </c>
      <c r="R229" s="7" t="s">
        <v>134</v>
      </c>
      <c r="S229" s="6" t="s">
        <v>2465</v>
      </c>
      <c r="T229" s="7" t="s">
        <v>136</v>
      </c>
      <c r="U229" s="7" t="s">
        <v>2466</v>
      </c>
      <c r="V229" s="6" t="s">
        <v>2467</v>
      </c>
      <c r="W229" s="6" t="s">
        <v>139</v>
      </c>
      <c r="X229" s="7" t="s">
        <v>45</v>
      </c>
      <c r="Y229" s="19" t="s">
        <v>9</v>
      </c>
      <c r="Z229" s="6" t="s">
        <v>2468</v>
      </c>
    </row>
    <row r="230" customFormat="false" ht="57" hidden="false" customHeight="true" outlineLevel="0" collapsed="false">
      <c r="A230" s="7" t="s">
        <v>2469</v>
      </c>
      <c r="B230" s="6" t="s">
        <v>2456</v>
      </c>
      <c r="C230" s="7" t="s">
        <v>40</v>
      </c>
      <c r="D230" s="7" t="s">
        <v>100</v>
      </c>
      <c r="E230" s="7" t="s">
        <v>2457</v>
      </c>
      <c r="F230" s="6" t="s">
        <v>2458</v>
      </c>
      <c r="G230" s="6" t="s">
        <v>2470</v>
      </c>
      <c r="H230" s="6" t="s">
        <v>2471</v>
      </c>
      <c r="I230" s="7" t="s">
        <v>52</v>
      </c>
      <c r="J230" s="15" t="s">
        <v>17</v>
      </c>
      <c r="K230" s="18" t="n">
        <v>2</v>
      </c>
      <c r="L230" s="7" t="s">
        <v>65</v>
      </c>
      <c r="M230" s="6" t="s">
        <v>2472</v>
      </c>
      <c r="N230" s="6" t="s">
        <v>130</v>
      </c>
      <c r="O230" s="6" t="s">
        <v>2473</v>
      </c>
      <c r="P230" s="6" t="s">
        <v>2474</v>
      </c>
      <c r="Q230" s="6" t="s">
        <v>2475</v>
      </c>
      <c r="R230" s="7" t="s">
        <v>134</v>
      </c>
      <c r="S230" s="6" t="s">
        <v>2465</v>
      </c>
      <c r="T230" s="7" t="s">
        <v>136</v>
      </c>
      <c r="U230" s="7" t="s">
        <v>2466</v>
      </c>
      <c r="V230" s="6" t="s">
        <v>616</v>
      </c>
      <c r="W230" s="6" t="s">
        <v>160</v>
      </c>
      <c r="X230" s="7" t="s">
        <v>45</v>
      </c>
      <c r="Y230" s="19" t="s">
        <v>9</v>
      </c>
      <c r="Z230" s="6" t="s">
        <v>617</v>
      </c>
    </row>
    <row r="231" customFormat="false" ht="57" hidden="false" customHeight="true" outlineLevel="0" collapsed="false">
      <c r="A231" s="7" t="s">
        <v>2476</v>
      </c>
      <c r="B231" s="6" t="s">
        <v>2477</v>
      </c>
      <c r="C231" s="7" t="s">
        <v>40</v>
      </c>
      <c r="D231" s="7" t="s">
        <v>100</v>
      </c>
      <c r="E231" s="7" t="s">
        <v>2478</v>
      </c>
      <c r="F231" s="6" t="s">
        <v>2479</v>
      </c>
      <c r="G231" s="6" t="s">
        <v>2480</v>
      </c>
      <c r="H231" s="6" t="s">
        <v>2481</v>
      </c>
      <c r="I231" s="7" t="s">
        <v>59</v>
      </c>
      <c r="J231" s="15" t="s">
        <v>17</v>
      </c>
      <c r="K231" s="18" t="n">
        <v>2</v>
      </c>
      <c r="L231" s="7" t="s">
        <v>62</v>
      </c>
      <c r="M231" s="6" t="s">
        <v>2482</v>
      </c>
      <c r="N231" s="6" t="s">
        <v>130</v>
      </c>
      <c r="O231" s="6" t="s">
        <v>1685</v>
      </c>
      <c r="P231" s="6" t="s">
        <v>2483</v>
      </c>
      <c r="Q231" s="6" t="s">
        <v>2484</v>
      </c>
      <c r="R231" s="7" t="s">
        <v>134</v>
      </c>
      <c r="S231" s="6" t="s">
        <v>2485</v>
      </c>
      <c r="T231" s="7" t="s">
        <v>269</v>
      </c>
      <c r="U231" s="7" t="s">
        <v>2486</v>
      </c>
      <c r="V231" s="6" t="s">
        <v>357</v>
      </c>
      <c r="W231" s="6" t="s">
        <v>160</v>
      </c>
      <c r="X231" s="7" t="s">
        <v>44</v>
      </c>
      <c r="Y231" s="19" t="s">
        <v>9</v>
      </c>
      <c r="Z231" s="6" t="s">
        <v>2487</v>
      </c>
    </row>
    <row r="232" customFormat="false" ht="57" hidden="false" customHeight="true" outlineLevel="0" collapsed="false">
      <c r="A232" s="7" t="s">
        <v>2488</v>
      </c>
      <c r="B232" s="6" t="s">
        <v>2477</v>
      </c>
      <c r="C232" s="7" t="s">
        <v>40</v>
      </c>
      <c r="D232" s="7" t="s">
        <v>100</v>
      </c>
      <c r="E232" s="7" t="s">
        <v>2478</v>
      </c>
      <c r="F232" s="6" t="s">
        <v>2479</v>
      </c>
      <c r="G232" s="6" t="s">
        <v>2489</v>
      </c>
      <c r="H232" s="6" t="s">
        <v>2490</v>
      </c>
      <c r="I232" s="7" t="s">
        <v>54</v>
      </c>
      <c r="J232" s="15" t="s">
        <v>17</v>
      </c>
      <c r="K232" s="18" t="n">
        <v>2</v>
      </c>
      <c r="L232" s="7" t="s">
        <v>63</v>
      </c>
      <c r="M232" s="6" t="s">
        <v>2491</v>
      </c>
      <c r="N232" s="6" t="s">
        <v>130</v>
      </c>
      <c r="O232" s="6" t="s">
        <v>558</v>
      </c>
      <c r="P232" s="6" t="s">
        <v>2492</v>
      </c>
      <c r="Q232" s="6" t="s">
        <v>2493</v>
      </c>
      <c r="R232" s="7" t="s">
        <v>134</v>
      </c>
      <c r="S232" s="6" t="s">
        <v>2485</v>
      </c>
      <c r="T232" s="7" t="s">
        <v>269</v>
      </c>
      <c r="U232" s="7" t="s">
        <v>2486</v>
      </c>
      <c r="V232" s="6" t="s">
        <v>357</v>
      </c>
      <c r="W232" s="6" t="s">
        <v>160</v>
      </c>
      <c r="X232" s="7" t="s">
        <v>44</v>
      </c>
      <c r="Y232" s="19" t="s">
        <v>9</v>
      </c>
      <c r="Z232" s="6" t="s">
        <v>2494</v>
      </c>
    </row>
    <row r="233" customFormat="false" ht="113.25" hidden="false" customHeight="true" outlineLevel="0" collapsed="false">
      <c r="A233" s="7" t="s">
        <v>2495</v>
      </c>
      <c r="B233" s="6" t="s">
        <v>2496</v>
      </c>
      <c r="C233" s="7" t="s">
        <v>40</v>
      </c>
      <c r="D233" s="7" t="s">
        <v>100</v>
      </c>
      <c r="E233" s="7" t="s">
        <v>2497</v>
      </c>
      <c r="F233" s="6" t="s">
        <v>2498</v>
      </c>
      <c r="G233" s="6" t="s">
        <v>2499</v>
      </c>
      <c r="H233" s="6" t="s">
        <v>2500</v>
      </c>
      <c r="I233" s="7" t="s">
        <v>51</v>
      </c>
      <c r="J233" s="15" t="s">
        <v>16</v>
      </c>
      <c r="K233" s="16" t="n">
        <v>1</v>
      </c>
      <c r="L233" s="7" t="s">
        <v>62</v>
      </c>
      <c r="M233" s="6" t="s">
        <v>2501</v>
      </c>
      <c r="N233" s="6" t="s">
        <v>130</v>
      </c>
      <c r="O233" s="6" t="s">
        <v>2502</v>
      </c>
      <c r="P233" s="6" t="s">
        <v>2503</v>
      </c>
      <c r="Q233" s="6" t="s">
        <v>2504</v>
      </c>
      <c r="R233" s="7" t="s">
        <v>134</v>
      </c>
      <c r="S233" s="6" t="s">
        <v>2505</v>
      </c>
      <c r="T233" s="7" t="s">
        <v>136</v>
      </c>
      <c r="U233" s="7" t="s">
        <v>2506</v>
      </c>
      <c r="V233" s="6" t="s">
        <v>2507</v>
      </c>
      <c r="W233" s="6" t="s">
        <v>160</v>
      </c>
      <c r="X233" s="7" t="s">
        <v>44</v>
      </c>
      <c r="Y233" s="19" t="s">
        <v>9</v>
      </c>
      <c r="Z233" s="6" t="s">
        <v>2508</v>
      </c>
    </row>
    <row r="234" customFormat="false" ht="57" hidden="false" customHeight="true" outlineLevel="0" collapsed="false">
      <c r="A234" s="7" t="s">
        <v>2509</v>
      </c>
      <c r="B234" s="6" t="s">
        <v>2496</v>
      </c>
      <c r="C234" s="7" t="s">
        <v>40</v>
      </c>
      <c r="D234" s="7" t="s">
        <v>100</v>
      </c>
      <c r="E234" s="7" t="s">
        <v>2497</v>
      </c>
      <c r="F234" s="6" t="s">
        <v>2498</v>
      </c>
      <c r="G234" s="6" t="s">
        <v>2510</v>
      </c>
      <c r="H234" s="6" t="s">
        <v>2511</v>
      </c>
      <c r="I234" s="7" t="s">
        <v>50</v>
      </c>
      <c r="J234" s="15" t="s">
        <v>17</v>
      </c>
      <c r="K234" s="18" t="n">
        <v>2</v>
      </c>
      <c r="L234" s="7" t="s">
        <v>62</v>
      </c>
      <c r="M234" s="6" t="s">
        <v>2512</v>
      </c>
      <c r="N234" s="6" t="s">
        <v>130</v>
      </c>
      <c r="O234" s="6" t="s">
        <v>510</v>
      </c>
      <c r="P234" s="6" t="s">
        <v>2513</v>
      </c>
      <c r="Q234" s="6" t="s">
        <v>2514</v>
      </c>
      <c r="R234" s="7" t="s">
        <v>134</v>
      </c>
      <c r="S234" s="6" t="s">
        <v>2505</v>
      </c>
      <c r="T234" s="7" t="s">
        <v>136</v>
      </c>
      <c r="U234" s="7" t="s">
        <v>2506</v>
      </c>
      <c r="V234" s="6" t="s">
        <v>138</v>
      </c>
      <c r="W234" s="6" t="s">
        <v>160</v>
      </c>
      <c r="X234" s="7" t="s">
        <v>44</v>
      </c>
      <c r="Y234" s="17" t="s">
        <v>7</v>
      </c>
      <c r="Z234" s="6" t="s">
        <v>2515</v>
      </c>
    </row>
    <row r="235" customFormat="false" ht="68.25" hidden="false" customHeight="true" outlineLevel="0" collapsed="false">
      <c r="A235" s="7" t="s">
        <v>2516</v>
      </c>
      <c r="B235" s="6" t="s">
        <v>2496</v>
      </c>
      <c r="C235" s="7" t="s">
        <v>40</v>
      </c>
      <c r="D235" s="7" t="s">
        <v>100</v>
      </c>
      <c r="E235" s="7" t="s">
        <v>2497</v>
      </c>
      <c r="F235" s="6" t="s">
        <v>2498</v>
      </c>
      <c r="G235" s="6" t="s">
        <v>2517</v>
      </c>
      <c r="H235" s="6" t="s">
        <v>2518</v>
      </c>
      <c r="I235" s="7" t="s">
        <v>59</v>
      </c>
      <c r="J235" s="15" t="s">
        <v>18</v>
      </c>
      <c r="K235" s="19" t="n">
        <v>3</v>
      </c>
      <c r="L235" s="7" t="s">
        <v>62</v>
      </c>
      <c r="M235" s="6" t="s">
        <v>2519</v>
      </c>
      <c r="N235" s="6" t="s">
        <v>130</v>
      </c>
      <c r="O235" s="6" t="s">
        <v>510</v>
      </c>
      <c r="P235" s="6" t="s">
        <v>2520</v>
      </c>
      <c r="Q235" s="6" t="s">
        <v>2521</v>
      </c>
      <c r="R235" s="7" t="s">
        <v>134</v>
      </c>
      <c r="S235" s="6" t="s">
        <v>2505</v>
      </c>
      <c r="T235" s="7" t="s">
        <v>136</v>
      </c>
      <c r="U235" s="7" t="s">
        <v>2506</v>
      </c>
      <c r="V235" s="6" t="s">
        <v>2402</v>
      </c>
      <c r="W235" s="6" t="s">
        <v>160</v>
      </c>
      <c r="X235" s="7" t="s">
        <v>44</v>
      </c>
      <c r="Y235" s="19" t="s">
        <v>9</v>
      </c>
      <c r="Z235" s="6" t="s">
        <v>2522</v>
      </c>
    </row>
    <row r="236" customFormat="false" ht="68.25" hidden="false" customHeight="true" outlineLevel="0" collapsed="false">
      <c r="A236" s="7" t="s">
        <v>2523</v>
      </c>
      <c r="B236" s="6" t="s">
        <v>2524</v>
      </c>
      <c r="C236" s="7" t="s">
        <v>40</v>
      </c>
      <c r="D236" s="7" t="s">
        <v>100</v>
      </c>
      <c r="E236" s="7" t="s">
        <v>2525</v>
      </c>
      <c r="F236" s="6" t="s">
        <v>2526</v>
      </c>
      <c r="G236" s="6" t="s">
        <v>2527</v>
      </c>
      <c r="H236" s="6" t="s">
        <v>2528</v>
      </c>
      <c r="I236" s="7" t="s">
        <v>51</v>
      </c>
      <c r="J236" s="15" t="s">
        <v>16</v>
      </c>
      <c r="K236" s="16" t="n">
        <v>1</v>
      </c>
      <c r="L236" s="7" t="s">
        <v>62</v>
      </c>
      <c r="M236" s="6" t="s">
        <v>2529</v>
      </c>
      <c r="N236" s="6" t="s">
        <v>130</v>
      </c>
      <c r="O236" s="6" t="s">
        <v>2530</v>
      </c>
      <c r="P236" s="6" t="s">
        <v>2531</v>
      </c>
      <c r="Q236" s="6" t="s">
        <v>2532</v>
      </c>
      <c r="R236" s="7" t="s">
        <v>134</v>
      </c>
      <c r="S236" s="6" t="s">
        <v>2533</v>
      </c>
      <c r="T236" s="7" t="s">
        <v>269</v>
      </c>
      <c r="U236" s="7" t="s">
        <v>2534</v>
      </c>
      <c r="V236" s="6" t="s">
        <v>248</v>
      </c>
      <c r="W236" s="6" t="s">
        <v>160</v>
      </c>
      <c r="X236" s="7" t="s">
        <v>44</v>
      </c>
      <c r="Y236" s="19" t="s">
        <v>9</v>
      </c>
      <c r="Z236" s="6" t="s">
        <v>2535</v>
      </c>
    </row>
    <row r="237" customFormat="false" ht="57" hidden="false" customHeight="true" outlineLevel="0" collapsed="false">
      <c r="A237" s="7" t="s">
        <v>2536</v>
      </c>
      <c r="B237" s="6" t="s">
        <v>2524</v>
      </c>
      <c r="C237" s="7" t="s">
        <v>40</v>
      </c>
      <c r="D237" s="7" t="s">
        <v>100</v>
      </c>
      <c r="E237" s="7" t="s">
        <v>2525</v>
      </c>
      <c r="F237" s="6" t="s">
        <v>2526</v>
      </c>
      <c r="G237" s="6" t="s">
        <v>2537</v>
      </c>
      <c r="H237" s="6" t="s">
        <v>2538</v>
      </c>
      <c r="I237" s="7" t="s">
        <v>51</v>
      </c>
      <c r="J237" s="15" t="s">
        <v>17</v>
      </c>
      <c r="K237" s="18" t="n">
        <v>2</v>
      </c>
      <c r="L237" s="7" t="s">
        <v>62</v>
      </c>
      <c r="M237" s="6" t="s">
        <v>2539</v>
      </c>
      <c r="N237" s="6" t="s">
        <v>130</v>
      </c>
      <c r="O237" s="6" t="s">
        <v>2540</v>
      </c>
      <c r="P237" s="6" t="s">
        <v>2541</v>
      </c>
      <c r="Q237" s="6" t="s">
        <v>2542</v>
      </c>
      <c r="R237" s="7" t="s">
        <v>134</v>
      </c>
      <c r="S237" s="6" t="s">
        <v>2533</v>
      </c>
      <c r="T237" s="7" t="s">
        <v>269</v>
      </c>
      <c r="U237" s="7" t="s">
        <v>2534</v>
      </c>
      <c r="V237" s="6" t="s">
        <v>248</v>
      </c>
      <c r="W237" s="6" t="s">
        <v>160</v>
      </c>
      <c r="X237" s="7" t="s">
        <v>44</v>
      </c>
      <c r="Y237" s="19" t="s">
        <v>9</v>
      </c>
      <c r="Z237" s="6" t="s">
        <v>2543</v>
      </c>
    </row>
    <row r="238" customFormat="false" ht="68.25" hidden="false" customHeight="true" outlineLevel="0" collapsed="false">
      <c r="A238" s="7" t="s">
        <v>2544</v>
      </c>
      <c r="B238" s="6" t="s">
        <v>2545</v>
      </c>
      <c r="C238" s="7" t="s">
        <v>40</v>
      </c>
      <c r="D238" s="7" t="s">
        <v>100</v>
      </c>
      <c r="E238" s="7" t="s">
        <v>2546</v>
      </c>
      <c r="F238" s="6" t="s">
        <v>2547</v>
      </c>
      <c r="G238" s="6" t="s">
        <v>2548</v>
      </c>
      <c r="H238" s="6" t="s">
        <v>2549</v>
      </c>
      <c r="I238" s="7" t="s">
        <v>59</v>
      </c>
      <c r="J238" s="15" t="s">
        <v>17</v>
      </c>
      <c r="K238" s="18" t="n">
        <v>2</v>
      </c>
      <c r="L238" s="7" t="s">
        <v>62</v>
      </c>
      <c r="M238" s="6" t="s">
        <v>2550</v>
      </c>
      <c r="N238" s="6" t="s">
        <v>130</v>
      </c>
      <c r="O238" s="6" t="s">
        <v>2551</v>
      </c>
      <c r="P238" s="6" t="s">
        <v>2552</v>
      </c>
      <c r="Q238" s="6" t="s">
        <v>2553</v>
      </c>
      <c r="R238" s="7" t="s">
        <v>134</v>
      </c>
      <c r="S238" s="6" t="s">
        <v>2554</v>
      </c>
      <c r="T238" s="7" t="s">
        <v>269</v>
      </c>
      <c r="U238" s="7" t="s">
        <v>2555</v>
      </c>
      <c r="V238" s="6" t="s">
        <v>2556</v>
      </c>
      <c r="W238" s="6" t="s">
        <v>160</v>
      </c>
      <c r="X238" s="7" t="s">
        <v>44</v>
      </c>
      <c r="Y238" s="19" t="s">
        <v>9</v>
      </c>
      <c r="Z238" s="6" t="s">
        <v>2557</v>
      </c>
    </row>
    <row r="239" customFormat="false" ht="68.25" hidden="false" customHeight="true" outlineLevel="0" collapsed="false">
      <c r="A239" s="7" t="s">
        <v>2558</v>
      </c>
      <c r="B239" s="6" t="s">
        <v>2545</v>
      </c>
      <c r="C239" s="7" t="s">
        <v>40</v>
      </c>
      <c r="D239" s="7" t="s">
        <v>100</v>
      </c>
      <c r="E239" s="7" t="s">
        <v>2546</v>
      </c>
      <c r="F239" s="6" t="s">
        <v>2547</v>
      </c>
      <c r="G239" s="6" t="s">
        <v>2559</v>
      </c>
      <c r="H239" s="6" t="s">
        <v>2560</v>
      </c>
      <c r="I239" s="7" t="s">
        <v>59</v>
      </c>
      <c r="J239" s="15" t="s">
        <v>18</v>
      </c>
      <c r="K239" s="19" t="n">
        <v>3</v>
      </c>
      <c r="L239" s="7" t="s">
        <v>62</v>
      </c>
      <c r="M239" s="6" t="s">
        <v>2550</v>
      </c>
      <c r="N239" s="6" t="s">
        <v>130</v>
      </c>
      <c r="O239" s="6" t="s">
        <v>2561</v>
      </c>
      <c r="P239" s="6" t="s">
        <v>2562</v>
      </c>
      <c r="Q239" s="6" t="s">
        <v>2553</v>
      </c>
      <c r="R239" s="7" t="s">
        <v>134</v>
      </c>
      <c r="S239" s="6" t="s">
        <v>2554</v>
      </c>
      <c r="T239" s="7" t="s">
        <v>269</v>
      </c>
      <c r="U239" s="7" t="s">
        <v>2555</v>
      </c>
      <c r="V239" s="6" t="s">
        <v>2556</v>
      </c>
      <c r="W239" s="6" t="s">
        <v>160</v>
      </c>
      <c r="X239" s="7" t="s">
        <v>44</v>
      </c>
      <c r="Y239" s="19" t="s">
        <v>9</v>
      </c>
      <c r="Z239" s="6" t="s">
        <v>2557</v>
      </c>
    </row>
    <row r="240" customFormat="false" ht="68.25" hidden="false" customHeight="true" outlineLevel="0" collapsed="false">
      <c r="A240" s="7" t="s">
        <v>2563</v>
      </c>
      <c r="B240" s="6" t="s">
        <v>2545</v>
      </c>
      <c r="C240" s="7" t="s">
        <v>40</v>
      </c>
      <c r="D240" s="7" t="s">
        <v>100</v>
      </c>
      <c r="E240" s="7" t="s">
        <v>2546</v>
      </c>
      <c r="F240" s="6" t="s">
        <v>2547</v>
      </c>
      <c r="G240" s="6" t="s">
        <v>2564</v>
      </c>
      <c r="H240" s="6" t="s">
        <v>2565</v>
      </c>
      <c r="I240" s="7" t="s">
        <v>59</v>
      </c>
      <c r="J240" s="15" t="s">
        <v>16</v>
      </c>
      <c r="K240" s="16" t="n">
        <v>1</v>
      </c>
      <c r="L240" s="7" t="s">
        <v>62</v>
      </c>
      <c r="M240" s="6" t="s">
        <v>2566</v>
      </c>
      <c r="N240" s="6" t="s">
        <v>130</v>
      </c>
      <c r="O240" s="6" t="s">
        <v>2567</v>
      </c>
      <c r="P240" s="6" t="s">
        <v>2568</v>
      </c>
      <c r="Q240" s="6" t="s">
        <v>2569</v>
      </c>
      <c r="R240" s="7" t="s">
        <v>134</v>
      </c>
      <c r="S240" s="6" t="s">
        <v>2554</v>
      </c>
      <c r="T240" s="7" t="s">
        <v>269</v>
      </c>
      <c r="U240" s="7" t="s">
        <v>2555</v>
      </c>
      <c r="V240" s="6" t="s">
        <v>2556</v>
      </c>
      <c r="W240" s="6" t="s">
        <v>160</v>
      </c>
      <c r="X240" s="7" t="s">
        <v>44</v>
      </c>
      <c r="Y240" s="19" t="s">
        <v>9</v>
      </c>
      <c r="Z240" s="6" t="s">
        <v>2570</v>
      </c>
    </row>
    <row r="241" customFormat="false" ht="68.25" hidden="false" customHeight="true" outlineLevel="0" collapsed="false">
      <c r="A241" s="7" t="s">
        <v>2571</v>
      </c>
      <c r="B241" s="6" t="s">
        <v>2572</v>
      </c>
      <c r="C241" s="7" t="s">
        <v>40</v>
      </c>
      <c r="D241" s="7" t="s">
        <v>100</v>
      </c>
      <c r="E241" s="7" t="s">
        <v>2573</v>
      </c>
      <c r="F241" s="6" t="s">
        <v>2574</v>
      </c>
      <c r="G241" s="6" t="s">
        <v>2575</v>
      </c>
      <c r="H241" s="6" t="s">
        <v>2576</v>
      </c>
      <c r="I241" s="7" t="s">
        <v>59</v>
      </c>
      <c r="J241" s="15" t="s">
        <v>17</v>
      </c>
      <c r="K241" s="18" t="n">
        <v>2</v>
      </c>
      <c r="L241" s="7" t="s">
        <v>62</v>
      </c>
      <c r="M241" s="6" t="s">
        <v>1169</v>
      </c>
      <c r="N241" s="6" t="s">
        <v>130</v>
      </c>
      <c r="O241" s="6" t="s">
        <v>2577</v>
      </c>
      <c r="P241" s="6" t="s">
        <v>2578</v>
      </c>
      <c r="Q241" s="6" t="s">
        <v>2579</v>
      </c>
      <c r="R241" s="7" t="s">
        <v>134</v>
      </c>
      <c r="S241" s="6" t="s">
        <v>2580</v>
      </c>
      <c r="T241" s="7" t="s">
        <v>269</v>
      </c>
      <c r="U241" s="7" t="s">
        <v>2581</v>
      </c>
      <c r="V241" s="6" t="s">
        <v>138</v>
      </c>
      <c r="W241" s="6" t="s">
        <v>160</v>
      </c>
      <c r="X241" s="7" t="s">
        <v>44</v>
      </c>
      <c r="Y241" s="17" t="s">
        <v>7</v>
      </c>
      <c r="Z241" s="6" t="s">
        <v>2582</v>
      </c>
    </row>
    <row r="242" customFormat="false" ht="68.25" hidden="false" customHeight="true" outlineLevel="0" collapsed="false">
      <c r="A242" s="7" t="s">
        <v>2583</v>
      </c>
      <c r="B242" s="6" t="s">
        <v>2572</v>
      </c>
      <c r="C242" s="7" t="s">
        <v>40</v>
      </c>
      <c r="D242" s="7" t="s">
        <v>100</v>
      </c>
      <c r="E242" s="7" t="s">
        <v>2573</v>
      </c>
      <c r="F242" s="6" t="s">
        <v>2574</v>
      </c>
      <c r="G242" s="6" t="s">
        <v>2584</v>
      </c>
      <c r="H242" s="6" t="s">
        <v>2585</v>
      </c>
      <c r="I242" s="7" t="s">
        <v>59</v>
      </c>
      <c r="J242" s="15" t="s">
        <v>18</v>
      </c>
      <c r="K242" s="19" t="n">
        <v>3</v>
      </c>
      <c r="L242" s="7" t="s">
        <v>62</v>
      </c>
      <c r="M242" s="6" t="s">
        <v>1169</v>
      </c>
      <c r="N242" s="6" t="s">
        <v>130</v>
      </c>
      <c r="O242" s="6" t="s">
        <v>2586</v>
      </c>
      <c r="P242" s="6" t="s">
        <v>2587</v>
      </c>
      <c r="Q242" s="6" t="s">
        <v>2588</v>
      </c>
      <c r="R242" s="7" t="s">
        <v>134</v>
      </c>
      <c r="S242" s="6" t="s">
        <v>2580</v>
      </c>
      <c r="T242" s="7" t="s">
        <v>269</v>
      </c>
      <c r="U242" s="7" t="s">
        <v>2581</v>
      </c>
      <c r="V242" s="6" t="s">
        <v>138</v>
      </c>
      <c r="W242" s="6" t="s">
        <v>160</v>
      </c>
      <c r="X242" s="7" t="s">
        <v>44</v>
      </c>
      <c r="Y242" s="17" t="s">
        <v>7</v>
      </c>
      <c r="Z242" s="6" t="s">
        <v>2589</v>
      </c>
    </row>
    <row r="243" customFormat="false" ht="68.25" hidden="false" customHeight="true" outlineLevel="0" collapsed="false">
      <c r="A243" s="7" t="s">
        <v>2590</v>
      </c>
      <c r="B243" s="6" t="s">
        <v>2572</v>
      </c>
      <c r="C243" s="7" t="s">
        <v>40</v>
      </c>
      <c r="D243" s="7" t="s">
        <v>100</v>
      </c>
      <c r="E243" s="7" t="s">
        <v>2573</v>
      </c>
      <c r="F243" s="6" t="s">
        <v>2574</v>
      </c>
      <c r="G243" s="6" t="s">
        <v>2591</v>
      </c>
      <c r="H243" s="6" t="s">
        <v>2592</v>
      </c>
      <c r="I243" s="7" t="s">
        <v>59</v>
      </c>
      <c r="J243" s="15" t="s">
        <v>18</v>
      </c>
      <c r="K243" s="19" t="n">
        <v>3</v>
      </c>
      <c r="L243" s="7" t="s">
        <v>62</v>
      </c>
      <c r="M243" s="6" t="s">
        <v>1169</v>
      </c>
      <c r="N243" s="6" t="s">
        <v>130</v>
      </c>
      <c r="O243" s="6" t="s">
        <v>2593</v>
      </c>
      <c r="P243" s="6" t="s">
        <v>2594</v>
      </c>
      <c r="Q243" s="6" t="s">
        <v>2595</v>
      </c>
      <c r="R243" s="7" t="s">
        <v>134</v>
      </c>
      <c r="S243" s="6" t="s">
        <v>2580</v>
      </c>
      <c r="T243" s="7" t="s">
        <v>269</v>
      </c>
      <c r="U243" s="7" t="s">
        <v>2581</v>
      </c>
      <c r="V243" s="6" t="s">
        <v>419</v>
      </c>
      <c r="W243" s="6" t="s">
        <v>160</v>
      </c>
      <c r="X243" s="7" t="s">
        <v>44</v>
      </c>
      <c r="Y243" s="19" t="s">
        <v>9</v>
      </c>
      <c r="Z243" s="6" t="s">
        <v>2596</v>
      </c>
    </row>
    <row r="244" customFormat="false" ht="68.25" hidden="false" customHeight="true" outlineLevel="0" collapsed="false">
      <c r="A244" s="7" t="s">
        <v>2597</v>
      </c>
      <c r="B244" s="6" t="s">
        <v>2572</v>
      </c>
      <c r="C244" s="7" t="s">
        <v>40</v>
      </c>
      <c r="D244" s="7" t="s">
        <v>100</v>
      </c>
      <c r="E244" s="7" t="s">
        <v>2573</v>
      </c>
      <c r="F244" s="6" t="s">
        <v>2574</v>
      </c>
      <c r="G244" s="6" t="s">
        <v>2598</v>
      </c>
      <c r="H244" s="6" t="s">
        <v>2599</v>
      </c>
      <c r="I244" s="7" t="s">
        <v>59</v>
      </c>
      <c r="J244" s="15" t="s">
        <v>18</v>
      </c>
      <c r="K244" s="19" t="n">
        <v>3</v>
      </c>
      <c r="L244" s="7" t="s">
        <v>62</v>
      </c>
      <c r="M244" s="6" t="s">
        <v>1169</v>
      </c>
      <c r="N244" s="6" t="s">
        <v>130</v>
      </c>
      <c r="O244" s="6" t="s">
        <v>2600</v>
      </c>
      <c r="P244" s="6" t="s">
        <v>2601</v>
      </c>
      <c r="Q244" s="6" t="s">
        <v>2602</v>
      </c>
      <c r="R244" s="7" t="s">
        <v>134</v>
      </c>
      <c r="S244" s="6" t="s">
        <v>2580</v>
      </c>
      <c r="T244" s="7" t="s">
        <v>269</v>
      </c>
      <c r="U244" s="7" t="s">
        <v>2581</v>
      </c>
      <c r="V244" s="6" t="s">
        <v>138</v>
      </c>
      <c r="W244" s="6" t="s">
        <v>160</v>
      </c>
      <c r="X244" s="7" t="s">
        <v>44</v>
      </c>
      <c r="Y244" s="17" t="s">
        <v>7</v>
      </c>
      <c r="Z244" s="6" t="s">
        <v>2603</v>
      </c>
    </row>
    <row r="245" customFormat="false" ht="68.25" hidden="false" customHeight="true" outlineLevel="0" collapsed="false">
      <c r="A245" s="7" t="s">
        <v>2604</v>
      </c>
      <c r="B245" s="6" t="s">
        <v>2572</v>
      </c>
      <c r="C245" s="7" t="s">
        <v>40</v>
      </c>
      <c r="D245" s="7" t="s">
        <v>100</v>
      </c>
      <c r="E245" s="7" t="s">
        <v>2573</v>
      </c>
      <c r="F245" s="6" t="s">
        <v>2574</v>
      </c>
      <c r="G245" s="6" t="s">
        <v>2605</v>
      </c>
      <c r="H245" s="6" t="s">
        <v>2606</v>
      </c>
      <c r="I245" s="7" t="s">
        <v>51</v>
      </c>
      <c r="J245" s="15" t="s">
        <v>16</v>
      </c>
      <c r="K245" s="16" t="n">
        <v>1</v>
      </c>
      <c r="L245" s="7" t="s">
        <v>62</v>
      </c>
      <c r="M245" s="6" t="s">
        <v>2607</v>
      </c>
      <c r="N245" s="6" t="s">
        <v>130</v>
      </c>
      <c r="O245" s="6" t="s">
        <v>2608</v>
      </c>
      <c r="P245" s="6" t="s">
        <v>2609</v>
      </c>
      <c r="Q245" s="6" t="s">
        <v>2610</v>
      </c>
      <c r="R245" s="7" t="s">
        <v>134</v>
      </c>
      <c r="S245" s="6" t="s">
        <v>2580</v>
      </c>
      <c r="T245" s="7" t="s">
        <v>269</v>
      </c>
      <c r="U245" s="7" t="s">
        <v>2581</v>
      </c>
      <c r="V245" s="6" t="s">
        <v>2611</v>
      </c>
      <c r="W245" s="6" t="s">
        <v>160</v>
      </c>
      <c r="X245" s="7" t="s">
        <v>44</v>
      </c>
      <c r="Y245" s="19" t="s">
        <v>9</v>
      </c>
      <c r="Z245" s="6" t="s">
        <v>2612</v>
      </c>
    </row>
    <row r="246" customFormat="false" ht="79.5" hidden="false" customHeight="true" outlineLevel="0" collapsed="false">
      <c r="A246" s="7" t="s">
        <v>2613</v>
      </c>
      <c r="B246" s="6" t="s">
        <v>2572</v>
      </c>
      <c r="C246" s="7" t="s">
        <v>40</v>
      </c>
      <c r="D246" s="7" t="s">
        <v>100</v>
      </c>
      <c r="E246" s="7" t="s">
        <v>2573</v>
      </c>
      <c r="F246" s="6" t="s">
        <v>2574</v>
      </c>
      <c r="G246" s="6" t="s">
        <v>2614</v>
      </c>
      <c r="H246" s="6" t="s">
        <v>2615</v>
      </c>
      <c r="I246" s="7" t="s">
        <v>51</v>
      </c>
      <c r="J246" s="15" t="s">
        <v>16</v>
      </c>
      <c r="K246" s="16" t="n">
        <v>1</v>
      </c>
      <c r="L246" s="7" t="s">
        <v>62</v>
      </c>
      <c r="M246" s="6" t="s">
        <v>2616</v>
      </c>
      <c r="N246" s="6" t="s">
        <v>130</v>
      </c>
      <c r="O246" s="6" t="s">
        <v>2617</v>
      </c>
      <c r="P246" s="6" t="s">
        <v>2618</v>
      </c>
      <c r="Q246" s="6" t="s">
        <v>2619</v>
      </c>
      <c r="R246" s="7" t="s">
        <v>134</v>
      </c>
      <c r="S246" s="6" t="s">
        <v>2580</v>
      </c>
      <c r="T246" s="7" t="s">
        <v>269</v>
      </c>
      <c r="U246" s="7" t="s">
        <v>2581</v>
      </c>
      <c r="V246" s="6" t="s">
        <v>2620</v>
      </c>
      <c r="W246" s="6" t="s">
        <v>160</v>
      </c>
      <c r="X246" s="7" t="s">
        <v>44</v>
      </c>
      <c r="Y246" s="19" t="s">
        <v>9</v>
      </c>
      <c r="Z246" s="6" t="s">
        <v>2612</v>
      </c>
    </row>
    <row r="247" customFormat="false" ht="45.75" hidden="false" customHeight="true" outlineLevel="0" collapsed="false">
      <c r="A247" s="7" t="s">
        <v>2621</v>
      </c>
      <c r="B247" s="6" t="s">
        <v>2622</v>
      </c>
      <c r="C247" s="7" t="s">
        <v>39</v>
      </c>
      <c r="D247" s="7" t="s">
        <v>101</v>
      </c>
      <c r="E247" s="7" t="s">
        <v>2623</v>
      </c>
      <c r="F247" s="6" t="s">
        <v>2624</v>
      </c>
      <c r="G247" s="6" t="s">
        <v>2625</v>
      </c>
      <c r="H247" s="6" t="s">
        <v>2626</v>
      </c>
      <c r="I247" s="7" t="s">
        <v>53</v>
      </c>
      <c r="J247" s="15" t="s">
        <v>18</v>
      </c>
      <c r="K247" s="18" t="n">
        <v>2</v>
      </c>
      <c r="L247" s="7" t="s">
        <v>62</v>
      </c>
      <c r="M247" s="6" t="s">
        <v>2627</v>
      </c>
      <c r="N247" s="6" t="s">
        <v>130</v>
      </c>
      <c r="O247" s="6" t="s">
        <v>177</v>
      </c>
      <c r="P247" s="6" t="s">
        <v>2628</v>
      </c>
      <c r="Q247" s="6" t="s">
        <v>2629</v>
      </c>
      <c r="R247" s="7" t="s">
        <v>134</v>
      </c>
      <c r="S247" s="6" t="s">
        <v>2630</v>
      </c>
      <c r="T247" s="7" t="s">
        <v>136</v>
      </c>
      <c r="U247" s="7" t="s">
        <v>2631</v>
      </c>
      <c r="V247" s="6" t="s">
        <v>2632</v>
      </c>
      <c r="W247" s="6" t="s">
        <v>160</v>
      </c>
      <c r="X247" s="7" t="s">
        <v>44</v>
      </c>
      <c r="Y247" s="19" t="s">
        <v>9</v>
      </c>
      <c r="Z247" s="6" t="s">
        <v>2633</v>
      </c>
    </row>
    <row r="248" customFormat="false" ht="45.75" hidden="false" customHeight="true" outlineLevel="0" collapsed="false">
      <c r="A248" s="7" t="s">
        <v>2634</v>
      </c>
      <c r="B248" s="6" t="s">
        <v>2622</v>
      </c>
      <c r="C248" s="7" t="s">
        <v>39</v>
      </c>
      <c r="D248" s="7" t="s">
        <v>101</v>
      </c>
      <c r="E248" s="7" t="s">
        <v>2623</v>
      </c>
      <c r="F248" s="6" t="s">
        <v>2624</v>
      </c>
      <c r="G248" s="6" t="s">
        <v>2635</v>
      </c>
      <c r="H248" s="6" t="s">
        <v>2636</v>
      </c>
      <c r="I248" s="7" t="s">
        <v>53</v>
      </c>
      <c r="J248" s="15" t="s">
        <v>19</v>
      </c>
      <c r="K248" s="19" t="n">
        <v>3</v>
      </c>
      <c r="L248" s="7" t="s">
        <v>62</v>
      </c>
      <c r="M248" s="6" t="s">
        <v>2637</v>
      </c>
      <c r="N248" s="6" t="s">
        <v>130</v>
      </c>
      <c r="O248" s="6" t="s">
        <v>177</v>
      </c>
      <c r="P248" s="6" t="s">
        <v>2638</v>
      </c>
      <c r="Q248" s="6" t="s">
        <v>2639</v>
      </c>
      <c r="R248" s="7" t="s">
        <v>134</v>
      </c>
      <c r="S248" s="6" t="s">
        <v>2630</v>
      </c>
      <c r="T248" s="7" t="s">
        <v>136</v>
      </c>
      <c r="U248" s="7" t="s">
        <v>2631</v>
      </c>
      <c r="V248" s="6" t="s">
        <v>2632</v>
      </c>
      <c r="W248" s="6" t="s">
        <v>160</v>
      </c>
      <c r="X248" s="7" t="s">
        <v>44</v>
      </c>
      <c r="Y248" s="19" t="s">
        <v>9</v>
      </c>
      <c r="Z248" s="6" t="s">
        <v>2640</v>
      </c>
    </row>
    <row r="249" customFormat="false" ht="90.75" hidden="false" customHeight="true" outlineLevel="0" collapsed="false">
      <c r="A249" s="7" t="s">
        <v>2641</v>
      </c>
      <c r="B249" s="6" t="s">
        <v>2642</v>
      </c>
      <c r="C249" s="7" t="s">
        <v>39</v>
      </c>
      <c r="D249" s="7" t="s">
        <v>101</v>
      </c>
      <c r="E249" s="7" t="s">
        <v>2643</v>
      </c>
      <c r="F249" s="6" t="s">
        <v>2644</v>
      </c>
      <c r="G249" s="6" t="s">
        <v>2645</v>
      </c>
      <c r="H249" s="6" t="s">
        <v>2646</v>
      </c>
      <c r="I249" s="7" t="s">
        <v>53</v>
      </c>
      <c r="J249" s="15" t="s">
        <v>18</v>
      </c>
      <c r="K249" s="18" t="n">
        <v>2</v>
      </c>
      <c r="L249" s="7" t="s">
        <v>62</v>
      </c>
      <c r="M249" s="6" t="s">
        <v>2647</v>
      </c>
      <c r="N249" s="6" t="s">
        <v>130</v>
      </c>
      <c r="O249" s="6" t="s">
        <v>1371</v>
      </c>
      <c r="P249" s="6" t="s">
        <v>2648</v>
      </c>
      <c r="Q249" s="6" t="s">
        <v>2649</v>
      </c>
      <c r="R249" s="7" t="s">
        <v>134</v>
      </c>
      <c r="S249" s="6" t="s">
        <v>2650</v>
      </c>
      <c r="T249" s="7" t="s">
        <v>136</v>
      </c>
      <c r="U249" s="7" t="s">
        <v>2651</v>
      </c>
      <c r="V249" s="6" t="s">
        <v>2632</v>
      </c>
      <c r="W249" s="6" t="s">
        <v>139</v>
      </c>
      <c r="X249" s="7" t="s">
        <v>45</v>
      </c>
      <c r="Y249" s="19" t="s">
        <v>9</v>
      </c>
      <c r="Z249" s="6" t="s">
        <v>2652</v>
      </c>
    </row>
    <row r="250" customFormat="false" ht="57" hidden="false" customHeight="true" outlineLevel="0" collapsed="false">
      <c r="A250" s="7" t="s">
        <v>2653</v>
      </c>
      <c r="B250" s="6" t="s">
        <v>2654</v>
      </c>
      <c r="C250" s="7" t="s">
        <v>39</v>
      </c>
      <c r="D250" s="7" t="s">
        <v>101</v>
      </c>
      <c r="E250" s="7" t="s">
        <v>2655</v>
      </c>
      <c r="F250" s="6" t="s">
        <v>2656</v>
      </c>
      <c r="G250" s="6" t="s">
        <v>2657</v>
      </c>
      <c r="H250" s="6" t="s">
        <v>2658</v>
      </c>
      <c r="I250" s="7" t="s">
        <v>51</v>
      </c>
      <c r="J250" s="15" t="s">
        <v>17</v>
      </c>
      <c r="K250" s="16" t="n">
        <v>1</v>
      </c>
      <c r="L250" s="7" t="s">
        <v>62</v>
      </c>
      <c r="M250" s="6" t="s">
        <v>2659</v>
      </c>
      <c r="N250" s="6" t="s">
        <v>130</v>
      </c>
      <c r="O250" s="6" t="s">
        <v>2660</v>
      </c>
      <c r="P250" s="6" t="s">
        <v>2661</v>
      </c>
      <c r="Q250" s="6" t="s">
        <v>2662</v>
      </c>
      <c r="R250" s="7" t="s">
        <v>134</v>
      </c>
      <c r="S250" s="6" t="s">
        <v>2663</v>
      </c>
      <c r="T250" s="7" t="s">
        <v>136</v>
      </c>
      <c r="U250" s="7" t="s">
        <v>2664</v>
      </c>
      <c r="V250" s="6" t="s">
        <v>913</v>
      </c>
      <c r="W250" s="6" t="s">
        <v>160</v>
      </c>
      <c r="X250" s="7" t="s">
        <v>44</v>
      </c>
      <c r="Y250" s="19" t="s">
        <v>9</v>
      </c>
      <c r="Z250" s="6" t="s">
        <v>2665</v>
      </c>
    </row>
    <row r="251" customFormat="false" ht="57" hidden="false" customHeight="true" outlineLevel="0" collapsed="false">
      <c r="A251" s="7" t="s">
        <v>2666</v>
      </c>
      <c r="B251" s="6" t="s">
        <v>2654</v>
      </c>
      <c r="C251" s="7" t="s">
        <v>39</v>
      </c>
      <c r="D251" s="7" t="s">
        <v>101</v>
      </c>
      <c r="E251" s="7" t="s">
        <v>2655</v>
      </c>
      <c r="F251" s="6" t="s">
        <v>2656</v>
      </c>
      <c r="G251" s="6" t="s">
        <v>2667</v>
      </c>
      <c r="H251" s="6" t="s">
        <v>2668</v>
      </c>
      <c r="I251" s="7" t="s">
        <v>51</v>
      </c>
      <c r="J251" s="15" t="s">
        <v>18</v>
      </c>
      <c r="K251" s="18" t="n">
        <v>2</v>
      </c>
      <c r="L251" s="7" t="s">
        <v>62</v>
      </c>
      <c r="M251" s="6" t="s">
        <v>2669</v>
      </c>
      <c r="N251" s="6" t="s">
        <v>130</v>
      </c>
      <c r="O251" s="6" t="s">
        <v>2670</v>
      </c>
      <c r="P251" s="6" t="s">
        <v>2671</v>
      </c>
      <c r="Q251" s="6" t="s">
        <v>2672</v>
      </c>
      <c r="R251" s="7" t="s">
        <v>134</v>
      </c>
      <c r="S251" s="6" t="s">
        <v>2663</v>
      </c>
      <c r="T251" s="7" t="s">
        <v>136</v>
      </c>
      <c r="U251" s="7" t="s">
        <v>2664</v>
      </c>
      <c r="V251" s="6" t="s">
        <v>913</v>
      </c>
      <c r="W251" s="6" t="s">
        <v>160</v>
      </c>
      <c r="X251" s="7" t="s">
        <v>44</v>
      </c>
      <c r="Y251" s="19" t="s">
        <v>9</v>
      </c>
      <c r="Z251" s="6" t="s">
        <v>2673</v>
      </c>
    </row>
    <row r="252" customFormat="false" ht="57" hidden="false" customHeight="true" outlineLevel="0" collapsed="false">
      <c r="A252" s="7" t="s">
        <v>2674</v>
      </c>
      <c r="B252" s="6" t="s">
        <v>2675</v>
      </c>
      <c r="C252" s="7" t="s">
        <v>39</v>
      </c>
      <c r="D252" s="7" t="s">
        <v>101</v>
      </c>
      <c r="E252" s="7" t="s">
        <v>2676</v>
      </c>
      <c r="F252" s="6" t="s">
        <v>2677</v>
      </c>
      <c r="G252" s="6" t="s">
        <v>2678</v>
      </c>
      <c r="H252" s="6" t="s">
        <v>2679</v>
      </c>
      <c r="I252" s="7" t="s">
        <v>48</v>
      </c>
      <c r="J252" s="15" t="s">
        <v>17</v>
      </c>
      <c r="K252" s="16" t="n">
        <v>1</v>
      </c>
      <c r="L252" s="7" t="s">
        <v>64</v>
      </c>
      <c r="M252" s="6" t="s">
        <v>2680</v>
      </c>
      <c r="N252" s="6" t="s">
        <v>130</v>
      </c>
      <c r="O252" s="6" t="s">
        <v>2681</v>
      </c>
      <c r="P252" s="6" t="s">
        <v>2682</v>
      </c>
      <c r="Q252" s="6" t="s">
        <v>2683</v>
      </c>
      <c r="R252" s="7" t="s">
        <v>134</v>
      </c>
      <c r="S252" s="6" t="s">
        <v>2684</v>
      </c>
      <c r="T252" s="7" t="s">
        <v>256</v>
      </c>
      <c r="U252" s="7" t="s">
        <v>2685</v>
      </c>
      <c r="V252" s="6" t="s">
        <v>913</v>
      </c>
      <c r="W252" s="6" t="s">
        <v>160</v>
      </c>
      <c r="X252" s="7" t="s">
        <v>44</v>
      </c>
      <c r="Y252" s="19" t="s">
        <v>9</v>
      </c>
      <c r="Z252" s="6" t="s">
        <v>2686</v>
      </c>
    </row>
    <row r="253" customFormat="false" ht="57" hidden="false" customHeight="true" outlineLevel="0" collapsed="false">
      <c r="A253" s="7" t="s">
        <v>2687</v>
      </c>
      <c r="B253" s="6" t="s">
        <v>2675</v>
      </c>
      <c r="C253" s="7" t="s">
        <v>39</v>
      </c>
      <c r="D253" s="7" t="s">
        <v>101</v>
      </c>
      <c r="E253" s="7" t="s">
        <v>2676</v>
      </c>
      <c r="F253" s="6" t="s">
        <v>2677</v>
      </c>
      <c r="G253" s="6" t="s">
        <v>2688</v>
      </c>
      <c r="H253" s="6" t="s">
        <v>2689</v>
      </c>
      <c r="I253" s="7" t="s">
        <v>48</v>
      </c>
      <c r="J253" s="15" t="s">
        <v>17</v>
      </c>
      <c r="K253" s="16" t="n">
        <v>1</v>
      </c>
      <c r="L253" s="7" t="s">
        <v>64</v>
      </c>
      <c r="M253" s="6" t="s">
        <v>2690</v>
      </c>
      <c r="N253" s="6" t="s">
        <v>176</v>
      </c>
      <c r="O253" s="6" t="s">
        <v>2691</v>
      </c>
      <c r="P253" s="6" t="s">
        <v>2692</v>
      </c>
      <c r="Q253" s="6" t="s">
        <v>2693</v>
      </c>
      <c r="R253" s="7" t="s">
        <v>134</v>
      </c>
      <c r="S253" s="6" t="s">
        <v>2684</v>
      </c>
      <c r="T253" s="7" t="s">
        <v>256</v>
      </c>
      <c r="U253" s="7" t="s">
        <v>2685</v>
      </c>
      <c r="V253" s="6" t="s">
        <v>913</v>
      </c>
      <c r="W253" s="6" t="s">
        <v>160</v>
      </c>
      <c r="X253" s="7" t="s">
        <v>44</v>
      </c>
      <c r="Y253" s="19" t="s">
        <v>9</v>
      </c>
      <c r="Z253" s="6" t="s">
        <v>2694</v>
      </c>
    </row>
    <row r="254" customFormat="false" ht="45.75" hidden="false" customHeight="true" outlineLevel="0" collapsed="false">
      <c r="A254" s="7" t="s">
        <v>2695</v>
      </c>
      <c r="B254" s="6" t="s">
        <v>2696</v>
      </c>
      <c r="C254" s="7" t="s">
        <v>39</v>
      </c>
      <c r="D254" s="7" t="s">
        <v>101</v>
      </c>
      <c r="E254" s="7" t="s">
        <v>2697</v>
      </c>
      <c r="F254" s="6" t="s">
        <v>2698</v>
      </c>
      <c r="G254" s="6" t="s">
        <v>2699</v>
      </c>
      <c r="H254" s="6" t="s">
        <v>2700</v>
      </c>
      <c r="I254" s="7" t="s">
        <v>59</v>
      </c>
      <c r="J254" s="15" t="s">
        <v>19</v>
      </c>
      <c r="K254" s="21" t="n">
        <v>4</v>
      </c>
      <c r="L254" s="7" t="s">
        <v>62</v>
      </c>
      <c r="M254" s="6" t="s">
        <v>2701</v>
      </c>
      <c r="N254" s="6" t="s">
        <v>130</v>
      </c>
      <c r="O254" s="6" t="s">
        <v>2702</v>
      </c>
      <c r="P254" s="6" t="s">
        <v>2703</v>
      </c>
      <c r="Q254" s="6" t="s">
        <v>2704</v>
      </c>
      <c r="R254" s="7" t="s">
        <v>134</v>
      </c>
      <c r="S254" s="6" t="s">
        <v>2705</v>
      </c>
      <c r="T254" s="7" t="s">
        <v>136</v>
      </c>
      <c r="U254" s="7" t="s">
        <v>2706</v>
      </c>
      <c r="V254" s="6" t="s">
        <v>138</v>
      </c>
      <c r="W254" s="6" t="s">
        <v>160</v>
      </c>
      <c r="X254" s="7" t="s">
        <v>44</v>
      </c>
      <c r="Y254" s="17" t="s">
        <v>7</v>
      </c>
      <c r="Z254" s="6" t="s">
        <v>2707</v>
      </c>
    </row>
    <row r="255" customFormat="false" ht="57" hidden="false" customHeight="true" outlineLevel="0" collapsed="false">
      <c r="A255" s="7" t="s">
        <v>2708</v>
      </c>
      <c r="B255" s="6" t="s">
        <v>2709</v>
      </c>
      <c r="C255" s="7" t="s">
        <v>39</v>
      </c>
      <c r="D255" s="7" t="s">
        <v>101</v>
      </c>
      <c r="E255" s="7" t="s">
        <v>2710</v>
      </c>
      <c r="F255" s="6" t="s">
        <v>2711</v>
      </c>
      <c r="G255" s="6" t="s">
        <v>2712</v>
      </c>
      <c r="H255" s="6" t="s">
        <v>2713</v>
      </c>
      <c r="I255" s="7" t="s">
        <v>59</v>
      </c>
      <c r="J255" s="15" t="s">
        <v>19</v>
      </c>
      <c r="K255" s="19" t="n">
        <v>3</v>
      </c>
      <c r="L255" s="7" t="s">
        <v>62</v>
      </c>
      <c r="M255" s="6" t="s">
        <v>2714</v>
      </c>
      <c r="N255" s="6" t="s">
        <v>130</v>
      </c>
      <c r="O255" s="6" t="s">
        <v>2715</v>
      </c>
      <c r="P255" s="6" t="s">
        <v>2716</v>
      </c>
      <c r="Q255" s="6" t="s">
        <v>2717</v>
      </c>
      <c r="R255" s="7" t="s">
        <v>134</v>
      </c>
      <c r="S255" s="6" t="s">
        <v>2718</v>
      </c>
      <c r="T255" s="7" t="s">
        <v>136</v>
      </c>
      <c r="U255" s="7" t="s">
        <v>2719</v>
      </c>
      <c r="V255" s="6" t="s">
        <v>879</v>
      </c>
      <c r="W255" s="6" t="s">
        <v>160</v>
      </c>
      <c r="X255" s="7" t="s">
        <v>44</v>
      </c>
      <c r="Y255" s="19" t="s">
        <v>9</v>
      </c>
      <c r="Z255" s="6" t="s">
        <v>2720</v>
      </c>
    </row>
    <row r="256" customFormat="false" ht="57" hidden="false" customHeight="true" outlineLevel="0" collapsed="false">
      <c r="A256" s="7" t="s">
        <v>2721</v>
      </c>
      <c r="B256" s="6" t="s">
        <v>2709</v>
      </c>
      <c r="C256" s="7" t="s">
        <v>39</v>
      </c>
      <c r="D256" s="7" t="s">
        <v>101</v>
      </c>
      <c r="E256" s="7" t="s">
        <v>2710</v>
      </c>
      <c r="F256" s="6" t="s">
        <v>2711</v>
      </c>
      <c r="G256" s="6" t="s">
        <v>2722</v>
      </c>
      <c r="H256" s="6" t="s">
        <v>2723</v>
      </c>
      <c r="I256" s="7" t="s">
        <v>54</v>
      </c>
      <c r="J256" s="15" t="s">
        <v>19</v>
      </c>
      <c r="K256" s="19" t="n">
        <v>3</v>
      </c>
      <c r="L256" s="7" t="s">
        <v>63</v>
      </c>
      <c r="M256" s="6" t="s">
        <v>2724</v>
      </c>
      <c r="N256" s="6" t="s">
        <v>176</v>
      </c>
      <c r="O256" s="6" t="s">
        <v>453</v>
      </c>
      <c r="P256" s="6" t="s">
        <v>2725</v>
      </c>
      <c r="Q256" s="6" t="s">
        <v>2726</v>
      </c>
      <c r="R256" s="7" t="s">
        <v>134</v>
      </c>
      <c r="S256" s="6" t="s">
        <v>2718</v>
      </c>
      <c r="T256" s="7" t="s">
        <v>136</v>
      </c>
      <c r="U256" s="7" t="s">
        <v>2719</v>
      </c>
      <c r="V256" s="6" t="s">
        <v>913</v>
      </c>
      <c r="W256" s="6" t="s">
        <v>160</v>
      </c>
      <c r="X256" s="7" t="s">
        <v>44</v>
      </c>
      <c r="Y256" s="19" t="s">
        <v>9</v>
      </c>
      <c r="Z256" s="6" t="s">
        <v>2727</v>
      </c>
    </row>
    <row r="257" customFormat="false" ht="68.25" hidden="false" customHeight="true" outlineLevel="0" collapsed="false">
      <c r="A257" s="7" t="s">
        <v>2728</v>
      </c>
      <c r="B257" s="6" t="s">
        <v>2729</v>
      </c>
      <c r="C257" s="7" t="s">
        <v>39</v>
      </c>
      <c r="D257" s="7" t="s">
        <v>101</v>
      </c>
      <c r="E257" s="7" t="s">
        <v>2730</v>
      </c>
      <c r="F257" s="6" t="s">
        <v>2731</v>
      </c>
      <c r="G257" s="6" t="s">
        <v>2732</v>
      </c>
      <c r="H257" s="6" t="s">
        <v>2733</v>
      </c>
      <c r="I257" s="7" t="s">
        <v>50</v>
      </c>
      <c r="J257" s="15" t="s">
        <v>18</v>
      </c>
      <c r="K257" s="18" t="n">
        <v>2</v>
      </c>
      <c r="L257" s="7" t="s">
        <v>62</v>
      </c>
      <c r="M257" s="6" t="s">
        <v>208</v>
      </c>
      <c r="N257" s="6" t="s">
        <v>130</v>
      </c>
      <c r="O257" s="6" t="s">
        <v>2734</v>
      </c>
      <c r="P257" s="6" t="s">
        <v>2735</v>
      </c>
      <c r="Q257" s="6" t="s">
        <v>2736</v>
      </c>
      <c r="R257" s="7" t="s">
        <v>134</v>
      </c>
      <c r="S257" s="6" t="s">
        <v>2737</v>
      </c>
      <c r="T257" s="7" t="s">
        <v>136</v>
      </c>
      <c r="U257" s="7" t="s">
        <v>2738</v>
      </c>
      <c r="V257" s="6" t="s">
        <v>138</v>
      </c>
      <c r="W257" s="6" t="s">
        <v>160</v>
      </c>
      <c r="X257" s="7" t="s">
        <v>44</v>
      </c>
      <c r="Y257" s="17" t="s">
        <v>7</v>
      </c>
      <c r="Z257" s="6" t="s">
        <v>2739</v>
      </c>
    </row>
    <row r="258" customFormat="false" ht="34.5" hidden="false" customHeight="true" outlineLevel="0" collapsed="false">
      <c r="A258" s="7" t="s">
        <v>2740</v>
      </c>
      <c r="B258" s="6" t="s">
        <v>2741</v>
      </c>
      <c r="C258" s="7" t="s">
        <v>39</v>
      </c>
      <c r="D258" s="7" t="s">
        <v>101</v>
      </c>
      <c r="E258" s="7" t="s">
        <v>2742</v>
      </c>
      <c r="F258" s="6" t="s">
        <v>2743</v>
      </c>
      <c r="G258" s="6" t="s">
        <v>2744</v>
      </c>
      <c r="H258" s="6" t="s">
        <v>2745</v>
      </c>
      <c r="I258" s="7" t="s">
        <v>48</v>
      </c>
      <c r="J258" s="15" t="s">
        <v>18</v>
      </c>
      <c r="K258" s="18" t="n">
        <v>2</v>
      </c>
      <c r="L258" s="7" t="s">
        <v>64</v>
      </c>
      <c r="M258" s="6" t="s">
        <v>2746</v>
      </c>
      <c r="N258" s="6" t="s">
        <v>130</v>
      </c>
      <c r="O258" s="6" t="s">
        <v>2747</v>
      </c>
      <c r="P258" s="6" t="s">
        <v>2748</v>
      </c>
      <c r="Q258" s="6" t="s">
        <v>2749</v>
      </c>
      <c r="R258" s="7" t="s">
        <v>134</v>
      </c>
      <c r="S258" s="6" t="s">
        <v>2750</v>
      </c>
      <c r="T258" s="7" t="s">
        <v>256</v>
      </c>
      <c r="U258" s="7" t="s">
        <v>2751</v>
      </c>
      <c r="V258" s="6" t="s">
        <v>138</v>
      </c>
      <c r="W258" s="6" t="s">
        <v>160</v>
      </c>
      <c r="X258" s="7" t="s">
        <v>44</v>
      </c>
      <c r="Y258" s="17" t="s">
        <v>7</v>
      </c>
      <c r="Z258" s="6" t="s">
        <v>2752</v>
      </c>
    </row>
    <row r="259" customFormat="false" ht="34.5" hidden="false" customHeight="true" outlineLevel="0" collapsed="false">
      <c r="A259" s="7" t="s">
        <v>2753</v>
      </c>
      <c r="B259" s="6" t="s">
        <v>2741</v>
      </c>
      <c r="C259" s="7" t="s">
        <v>39</v>
      </c>
      <c r="D259" s="7" t="s">
        <v>101</v>
      </c>
      <c r="E259" s="7" t="s">
        <v>2742</v>
      </c>
      <c r="F259" s="6" t="s">
        <v>2743</v>
      </c>
      <c r="G259" s="6" t="s">
        <v>2754</v>
      </c>
      <c r="H259" s="6" t="s">
        <v>2755</v>
      </c>
      <c r="I259" s="7" t="s">
        <v>48</v>
      </c>
      <c r="J259" s="15" t="s">
        <v>18</v>
      </c>
      <c r="K259" s="18" t="n">
        <v>2</v>
      </c>
      <c r="L259" s="7" t="s">
        <v>64</v>
      </c>
      <c r="M259" s="6" t="s">
        <v>2746</v>
      </c>
      <c r="N259" s="6" t="s">
        <v>130</v>
      </c>
      <c r="O259" s="6" t="s">
        <v>2756</v>
      </c>
      <c r="P259" s="6" t="s">
        <v>2757</v>
      </c>
      <c r="Q259" s="6" t="s">
        <v>2758</v>
      </c>
      <c r="R259" s="7" t="s">
        <v>134</v>
      </c>
      <c r="S259" s="6" t="s">
        <v>2750</v>
      </c>
      <c r="T259" s="7" t="s">
        <v>256</v>
      </c>
      <c r="U259" s="7" t="s">
        <v>2751</v>
      </c>
      <c r="V259" s="6" t="s">
        <v>138</v>
      </c>
      <c r="W259" s="6" t="s">
        <v>160</v>
      </c>
      <c r="X259" s="7" t="s">
        <v>44</v>
      </c>
      <c r="Y259" s="17" t="s">
        <v>7</v>
      </c>
      <c r="Z259" s="6" t="s">
        <v>2759</v>
      </c>
    </row>
    <row r="260" customFormat="false" ht="34.5" hidden="false" customHeight="true" outlineLevel="0" collapsed="false">
      <c r="A260" s="7" t="s">
        <v>2760</v>
      </c>
      <c r="B260" s="6" t="s">
        <v>2741</v>
      </c>
      <c r="C260" s="7" t="s">
        <v>39</v>
      </c>
      <c r="D260" s="7" t="s">
        <v>101</v>
      </c>
      <c r="E260" s="7" t="s">
        <v>2742</v>
      </c>
      <c r="F260" s="6" t="s">
        <v>2743</v>
      </c>
      <c r="G260" s="6" t="s">
        <v>2761</v>
      </c>
      <c r="H260" s="6" t="s">
        <v>2762</v>
      </c>
      <c r="I260" s="7" t="s">
        <v>48</v>
      </c>
      <c r="J260" s="15" t="s">
        <v>18</v>
      </c>
      <c r="K260" s="18" t="n">
        <v>2</v>
      </c>
      <c r="L260" s="7" t="s">
        <v>64</v>
      </c>
      <c r="M260" s="6" t="s">
        <v>2746</v>
      </c>
      <c r="N260" s="6" t="s">
        <v>130</v>
      </c>
      <c r="O260" s="6" t="s">
        <v>2763</v>
      </c>
      <c r="P260" s="6" t="s">
        <v>2764</v>
      </c>
      <c r="Q260" s="6" t="s">
        <v>2765</v>
      </c>
      <c r="R260" s="7" t="s">
        <v>134</v>
      </c>
      <c r="S260" s="6" t="s">
        <v>2750</v>
      </c>
      <c r="T260" s="7" t="s">
        <v>256</v>
      </c>
      <c r="U260" s="7" t="s">
        <v>2751</v>
      </c>
      <c r="V260" s="6" t="s">
        <v>138</v>
      </c>
      <c r="W260" s="6" t="s">
        <v>160</v>
      </c>
      <c r="X260" s="7" t="s">
        <v>44</v>
      </c>
      <c r="Y260" s="17" t="s">
        <v>7</v>
      </c>
      <c r="Z260" s="6" t="s">
        <v>2759</v>
      </c>
    </row>
    <row r="261" customFormat="false" ht="34.5" hidden="false" customHeight="true" outlineLevel="0" collapsed="false">
      <c r="A261" s="7" t="s">
        <v>2766</v>
      </c>
      <c r="B261" s="6" t="s">
        <v>2767</v>
      </c>
      <c r="C261" s="7" t="s">
        <v>39</v>
      </c>
      <c r="D261" s="7" t="s">
        <v>101</v>
      </c>
      <c r="E261" s="7" t="s">
        <v>2768</v>
      </c>
      <c r="F261" s="6" t="s">
        <v>2769</v>
      </c>
      <c r="G261" s="6" t="s">
        <v>2770</v>
      </c>
      <c r="H261" s="6" t="s">
        <v>2771</v>
      </c>
      <c r="I261" s="7" t="s">
        <v>50</v>
      </c>
      <c r="J261" s="15" t="s">
        <v>19</v>
      </c>
      <c r="K261" s="21" t="n">
        <v>4</v>
      </c>
      <c r="L261" s="7" t="s">
        <v>62</v>
      </c>
      <c r="M261" s="6" t="s">
        <v>2772</v>
      </c>
      <c r="N261" s="6" t="s">
        <v>176</v>
      </c>
      <c r="O261" s="6" t="s">
        <v>861</v>
      </c>
      <c r="P261" s="6" t="s">
        <v>2773</v>
      </c>
      <c r="Q261" s="6" t="s">
        <v>2774</v>
      </c>
      <c r="R261" s="7" t="s">
        <v>134</v>
      </c>
      <c r="S261" s="6" t="s">
        <v>2775</v>
      </c>
      <c r="T261" s="7" t="s">
        <v>136</v>
      </c>
      <c r="U261" s="7" t="s">
        <v>2776</v>
      </c>
      <c r="V261" s="6" t="s">
        <v>138</v>
      </c>
      <c r="W261" s="6" t="s">
        <v>160</v>
      </c>
      <c r="X261" s="7" t="s">
        <v>44</v>
      </c>
      <c r="Y261" s="17" t="s">
        <v>7</v>
      </c>
      <c r="Z261" s="6" t="s">
        <v>2777</v>
      </c>
    </row>
    <row r="262" customFormat="false" ht="45.75" hidden="false" customHeight="true" outlineLevel="0" collapsed="false">
      <c r="A262" s="7" t="s">
        <v>2778</v>
      </c>
      <c r="B262" s="6" t="s">
        <v>2779</v>
      </c>
      <c r="C262" s="7" t="s">
        <v>39</v>
      </c>
      <c r="D262" s="7" t="s">
        <v>101</v>
      </c>
      <c r="E262" s="7" t="s">
        <v>2780</v>
      </c>
      <c r="F262" s="6" t="s">
        <v>2781</v>
      </c>
      <c r="G262" s="6" t="s">
        <v>2782</v>
      </c>
      <c r="H262" s="6" t="s">
        <v>2783</v>
      </c>
      <c r="I262" s="7" t="s">
        <v>51</v>
      </c>
      <c r="J262" s="15" t="s">
        <v>19</v>
      </c>
      <c r="K262" s="19" t="n">
        <v>3</v>
      </c>
      <c r="L262" s="7" t="s">
        <v>62</v>
      </c>
      <c r="M262" s="6" t="s">
        <v>2784</v>
      </c>
      <c r="N262" s="6" t="s">
        <v>130</v>
      </c>
      <c r="O262" s="6" t="s">
        <v>2785</v>
      </c>
      <c r="P262" s="6" t="s">
        <v>2786</v>
      </c>
      <c r="Q262" s="6" t="s">
        <v>2787</v>
      </c>
      <c r="R262" s="7" t="s">
        <v>134</v>
      </c>
      <c r="S262" s="6" t="s">
        <v>2788</v>
      </c>
      <c r="T262" s="7" t="s">
        <v>136</v>
      </c>
      <c r="U262" s="7" t="s">
        <v>2789</v>
      </c>
      <c r="V262" s="6" t="s">
        <v>138</v>
      </c>
      <c r="W262" s="6" t="s">
        <v>160</v>
      </c>
      <c r="X262" s="7" t="s">
        <v>44</v>
      </c>
      <c r="Y262" s="17" t="s">
        <v>7</v>
      </c>
      <c r="Z262" s="6" t="s">
        <v>2790</v>
      </c>
    </row>
    <row r="263" customFormat="false" ht="45.75" hidden="false" customHeight="true" outlineLevel="0" collapsed="false">
      <c r="A263" s="7" t="s">
        <v>2791</v>
      </c>
      <c r="B263" s="6" t="s">
        <v>2792</v>
      </c>
      <c r="C263" s="7" t="s">
        <v>39</v>
      </c>
      <c r="D263" s="7" t="s">
        <v>101</v>
      </c>
      <c r="E263" s="7" t="s">
        <v>2793</v>
      </c>
      <c r="F263" s="6" t="s">
        <v>2794</v>
      </c>
      <c r="G263" s="6" t="s">
        <v>2795</v>
      </c>
      <c r="H263" s="6" t="s">
        <v>2796</v>
      </c>
      <c r="I263" s="7" t="s">
        <v>53</v>
      </c>
      <c r="J263" s="15" t="s">
        <v>18</v>
      </c>
      <c r="K263" s="18" t="n">
        <v>2</v>
      </c>
      <c r="L263" s="7" t="s">
        <v>62</v>
      </c>
      <c r="M263" s="6" t="s">
        <v>2797</v>
      </c>
      <c r="N263" s="6" t="s">
        <v>176</v>
      </c>
      <c r="O263" s="6" t="s">
        <v>2798</v>
      </c>
      <c r="P263" s="6" t="s">
        <v>2799</v>
      </c>
      <c r="Q263" s="6" t="s">
        <v>2800</v>
      </c>
      <c r="R263" s="7" t="s">
        <v>134</v>
      </c>
      <c r="S263" s="6" t="s">
        <v>2801</v>
      </c>
      <c r="T263" s="7" t="s">
        <v>136</v>
      </c>
      <c r="U263" s="7" t="s">
        <v>2802</v>
      </c>
      <c r="V263" s="6" t="s">
        <v>138</v>
      </c>
      <c r="W263" s="6" t="s">
        <v>160</v>
      </c>
      <c r="X263" s="7" t="s">
        <v>44</v>
      </c>
      <c r="Y263" s="17" t="s">
        <v>7</v>
      </c>
      <c r="Z263" s="6" t="s">
        <v>2803</v>
      </c>
    </row>
    <row r="264" customFormat="false" ht="45.75" hidden="false" customHeight="true" outlineLevel="0" collapsed="false">
      <c r="A264" s="7" t="s">
        <v>2804</v>
      </c>
      <c r="B264" s="6" t="s">
        <v>2792</v>
      </c>
      <c r="C264" s="7" t="s">
        <v>39</v>
      </c>
      <c r="D264" s="7" t="s">
        <v>101</v>
      </c>
      <c r="E264" s="7" t="s">
        <v>2793</v>
      </c>
      <c r="F264" s="6" t="s">
        <v>2794</v>
      </c>
      <c r="G264" s="6" t="s">
        <v>2805</v>
      </c>
      <c r="H264" s="6" t="s">
        <v>2806</v>
      </c>
      <c r="I264" s="7" t="s">
        <v>49</v>
      </c>
      <c r="J264" s="15" t="s">
        <v>18</v>
      </c>
      <c r="K264" s="18" t="n">
        <v>2</v>
      </c>
      <c r="L264" s="7" t="s">
        <v>62</v>
      </c>
      <c r="M264" s="6" t="s">
        <v>2807</v>
      </c>
      <c r="N264" s="6" t="s">
        <v>130</v>
      </c>
      <c r="O264" s="6" t="s">
        <v>2808</v>
      </c>
      <c r="P264" s="6" t="s">
        <v>2809</v>
      </c>
      <c r="Q264" s="6" t="s">
        <v>2810</v>
      </c>
      <c r="R264" s="7" t="s">
        <v>134</v>
      </c>
      <c r="S264" s="6" t="s">
        <v>2801</v>
      </c>
      <c r="T264" s="7" t="s">
        <v>136</v>
      </c>
      <c r="U264" s="7" t="s">
        <v>2802</v>
      </c>
      <c r="V264" s="6" t="s">
        <v>2811</v>
      </c>
      <c r="W264" s="6" t="s">
        <v>160</v>
      </c>
      <c r="X264" s="7" t="s">
        <v>44</v>
      </c>
      <c r="Y264" s="19" t="s">
        <v>9</v>
      </c>
      <c r="Z264" s="6" t="s">
        <v>2812</v>
      </c>
    </row>
    <row r="265" customFormat="false" ht="45.75" hidden="false" customHeight="true" outlineLevel="0" collapsed="false">
      <c r="A265" s="7" t="s">
        <v>2813</v>
      </c>
      <c r="B265" s="6" t="s">
        <v>2792</v>
      </c>
      <c r="C265" s="7" t="s">
        <v>39</v>
      </c>
      <c r="D265" s="7" t="s">
        <v>101</v>
      </c>
      <c r="E265" s="7" t="s">
        <v>2793</v>
      </c>
      <c r="F265" s="6" t="s">
        <v>2794</v>
      </c>
      <c r="G265" s="6" t="s">
        <v>2814</v>
      </c>
      <c r="H265" s="6" t="s">
        <v>2815</v>
      </c>
      <c r="I265" s="7" t="s">
        <v>59</v>
      </c>
      <c r="J265" s="15" t="s">
        <v>19</v>
      </c>
      <c r="K265" s="19" t="n">
        <v>3</v>
      </c>
      <c r="L265" s="7" t="s">
        <v>62</v>
      </c>
      <c r="M265" s="6" t="s">
        <v>2816</v>
      </c>
      <c r="N265" s="6" t="s">
        <v>130</v>
      </c>
      <c r="O265" s="6" t="s">
        <v>2798</v>
      </c>
      <c r="P265" s="6" t="s">
        <v>2817</v>
      </c>
      <c r="Q265" s="6" t="s">
        <v>2818</v>
      </c>
      <c r="R265" s="7" t="s">
        <v>134</v>
      </c>
      <c r="S265" s="6" t="s">
        <v>2801</v>
      </c>
      <c r="T265" s="7" t="s">
        <v>136</v>
      </c>
      <c r="U265" s="7" t="s">
        <v>2802</v>
      </c>
      <c r="V265" s="6" t="s">
        <v>2811</v>
      </c>
      <c r="W265" s="6" t="s">
        <v>160</v>
      </c>
      <c r="X265" s="7" t="s">
        <v>44</v>
      </c>
      <c r="Y265" s="19" t="s">
        <v>9</v>
      </c>
      <c r="Z265" s="6" t="s">
        <v>2819</v>
      </c>
    </row>
    <row r="266" customFormat="false" ht="79.5" hidden="false" customHeight="true" outlineLevel="0" collapsed="false">
      <c r="A266" s="7" t="s">
        <v>2820</v>
      </c>
      <c r="B266" s="6" t="s">
        <v>2821</v>
      </c>
      <c r="C266" s="7" t="s">
        <v>39</v>
      </c>
      <c r="D266" s="7" t="s">
        <v>101</v>
      </c>
      <c r="E266" s="7" t="s">
        <v>2822</v>
      </c>
      <c r="F266" s="6" t="s">
        <v>2823</v>
      </c>
      <c r="G266" s="6" t="s">
        <v>2824</v>
      </c>
      <c r="H266" s="6" t="s">
        <v>2825</v>
      </c>
      <c r="I266" s="7" t="s">
        <v>59</v>
      </c>
      <c r="J266" s="15" t="s">
        <v>19</v>
      </c>
      <c r="K266" s="19" t="n">
        <v>3</v>
      </c>
      <c r="L266" s="7" t="s">
        <v>62</v>
      </c>
      <c r="M266" s="6" t="s">
        <v>2826</v>
      </c>
      <c r="N266" s="6" t="s">
        <v>130</v>
      </c>
      <c r="O266" s="6" t="s">
        <v>2827</v>
      </c>
      <c r="P266" s="6" t="s">
        <v>2828</v>
      </c>
      <c r="Q266" s="6" t="s">
        <v>2829</v>
      </c>
      <c r="R266" s="7" t="s">
        <v>134</v>
      </c>
      <c r="S266" s="6" t="s">
        <v>2830</v>
      </c>
      <c r="T266" s="7" t="s">
        <v>256</v>
      </c>
      <c r="U266" s="7" t="s">
        <v>2831</v>
      </c>
      <c r="V266" s="6" t="s">
        <v>2832</v>
      </c>
      <c r="W266" s="6" t="s">
        <v>160</v>
      </c>
      <c r="X266" s="7" t="s">
        <v>44</v>
      </c>
      <c r="Y266" s="19" t="s">
        <v>9</v>
      </c>
      <c r="Z266" s="6" t="s">
        <v>2833</v>
      </c>
    </row>
    <row r="267" customFormat="false" ht="57" hidden="false" customHeight="true" outlineLevel="0" collapsed="false">
      <c r="A267" s="7" t="s">
        <v>2834</v>
      </c>
      <c r="B267" s="6" t="s">
        <v>2821</v>
      </c>
      <c r="C267" s="7" t="s">
        <v>39</v>
      </c>
      <c r="D267" s="7" t="s">
        <v>101</v>
      </c>
      <c r="E267" s="7" t="s">
        <v>2822</v>
      </c>
      <c r="F267" s="6" t="s">
        <v>2823</v>
      </c>
      <c r="G267" s="6" t="s">
        <v>2835</v>
      </c>
      <c r="H267" s="6" t="s">
        <v>2836</v>
      </c>
      <c r="I267" s="7" t="s">
        <v>48</v>
      </c>
      <c r="J267" s="15" t="s">
        <v>19</v>
      </c>
      <c r="K267" s="19" t="n">
        <v>3</v>
      </c>
      <c r="L267" s="7" t="s">
        <v>64</v>
      </c>
      <c r="M267" s="6" t="s">
        <v>2837</v>
      </c>
      <c r="N267" s="6" t="s">
        <v>130</v>
      </c>
      <c r="O267" s="6" t="s">
        <v>2838</v>
      </c>
      <c r="P267" s="6" t="s">
        <v>2839</v>
      </c>
      <c r="Q267" s="6" t="s">
        <v>2840</v>
      </c>
      <c r="R267" s="7" t="s">
        <v>134</v>
      </c>
      <c r="S267" s="6" t="s">
        <v>2830</v>
      </c>
      <c r="T267" s="7" t="s">
        <v>256</v>
      </c>
      <c r="U267" s="7" t="s">
        <v>2831</v>
      </c>
      <c r="V267" s="6" t="s">
        <v>2841</v>
      </c>
      <c r="W267" s="6" t="s">
        <v>160</v>
      </c>
      <c r="X267" s="7" t="s">
        <v>44</v>
      </c>
      <c r="Y267" s="19" t="s">
        <v>9</v>
      </c>
      <c r="Z267" s="6" t="s">
        <v>2842</v>
      </c>
    </row>
    <row r="268" customFormat="false" ht="57" hidden="false" customHeight="true" outlineLevel="0" collapsed="false">
      <c r="A268" s="7" t="s">
        <v>2843</v>
      </c>
      <c r="B268" s="6" t="s">
        <v>2844</v>
      </c>
      <c r="C268" s="7" t="s">
        <v>39</v>
      </c>
      <c r="D268" s="7" t="s">
        <v>101</v>
      </c>
      <c r="E268" s="7" t="s">
        <v>2845</v>
      </c>
      <c r="F268" s="6" t="s">
        <v>2846</v>
      </c>
      <c r="G268" s="6" t="s">
        <v>2847</v>
      </c>
      <c r="H268" s="6" t="s">
        <v>2848</v>
      </c>
      <c r="I268" s="7" t="s">
        <v>59</v>
      </c>
      <c r="J268" s="15" t="s">
        <v>19</v>
      </c>
      <c r="K268" s="19" t="n">
        <v>3</v>
      </c>
      <c r="L268" s="7" t="s">
        <v>62</v>
      </c>
      <c r="M268" s="6" t="s">
        <v>2849</v>
      </c>
      <c r="N268" s="6" t="s">
        <v>130</v>
      </c>
      <c r="O268" s="6" t="s">
        <v>2850</v>
      </c>
      <c r="P268" s="6" t="s">
        <v>2851</v>
      </c>
      <c r="Q268" s="6" t="s">
        <v>2852</v>
      </c>
      <c r="R268" s="7" t="s">
        <v>134</v>
      </c>
      <c r="S268" s="6" t="s">
        <v>2853</v>
      </c>
      <c r="T268" s="7" t="s">
        <v>136</v>
      </c>
      <c r="U268" s="7" t="s">
        <v>2854</v>
      </c>
      <c r="V268" s="6" t="s">
        <v>138</v>
      </c>
      <c r="W268" s="6" t="s">
        <v>160</v>
      </c>
      <c r="X268" s="7" t="s">
        <v>44</v>
      </c>
      <c r="Y268" s="17" t="s">
        <v>7</v>
      </c>
      <c r="Z268" s="6" t="s">
        <v>2855</v>
      </c>
    </row>
    <row r="269" customFormat="false" ht="45.75" hidden="false" customHeight="true" outlineLevel="0" collapsed="false">
      <c r="A269" s="7" t="s">
        <v>2856</v>
      </c>
      <c r="B269" s="6" t="s">
        <v>2857</v>
      </c>
      <c r="C269" s="7" t="s">
        <v>39</v>
      </c>
      <c r="D269" s="7" t="s">
        <v>101</v>
      </c>
      <c r="E269" s="7" t="s">
        <v>2858</v>
      </c>
      <c r="F269" s="6" t="s">
        <v>2859</v>
      </c>
      <c r="G269" s="6" t="s">
        <v>2860</v>
      </c>
      <c r="H269" s="6" t="s">
        <v>2861</v>
      </c>
      <c r="I269" s="7" t="s">
        <v>59</v>
      </c>
      <c r="J269" s="15" t="s">
        <v>18</v>
      </c>
      <c r="K269" s="18" t="n">
        <v>2</v>
      </c>
      <c r="L269" s="7" t="s">
        <v>62</v>
      </c>
      <c r="M269" s="6" t="s">
        <v>2862</v>
      </c>
      <c r="N269" s="6" t="s">
        <v>130</v>
      </c>
      <c r="O269" s="6" t="s">
        <v>2863</v>
      </c>
      <c r="P269" s="6" t="s">
        <v>2864</v>
      </c>
      <c r="Q269" s="6" t="s">
        <v>2865</v>
      </c>
      <c r="R269" s="7" t="s">
        <v>134</v>
      </c>
      <c r="S269" s="6" t="s">
        <v>2866</v>
      </c>
      <c r="T269" s="7" t="s">
        <v>136</v>
      </c>
      <c r="U269" s="7" t="s">
        <v>2867</v>
      </c>
      <c r="V269" s="6" t="s">
        <v>138</v>
      </c>
      <c r="W269" s="6" t="s">
        <v>160</v>
      </c>
      <c r="X269" s="7" t="s">
        <v>44</v>
      </c>
      <c r="Y269" s="17" t="s">
        <v>7</v>
      </c>
      <c r="Z269" s="6" t="s">
        <v>2868</v>
      </c>
    </row>
    <row r="270" customFormat="false" ht="45.75" hidden="false" customHeight="true" outlineLevel="0" collapsed="false">
      <c r="A270" s="7" t="s">
        <v>2869</v>
      </c>
      <c r="B270" s="6" t="s">
        <v>2870</v>
      </c>
      <c r="C270" s="7" t="s">
        <v>39</v>
      </c>
      <c r="D270" s="7" t="s">
        <v>101</v>
      </c>
      <c r="E270" s="7" t="s">
        <v>2871</v>
      </c>
      <c r="F270" s="6" t="s">
        <v>2872</v>
      </c>
      <c r="G270" s="6" t="s">
        <v>2873</v>
      </c>
      <c r="H270" s="6" t="s">
        <v>2874</v>
      </c>
      <c r="I270" s="7" t="s">
        <v>59</v>
      </c>
      <c r="J270" s="15" t="s">
        <v>17</v>
      </c>
      <c r="K270" s="16" t="n">
        <v>1</v>
      </c>
      <c r="L270" s="7" t="s">
        <v>62</v>
      </c>
      <c r="M270" s="6" t="s">
        <v>2875</v>
      </c>
      <c r="N270" s="6" t="s">
        <v>176</v>
      </c>
      <c r="O270" s="6" t="s">
        <v>453</v>
      </c>
      <c r="P270" s="6" t="s">
        <v>2876</v>
      </c>
      <c r="Q270" s="6" t="s">
        <v>2877</v>
      </c>
      <c r="R270" s="7" t="s">
        <v>134</v>
      </c>
      <c r="S270" s="6" t="s">
        <v>2878</v>
      </c>
      <c r="T270" s="7" t="s">
        <v>136</v>
      </c>
      <c r="U270" s="7" t="s">
        <v>2879</v>
      </c>
      <c r="V270" s="6" t="s">
        <v>138</v>
      </c>
      <c r="W270" s="6" t="s">
        <v>139</v>
      </c>
      <c r="X270" s="7" t="s">
        <v>45</v>
      </c>
      <c r="Y270" s="19" t="s">
        <v>9</v>
      </c>
      <c r="Z270" s="6" t="s">
        <v>2880</v>
      </c>
    </row>
    <row r="271" customFormat="false" ht="79.5" hidden="false" customHeight="true" outlineLevel="0" collapsed="false">
      <c r="A271" s="7" t="s">
        <v>2881</v>
      </c>
      <c r="B271" s="6" t="s">
        <v>2870</v>
      </c>
      <c r="C271" s="7" t="s">
        <v>39</v>
      </c>
      <c r="D271" s="7" t="s">
        <v>101</v>
      </c>
      <c r="E271" s="7" t="s">
        <v>2871</v>
      </c>
      <c r="F271" s="6" t="s">
        <v>2872</v>
      </c>
      <c r="G271" s="6" t="s">
        <v>2882</v>
      </c>
      <c r="H271" s="6" t="s">
        <v>2883</v>
      </c>
      <c r="I271" s="7" t="s">
        <v>52</v>
      </c>
      <c r="J271" s="15" t="s">
        <v>18</v>
      </c>
      <c r="K271" s="18" t="n">
        <v>2</v>
      </c>
      <c r="L271" s="7" t="s">
        <v>65</v>
      </c>
      <c r="M271" s="6" t="s">
        <v>2259</v>
      </c>
      <c r="N271" s="6" t="s">
        <v>176</v>
      </c>
      <c r="O271" s="6" t="s">
        <v>453</v>
      </c>
      <c r="P271" s="6" t="s">
        <v>2884</v>
      </c>
      <c r="Q271" s="6" t="s">
        <v>2885</v>
      </c>
      <c r="R271" s="7" t="s">
        <v>134</v>
      </c>
      <c r="S271" s="6" t="s">
        <v>2878</v>
      </c>
      <c r="T271" s="7" t="s">
        <v>136</v>
      </c>
      <c r="U271" s="7" t="s">
        <v>2879</v>
      </c>
      <c r="V271" s="6" t="s">
        <v>616</v>
      </c>
      <c r="W271" s="6" t="s">
        <v>139</v>
      </c>
      <c r="X271" s="7" t="s">
        <v>45</v>
      </c>
      <c r="Y271" s="19" t="s">
        <v>9</v>
      </c>
      <c r="Z271" s="6" t="s">
        <v>2886</v>
      </c>
    </row>
    <row r="272" customFormat="false" ht="57" hidden="false" customHeight="true" outlineLevel="0" collapsed="false">
      <c r="A272" s="7" t="s">
        <v>2887</v>
      </c>
      <c r="B272" s="6" t="s">
        <v>2888</v>
      </c>
      <c r="C272" s="7" t="s">
        <v>39</v>
      </c>
      <c r="D272" s="7" t="s">
        <v>101</v>
      </c>
      <c r="E272" s="7" t="s">
        <v>2889</v>
      </c>
      <c r="F272" s="6" t="s">
        <v>2890</v>
      </c>
      <c r="G272" s="6" t="s">
        <v>2891</v>
      </c>
      <c r="H272" s="6" t="s">
        <v>2892</v>
      </c>
      <c r="I272" s="7" t="s">
        <v>59</v>
      </c>
      <c r="J272" s="15" t="s">
        <v>18</v>
      </c>
      <c r="K272" s="18" t="n">
        <v>2</v>
      </c>
      <c r="L272" s="7" t="s">
        <v>62</v>
      </c>
      <c r="M272" s="6" t="s">
        <v>2893</v>
      </c>
      <c r="N272" s="6" t="s">
        <v>130</v>
      </c>
      <c r="O272" s="6" t="s">
        <v>2894</v>
      </c>
      <c r="P272" s="6" t="s">
        <v>2895</v>
      </c>
      <c r="Q272" s="6" t="s">
        <v>2896</v>
      </c>
      <c r="R272" s="7" t="s">
        <v>134</v>
      </c>
      <c r="S272" s="6" t="s">
        <v>2897</v>
      </c>
      <c r="T272" s="7" t="s">
        <v>269</v>
      </c>
      <c r="U272" s="7" t="s">
        <v>2898</v>
      </c>
      <c r="V272" s="6" t="s">
        <v>2811</v>
      </c>
      <c r="W272" s="6" t="s">
        <v>160</v>
      </c>
      <c r="X272" s="7" t="s">
        <v>44</v>
      </c>
      <c r="Y272" s="19" t="s">
        <v>9</v>
      </c>
      <c r="Z272" s="6" t="s">
        <v>2899</v>
      </c>
    </row>
    <row r="273" customFormat="false" ht="68.25" hidden="false" customHeight="true" outlineLevel="0" collapsed="false">
      <c r="A273" s="7" t="s">
        <v>2900</v>
      </c>
      <c r="B273" s="6" t="s">
        <v>2888</v>
      </c>
      <c r="C273" s="7" t="s">
        <v>39</v>
      </c>
      <c r="D273" s="7" t="s">
        <v>101</v>
      </c>
      <c r="E273" s="7" t="s">
        <v>2889</v>
      </c>
      <c r="F273" s="6" t="s">
        <v>2890</v>
      </c>
      <c r="G273" s="6" t="s">
        <v>2901</v>
      </c>
      <c r="H273" s="6" t="s">
        <v>2902</v>
      </c>
      <c r="I273" s="7" t="s">
        <v>48</v>
      </c>
      <c r="J273" s="15" t="s">
        <v>18</v>
      </c>
      <c r="K273" s="18" t="n">
        <v>2</v>
      </c>
      <c r="L273" s="7" t="s">
        <v>64</v>
      </c>
      <c r="M273" s="6" t="s">
        <v>2893</v>
      </c>
      <c r="N273" s="6" t="s">
        <v>130</v>
      </c>
      <c r="O273" s="6" t="s">
        <v>2122</v>
      </c>
      <c r="P273" s="6" t="s">
        <v>2903</v>
      </c>
      <c r="Q273" s="6" t="s">
        <v>2904</v>
      </c>
      <c r="R273" s="7" t="s">
        <v>134</v>
      </c>
      <c r="S273" s="6" t="s">
        <v>2897</v>
      </c>
      <c r="T273" s="7" t="s">
        <v>256</v>
      </c>
      <c r="U273" s="7" t="s">
        <v>2898</v>
      </c>
      <c r="V273" s="6" t="s">
        <v>2811</v>
      </c>
      <c r="W273" s="6" t="s">
        <v>160</v>
      </c>
      <c r="X273" s="7" t="s">
        <v>44</v>
      </c>
      <c r="Y273" s="19" t="s">
        <v>9</v>
      </c>
      <c r="Z273" s="6" t="s">
        <v>2905</v>
      </c>
    </row>
    <row r="274" customFormat="false" ht="57" hidden="false" customHeight="true" outlineLevel="0" collapsed="false">
      <c r="A274" s="7" t="s">
        <v>2906</v>
      </c>
      <c r="B274" s="6" t="s">
        <v>2888</v>
      </c>
      <c r="C274" s="7" t="s">
        <v>39</v>
      </c>
      <c r="D274" s="7" t="s">
        <v>101</v>
      </c>
      <c r="E274" s="7" t="s">
        <v>2889</v>
      </c>
      <c r="F274" s="6" t="s">
        <v>2890</v>
      </c>
      <c r="G274" s="6" t="s">
        <v>2907</v>
      </c>
      <c r="H274" s="6" t="s">
        <v>2908</v>
      </c>
      <c r="I274" s="7" t="s">
        <v>54</v>
      </c>
      <c r="J274" s="15" t="s">
        <v>18</v>
      </c>
      <c r="K274" s="18" t="n">
        <v>2</v>
      </c>
      <c r="L274" s="7" t="s">
        <v>63</v>
      </c>
      <c r="M274" s="6" t="s">
        <v>2893</v>
      </c>
      <c r="N274" s="6" t="s">
        <v>130</v>
      </c>
      <c r="O274" s="6" t="s">
        <v>2909</v>
      </c>
      <c r="P274" s="6" t="s">
        <v>2910</v>
      </c>
      <c r="Q274" s="6" t="s">
        <v>2904</v>
      </c>
      <c r="R274" s="7" t="s">
        <v>134</v>
      </c>
      <c r="S274" s="6" t="s">
        <v>2897</v>
      </c>
      <c r="T274" s="7" t="s">
        <v>269</v>
      </c>
      <c r="U274" s="7" t="s">
        <v>2898</v>
      </c>
      <c r="V274" s="6" t="s">
        <v>2811</v>
      </c>
      <c r="W274" s="6" t="s">
        <v>160</v>
      </c>
      <c r="X274" s="7" t="s">
        <v>44</v>
      </c>
      <c r="Y274" s="19" t="s">
        <v>9</v>
      </c>
      <c r="Z274" s="6" t="s">
        <v>2911</v>
      </c>
    </row>
    <row r="275" customFormat="false" ht="45.75" hidden="false" customHeight="true" outlineLevel="0" collapsed="false">
      <c r="A275" s="7" t="s">
        <v>2912</v>
      </c>
      <c r="B275" s="6" t="s">
        <v>2913</v>
      </c>
      <c r="C275" s="7" t="s">
        <v>39</v>
      </c>
      <c r="D275" s="7" t="s">
        <v>101</v>
      </c>
      <c r="E275" s="7" t="s">
        <v>2914</v>
      </c>
      <c r="F275" s="6" t="s">
        <v>2915</v>
      </c>
      <c r="G275" s="6" t="s">
        <v>2916</v>
      </c>
      <c r="H275" s="6" t="s">
        <v>2917</v>
      </c>
      <c r="I275" s="7" t="s">
        <v>57</v>
      </c>
      <c r="J275" s="15" t="s">
        <v>19</v>
      </c>
      <c r="K275" s="19" t="n">
        <v>3</v>
      </c>
      <c r="L275" s="7" t="s">
        <v>62</v>
      </c>
      <c r="M275" s="6" t="s">
        <v>2918</v>
      </c>
      <c r="N275" s="6" t="s">
        <v>130</v>
      </c>
      <c r="O275" s="6" t="s">
        <v>2919</v>
      </c>
      <c r="P275" s="6" t="s">
        <v>2920</v>
      </c>
      <c r="Q275" s="6" t="s">
        <v>2921</v>
      </c>
      <c r="R275" s="7" t="s">
        <v>134</v>
      </c>
      <c r="S275" s="6" t="s">
        <v>2922</v>
      </c>
      <c r="T275" s="7" t="s">
        <v>300</v>
      </c>
      <c r="U275" s="7" t="s">
        <v>2923</v>
      </c>
      <c r="V275" s="6" t="s">
        <v>2924</v>
      </c>
      <c r="W275" s="6" t="s">
        <v>160</v>
      </c>
      <c r="X275" s="7" t="s">
        <v>44</v>
      </c>
      <c r="Y275" s="19" t="s">
        <v>9</v>
      </c>
      <c r="Z275" s="6" t="s">
        <v>2925</v>
      </c>
    </row>
    <row r="276" customFormat="false" ht="57" hidden="false" customHeight="true" outlineLevel="0" collapsed="false">
      <c r="A276" s="7" t="s">
        <v>2926</v>
      </c>
      <c r="B276" s="6" t="s">
        <v>2927</v>
      </c>
      <c r="C276" s="7" t="s">
        <v>39</v>
      </c>
      <c r="D276" s="7" t="s">
        <v>101</v>
      </c>
      <c r="E276" s="7" t="s">
        <v>2928</v>
      </c>
      <c r="F276" s="6" t="s">
        <v>2929</v>
      </c>
      <c r="G276" s="6" t="s">
        <v>2930</v>
      </c>
      <c r="H276" s="6" t="s">
        <v>2931</v>
      </c>
      <c r="I276" s="7" t="s">
        <v>49</v>
      </c>
      <c r="J276" s="15" t="s">
        <v>18</v>
      </c>
      <c r="K276" s="18" t="n">
        <v>2</v>
      </c>
      <c r="L276" s="7" t="s">
        <v>63</v>
      </c>
      <c r="M276" s="6" t="s">
        <v>2932</v>
      </c>
      <c r="N276" s="6" t="s">
        <v>130</v>
      </c>
      <c r="O276" s="6" t="s">
        <v>177</v>
      </c>
      <c r="P276" s="6" t="s">
        <v>2933</v>
      </c>
      <c r="Q276" s="6" t="s">
        <v>2934</v>
      </c>
      <c r="R276" s="7" t="s">
        <v>134</v>
      </c>
      <c r="S276" s="6" t="s">
        <v>2935</v>
      </c>
      <c r="T276" s="7" t="s">
        <v>269</v>
      </c>
      <c r="U276" s="7" t="s">
        <v>2936</v>
      </c>
      <c r="V276" s="6" t="s">
        <v>138</v>
      </c>
      <c r="W276" s="6" t="s">
        <v>160</v>
      </c>
      <c r="X276" s="7" t="s">
        <v>44</v>
      </c>
      <c r="Y276" s="17" t="s">
        <v>7</v>
      </c>
      <c r="Z276" s="6" t="s">
        <v>2937</v>
      </c>
    </row>
    <row r="277" customFormat="false" ht="57" hidden="false" customHeight="true" outlineLevel="0" collapsed="false">
      <c r="A277" s="7" t="s">
        <v>2938</v>
      </c>
      <c r="B277" s="6" t="s">
        <v>2927</v>
      </c>
      <c r="C277" s="7" t="s">
        <v>39</v>
      </c>
      <c r="D277" s="7" t="s">
        <v>101</v>
      </c>
      <c r="E277" s="7" t="s">
        <v>2928</v>
      </c>
      <c r="F277" s="6" t="s">
        <v>2929</v>
      </c>
      <c r="G277" s="6" t="s">
        <v>2939</v>
      </c>
      <c r="H277" s="6" t="s">
        <v>2940</v>
      </c>
      <c r="I277" s="7" t="s">
        <v>49</v>
      </c>
      <c r="J277" s="15" t="s">
        <v>18</v>
      </c>
      <c r="K277" s="18" t="n">
        <v>2</v>
      </c>
      <c r="L277" s="7" t="s">
        <v>62</v>
      </c>
      <c r="M277" s="6" t="s">
        <v>2941</v>
      </c>
      <c r="N277" s="6" t="s">
        <v>130</v>
      </c>
      <c r="O277" s="6" t="s">
        <v>177</v>
      </c>
      <c r="P277" s="6" t="s">
        <v>2942</v>
      </c>
      <c r="Q277" s="6" t="s">
        <v>2943</v>
      </c>
      <c r="R277" s="7" t="s">
        <v>134</v>
      </c>
      <c r="S277" s="6" t="s">
        <v>2935</v>
      </c>
      <c r="T277" s="7" t="s">
        <v>269</v>
      </c>
      <c r="U277" s="7" t="s">
        <v>2936</v>
      </c>
      <c r="V277" s="6" t="s">
        <v>138</v>
      </c>
      <c r="W277" s="6" t="s">
        <v>160</v>
      </c>
      <c r="X277" s="7" t="s">
        <v>44</v>
      </c>
      <c r="Y277" s="17" t="s">
        <v>7</v>
      </c>
      <c r="Z277" s="6" t="s">
        <v>2944</v>
      </c>
    </row>
    <row r="278" customFormat="false" ht="57" hidden="false" customHeight="true" outlineLevel="0" collapsed="false">
      <c r="A278" s="7" t="s">
        <v>2945</v>
      </c>
      <c r="B278" s="6" t="s">
        <v>2927</v>
      </c>
      <c r="C278" s="7" t="s">
        <v>39</v>
      </c>
      <c r="D278" s="7" t="s">
        <v>101</v>
      </c>
      <c r="E278" s="7" t="s">
        <v>2928</v>
      </c>
      <c r="F278" s="6" t="s">
        <v>2929</v>
      </c>
      <c r="G278" s="6" t="s">
        <v>2946</v>
      </c>
      <c r="H278" s="6" t="s">
        <v>2947</v>
      </c>
      <c r="I278" s="7" t="s">
        <v>53</v>
      </c>
      <c r="J278" s="15" t="s">
        <v>18</v>
      </c>
      <c r="K278" s="18" t="n">
        <v>2</v>
      </c>
      <c r="L278" s="7" t="s">
        <v>62</v>
      </c>
      <c r="M278" s="6" t="s">
        <v>2948</v>
      </c>
      <c r="N278" s="6" t="s">
        <v>130</v>
      </c>
      <c r="O278" s="6" t="s">
        <v>177</v>
      </c>
      <c r="P278" s="6" t="s">
        <v>2949</v>
      </c>
      <c r="Q278" s="6" t="s">
        <v>2950</v>
      </c>
      <c r="R278" s="7" t="s">
        <v>134</v>
      </c>
      <c r="S278" s="6" t="s">
        <v>2935</v>
      </c>
      <c r="T278" s="7" t="s">
        <v>269</v>
      </c>
      <c r="U278" s="7" t="s">
        <v>2936</v>
      </c>
      <c r="V278" s="6" t="s">
        <v>138</v>
      </c>
      <c r="W278" s="6" t="s">
        <v>160</v>
      </c>
      <c r="X278" s="7" t="s">
        <v>44</v>
      </c>
      <c r="Y278" s="17" t="s">
        <v>7</v>
      </c>
      <c r="Z278" s="6" t="s">
        <v>2951</v>
      </c>
    </row>
    <row r="279" customFormat="false" ht="34.5" hidden="false" customHeight="true" outlineLevel="0" collapsed="false">
      <c r="A279" s="7" t="s">
        <v>2952</v>
      </c>
      <c r="B279" s="6" t="s">
        <v>2953</v>
      </c>
      <c r="C279" s="7" t="s">
        <v>39</v>
      </c>
      <c r="D279" s="7" t="s">
        <v>101</v>
      </c>
      <c r="E279" s="7" t="s">
        <v>2954</v>
      </c>
      <c r="F279" s="6" t="s">
        <v>2955</v>
      </c>
      <c r="G279" s="6" t="s">
        <v>2956</v>
      </c>
      <c r="H279" s="6" t="s">
        <v>2957</v>
      </c>
      <c r="I279" s="7" t="s">
        <v>59</v>
      </c>
      <c r="J279" s="15" t="s">
        <v>19</v>
      </c>
      <c r="K279" s="21" t="n">
        <v>4</v>
      </c>
      <c r="L279" s="7" t="s">
        <v>62</v>
      </c>
      <c r="M279" s="6" t="s">
        <v>2958</v>
      </c>
      <c r="N279" s="6" t="s">
        <v>130</v>
      </c>
      <c r="O279" s="6" t="s">
        <v>2959</v>
      </c>
      <c r="P279" s="6" t="s">
        <v>2960</v>
      </c>
      <c r="Q279" s="6" t="s">
        <v>2961</v>
      </c>
      <c r="R279" s="7" t="s">
        <v>134</v>
      </c>
      <c r="S279" s="6" t="s">
        <v>2962</v>
      </c>
      <c r="T279" s="7" t="s">
        <v>136</v>
      </c>
      <c r="U279" s="7" t="s">
        <v>2963</v>
      </c>
      <c r="V279" s="6" t="s">
        <v>138</v>
      </c>
      <c r="W279" s="6" t="s">
        <v>160</v>
      </c>
      <c r="X279" s="7" t="s">
        <v>44</v>
      </c>
      <c r="Y279" s="17" t="s">
        <v>7</v>
      </c>
      <c r="Z279" s="6" t="s">
        <v>2964</v>
      </c>
    </row>
    <row r="280" customFormat="false" ht="57" hidden="false" customHeight="true" outlineLevel="0" collapsed="false">
      <c r="A280" s="7" t="s">
        <v>2965</v>
      </c>
      <c r="B280" s="6" t="s">
        <v>2966</v>
      </c>
      <c r="C280" s="7" t="s">
        <v>39</v>
      </c>
      <c r="D280" s="7" t="s">
        <v>101</v>
      </c>
      <c r="E280" s="7" t="s">
        <v>2967</v>
      </c>
      <c r="F280" s="6" t="s">
        <v>2968</v>
      </c>
      <c r="G280" s="6" t="s">
        <v>2969</v>
      </c>
      <c r="H280" s="6" t="s">
        <v>2970</v>
      </c>
      <c r="I280" s="7" t="s">
        <v>57</v>
      </c>
      <c r="J280" s="15" t="s">
        <v>19</v>
      </c>
      <c r="K280" s="19" t="n">
        <v>3</v>
      </c>
      <c r="L280" s="7" t="s">
        <v>62</v>
      </c>
      <c r="M280" s="6" t="s">
        <v>2971</v>
      </c>
      <c r="N280" s="6" t="s">
        <v>130</v>
      </c>
      <c r="O280" s="6" t="s">
        <v>177</v>
      </c>
      <c r="P280" s="6" t="s">
        <v>2972</v>
      </c>
      <c r="Q280" s="6" t="s">
        <v>2973</v>
      </c>
      <c r="R280" s="7" t="s">
        <v>134</v>
      </c>
      <c r="S280" s="6" t="s">
        <v>2974</v>
      </c>
      <c r="T280" s="7" t="s">
        <v>136</v>
      </c>
      <c r="U280" s="7" t="s">
        <v>2975</v>
      </c>
      <c r="V280" s="6" t="s">
        <v>138</v>
      </c>
      <c r="W280" s="6" t="s">
        <v>160</v>
      </c>
      <c r="X280" s="7" t="s">
        <v>44</v>
      </c>
      <c r="Y280" s="17" t="s">
        <v>7</v>
      </c>
      <c r="Z280" s="6" t="s">
        <v>2976</v>
      </c>
    </row>
    <row r="281" customFormat="false" ht="68.25" hidden="false" customHeight="true" outlineLevel="0" collapsed="false">
      <c r="A281" s="7" t="s">
        <v>2977</v>
      </c>
      <c r="B281" s="6" t="s">
        <v>2978</v>
      </c>
      <c r="C281" s="7" t="s">
        <v>39</v>
      </c>
      <c r="D281" s="7" t="s">
        <v>99</v>
      </c>
      <c r="E281" s="7" t="s">
        <v>2979</v>
      </c>
      <c r="F281" s="6" t="s">
        <v>2980</v>
      </c>
      <c r="G281" s="6" t="s">
        <v>2981</v>
      </c>
      <c r="H281" s="6" t="s">
        <v>2982</v>
      </c>
      <c r="I281" s="7" t="s">
        <v>50</v>
      </c>
      <c r="J281" s="15" t="s">
        <v>17</v>
      </c>
      <c r="K281" s="19" t="n">
        <v>3</v>
      </c>
      <c r="L281" s="7" t="s">
        <v>62</v>
      </c>
      <c r="M281" s="6" t="s">
        <v>2983</v>
      </c>
      <c r="N281" s="6" t="s">
        <v>176</v>
      </c>
      <c r="O281" s="6" t="s">
        <v>177</v>
      </c>
      <c r="P281" s="6" t="s">
        <v>2984</v>
      </c>
      <c r="Q281" s="6" t="s">
        <v>2985</v>
      </c>
      <c r="R281" s="7" t="s">
        <v>134</v>
      </c>
      <c r="S281" s="6" t="s">
        <v>2986</v>
      </c>
      <c r="T281" s="7" t="s">
        <v>136</v>
      </c>
      <c r="U281" s="7" t="s">
        <v>2987</v>
      </c>
      <c r="V281" s="6" t="s">
        <v>2924</v>
      </c>
      <c r="W281" s="6" t="s">
        <v>160</v>
      </c>
      <c r="X281" s="7" t="s">
        <v>44</v>
      </c>
      <c r="Y281" s="19" t="s">
        <v>9</v>
      </c>
      <c r="Z281" s="6" t="s">
        <v>2988</v>
      </c>
    </row>
    <row r="282" customFormat="false" ht="45.75" hidden="false" customHeight="true" outlineLevel="0" collapsed="false">
      <c r="A282" s="7" t="s">
        <v>2989</v>
      </c>
      <c r="B282" s="6" t="s">
        <v>2990</v>
      </c>
      <c r="C282" s="7" t="s">
        <v>39</v>
      </c>
      <c r="D282" s="7" t="s">
        <v>101</v>
      </c>
      <c r="E282" s="7" t="s">
        <v>2991</v>
      </c>
      <c r="F282" s="6" t="s">
        <v>2992</v>
      </c>
      <c r="G282" s="6" t="s">
        <v>2993</v>
      </c>
      <c r="H282" s="6" t="s">
        <v>2994</v>
      </c>
      <c r="I282" s="7" t="s">
        <v>54</v>
      </c>
      <c r="J282" s="15" t="s">
        <v>18</v>
      </c>
      <c r="K282" s="18" t="n">
        <v>2</v>
      </c>
      <c r="L282" s="7" t="s">
        <v>63</v>
      </c>
      <c r="M282" s="6" t="s">
        <v>2995</v>
      </c>
      <c r="N282" s="6" t="s">
        <v>130</v>
      </c>
      <c r="O282" s="6" t="s">
        <v>1715</v>
      </c>
      <c r="P282" s="6" t="s">
        <v>2996</v>
      </c>
      <c r="Q282" s="6" t="s">
        <v>2997</v>
      </c>
      <c r="R282" s="7" t="s">
        <v>134</v>
      </c>
      <c r="S282" s="6" t="s">
        <v>2998</v>
      </c>
      <c r="T282" s="7" t="s">
        <v>269</v>
      </c>
      <c r="U282" s="7" t="s">
        <v>2999</v>
      </c>
      <c r="V282" s="6" t="s">
        <v>138</v>
      </c>
      <c r="W282" s="6" t="s">
        <v>160</v>
      </c>
      <c r="X282" s="7" t="s">
        <v>44</v>
      </c>
      <c r="Y282" s="17" t="s">
        <v>7</v>
      </c>
      <c r="Z282" s="6" t="s">
        <v>3000</v>
      </c>
    </row>
    <row r="283" customFormat="false" ht="45.75" hidden="false" customHeight="true" outlineLevel="0" collapsed="false">
      <c r="A283" s="7" t="s">
        <v>3001</v>
      </c>
      <c r="B283" s="6" t="s">
        <v>2990</v>
      </c>
      <c r="C283" s="7" t="s">
        <v>39</v>
      </c>
      <c r="D283" s="7" t="s">
        <v>101</v>
      </c>
      <c r="E283" s="7" t="s">
        <v>2991</v>
      </c>
      <c r="F283" s="6" t="s">
        <v>2992</v>
      </c>
      <c r="G283" s="6" t="s">
        <v>3002</v>
      </c>
      <c r="H283" s="6" t="s">
        <v>3003</v>
      </c>
      <c r="I283" s="7" t="s">
        <v>53</v>
      </c>
      <c r="J283" s="15" t="s">
        <v>18</v>
      </c>
      <c r="K283" s="18" t="n">
        <v>2</v>
      </c>
      <c r="L283" s="7" t="s">
        <v>62</v>
      </c>
      <c r="M283" s="6" t="s">
        <v>2995</v>
      </c>
      <c r="N283" s="6" t="s">
        <v>130</v>
      </c>
      <c r="O283" s="6" t="s">
        <v>1726</v>
      </c>
      <c r="P283" s="6" t="s">
        <v>3004</v>
      </c>
      <c r="Q283" s="6" t="s">
        <v>3005</v>
      </c>
      <c r="R283" s="7" t="s">
        <v>134</v>
      </c>
      <c r="S283" s="6" t="s">
        <v>2998</v>
      </c>
      <c r="T283" s="7" t="s">
        <v>269</v>
      </c>
      <c r="U283" s="7" t="s">
        <v>2999</v>
      </c>
      <c r="V283" s="6" t="s">
        <v>138</v>
      </c>
      <c r="W283" s="6" t="s">
        <v>160</v>
      </c>
      <c r="X283" s="7" t="s">
        <v>44</v>
      </c>
      <c r="Y283" s="17" t="s">
        <v>7</v>
      </c>
      <c r="Z283" s="6" t="s">
        <v>3006</v>
      </c>
    </row>
    <row r="284" customFormat="false" ht="57" hidden="false" customHeight="true" outlineLevel="0" collapsed="false">
      <c r="A284" s="7" t="s">
        <v>3007</v>
      </c>
      <c r="B284" s="6" t="s">
        <v>3008</v>
      </c>
      <c r="C284" s="7" t="s">
        <v>39</v>
      </c>
      <c r="D284" s="7" t="s">
        <v>101</v>
      </c>
      <c r="E284" s="7" t="s">
        <v>3009</v>
      </c>
      <c r="F284" s="6" t="s">
        <v>3010</v>
      </c>
      <c r="G284" s="6" t="s">
        <v>3011</v>
      </c>
      <c r="H284" s="6" t="s">
        <v>3012</v>
      </c>
      <c r="I284" s="7" t="s">
        <v>51</v>
      </c>
      <c r="J284" s="15" t="s">
        <v>19</v>
      </c>
      <c r="K284" s="19" t="n">
        <v>3</v>
      </c>
      <c r="L284" s="7" t="s">
        <v>62</v>
      </c>
      <c r="M284" s="6" t="s">
        <v>3013</v>
      </c>
      <c r="N284" s="6" t="s">
        <v>130</v>
      </c>
      <c r="O284" s="6" t="s">
        <v>3014</v>
      </c>
      <c r="P284" s="6" t="s">
        <v>3015</v>
      </c>
      <c r="Q284" s="6" t="s">
        <v>3016</v>
      </c>
      <c r="R284" s="7" t="s">
        <v>134</v>
      </c>
      <c r="S284" s="6" t="s">
        <v>3017</v>
      </c>
      <c r="T284" s="7" t="s">
        <v>136</v>
      </c>
      <c r="U284" s="7" t="s">
        <v>3018</v>
      </c>
      <c r="V284" s="6" t="s">
        <v>138</v>
      </c>
      <c r="W284" s="6" t="s">
        <v>160</v>
      </c>
      <c r="X284" s="7" t="s">
        <v>44</v>
      </c>
      <c r="Y284" s="17" t="s">
        <v>7</v>
      </c>
      <c r="Z284" s="6" t="s">
        <v>3019</v>
      </c>
    </row>
    <row r="285" customFormat="false" ht="57" hidden="false" customHeight="true" outlineLevel="0" collapsed="false">
      <c r="A285" s="7" t="s">
        <v>3020</v>
      </c>
      <c r="B285" s="6" t="s">
        <v>3021</v>
      </c>
      <c r="C285" s="7" t="s">
        <v>39</v>
      </c>
      <c r="D285" s="7" t="s">
        <v>101</v>
      </c>
      <c r="E285" s="7" t="s">
        <v>3022</v>
      </c>
      <c r="F285" s="6" t="s">
        <v>3023</v>
      </c>
      <c r="G285" s="6" t="s">
        <v>3024</v>
      </c>
      <c r="H285" s="6" t="s">
        <v>3025</v>
      </c>
      <c r="I285" s="7" t="s">
        <v>53</v>
      </c>
      <c r="J285" s="15" t="s">
        <v>18</v>
      </c>
      <c r="K285" s="18" t="n">
        <v>2</v>
      </c>
      <c r="L285" s="7" t="s">
        <v>62</v>
      </c>
      <c r="M285" s="6" t="s">
        <v>3026</v>
      </c>
      <c r="N285" s="6" t="s">
        <v>130</v>
      </c>
      <c r="O285" s="6" t="s">
        <v>453</v>
      </c>
      <c r="P285" s="6" t="s">
        <v>3027</v>
      </c>
      <c r="Q285" s="6" t="s">
        <v>3028</v>
      </c>
      <c r="R285" s="7" t="s">
        <v>134</v>
      </c>
      <c r="S285" s="6" t="s">
        <v>3029</v>
      </c>
      <c r="T285" s="7" t="s">
        <v>136</v>
      </c>
      <c r="U285" s="7" t="s">
        <v>3030</v>
      </c>
      <c r="V285" s="6" t="s">
        <v>933</v>
      </c>
      <c r="W285" s="6" t="s">
        <v>160</v>
      </c>
      <c r="X285" s="7" t="s">
        <v>45</v>
      </c>
      <c r="Y285" s="19" t="s">
        <v>9</v>
      </c>
      <c r="Z285" s="6" t="s">
        <v>3031</v>
      </c>
    </row>
    <row r="286" customFormat="false" ht="57" hidden="false" customHeight="true" outlineLevel="0" collapsed="false">
      <c r="A286" s="7" t="s">
        <v>3032</v>
      </c>
      <c r="B286" s="6" t="s">
        <v>3021</v>
      </c>
      <c r="C286" s="7" t="s">
        <v>39</v>
      </c>
      <c r="D286" s="7" t="s">
        <v>101</v>
      </c>
      <c r="E286" s="7" t="s">
        <v>3022</v>
      </c>
      <c r="F286" s="6" t="s">
        <v>3023</v>
      </c>
      <c r="G286" s="6" t="s">
        <v>3033</v>
      </c>
      <c r="H286" s="6" t="s">
        <v>3034</v>
      </c>
      <c r="I286" s="7" t="s">
        <v>53</v>
      </c>
      <c r="J286" s="15" t="s">
        <v>18</v>
      </c>
      <c r="K286" s="18" t="n">
        <v>2</v>
      </c>
      <c r="L286" s="7" t="s">
        <v>62</v>
      </c>
      <c r="M286" s="6" t="s">
        <v>3035</v>
      </c>
      <c r="N286" s="6" t="s">
        <v>130</v>
      </c>
      <c r="O286" s="6" t="s">
        <v>2186</v>
      </c>
      <c r="P286" s="6" t="s">
        <v>3036</v>
      </c>
      <c r="Q286" s="6" t="s">
        <v>3028</v>
      </c>
      <c r="R286" s="7" t="s">
        <v>134</v>
      </c>
      <c r="S286" s="6" t="s">
        <v>3029</v>
      </c>
      <c r="T286" s="7" t="s">
        <v>136</v>
      </c>
      <c r="U286" s="7" t="s">
        <v>3030</v>
      </c>
      <c r="V286" s="6" t="s">
        <v>933</v>
      </c>
      <c r="W286" s="6" t="s">
        <v>160</v>
      </c>
      <c r="X286" s="7" t="s">
        <v>45</v>
      </c>
      <c r="Y286" s="19" t="s">
        <v>9</v>
      </c>
      <c r="Z286" s="6" t="s">
        <v>3037</v>
      </c>
    </row>
    <row r="287" customFormat="false" ht="68.25" hidden="false" customHeight="true" outlineLevel="0" collapsed="false">
      <c r="A287" s="7" t="s">
        <v>3038</v>
      </c>
      <c r="B287" s="6" t="s">
        <v>3039</v>
      </c>
      <c r="C287" s="7" t="s">
        <v>39</v>
      </c>
      <c r="D287" s="7" t="s">
        <v>101</v>
      </c>
      <c r="E287" s="7" t="s">
        <v>3040</v>
      </c>
      <c r="F287" s="6" t="s">
        <v>3041</v>
      </c>
      <c r="G287" s="6" t="s">
        <v>3042</v>
      </c>
      <c r="H287" s="6" t="s">
        <v>3043</v>
      </c>
      <c r="I287" s="7" t="s">
        <v>51</v>
      </c>
      <c r="J287" s="15" t="s">
        <v>18</v>
      </c>
      <c r="K287" s="18" t="n">
        <v>2</v>
      </c>
      <c r="L287" s="7" t="s">
        <v>62</v>
      </c>
      <c r="M287" s="6" t="s">
        <v>3044</v>
      </c>
      <c r="N287" s="6" t="s">
        <v>130</v>
      </c>
      <c r="O287" s="6" t="s">
        <v>177</v>
      </c>
      <c r="P287" s="6" t="s">
        <v>3045</v>
      </c>
      <c r="Q287" s="6" t="s">
        <v>3046</v>
      </c>
      <c r="R287" s="7" t="s">
        <v>134</v>
      </c>
      <c r="S287" s="6" t="s">
        <v>3047</v>
      </c>
      <c r="T287" s="7" t="s">
        <v>136</v>
      </c>
      <c r="U287" s="7" t="s">
        <v>3048</v>
      </c>
      <c r="V287" s="6" t="s">
        <v>933</v>
      </c>
      <c r="W287" s="6" t="s">
        <v>160</v>
      </c>
      <c r="X287" s="7" t="s">
        <v>44</v>
      </c>
      <c r="Y287" s="19" t="s">
        <v>9</v>
      </c>
      <c r="Z287" s="6" t="s">
        <v>3049</v>
      </c>
    </row>
    <row r="288" customFormat="false" ht="68.25" hidden="false" customHeight="true" outlineLevel="0" collapsed="false">
      <c r="A288" s="7" t="s">
        <v>3050</v>
      </c>
      <c r="B288" s="6" t="s">
        <v>3039</v>
      </c>
      <c r="C288" s="7" t="s">
        <v>39</v>
      </c>
      <c r="D288" s="7" t="s">
        <v>101</v>
      </c>
      <c r="E288" s="7" t="s">
        <v>3040</v>
      </c>
      <c r="F288" s="6" t="s">
        <v>3041</v>
      </c>
      <c r="G288" s="6" t="s">
        <v>3051</v>
      </c>
      <c r="H288" s="6" t="s">
        <v>3052</v>
      </c>
      <c r="I288" s="7" t="s">
        <v>55</v>
      </c>
      <c r="J288" s="15" t="s">
        <v>18</v>
      </c>
      <c r="K288" s="18" t="n">
        <v>2</v>
      </c>
      <c r="L288" s="7" t="s">
        <v>63</v>
      </c>
      <c r="M288" s="6" t="s">
        <v>3053</v>
      </c>
      <c r="N288" s="6" t="s">
        <v>176</v>
      </c>
      <c r="O288" s="6" t="s">
        <v>3054</v>
      </c>
      <c r="P288" s="6" t="s">
        <v>3055</v>
      </c>
      <c r="Q288" s="6" t="s">
        <v>3056</v>
      </c>
      <c r="R288" s="7" t="s">
        <v>134</v>
      </c>
      <c r="S288" s="6" t="s">
        <v>3047</v>
      </c>
      <c r="T288" s="7" t="s">
        <v>136</v>
      </c>
      <c r="U288" s="7" t="s">
        <v>3048</v>
      </c>
      <c r="V288" s="6" t="s">
        <v>933</v>
      </c>
      <c r="W288" s="6" t="s">
        <v>160</v>
      </c>
      <c r="X288" s="7" t="s">
        <v>44</v>
      </c>
      <c r="Y288" s="19" t="s">
        <v>9</v>
      </c>
      <c r="Z288" s="6" t="s">
        <v>3057</v>
      </c>
    </row>
    <row r="289" customFormat="false" ht="57" hidden="false" customHeight="true" outlineLevel="0" collapsed="false">
      <c r="A289" s="7" t="s">
        <v>3058</v>
      </c>
      <c r="B289" s="6" t="s">
        <v>3059</v>
      </c>
      <c r="C289" s="7" t="s">
        <v>39</v>
      </c>
      <c r="D289" s="7" t="s">
        <v>101</v>
      </c>
      <c r="E289" s="7" t="s">
        <v>3060</v>
      </c>
      <c r="F289" s="6" t="s">
        <v>3061</v>
      </c>
      <c r="G289" s="6" t="s">
        <v>3062</v>
      </c>
      <c r="H289" s="6" t="s">
        <v>3063</v>
      </c>
      <c r="I289" s="7" t="s">
        <v>59</v>
      </c>
      <c r="J289" s="15" t="s">
        <v>18</v>
      </c>
      <c r="K289" s="18" t="n">
        <v>2</v>
      </c>
      <c r="L289" s="7" t="s">
        <v>62</v>
      </c>
      <c r="M289" s="6" t="s">
        <v>961</v>
      </c>
      <c r="N289" s="6" t="s">
        <v>130</v>
      </c>
      <c r="O289" s="6" t="s">
        <v>177</v>
      </c>
      <c r="P289" s="6" t="s">
        <v>3064</v>
      </c>
      <c r="Q289" s="6" t="s">
        <v>3065</v>
      </c>
      <c r="R289" s="7" t="s">
        <v>134</v>
      </c>
      <c r="S289" s="6" t="s">
        <v>3066</v>
      </c>
      <c r="T289" s="7" t="s">
        <v>136</v>
      </c>
      <c r="U289" s="7" t="s">
        <v>3067</v>
      </c>
      <c r="V289" s="6" t="s">
        <v>2924</v>
      </c>
      <c r="W289" s="6" t="s">
        <v>160</v>
      </c>
      <c r="X289" s="7" t="s">
        <v>44</v>
      </c>
      <c r="Y289" s="19" t="s">
        <v>9</v>
      </c>
      <c r="Z289" s="6" t="s">
        <v>3068</v>
      </c>
    </row>
    <row r="290" customFormat="false" ht="57" hidden="false" customHeight="true" outlineLevel="0" collapsed="false">
      <c r="A290" s="7" t="s">
        <v>3069</v>
      </c>
      <c r="B290" s="6" t="s">
        <v>3059</v>
      </c>
      <c r="C290" s="7" t="s">
        <v>39</v>
      </c>
      <c r="D290" s="7" t="s">
        <v>101</v>
      </c>
      <c r="E290" s="7" t="s">
        <v>3060</v>
      </c>
      <c r="F290" s="6" t="s">
        <v>3061</v>
      </c>
      <c r="G290" s="6" t="s">
        <v>3070</v>
      </c>
      <c r="H290" s="6" t="s">
        <v>3071</v>
      </c>
      <c r="I290" s="7" t="s">
        <v>59</v>
      </c>
      <c r="J290" s="15" t="s">
        <v>18</v>
      </c>
      <c r="K290" s="18" t="n">
        <v>2</v>
      </c>
      <c r="L290" s="7" t="s">
        <v>62</v>
      </c>
      <c r="M290" s="6" t="s">
        <v>3072</v>
      </c>
      <c r="N290" s="6" t="s">
        <v>130</v>
      </c>
      <c r="O290" s="6" t="s">
        <v>177</v>
      </c>
      <c r="P290" s="6" t="s">
        <v>3073</v>
      </c>
      <c r="Q290" s="6" t="s">
        <v>3074</v>
      </c>
      <c r="R290" s="7" t="s">
        <v>134</v>
      </c>
      <c r="S290" s="6" t="s">
        <v>3066</v>
      </c>
      <c r="T290" s="7" t="s">
        <v>300</v>
      </c>
      <c r="U290" s="7" t="s">
        <v>3067</v>
      </c>
      <c r="V290" s="6" t="s">
        <v>2924</v>
      </c>
      <c r="W290" s="6" t="s">
        <v>160</v>
      </c>
      <c r="X290" s="7" t="s">
        <v>44</v>
      </c>
      <c r="Y290" s="19" t="s">
        <v>9</v>
      </c>
      <c r="Z290" s="6" t="s">
        <v>3075</v>
      </c>
    </row>
    <row r="291" customFormat="false" ht="68.25" hidden="false" customHeight="true" outlineLevel="0" collapsed="false">
      <c r="A291" s="7" t="s">
        <v>3076</v>
      </c>
      <c r="B291" s="6" t="s">
        <v>3077</v>
      </c>
      <c r="C291" s="7" t="s">
        <v>40</v>
      </c>
      <c r="D291" s="7" t="s">
        <v>100</v>
      </c>
      <c r="E291" s="7" t="s">
        <v>3078</v>
      </c>
      <c r="F291" s="6" t="s">
        <v>3079</v>
      </c>
      <c r="G291" s="6" t="s">
        <v>3080</v>
      </c>
      <c r="H291" s="6" t="s">
        <v>3081</v>
      </c>
      <c r="I291" s="7" t="s">
        <v>59</v>
      </c>
      <c r="J291" s="15" t="s">
        <v>17</v>
      </c>
      <c r="K291" s="18" t="n">
        <v>2</v>
      </c>
      <c r="L291" s="7" t="s">
        <v>62</v>
      </c>
      <c r="M291" s="6" t="s">
        <v>3082</v>
      </c>
      <c r="N291" s="6" t="s">
        <v>130</v>
      </c>
      <c r="O291" s="6" t="s">
        <v>3083</v>
      </c>
      <c r="P291" s="6" t="s">
        <v>3084</v>
      </c>
      <c r="Q291" s="6" t="s">
        <v>3085</v>
      </c>
      <c r="R291" s="7" t="s">
        <v>134</v>
      </c>
      <c r="S291" s="6" t="s">
        <v>3086</v>
      </c>
      <c r="T291" s="7" t="s">
        <v>269</v>
      </c>
      <c r="U291" s="7" t="s">
        <v>3087</v>
      </c>
      <c r="V291" s="6" t="s">
        <v>643</v>
      </c>
      <c r="W291" s="6" t="s">
        <v>160</v>
      </c>
      <c r="X291" s="7" t="s">
        <v>44</v>
      </c>
      <c r="Y291" s="19" t="s">
        <v>9</v>
      </c>
      <c r="Z291" s="6" t="s">
        <v>3088</v>
      </c>
    </row>
    <row r="292" customFormat="false" ht="113.25" hidden="false" customHeight="true" outlineLevel="0" collapsed="false">
      <c r="A292" s="7" t="s">
        <v>3089</v>
      </c>
      <c r="B292" s="6" t="s">
        <v>3077</v>
      </c>
      <c r="C292" s="7" t="s">
        <v>40</v>
      </c>
      <c r="D292" s="7" t="s">
        <v>100</v>
      </c>
      <c r="E292" s="7" t="s">
        <v>3078</v>
      </c>
      <c r="F292" s="6" t="s">
        <v>3079</v>
      </c>
      <c r="G292" s="6" t="s">
        <v>3090</v>
      </c>
      <c r="H292" s="6" t="s">
        <v>3091</v>
      </c>
      <c r="I292" s="7" t="s">
        <v>59</v>
      </c>
      <c r="J292" s="15" t="s">
        <v>17</v>
      </c>
      <c r="K292" s="18" t="n">
        <v>2</v>
      </c>
      <c r="L292" s="7" t="s">
        <v>62</v>
      </c>
      <c r="M292" s="6" t="s">
        <v>3092</v>
      </c>
      <c r="N292" s="6" t="s">
        <v>130</v>
      </c>
      <c r="O292" s="6" t="s">
        <v>3093</v>
      </c>
      <c r="P292" s="6" t="s">
        <v>3094</v>
      </c>
      <c r="Q292" s="6" t="s">
        <v>3095</v>
      </c>
      <c r="R292" s="7" t="s">
        <v>134</v>
      </c>
      <c r="S292" s="6" t="s">
        <v>3086</v>
      </c>
      <c r="T292" s="7" t="s">
        <v>269</v>
      </c>
      <c r="U292" s="7" t="s">
        <v>3087</v>
      </c>
      <c r="V292" s="6" t="s">
        <v>3096</v>
      </c>
      <c r="W292" s="6" t="s">
        <v>160</v>
      </c>
      <c r="X292" s="7" t="s">
        <v>44</v>
      </c>
      <c r="Y292" s="19" t="s">
        <v>9</v>
      </c>
      <c r="Z292" s="6" t="s">
        <v>3097</v>
      </c>
    </row>
    <row r="293" customFormat="false" ht="68.25" hidden="false" customHeight="true" outlineLevel="0" collapsed="false">
      <c r="A293" s="7" t="s">
        <v>3098</v>
      </c>
      <c r="B293" s="6" t="s">
        <v>3077</v>
      </c>
      <c r="C293" s="7" t="s">
        <v>40</v>
      </c>
      <c r="D293" s="7" t="s">
        <v>100</v>
      </c>
      <c r="E293" s="7" t="s">
        <v>3078</v>
      </c>
      <c r="F293" s="6" t="s">
        <v>3079</v>
      </c>
      <c r="G293" s="6" t="s">
        <v>3099</v>
      </c>
      <c r="H293" s="6" t="s">
        <v>3100</v>
      </c>
      <c r="I293" s="7" t="s">
        <v>59</v>
      </c>
      <c r="J293" s="15" t="s">
        <v>17</v>
      </c>
      <c r="K293" s="18" t="n">
        <v>2</v>
      </c>
      <c r="L293" s="7" t="s">
        <v>62</v>
      </c>
      <c r="M293" s="6" t="s">
        <v>3101</v>
      </c>
      <c r="N293" s="6" t="s">
        <v>130</v>
      </c>
      <c r="O293" s="6" t="s">
        <v>3102</v>
      </c>
      <c r="P293" s="6" t="s">
        <v>3103</v>
      </c>
      <c r="Q293" s="6" t="s">
        <v>3104</v>
      </c>
      <c r="R293" s="7" t="s">
        <v>134</v>
      </c>
      <c r="S293" s="6" t="s">
        <v>3086</v>
      </c>
      <c r="T293" s="7" t="s">
        <v>269</v>
      </c>
      <c r="U293" s="7" t="s">
        <v>3087</v>
      </c>
      <c r="V293" s="6" t="s">
        <v>643</v>
      </c>
      <c r="W293" s="6" t="s">
        <v>160</v>
      </c>
      <c r="X293" s="7" t="s">
        <v>44</v>
      </c>
      <c r="Y293" s="19" t="s">
        <v>9</v>
      </c>
      <c r="Z293" s="6" t="s">
        <v>3105</v>
      </c>
    </row>
    <row r="294" customFormat="false" ht="68.25" hidden="false" customHeight="true" outlineLevel="0" collapsed="false">
      <c r="A294" s="7" t="s">
        <v>3106</v>
      </c>
      <c r="B294" s="6" t="s">
        <v>3107</v>
      </c>
      <c r="C294" s="7" t="s">
        <v>40</v>
      </c>
      <c r="D294" s="7" t="s">
        <v>101</v>
      </c>
      <c r="E294" s="7" t="s">
        <v>3108</v>
      </c>
      <c r="F294" s="6" t="s">
        <v>3109</v>
      </c>
      <c r="G294" s="6" t="s">
        <v>3110</v>
      </c>
      <c r="H294" s="6" t="s">
        <v>3111</v>
      </c>
      <c r="I294" s="7" t="s">
        <v>51</v>
      </c>
      <c r="J294" s="15" t="s">
        <v>18</v>
      </c>
      <c r="K294" s="18" t="n">
        <v>2</v>
      </c>
      <c r="L294" s="7" t="s">
        <v>62</v>
      </c>
      <c r="M294" s="6" t="s">
        <v>3112</v>
      </c>
      <c r="N294" s="6" t="s">
        <v>130</v>
      </c>
      <c r="O294" s="6" t="s">
        <v>3113</v>
      </c>
      <c r="P294" s="6" t="s">
        <v>3114</v>
      </c>
      <c r="Q294" s="6" t="s">
        <v>3115</v>
      </c>
      <c r="R294" s="7" t="s">
        <v>134</v>
      </c>
      <c r="S294" s="6" t="s">
        <v>3116</v>
      </c>
      <c r="T294" s="7" t="s">
        <v>269</v>
      </c>
      <c r="U294" s="7" t="s">
        <v>3117</v>
      </c>
      <c r="V294" s="6" t="s">
        <v>3118</v>
      </c>
      <c r="W294" s="6" t="s">
        <v>160</v>
      </c>
      <c r="X294" s="7" t="s">
        <v>44</v>
      </c>
      <c r="Y294" s="19" t="s">
        <v>9</v>
      </c>
      <c r="Z294" s="6" t="s">
        <v>3119</v>
      </c>
    </row>
    <row r="295" customFormat="false" ht="68.25" hidden="false" customHeight="true" outlineLevel="0" collapsed="false">
      <c r="A295" s="7" t="s">
        <v>3120</v>
      </c>
      <c r="B295" s="6" t="s">
        <v>3107</v>
      </c>
      <c r="C295" s="7" t="s">
        <v>40</v>
      </c>
      <c r="D295" s="7" t="s">
        <v>101</v>
      </c>
      <c r="E295" s="7" t="s">
        <v>3108</v>
      </c>
      <c r="F295" s="6" t="s">
        <v>3109</v>
      </c>
      <c r="G295" s="6" t="s">
        <v>3121</v>
      </c>
      <c r="H295" s="6" t="s">
        <v>3122</v>
      </c>
      <c r="I295" s="7" t="s">
        <v>51</v>
      </c>
      <c r="J295" s="15" t="s">
        <v>18</v>
      </c>
      <c r="K295" s="18" t="n">
        <v>2</v>
      </c>
      <c r="L295" s="7" t="s">
        <v>62</v>
      </c>
      <c r="M295" s="6" t="s">
        <v>3123</v>
      </c>
      <c r="N295" s="6" t="s">
        <v>130</v>
      </c>
      <c r="O295" s="6" t="s">
        <v>3124</v>
      </c>
      <c r="P295" s="6" t="s">
        <v>3125</v>
      </c>
      <c r="Q295" s="6" t="s">
        <v>3126</v>
      </c>
      <c r="R295" s="7" t="s">
        <v>134</v>
      </c>
      <c r="S295" s="6" t="s">
        <v>3116</v>
      </c>
      <c r="T295" s="7" t="s">
        <v>269</v>
      </c>
      <c r="U295" s="7" t="s">
        <v>3117</v>
      </c>
      <c r="V295" s="6" t="s">
        <v>3118</v>
      </c>
      <c r="W295" s="6" t="s">
        <v>160</v>
      </c>
      <c r="X295" s="7" t="s">
        <v>44</v>
      </c>
      <c r="Y295" s="19" t="s">
        <v>9</v>
      </c>
      <c r="Z295" s="6" t="s">
        <v>3127</v>
      </c>
    </row>
    <row r="296" customFormat="false" ht="68.25" hidden="false" customHeight="true" outlineLevel="0" collapsed="false">
      <c r="A296" s="7" t="s">
        <v>3128</v>
      </c>
      <c r="B296" s="6" t="s">
        <v>3129</v>
      </c>
      <c r="C296" s="7" t="s">
        <v>40</v>
      </c>
      <c r="D296" s="7" t="s">
        <v>101</v>
      </c>
      <c r="E296" s="7" t="s">
        <v>3130</v>
      </c>
      <c r="F296" s="6" t="s">
        <v>3131</v>
      </c>
      <c r="G296" s="6" t="s">
        <v>3132</v>
      </c>
      <c r="H296" s="6" t="s">
        <v>3133</v>
      </c>
      <c r="I296" s="7" t="s">
        <v>50</v>
      </c>
      <c r="J296" s="15" t="s">
        <v>19</v>
      </c>
      <c r="K296" s="19" t="n">
        <v>3</v>
      </c>
      <c r="L296" s="7" t="s">
        <v>62</v>
      </c>
      <c r="M296" s="6" t="s">
        <v>3134</v>
      </c>
      <c r="N296" s="6" t="s">
        <v>130</v>
      </c>
      <c r="O296" s="6" t="s">
        <v>3135</v>
      </c>
      <c r="P296" s="6" t="s">
        <v>3136</v>
      </c>
      <c r="Q296" s="6" t="s">
        <v>3137</v>
      </c>
      <c r="R296" s="7" t="s">
        <v>134</v>
      </c>
      <c r="S296" s="6" t="s">
        <v>3138</v>
      </c>
      <c r="T296" s="7" t="s">
        <v>136</v>
      </c>
      <c r="U296" s="7" t="s">
        <v>3139</v>
      </c>
      <c r="V296" s="6" t="s">
        <v>513</v>
      </c>
      <c r="W296" s="6" t="s">
        <v>160</v>
      </c>
      <c r="X296" s="7" t="s">
        <v>44</v>
      </c>
      <c r="Y296" s="19" t="s">
        <v>9</v>
      </c>
      <c r="Z296" s="6" t="s">
        <v>3140</v>
      </c>
    </row>
    <row r="297" customFormat="false" ht="68.25" hidden="false" customHeight="true" outlineLevel="0" collapsed="false">
      <c r="A297" s="7" t="s">
        <v>3141</v>
      </c>
      <c r="B297" s="6" t="s">
        <v>3129</v>
      </c>
      <c r="C297" s="7" t="s">
        <v>40</v>
      </c>
      <c r="D297" s="7" t="s">
        <v>101</v>
      </c>
      <c r="E297" s="7" t="s">
        <v>3130</v>
      </c>
      <c r="F297" s="6" t="s">
        <v>3131</v>
      </c>
      <c r="G297" s="6" t="s">
        <v>3142</v>
      </c>
      <c r="H297" s="6" t="s">
        <v>3143</v>
      </c>
      <c r="I297" s="7" t="s">
        <v>48</v>
      </c>
      <c r="J297" s="15" t="s">
        <v>19</v>
      </c>
      <c r="K297" s="19" t="n">
        <v>3</v>
      </c>
      <c r="L297" s="7" t="s">
        <v>64</v>
      </c>
      <c r="M297" s="6" t="s">
        <v>3144</v>
      </c>
      <c r="N297" s="6" t="s">
        <v>130</v>
      </c>
      <c r="O297" s="6" t="s">
        <v>3145</v>
      </c>
      <c r="P297" s="6" t="s">
        <v>3146</v>
      </c>
      <c r="Q297" s="6" t="s">
        <v>3147</v>
      </c>
      <c r="R297" s="7" t="s">
        <v>134</v>
      </c>
      <c r="S297" s="6" t="s">
        <v>3138</v>
      </c>
      <c r="T297" s="7" t="s">
        <v>256</v>
      </c>
      <c r="U297" s="7" t="s">
        <v>3139</v>
      </c>
      <c r="V297" s="6" t="s">
        <v>513</v>
      </c>
      <c r="W297" s="6" t="s">
        <v>160</v>
      </c>
      <c r="X297" s="7" t="s">
        <v>44</v>
      </c>
      <c r="Y297" s="19" t="s">
        <v>9</v>
      </c>
      <c r="Z297" s="6" t="s">
        <v>3148</v>
      </c>
    </row>
    <row r="298" customFormat="false" ht="68.25" hidden="false" customHeight="true" outlineLevel="0" collapsed="false">
      <c r="A298" s="7" t="s">
        <v>3149</v>
      </c>
      <c r="B298" s="6" t="s">
        <v>3129</v>
      </c>
      <c r="C298" s="7" t="s">
        <v>40</v>
      </c>
      <c r="D298" s="7" t="s">
        <v>101</v>
      </c>
      <c r="E298" s="7" t="s">
        <v>3130</v>
      </c>
      <c r="F298" s="6" t="s">
        <v>3131</v>
      </c>
      <c r="G298" s="6" t="s">
        <v>3150</v>
      </c>
      <c r="H298" s="6" t="s">
        <v>3151</v>
      </c>
      <c r="I298" s="7" t="s">
        <v>48</v>
      </c>
      <c r="J298" s="15" t="s">
        <v>19</v>
      </c>
      <c r="K298" s="19" t="n">
        <v>3</v>
      </c>
      <c r="L298" s="7" t="s">
        <v>64</v>
      </c>
      <c r="M298" s="6" t="s">
        <v>3152</v>
      </c>
      <c r="N298" s="6" t="s">
        <v>130</v>
      </c>
      <c r="O298" s="6" t="s">
        <v>3153</v>
      </c>
      <c r="P298" s="6" t="s">
        <v>3154</v>
      </c>
      <c r="Q298" s="6" t="s">
        <v>3155</v>
      </c>
      <c r="R298" s="7" t="s">
        <v>134</v>
      </c>
      <c r="S298" s="6" t="s">
        <v>3138</v>
      </c>
      <c r="T298" s="7" t="s">
        <v>256</v>
      </c>
      <c r="U298" s="7" t="s">
        <v>3139</v>
      </c>
      <c r="V298" s="6" t="s">
        <v>138</v>
      </c>
      <c r="W298" s="6" t="s">
        <v>160</v>
      </c>
      <c r="X298" s="7" t="s">
        <v>44</v>
      </c>
      <c r="Y298" s="17" t="s">
        <v>7</v>
      </c>
      <c r="Z298" s="6" t="s">
        <v>3148</v>
      </c>
    </row>
    <row r="299" customFormat="false" ht="57" hidden="false" customHeight="true" outlineLevel="0" collapsed="false">
      <c r="A299" s="7" t="s">
        <v>3156</v>
      </c>
      <c r="B299" s="6" t="s">
        <v>3157</v>
      </c>
      <c r="C299" s="7" t="s">
        <v>40</v>
      </c>
      <c r="D299" s="7" t="s">
        <v>101</v>
      </c>
      <c r="E299" s="7" t="s">
        <v>3158</v>
      </c>
      <c r="F299" s="6" t="s">
        <v>3159</v>
      </c>
      <c r="G299" s="6" t="s">
        <v>3160</v>
      </c>
      <c r="H299" s="6" t="s">
        <v>3161</v>
      </c>
      <c r="I299" s="7" t="s">
        <v>50</v>
      </c>
      <c r="J299" s="15" t="s">
        <v>18</v>
      </c>
      <c r="K299" s="18" t="n">
        <v>2</v>
      </c>
      <c r="L299" s="7" t="s">
        <v>62</v>
      </c>
      <c r="M299" s="6" t="s">
        <v>3162</v>
      </c>
      <c r="N299" s="6" t="s">
        <v>130</v>
      </c>
      <c r="O299" s="6" t="s">
        <v>177</v>
      </c>
      <c r="P299" s="6" t="s">
        <v>3163</v>
      </c>
      <c r="Q299" s="6" t="s">
        <v>3164</v>
      </c>
      <c r="R299" s="7" t="s">
        <v>134</v>
      </c>
      <c r="S299" s="6" t="s">
        <v>3165</v>
      </c>
      <c r="T299" s="7" t="s">
        <v>136</v>
      </c>
      <c r="U299" s="7" t="s">
        <v>3166</v>
      </c>
      <c r="V299" s="6" t="s">
        <v>138</v>
      </c>
      <c r="W299" s="6" t="s">
        <v>160</v>
      </c>
      <c r="X299" s="7" t="s">
        <v>44</v>
      </c>
      <c r="Y299" s="17" t="s">
        <v>7</v>
      </c>
      <c r="Z299" s="6" t="s">
        <v>3167</v>
      </c>
    </row>
    <row r="300" customFormat="false" ht="34.5" hidden="false" customHeight="true" outlineLevel="0" collapsed="false">
      <c r="A300" s="7" t="s">
        <v>3168</v>
      </c>
      <c r="B300" s="6" t="s">
        <v>3157</v>
      </c>
      <c r="C300" s="7" t="s">
        <v>40</v>
      </c>
      <c r="D300" s="7" t="s">
        <v>101</v>
      </c>
      <c r="E300" s="7" t="s">
        <v>3158</v>
      </c>
      <c r="F300" s="6" t="s">
        <v>3159</v>
      </c>
      <c r="G300" s="6" t="s">
        <v>3169</v>
      </c>
      <c r="H300" s="6" t="s">
        <v>3170</v>
      </c>
      <c r="I300" s="7" t="s">
        <v>54</v>
      </c>
      <c r="J300" s="15" t="s">
        <v>19</v>
      </c>
      <c r="K300" s="19" t="n">
        <v>3</v>
      </c>
      <c r="L300" s="7" t="s">
        <v>63</v>
      </c>
      <c r="M300" s="6" t="s">
        <v>3162</v>
      </c>
      <c r="N300" s="6" t="s">
        <v>176</v>
      </c>
      <c r="O300" s="6" t="s">
        <v>1345</v>
      </c>
      <c r="P300" s="6" t="s">
        <v>3171</v>
      </c>
      <c r="Q300" s="6" t="s">
        <v>3172</v>
      </c>
      <c r="R300" s="7" t="s">
        <v>134</v>
      </c>
      <c r="S300" s="6" t="s">
        <v>3165</v>
      </c>
      <c r="T300" s="7" t="s">
        <v>136</v>
      </c>
      <c r="U300" s="7" t="s">
        <v>3166</v>
      </c>
      <c r="V300" s="6" t="s">
        <v>138</v>
      </c>
      <c r="W300" s="6" t="s">
        <v>160</v>
      </c>
      <c r="X300" s="7" t="s">
        <v>44</v>
      </c>
      <c r="Y300" s="17" t="s">
        <v>7</v>
      </c>
      <c r="Z300" s="6" t="s">
        <v>3173</v>
      </c>
    </row>
    <row r="301" customFormat="false" ht="57" hidden="false" customHeight="true" outlineLevel="0" collapsed="false">
      <c r="A301" s="7" t="s">
        <v>3174</v>
      </c>
      <c r="B301" s="6" t="s">
        <v>3175</v>
      </c>
      <c r="C301" s="7" t="s">
        <v>40</v>
      </c>
      <c r="D301" s="7" t="s">
        <v>101</v>
      </c>
      <c r="E301" s="7" t="s">
        <v>3176</v>
      </c>
      <c r="F301" s="6" t="s">
        <v>3177</v>
      </c>
      <c r="G301" s="6" t="s">
        <v>3178</v>
      </c>
      <c r="H301" s="6" t="s">
        <v>3179</v>
      </c>
      <c r="I301" s="7" t="s">
        <v>51</v>
      </c>
      <c r="J301" s="15" t="s">
        <v>18</v>
      </c>
      <c r="K301" s="18" t="n">
        <v>2</v>
      </c>
      <c r="L301" s="7" t="s">
        <v>62</v>
      </c>
      <c r="M301" s="6" t="s">
        <v>3180</v>
      </c>
      <c r="N301" s="6" t="s">
        <v>130</v>
      </c>
      <c r="O301" s="6" t="s">
        <v>3181</v>
      </c>
      <c r="P301" s="6" t="s">
        <v>3182</v>
      </c>
      <c r="Q301" s="6" t="s">
        <v>3183</v>
      </c>
      <c r="R301" s="7" t="s">
        <v>134</v>
      </c>
      <c r="S301" s="6" t="s">
        <v>3184</v>
      </c>
      <c r="T301" s="7" t="s">
        <v>136</v>
      </c>
      <c r="U301" s="7" t="s">
        <v>3185</v>
      </c>
      <c r="V301" s="6" t="s">
        <v>1638</v>
      </c>
      <c r="W301" s="6" t="s">
        <v>160</v>
      </c>
      <c r="X301" s="7" t="s">
        <v>44</v>
      </c>
      <c r="Y301" s="19" t="s">
        <v>9</v>
      </c>
      <c r="Z301" s="6" t="s">
        <v>3186</v>
      </c>
    </row>
    <row r="302" customFormat="false" ht="57" hidden="false" customHeight="true" outlineLevel="0" collapsed="false">
      <c r="A302" s="7" t="s">
        <v>3187</v>
      </c>
      <c r="B302" s="6" t="s">
        <v>3175</v>
      </c>
      <c r="C302" s="7" t="s">
        <v>40</v>
      </c>
      <c r="D302" s="7" t="s">
        <v>101</v>
      </c>
      <c r="E302" s="7" t="s">
        <v>3176</v>
      </c>
      <c r="F302" s="6" t="s">
        <v>3177</v>
      </c>
      <c r="G302" s="6" t="s">
        <v>3188</v>
      </c>
      <c r="H302" s="6" t="s">
        <v>3189</v>
      </c>
      <c r="I302" s="7" t="s">
        <v>48</v>
      </c>
      <c r="J302" s="15" t="s">
        <v>18</v>
      </c>
      <c r="K302" s="18" t="n">
        <v>2</v>
      </c>
      <c r="L302" s="7" t="s">
        <v>64</v>
      </c>
      <c r="M302" s="6" t="s">
        <v>3180</v>
      </c>
      <c r="N302" s="6" t="s">
        <v>130</v>
      </c>
      <c r="O302" s="6" t="s">
        <v>3190</v>
      </c>
      <c r="P302" s="6" t="s">
        <v>3191</v>
      </c>
      <c r="Q302" s="6" t="s">
        <v>3192</v>
      </c>
      <c r="R302" s="7" t="s">
        <v>134</v>
      </c>
      <c r="S302" s="6" t="s">
        <v>3184</v>
      </c>
      <c r="T302" s="7" t="s">
        <v>256</v>
      </c>
      <c r="U302" s="7" t="s">
        <v>3185</v>
      </c>
      <c r="V302" s="6" t="s">
        <v>1638</v>
      </c>
      <c r="W302" s="6" t="s">
        <v>160</v>
      </c>
      <c r="X302" s="7" t="s">
        <v>44</v>
      </c>
      <c r="Y302" s="19" t="s">
        <v>9</v>
      </c>
      <c r="Z302" s="6" t="s">
        <v>3193</v>
      </c>
    </row>
    <row r="303" customFormat="false" ht="57" hidden="false" customHeight="true" outlineLevel="0" collapsed="false">
      <c r="A303" s="7" t="s">
        <v>3194</v>
      </c>
      <c r="B303" s="6" t="s">
        <v>3195</v>
      </c>
      <c r="C303" s="7" t="s">
        <v>40</v>
      </c>
      <c r="D303" s="7" t="s">
        <v>101</v>
      </c>
      <c r="E303" s="7" t="s">
        <v>3196</v>
      </c>
      <c r="F303" s="6" t="s">
        <v>3197</v>
      </c>
      <c r="G303" s="6" t="s">
        <v>3198</v>
      </c>
      <c r="H303" s="6" t="s">
        <v>3199</v>
      </c>
      <c r="I303" s="7" t="s">
        <v>50</v>
      </c>
      <c r="J303" s="15" t="s">
        <v>19</v>
      </c>
      <c r="K303" s="19" t="n">
        <v>3</v>
      </c>
      <c r="L303" s="7" t="s">
        <v>62</v>
      </c>
      <c r="M303" s="6" t="s">
        <v>3200</v>
      </c>
      <c r="N303" s="6" t="s">
        <v>176</v>
      </c>
      <c r="O303" s="6" t="s">
        <v>3181</v>
      </c>
      <c r="P303" s="6" t="s">
        <v>3201</v>
      </c>
      <c r="Q303" s="6" t="s">
        <v>3202</v>
      </c>
      <c r="R303" s="7" t="s">
        <v>134</v>
      </c>
      <c r="S303" s="6" t="s">
        <v>3203</v>
      </c>
      <c r="T303" s="7" t="s">
        <v>136</v>
      </c>
      <c r="U303" s="7" t="s">
        <v>3204</v>
      </c>
      <c r="V303" s="6" t="s">
        <v>1638</v>
      </c>
      <c r="W303" s="6" t="s">
        <v>160</v>
      </c>
      <c r="X303" s="7" t="s">
        <v>44</v>
      </c>
      <c r="Y303" s="19" t="s">
        <v>9</v>
      </c>
      <c r="Z303" s="6" t="s">
        <v>3205</v>
      </c>
    </row>
    <row r="304" customFormat="false" ht="57" hidden="false" customHeight="true" outlineLevel="0" collapsed="false">
      <c r="A304" s="7" t="s">
        <v>3206</v>
      </c>
      <c r="B304" s="6" t="s">
        <v>3207</v>
      </c>
      <c r="C304" s="7" t="s">
        <v>40</v>
      </c>
      <c r="D304" s="7" t="s">
        <v>101</v>
      </c>
      <c r="E304" s="7" t="s">
        <v>3208</v>
      </c>
      <c r="F304" s="6" t="s">
        <v>3209</v>
      </c>
      <c r="G304" s="6" t="s">
        <v>3210</v>
      </c>
      <c r="H304" s="6" t="s">
        <v>3211</v>
      </c>
      <c r="I304" s="7" t="s">
        <v>48</v>
      </c>
      <c r="J304" s="15" t="s">
        <v>17</v>
      </c>
      <c r="K304" s="16" t="n">
        <v>1</v>
      </c>
      <c r="L304" s="7" t="s">
        <v>64</v>
      </c>
      <c r="M304" s="6" t="s">
        <v>3212</v>
      </c>
      <c r="N304" s="6" t="s">
        <v>130</v>
      </c>
      <c r="O304" s="6" t="s">
        <v>3213</v>
      </c>
      <c r="P304" s="6" t="s">
        <v>3214</v>
      </c>
      <c r="Q304" s="6" t="s">
        <v>3215</v>
      </c>
      <c r="R304" s="7" t="s">
        <v>134</v>
      </c>
      <c r="S304" s="6" t="s">
        <v>3216</v>
      </c>
      <c r="T304" s="7" t="s">
        <v>256</v>
      </c>
      <c r="U304" s="7" t="s">
        <v>3217</v>
      </c>
      <c r="V304" s="6" t="s">
        <v>1638</v>
      </c>
      <c r="W304" s="6" t="s">
        <v>160</v>
      </c>
      <c r="X304" s="7" t="s">
        <v>44</v>
      </c>
      <c r="Y304" s="19" t="s">
        <v>9</v>
      </c>
      <c r="Z304" s="6" t="s">
        <v>3218</v>
      </c>
    </row>
    <row r="305" customFormat="false" ht="57" hidden="false" customHeight="true" outlineLevel="0" collapsed="false">
      <c r="A305" s="7" t="s">
        <v>3219</v>
      </c>
      <c r="B305" s="6" t="s">
        <v>3207</v>
      </c>
      <c r="C305" s="7" t="s">
        <v>40</v>
      </c>
      <c r="D305" s="7" t="s">
        <v>101</v>
      </c>
      <c r="E305" s="7" t="s">
        <v>3208</v>
      </c>
      <c r="F305" s="6" t="s">
        <v>3209</v>
      </c>
      <c r="G305" s="6" t="s">
        <v>3220</v>
      </c>
      <c r="H305" s="6" t="s">
        <v>3221</v>
      </c>
      <c r="I305" s="7" t="s">
        <v>48</v>
      </c>
      <c r="J305" s="15" t="s">
        <v>17</v>
      </c>
      <c r="K305" s="16" t="n">
        <v>1</v>
      </c>
      <c r="L305" s="7" t="s">
        <v>64</v>
      </c>
      <c r="M305" s="6" t="s">
        <v>3212</v>
      </c>
      <c r="N305" s="6" t="s">
        <v>130</v>
      </c>
      <c r="O305" s="6" t="s">
        <v>3222</v>
      </c>
      <c r="P305" s="6" t="s">
        <v>3223</v>
      </c>
      <c r="Q305" s="6" t="s">
        <v>3224</v>
      </c>
      <c r="R305" s="7" t="s">
        <v>134</v>
      </c>
      <c r="S305" s="6" t="s">
        <v>3216</v>
      </c>
      <c r="T305" s="7" t="s">
        <v>256</v>
      </c>
      <c r="U305" s="7" t="s">
        <v>3217</v>
      </c>
      <c r="V305" s="6" t="s">
        <v>1638</v>
      </c>
      <c r="W305" s="6" t="s">
        <v>160</v>
      </c>
      <c r="X305" s="7" t="s">
        <v>44</v>
      </c>
      <c r="Y305" s="19" t="s">
        <v>9</v>
      </c>
      <c r="Z305" s="6" t="s">
        <v>3225</v>
      </c>
    </row>
    <row r="306" customFormat="false" ht="57" hidden="false" customHeight="true" outlineLevel="0" collapsed="false">
      <c r="A306" s="7" t="s">
        <v>3226</v>
      </c>
      <c r="B306" s="6" t="s">
        <v>3207</v>
      </c>
      <c r="C306" s="7" t="s">
        <v>40</v>
      </c>
      <c r="D306" s="7" t="s">
        <v>101</v>
      </c>
      <c r="E306" s="7" t="s">
        <v>3208</v>
      </c>
      <c r="F306" s="6" t="s">
        <v>3209</v>
      </c>
      <c r="G306" s="6" t="s">
        <v>3227</v>
      </c>
      <c r="H306" s="6" t="s">
        <v>3228</v>
      </c>
      <c r="I306" s="7" t="s">
        <v>50</v>
      </c>
      <c r="J306" s="15" t="s">
        <v>18</v>
      </c>
      <c r="K306" s="18" t="n">
        <v>2</v>
      </c>
      <c r="L306" s="7" t="s">
        <v>62</v>
      </c>
      <c r="M306" s="6" t="s">
        <v>3212</v>
      </c>
      <c r="N306" s="6" t="s">
        <v>176</v>
      </c>
      <c r="O306" s="6" t="s">
        <v>3229</v>
      </c>
      <c r="P306" s="6" t="s">
        <v>3230</v>
      </c>
      <c r="Q306" s="6" t="s">
        <v>3231</v>
      </c>
      <c r="R306" s="7" t="s">
        <v>134</v>
      </c>
      <c r="S306" s="6" t="s">
        <v>3216</v>
      </c>
      <c r="T306" s="7" t="s">
        <v>136</v>
      </c>
      <c r="U306" s="7" t="s">
        <v>3217</v>
      </c>
      <c r="V306" s="6" t="s">
        <v>1638</v>
      </c>
      <c r="W306" s="6" t="s">
        <v>160</v>
      </c>
      <c r="X306" s="7" t="s">
        <v>44</v>
      </c>
      <c r="Y306" s="19" t="s">
        <v>9</v>
      </c>
      <c r="Z306" s="6" t="s">
        <v>3232</v>
      </c>
    </row>
    <row r="307" customFormat="false" ht="45.75" hidden="false" customHeight="true" outlineLevel="0" collapsed="false">
      <c r="A307" s="7" t="s">
        <v>3233</v>
      </c>
      <c r="B307" s="6" t="s">
        <v>3234</v>
      </c>
      <c r="C307" s="7" t="s">
        <v>40</v>
      </c>
      <c r="D307" s="7" t="s">
        <v>99</v>
      </c>
      <c r="E307" s="7" t="s">
        <v>3235</v>
      </c>
      <c r="F307" s="6" t="s">
        <v>3236</v>
      </c>
      <c r="G307" s="6" t="s">
        <v>3237</v>
      </c>
      <c r="H307" s="6" t="s">
        <v>3238</v>
      </c>
      <c r="I307" s="7" t="s">
        <v>59</v>
      </c>
      <c r="J307" s="15" t="s">
        <v>16</v>
      </c>
      <c r="K307" s="18" t="n">
        <v>2</v>
      </c>
      <c r="L307" s="7" t="s">
        <v>62</v>
      </c>
      <c r="M307" s="6" t="s">
        <v>3239</v>
      </c>
      <c r="N307" s="6" t="s">
        <v>130</v>
      </c>
      <c r="O307" s="6" t="s">
        <v>3240</v>
      </c>
      <c r="P307" s="6" t="s">
        <v>3241</v>
      </c>
      <c r="Q307" s="6" t="s">
        <v>3242</v>
      </c>
      <c r="R307" s="7" t="s">
        <v>134</v>
      </c>
      <c r="S307" s="6" t="s">
        <v>3243</v>
      </c>
      <c r="T307" s="7" t="s">
        <v>136</v>
      </c>
      <c r="U307" s="7" t="s">
        <v>3244</v>
      </c>
      <c r="V307" s="6" t="s">
        <v>138</v>
      </c>
      <c r="W307" s="6" t="s">
        <v>139</v>
      </c>
      <c r="X307" s="7" t="s">
        <v>45</v>
      </c>
      <c r="Y307" s="19" t="s">
        <v>9</v>
      </c>
      <c r="Z307" s="6" t="s">
        <v>3245</v>
      </c>
    </row>
    <row r="308" customFormat="false" ht="45.75" hidden="false" customHeight="true" outlineLevel="0" collapsed="false">
      <c r="A308" s="7" t="s">
        <v>3246</v>
      </c>
      <c r="B308" s="6" t="s">
        <v>3234</v>
      </c>
      <c r="C308" s="7" t="s">
        <v>40</v>
      </c>
      <c r="D308" s="7" t="s">
        <v>99</v>
      </c>
      <c r="E308" s="7" t="s">
        <v>3235</v>
      </c>
      <c r="F308" s="6" t="s">
        <v>3236</v>
      </c>
      <c r="G308" s="6" t="s">
        <v>3247</v>
      </c>
      <c r="H308" s="6" t="s">
        <v>3248</v>
      </c>
      <c r="I308" s="7" t="s">
        <v>59</v>
      </c>
      <c r="J308" s="15" t="s">
        <v>16</v>
      </c>
      <c r="K308" s="18" t="n">
        <v>2</v>
      </c>
      <c r="L308" s="7" t="s">
        <v>62</v>
      </c>
      <c r="M308" s="6" t="s">
        <v>3249</v>
      </c>
      <c r="N308" s="6" t="s">
        <v>130</v>
      </c>
      <c r="O308" s="6" t="s">
        <v>3250</v>
      </c>
      <c r="P308" s="6" t="s">
        <v>3251</v>
      </c>
      <c r="Q308" s="6" t="s">
        <v>3252</v>
      </c>
      <c r="R308" s="7" t="s">
        <v>134</v>
      </c>
      <c r="S308" s="6" t="s">
        <v>3243</v>
      </c>
      <c r="T308" s="7" t="s">
        <v>136</v>
      </c>
      <c r="U308" s="7" t="s">
        <v>3244</v>
      </c>
      <c r="V308" s="6" t="s">
        <v>138</v>
      </c>
      <c r="W308" s="6" t="s">
        <v>139</v>
      </c>
      <c r="X308" s="7" t="s">
        <v>45</v>
      </c>
      <c r="Y308" s="19" t="s">
        <v>9</v>
      </c>
      <c r="Z308" s="6" t="s">
        <v>3245</v>
      </c>
    </row>
    <row r="309" customFormat="false" ht="45.75" hidden="false" customHeight="true" outlineLevel="0" collapsed="false">
      <c r="A309" s="7" t="s">
        <v>3253</v>
      </c>
      <c r="B309" s="6" t="s">
        <v>3254</v>
      </c>
      <c r="C309" s="7" t="s">
        <v>40</v>
      </c>
      <c r="D309" s="7" t="s">
        <v>346</v>
      </c>
      <c r="E309" s="7" t="s">
        <v>3255</v>
      </c>
      <c r="F309" s="6" t="s">
        <v>3256</v>
      </c>
      <c r="G309" s="6" t="s">
        <v>3257</v>
      </c>
      <c r="H309" s="6" t="s">
        <v>3258</v>
      </c>
      <c r="I309" s="7" t="s">
        <v>59</v>
      </c>
      <c r="J309" s="15" t="s">
        <v>16</v>
      </c>
      <c r="K309" s="16" t="n">
        <v>1</v>
      </c>
      <c r="L309" s="7" t="s">
        <v>62</v>
      </c>
      <c r="M309" s="6" t="s">
        <v>3259</v>
      </c>
      <c r="N309" s="6" t="s">
        <v>130</v>
      </c>
      <c r="O309" s="6" t="s">
        <v>453</v>
      </c>
      <c r="P309" s="6" t="s">
        <v>3260</v>
      </c>
      <c r="Q309" s="6" t="s">
        <v>3261</v>
      </c>
      <c r="R309" s="7" t="s">
        <v>134</v>
      </c>
      <c r="S309" s="6" t="s">
        <v>3262</v>
      </c>
      <c r="T309" s="7" t="s">
        <v>136</v>
      </c>
      <c r="U309" s="7" t="s">
        <v>3263</v>
      </c>
      <c r="V309" s="6" t="s">
        <v>138</v>
      </c>
      <c r="W309" s="6" t="s">
        <v>139</v>
      </c>
      <c r="X309" s="7" t="s">
        <v>45</v>
      </c>
      <c r="Y309" s="19" t="s">
        <v>9</v>
      </c>
      <c r="Z309" s="6" t="s">
        <v>3264</v>
      </c>
    </row>
    <row r="310" customFormat="false" ht="45.75" hidden="false" customHeight="true" outlineLevel="0" collapsed="false">
      <c r="A310" s="7" t="s">
        <v>3265</v>
      </c>
      <c r="B310" s="6" t="s">
        <v>3254</v>
      </c>
      <c r="C310" s="7" t="s">
        <v>40</v>
      </c>
      <c r="D310" s="7" t="s">
        <v>346</v>
      </c>
      <c r="E310" s="7" t="s">
        <v>3255</v>
      </c>
      <c r="F310" s="6" t="s">
        <v>3256</v>
      </c>
      <c r="G310" s="6" t="s">
        <v>3266</v>
      </c>
      <c r="H310" s="6" t="s">
        <v>3267</v>
      </c>
      <c r="I310" s="7" t="s">
        <v>59</v>
      </c>
      <c r="J310" s="15" t="s">
        <v>16</v>
      </c>
      <c r="K310" s="18" t="n">
        <v>2</v>
      </c>
      <c r="L310" s="7" t="s">
        <v>62</v>
      </c>
      <c r="M310" s="6" t="s">
        <v>2472</v>
      </c>
      <c r="N310" s="6" t="s">
        <v>130</v>
      </c>
      <c r="O310" s="6" t="s">
        <v>1654</v>
      </c>
      <c r="P310" s="6" t="s">
        <v>3268</v>
      </c>
      <c r="Q310" s="6" t="s">
        <v>3269</v>
      </c>
      <c r="R310" s="7" t="s">
        <v>134</v>
      </c>
      <c r="S310" s="6" t="s">
        <v>3262</v>
      </c>
      <c r="T310" s="7" t="s">
        <v>136</v>
      </c>
      <c r="U310" s="7" t="s">
        <v>3263</v>
      </c>
      <c r="V310" s="6" t="s">
        <v>138</v>
      </c>
      <c r="W310" s="6" t="s">
        <v>139</v>
      </c>
      <c r="X310" s="7" t="s">
        <v>45</v>
      </c>
      <c r="Y310" s="19" t="s">
        <v>9</v>
      </c>
      <c r="Z310" s="6" t="s">
        <v>3270</v>
      </c>
    </row>
    <row r="311" customFormat="false" ht="45.75" hidden="false" customHeight="true" outlineLevel="0" collapsed="false">
      <c r="A311" s="7" t="s">
        <v>3271</v>
      </c>
      <c r="B311" s="6" t="s">
        <v>3254</v>
      </c>
      <c r="C311" s="7" t="s">
        <v>40</v>
      </c>
      <c r="D311" s="7" t="s">
        <v>346</v>
      </c>
      <c r="E311" s="7" t="s">
        <v>3255</v>
      </c>
      <c r="F311" s="6" t="s">
        <v>3256</v>
      </c>
      <c r="G311" s="6" t="s">
        <v>3272</v>
      </c>
      <c r="H311" s="6" t="s">
        <v>3273</v>
      </c>
      <c r="I311" s="7" t="s">
        <v>59</v>
      </c>
      <c r="J311" s="15" t="s">
        <v>16</v>
      </c>
      <c r="K311" s="18" t="n">
        <v>2</v>
      </c>
      <c r="L311" s="7" t="s">
        <v>62</v>
      </c>
      <c r="M311" s="6" t="s">
        <v>612</v>
      </c>
      <c r="N311" s="6" t="s">
        <v>130</v>
      </c>
      <c r="O311" s="6" t="s">
        <v>453</v>
      </c>
      <c r="P311" s="6" t="s">
        <v>3274</v>
      </c>
      <c r="Q311" s="6" t="s">
        <v>3275</v>
      </c>
      <c r="R311" s="7" t="s">
        <v>134</v>
      </c>
      <c r="S311" s="6" t="s">
        <v>3262</v>
      </c>
      <c r="T311" s="7" t="s">
        <v>136</v>
      </c>
      <c r="U311" s="7" t="s">
        <v>3263</v>
      </c>
      <c r="V311" s="6" t="s">
        <v>138</v>
      </c>
      <c r="W311" s="6" t="s">
        <v>139</v>
      </c>
      <c r="X311" s="7" t="s">
        <v>45</v>
      </c>
      <c r="Y311" s="19" t="s">
        <v>9</v>
      </c>
      <c r="Z311" s="6" t="s">
        <v>3276</v>
      </c>
    </row>
    <row r="312" customFormat="false" ht="45.75" hidden="false" customHeight="true" outlineLevel="0" collapsed="false">
      <c r="A312" s="7" t="s">
        <v>3277</v>
      </c>
      <c r="B312" s="6" t="s">
        <v>3254</v>
      </c>
      <c r="C312" s="7" t="s">
        <v>38</v>
      </c>
      <c r="D312" s="7" t="s">
        <v>346</v>
      </c>
      <c r="E312" s="7" t="s">
        <v>3278</v>
      </c>
      <c r="F312" s="6" t="s">
        <v>3279</v>
      </c>
      <c r="G312" s="6" t="s">
        <v>3280</v>
      </c>
      <c r="H312" s="6" t="s">
        <v>3281</v>
      </c>
      <c r="I312" s="7" t="s">
        <v>59</v>
      </c>
      <c r="J312" s="15" t="s">
        <v>16</v>
      </c>
      <c r="K312" s="18" t="n">
        <v>2</v>
      </c>
      <c r="L312" s="7" t="s">
        <v>62</v>
      </c>
      <c r="M312" s="6" t="s">
        <v>2249</v>
      </c>
      <c r="N312" s="6" t="s">
        <v>176</v>
      </c>
      <c r="O312" s="6" t="s">
        <v>3282</v>
      </c>
      <c r="P312" s="6" t="s">
        <v>3283</v>
      </c>
      <c r="Q312" s="6" t="s">
        <v>3284</v>
      </c>
      <c r="R312" s="7" t="s">
        <v>134</v>
      </c>
      <c r="S312" s="6" t="s">
        <v>3285</v>
      </c>
      <c r="T312" s="7" t="s">
        <v>136</v>
      </c>
      <c r="U312" s="7" t="s">
        <v>3286</v>
      </c>
      <c r="V312" s="6" t="s">
        <v>138</v>
      </c>
      <c r="W312" s="6" t="s">
        <v>139</v>
      </c>
      <c r="X312" s="7" t="s">
        <v>45</v>
      </c>
      <c r="Y312" s="19" t="s">
        <v>9</v>
      </c>
      <c r="Z312" s="6" t="s">
        <v>3287</v>
      </c>
    </row>
    <row r="313" customFormat="false" ht="45.75" hidden="false" customHeight="true" outlineLevel="0" collapsed="false">
      <c r="A313" s="7" t="s">
        <v>3288</v>
      </c>
      <c r="B313" s="6" t="s">
        <v>3254</v>
      </c>
      <c r="C313" s="7" t="s">
        <v>39</v>
      </c>
      <c r="D313" s="7" t="s">
        <v>346</v>
      </c>
      <c r="E313" s="7" t="s">
        <v>3289</v>
      </c>
      <c r="F313" s="6" t="s">
        <v>3290</v>
      </c>
      <c r="G313" s="6" t="s">
        <v>3291</v>
      </c>
      <c r="H313" s="6" t="s">
        <v>3292</v>
      </c>
      <c r="I313" s="7" t="s">
        <v>59</v>
      </c>
      <c r="J313" s="15" t="s">
        <v>16</v>
      </c>
      <c r="K313" s="18" t="n">
        <v>2</v>
      </c>
      <c r="L313" s="7" t="s">
        <v>62</v>
      </c>
      <c r="M313" s="6" t="s">
        <v>3293</v>
      </c>
      <c r="N313" s="6" t="s">
        <v>130</v>
      </c>
      <c r="O313" s="6" t="s">
        <v>453</v>
      </c>
      <c r="P313" s="6" t="s">
        <v>3294</v>
      </c>
      <c r="Q313" s="6" t="s">
        <v>3295</v>
      </c>
      <c r="R313" s="7" t="s">
        <v>134</v>
      </c>
      <c r="S313" s="6" t="s">
        <v>3296</v>
      </c>
      <c r="T313" s="7" t="s">
        <v>136</v>
      </c>
      <c r="U313" s="7" t="s">
        <v>3297</v>
      </c>
      <c r="V313" s="6" t="s">
        <v>138</v>
      </c>
      <c r="W313" s="6" t="s">
        <v>139</v>
      </c>
      <c r="X313" s="7" t="s">
        <v>45</v>
      </c>
      <c r="Y313" s="19" t="s">
        <v>9</v>
      </c>
      <c r="Z313" s="6" t="s">
        <v>3298</v>
      </c>
    </row>
    <row r="314" customFormat="false" ht="45.75" hidden="false" customHeight="true" outlineLevel="0" collapsed="false">
      <c r="A314" s="7" t="s">
        <v>3299</v>
      </c>
      <c r="B314" s="6" t="s">
        <v>3254</v>
      </c>
      <c r="C314" s="7" t="s">
        <v>39</v>
      </c>
      <c r="D314" s="7" t="s">
        <v>346</v>
      </c>
      <c r="E314" s="7" t="s">
        <v>3289</v>
      </c>
      <c r="F314" s="6" t="s">
        <v>3290</v>
      </c>
      <c r="G314" s="6" t="s">
        <v>3300</v>
      </c>
      <c r="H314" s="6" t="s">
        <v>3301</v>
      </c>
      <c r="I314" s="7" t="s">
        <v>59</v>
      </c>
      <c r="J314" s="15" t="s">
        <v>16</v>
      </c>
      <c r="K314" s="18" t="n">
        <v>2</v>
      </c>
      <c r="L314" s="7" t="s">
        <v>62</v>
      </c>
      <c r="M314" s="6" t="s">
        <v>3302</v>
      </c>
      <c r="N314" s="6" t="s">
        <v>176</v>
      </c>
      <c r="O314" s="6" t="s">
        <v>453</v>
      </c>
      <c r="P314" s="6" t="s">
        <v>3303</v>
      </c>
      <c r="Q314" s="6" t="s">
        <v>3304</v>
      </c>
      <c r="R314" s="7" t="s">
        <v>134</v>
      </c>
      <c r="S314" s="6" t="s">
        <v>3296</v>
      </c>
      <c r="T314" s="7" t="s">
        <v>136</v>
      </c>
      <c r="U314" s="7" t="s">
        <v>3297</v>
      </c>
      <c r="V314" s="6" t="s">
        <v>138</v>
      </c>
      <c r="W314" s="6" t="s">
        <v>139</v>
      </c>
      <c r="X314" s="7" t="s">
        <v>45</v>
      </c>
      <c r="Y314" s="19" t="s">
        <v>9</v>
      </c>
      <c r="Z314" s="6" t="s">
        <v>3305</v>
      </c>
    </row>
    <row r="315" customFormat="false" ht="45.75" hidden="false" customHeight="true" outlineLevel="0" collapsed="false">
      <c r="A315" s="7" t="s">
        <v>3306</v>
      </c>
      <c r="B315" s="6" t="s">
        <v>3254</v>
      </c>
      <c r="C315" s="7" t="s">
        <v>39</v>
      </c>
      <c r="D315" s="7" t="s">
        <v>346</v>
      </c>
      <c r="E315" s="7" t="s">
        <v>3289</v>
      </c>
      <c r="F315" s="6" t="s">
        <v>3290</v>
      </c>
      <c r="G315" s="6" t="s">
        <v>3307</v>
      </c>
      <c r="H315" s="6" t="s">
        <v>3308</v>
      </c>
      <c r="I315" s="7" t="s">
        <v>59</v>
      </c>
      <c r="J315" s="15" t="s">
        <v>17</v>
      </c>
      <c r="K315" s="19" t="n">
        <v>3</v>
      </c>
      <c r="L315" s="7" t="s">
        <v>63</v>
      </c>
      <c r="M315" s="6" t="s">
        <v>138</v>
      </c>
      <c r="N315" s="6" t="s">
        <v>138</v>
      </c>
      <c r="O315" s="6" t="s">
        <v>138</v>
      </c>
      <c r="P315" s="6" t="s">
        <v>138</v>
      </c>
      <c r="Q315" s="6" t="s">
        <v>138</v>
      </c>
      <c r="R315" s="7" t="s">
        <v>134</v>
      </c>
      <c r="S315" s="6" t="s">
        <v>3296</v>
      </c>
      <c r="T315" s="7" t="s">
        <v>138</v>
      </c>
      <c r="U315" s="7" t="s">
        <v>3297</v>
      </c>
      <c r="V315" s="6" t="s">
        <v>138</v>
      </c>
      <c r="W315" s="6" t="s">
        <v>160</v>
      </c>
      <c r="X315" s="7" t="s">
        <v>45</v>
      </c>
      <c r="Y315" s="20" t="s">
        <v>11</v>
      </c>
      <c r="Z315" s="6" t="s">
        <v>3309</v>
      </c>
    </row>
    <row r="316" customFormat="false" ht="45.75" hidden="false" customHeight="true" outlineLevel="0" collapsed="false">
      <c r="A316" s="7" t="s">
        <v>3310</v>
      </c>
      <c r="B316" s="6" t="s">
        <v>3311</v>
      </c>
      <c r="C316" s="7" t="s">
        <v>38</v>
      </c>
      <c r="D316" s="7" t="s">
        <v>99</v>
      </c>
      <c r="E316" s="7" t="s">
        <v>3312</v>
      </c>
      <c r="F316" s="6" t="s">
        <v>3313</v>
      </c>
      <c r="G316" s="6" t="s">
        <v>3314</v>
      </c>
      <c r="H316" s="6" t="s">
        <v>3315</v>
      </c>
      <c r="I316" s="7" t="s">
        <v>50</v>
      </c>
      <c r="J316" s="15" t="s">
        <v>16</v>
      </c>
      <c r="K316" s="18" t="n">
        <v>2</v>
      </c>
      <c r="L316" s="7" t="s">
        <v>62</v>
      </c>
      <c r="M316" s="6" t="s">
        <v>3316</v>
      </c>
      <c r="N316" s="6" t="s">
        <v>176</v>
      </c>
      <c r="O316" s="6" t="s">
        <v>1371</v>
      </c>
      <c r="P316" s="6" t="s">
        <v>3317</v>
      </c>
      <c r="Q316" s="6" t="s">
        <v>3318</v>
      </c>
      <c r="R316" s="7" t="s">
        <v>134</v>
      </c>
      <c r="S316" s="6" t="s">
        <v>3319</v>
      </c>
      <c r="T316" s="7" t="s">
        <v>136</v>
      </c>
      <c r="U316" s="7" t="s">
        <v>3320</v>
      </c>
      <c r="V316" s="6" t="s">
        <v>138</v>
      </c>
      <c r="W316" s="6" t="s">
        <v>139</v>
      </c>
      <c r="X316" s="7" t="s">
        <v>45</v>
      </c>
      <c r="Y316" s="19" t="s">
        <v>9</v>
      </c>
      <c r="Z316" s="6" t="s">
        <v>3321</v>
      </c>
    </row>
    <row r="317" customFormat="false" ht="45.75" hidden="false" customHeight="true" outlineLevel="0" collapsed="false">
      <c r="A317" s="7" t="s">
        <v>3322</v>
      </c>
      <c r="B317" s="6" t="s">
        <v>3323</v>
      </c>
      <c r="C317" s="7" t="s">
        <v>38</v>
      </c>
      <c r="D317" s="7" t="s">
        <v>99</v>
      </c>
      <c r="E317" s="7" t="s">
        <v>3324</v>
      </c>
      <c r="F317" s="6" t="s">
        <v>3325</v>
      </c>
      <c r="G317" s="6" t="s">
        <v>3326</v>
      </c>
      <c r="H317" s="6" t="s">
        <v>3327</v>
      </c>
      <c r="I317" s="7" t="s">
        <v>55</v>
      </c>
      <c r="J317" s="15" t="s">
        <v>16</v>
      </c>
      <c r="K317" s="18" t="n">
        <v>2</v>
      </c>
      <c r="L317" s="7" t="s">
        <v>62</v>
      </c>
      <c r="M317" s="6" t="s">
        <v>3328</v>
      </c>
      <c r="N317" s="6" t="s">
        <v>176</v>
      </c>
      <c r="O317" s="6" t="s">
        <v>1371</v>
      </c>
      <c r="P317" s="6" t="s">
        <v>3329</v>
      </c>
      <c r="Q317" s="6" t="s">
        <v>3330</v>
      </c>
      <c r="R317" s="7" t="s">
        <v>134</v>
      </c>
      <c r="S317" s="6" t="s">
        <v>3331</v>
      </c>
      <c r="T317" s="7" t="s">
        <v>136</v>
      </c>
      <c r="U317" s="7" t="s">
        <v>3332</v>
      </c>
      <c r="V317" s="6" t="s">
        <v>138</v>
      </c>
      <c r="W317" s="6" t="s">
        <v>139</v>
      </c>
      <c r="X317" s="7" t="s">
        <v>45</v>
      </c>
      <c r="Y317" s="19" t="s">
        <v>9</v>
      </c>
      <c r="Z317" s="6" t="s">
        <v>3333</v>
      </c>
    </row>
    <row r="318" customFormat="false" ht="102" hidden="false" customHeight="true" outlineLevel="0" collapsed="false">
      <c r="A318" s="7" t="s">
        <v>3334</v>
      </c>
      <c r="B318" s="6" t="s">
        <v>3335</v>
      </c>
      <c r="C318" s="7" t="s">
        <v>40</v>
      </c>
      <c r="D318" s="7" t="s">
        <v>100</v>
      </c>
      <c r="E318" s="7" t="s">
        <v>3336</v>
      </c>
      <c r="F318" s="6" t="s">
        <v>3337</v>
      </c>
      <c r="G318" s="6" t="s">
        <v>3338</v>
      </c>
      <c r="H318" s="6" t="s">
        <v>3339</v>
      </c>
      <c r="I318" s="7" t="s">
        <v>59</v>
      </c>
      <c r="J318" s="15" t="s">
        <v>17</v>
      </c>
      <c r="K318" s="18" t="n">
        <v>2</v>
      </c>
      <c r="L318" s="7" t="s">
        <v>62</v>
      </c>
      <c r="M318" s="6" t="s">
        <v>3340</v>
      </c>
      <c r="N318" s="6" t="s">
        <v>130</v>
      </c>
      <c r="O318" s="6" t="s">
        <v>1885</v>
      </c>
      <c r="P318" s="6" t="s">
        <v>3341</v>
      </c>
      <c r="Q318" s="6" t="s">
        <v>3342</v>
      </c>
      <c r="R318" s="7" t="s">
        <v>134</v>
      </c>
      <c r="S318" s="6" t="s">
        <v>3343</v>
      </c>
      <c r="T318" s="7" t="s">
        <v>269</v>
      </c>
      <c r="U318" s="7" t="s">
        <v>3344</v>
      </c>
      <c r="V318" s="6" t="s">
        <v>700</v>
      </c>
      <c r="W318" s="6" t="s">
        <v>139</v>
      </c>
      <c r="X318" s="7" t="s">
        <v>45</v>
      </c>
      <c r="Y318" s="19" t="s">
        <v>9</v>
      </c>
      <c r="Z318" s="6" t="s">
        <v>3345</v>
      </c>
    </row>
    <row r="319" customFormat="false" ht="102" hidden="false" customHeight="true" outlineLevel="0" collapsed="false">
      <c r="A319" s="7" t="s">
        <v>3346</v>
      </c>
      <c r="B319" s="6" t="s">
        <v>3335</v>
      </c>
      <c r="C319" s="7" t="s">
        <v>40</v>
      </c>
      <c r="D319" s="7" t="s">
        <v>100</v>
      </c>
      <c r="E319" s="7" t="s">
        <v>3336</v>
      </c>
      <c r="F319" s="6" t="s">
        <v>3337</v>
      </c>
      <c r="G319" s="6" t="s">
        <v>3347</v>
      </c>
      <c r="H319" s="6" t="s">
        <v>3348</v>
      </c>
      <c r="I319" s="7" t="s">
        <v>54</v>
      </c>
      <c r="J319" s="15" t="s">
        <v>17</v>
      </c>
      <c r="K319" s="18" t="n">
        <v>2</v>
      </c>
      <c r="L319" s="7" t="s">
        <v>63</v>
      </c>
      <c r="M319" s="6" t="s">
        <v>3349</v>
      </c>
      <c r="N319" s="6" t="s">
        <v>130</v>
      </c>
      <c r="O319" s="6" t="s">
        <v>1895</v>
      </c>
      <c r="P319" s="6" t="s">
        <v>3350</v>
      </c>
      <c r="Q319" s="6" t="s">
        <v>3351</v>
      </c>
      <c r="R319" s="7" t="s">
        <v>134</v>
      </c>
      <c r="S319" s="6" t="s">
        <v>3343</v>
      </c>
      <c r="T319" s="7" t="s">
        <v>269</v>
      </c>
      <c r="U319" s="7" t="s">
        <v>3344</v>
      </c>
      <c r="V319" s="6" t="s">
        <v>700</v>
      </c>
      <c r="W319" s="6" t="s">
        <v>139</v>
      </c>
      <c r="X319" s="7" t="s">
        <v>45</v>
      </c>
      <c r="Y319" s="19" t="s">
        <v>9</v>
      </c>
      <c r="Z319" s="6" t="s">
        <v>3352</v>
      </c>
    </row>
    <row r="320" customFormat="false" ht="45.75" hidden="false" customHeight="true" outlineLevel="0" collapsed="false">
      <c r="A320" s="7" t="s">
        <v>3353</v>
      </c>
      <c r="B320" s="6" t="s">
        <v>3354</v>
      </c>
      <c r="C320" s="7" t="s">
        <v>40</v>
      </c>
      <c r="D320" s="7" t="s">
        <v>36</v>
      </c>
      <c r="E320" s="7" t="s">
        <v>3355</v>
      </c>
      <c r="F320" s="6" t="s">
        <v>3356</v>
      </c>
      <c r="G320" s="6" t="s">
        <v>3357</v>
      </c>
      <c r="H320" s="6" t="s">
        <v>3358</v>
      </c>
      <c r="I320" s="7" t="s">
        <v>59</v>
      </c>
      <c r="J320" s="15" t="s">
        <v>18</v>
      </c>
      <c r="K320" s="18" t="n">
        <v>2</v>
      </c>
      <c r="L320" s="7" t="s">
        <v>62</v>
      </c>
      <c r="M320" s="6" t="s">
        <v>3359</v>
      </c>
      <c r="N320" s="6" t="s">
        <v>130</v>
      </c>
      <c r="O320" s="6" t="s">
        <v>1715</v>
      </c>
      <c r="P320" s="6" t="s">
        <v>3360</v>
      </c>
      <c r="Q320" s="6" t="s">
        <v>3361</v>
      </c>
      <c r="R320" s="7" t="s">
        <v>134</v>
      </c>
      <c r="S320" s="6" t="s">
        <v>3362</v>
      </c>
      <c r="T320" s="7" t="s">
        <v>136</v>
      </c>
      <c r="U320" s="7" t="s">
        <v>3363</v>
      </c>
      <c r="V320" s="6" t="s">
        <v>3364</v>
      </c>
      <c r="W320" s="6" t="s">
        <v>160</v>
      </c>
      <c r="X320" s="7" t="s">
        <v>45</v>
      </c>
      <c r="Y320" s="19" t="s">
        <v>9</v>
      </c>
      <c r="Z320" s="6" t="s">
        <v>3365</v>
      </c>
    </row>
    <row r="321" customFormat="false" ht="45.75" hidden="false" customHeight="true" outlineLevel="0" collapsed="false">
      <c r="A321" s="7" t="s">
        <v>3366</v>
      </c>
      <c r="B321" s="6" t="s">
        <v>3354</v>
      </c>
      <c r="C321" s="7" t="s">
        <v>40</v>
      </c>
      <c r="D321" s="7" t="s">
        <v>36</v>
      </c>
      <c r="E321" s="7" t="s">
        <v>3355</v>
      </c>
      <c r="F321" s="6" t="s">
        <v>3356</v>
      </c>
      <c r="G321" s="6" t="s">
        <v>3367</v>
      </c>
      <c r="H321" s="6" t="s">
        <v>3368</v>
      </c>
      <c r="I321" s="7" t="s">
        <v>59</v>
      </c>
      <c r="J321" s="15" t="s">
        <v>18</v>
      </c>
      <c r="K321" s="18" t="n">
        <v>2</v>
      </c>
      <c r="L321" s="7" t="s">
        <v>62</v>
      </c>
      <c r="M321" s="6" t="s">
        <v>3369</v>
      </c>
      <c r="N321" s="6" t="s">
        <v>130</v>
      </c>
      <c r="O321" s="6" t="s">
        <v>1715</v>
      </c>
      <c r="P321" s="6" t="s">
        <v>3370</v>
      </c>
      <c r="Q321" s="6" t="s">
        <v>3371</v>
      </c>
      <c r="R321" s="7" t="s">
        <v>134</v>
      </c>
      <c r="S321" s="6" t="s">
        <v>3362</v>
      </c>
      <c r="T321" s="7" t="s">
        <v>136</v>
      </c>
      <c r="U321" s="7" t="s">
        <v>3363</v>
      </c>
      <c r="V321" s="6" t="s">
        <v>3364</v>
      </c>
      <c r="W321" s="6" t="s">
        <v>160</v>
      </c>
      <c r="X321" s="7" t="s">
        <v>45</v>
      </c>
      <c r="Y321" s="19" t="s">
        <v>9</v>
      </c>
      <c r="Z321" s="6" t="s">
        <v>3372</v>
      </c>
    </row>
    <row r="322" customFormat="false" ht="57" hidden="false" customHeight="true" outlineLevel="0" collapsed="false">
      <c r="A322" s="7" t="s">
        <v>3373</v>
      </c>
      <c r="B322" s="6" t="s">
        <v>3374</v>
      </c>
      <c r="C322" s="7" t="s">
        <v>40</v>
      </c>
      <c r="D322" s="7" t="s">
        <v>36</v>
      </c>
      <c r="E322" s="7" t="s">
        <v>3375</v>
      </c>
      <c r="F322" s="6" t="s">
        <v>3376</v>
      </c>
      <c r="G322" s="6" t="s">
        <v>3377</v>
      </c>
      <c r="H322" s="6" t="s">
        <v>3378</v>
      </c>
      <c r="I322" s="7" t="s">
        <v>51</v>
      </c>
      <c r="J322" s="15" t="s">
        <v>18</v>
      </c>
      <c r="K322" s="18" t="n">
        <v>2</v>
      </c>
      <c r="L322" s="7" t="s">
        <v>62</v>
      </c>
      <c r="M322" s="6" t="s">
        <v>1265</v>
      </c>
      <c r="N322" s="6" t="s">
        <v>130</v>
      </c>
      <c r="O322" s="6" t="s">
        <v>3379</v>
      </c>
      <c r="P322" s="6" t="s">
        <v>3380</v>
      </c>
      <c r="Q322" s="6" t="s">
        <v>3381</v>
      </c>
      <c r="R322" s="7" t="s">
        <v>134</v>
      </c>
      <c r="S322" s="6" t="s">
        <v>3382</v>
      </c>
      <c r="T322" s="7" t="s">
        <v>136</v>
      </c>
      <c r="U322" s="7" t="s">
        <v>3383</v>
      </c>
      <c r="V322" s="6" t="s">
        <v>3364</v>
      </c>
      <c r="W322" s="6" t="s">
        <v>160</v>
      </c>
      <c r="X322" s="7" t="s">
        <v>45</v>
      </c>
      <c r="Y322" s="19" t="s">
        <v>9</v>
      </c>
      <c r="Z322" s="6" t="s">
        <v>3384</v>
      </c>
    </row>
    <row r="323" customFormat="false" ht="57" hidden="false" customHeight="true" outlineLevel="0" collapsed="false">
      <c r="A323" s="7" t="s">
        <v>3385</v>
      </c>
      <c r="B323" s="6" t="s">
        <v>3374</v>
      </c>
      <c r="C323" s="7" t="s">
        <v>40</v>
      </c>
      <c r="D323" s="7" t="s">
        <v>36</v>
      </c>
      <c r="E323" s="7" t="s">
        <v>3375</v>
      </c>
      <c r="F323" s="6" t="s">
        <v>3376</v>
      </c>
      <c r="G323" s="6" t="s">
        <v>3386</v>
      </c>
      <c r="H323" s="6" t="s">
        <v>3387</v>
      </c>
      <c r="I323" s="7" t="s">
        <v>51</v>
      </c>
      <c r="J323" s="15" t="s">
        <v>18</v>
      </c>
      <c r="K323" s="18" t="n">
        <v>2</v>
      </c>
      <c r="L323" s="7" t="s">
        <v>62</v>
      </c>
      <c r="M323" s="6" t="s">
        <v>3388</v>
      </c>
      <c r="N323" s="6" t="s">
        <v>130</v>
      </c>
      <c r="O323" s="6" t="s">
        <v>3389</v>
      </c>
      <c r="P323" s="6" t="s">
        <v>3390</v>
      </c>
      <c r="Q323" s="6" t="s">
        <v>3391</v>
      </c>
      <c r="R323" s="7" t="s">
        <v>134</v>
      </c>
      <c r="S323" s="6" t="s">
        <v>3382</v>
      </c>
      <c r="T323" s="7" t="s">
        <v>136</v>
      </c>
      <c r="U323" s="7" t="s">
        <v>3383</v>
      </c>
      <c r="V323" s="6" t="s">
        <v>3364</v>
      </c>
      <c r="W323" s="6" t="s">
        <v>160</v>
      </c>
      <c r="X323" s="7" t="s">
        <v>45</v>
      </c>
      <c r="Y323" s="19" t="s">
        <v>9</v>
      </c>
      <c r="Z323" s="6" t="s">
        <v>3392</v>
      </c>
    </row>
    <row r="324" customFormat="false" ht="45.75" hidden="false" customHeight="true" outlineLevel="0" collapsed="false">
      <c r="A324" s="7" t="s">
        <v>3393</v>
      </c>
      <c r="B324" s="6" t="s">
        <v>3394</v>
      </c>
      <c r="C324" s="7" t="s">
        <v>40</v>
      </c>
      <c r="D324" s="7" t="s">
        <v>100</v>
      </c>
      <c r="E324" s="7" t="s">
        <v>3395</v>
      </c>
      <c r="F324" s="6" t="s">
        <v>3396</v>
      </c>
      <c r="G324" s="6" t="s">
        <v>3397</v>
      </c>
      <c r="H324" s="6" t="s">
        <v>3398</v>
      </c>
      <c r="I324" s="7" t="s">
        <v>57</v>
      </c>
      <c r="J324" s="15" t="s">
        <v>17</v>
      </c>
      <c r="K324" s="18" t="n">
        <v>2</v>
      </c>
      <c r="L324" s="7" t="s">
        <v>62</v>
      </c>
      <c r="M324" s="6" t="s">
        <v>3399</v>
      </c>
      <c r="N324" s="6" t="s">
        <v>130</v>
      </c>
      <c r="O324" s="6" t="s">
        <v>3400</v>
      </c>
      <c r="P324" s="6" t="s">
        <v>3401</v>
      </c>
      <c r="Q324" s="6" t="s">
        <v>3402</v>
      </c>
      <c r="R324" s="7" t="s">
        <v>134</v>
      </c>
      <c r="S324" s="6" t="s">
        <v>3403</v>
      </c>
      <c r="T324" s="7" t="s">
        <v>300</v>
      </c>
      <c r="U324" s="7" t="s">
        <v>3404</v>
      </c>
      <c r="V324" s="6" t="s">
        <v>3364</v>
      </c>
      <c r="W324" s="6" t="s">
        <v>160</v>
      </c>
      <c r="X324" s="7" t="s">
        <v>45</v>
      </c>
      <c r="Y324" s="19" t="s">
        <v>9</v>
      </c>
      <c r="Z324" s="6" t="s">
        <v>3405</v>
      </c>
    </row>
    <row r="325" customFormat="false" ht="45.75" hidden="false" customHeight="true" outlineLevel="0" collapsed="false">
      <c r="A325" s="7" t="s">
        <v>3406</v>
      </c>
      <c r="B325" s="6" t="s">
        <v>3394</v>
      </c>
      <c r="C325" s="7" t="s">
        <v>40</v>
      </c>
      <c r="D325" s="7" t="s">
        <v>100</v>
      </c>
      <c r="E325" s="7" t="s">
        <v>3395</v>
      </c>
      <c r="F325" s="6" t="s">
        <v>3396</v>
      </c>
      <c r="G325" s="6" t="s">
        <v>3407</v>
      </c>
      <c r="H325" s="6" t="s">
        <v>3408</v>
      </c>
      <c r="I325" s="7" t="s">
        <v>57</v>
      </c>
      <c r="J325" s="15" t="s">
        <v>17</v>
      </c>
      <c r="K325" s="18" t="n">
        <v>2</v>
      </c>
      <c r="L325" s="7" t="s">
        <v>63</v>
      </c>
      <c r="M325" s="6" t="s">
        <v>3399</v>
      </c>
      <c r="N325" s="6" t="s">
        <v>130</v>
      </c>
      <c r="O325" s="6" t="s">
        <v>3409</v>
      </c>
      <c r="P325" s="6" t="s">
        <v>3410</v>
      </c>
      <c r="Q325" s="6" t="s">
        <v>3411</v>
      </c>
      <c r="R325" s="7" t="s">
        <v>134</v>
      </c>
      <c r="S325" s="6" t="s">
        <v>3403</v>
      </c>
      <c r="T325" s="7" t="s">
        <v>300</v>
      </c>
      <c r="U325" s="7" t="s">
        <v>3404</v>
      </c>
      <c r="V325" s="6" t="s">
        <v>3364</v>
      </c>
      <c r="W325" s="6" t="s">
        <v>160</v>
      </c>
      <c r="X325" s="7" t="s">
        <v>45</v>
      </c>
      <c r="Y325" s="19" t="s">
        <v>9</v>
      </c>
      <c r="Z325" s="6" t="s">
        <v>3412</v>
      </c>
    </row>
    <row r="326" customFormat="false" ht="90.75" hidden="false" customHeight="true" outlineLevel="0" collapsed="false">
      <c r="A326" s="7" t="s">
        <v>3413</v>
      </c>
      <c r="B326" s="6" t="s">
        <v>3414</v>
      </c>
      <c r="C326" s="7" t="s">
        <v>40</v>
      </c>
      <c r="D326" s="7" t="s">
        <v>101</v>
      </c>
      <c r="E326" s="7" t="s">
        <v>3415</v>
      </c>
      <c r="F326" s="6" t="s">
        <v>3416</v>
      </c>
      <c r="G326" s="6" t="s">
        <v>3417</v>
      </c>
      <c r="H326" s="6" t="s">
        <v>3418</v>
      </c>
      <c r="I326" s="7" t="s">
        <v>50</v>
      </c>
      <c r="J326" s="15" t="s">
        <v>19</v>
      </c>
      <c r="K326" s="19" t="n">
        <v>3</v>
      </c>
      <c r="L326" s="7" t="s">
        <v>62</v>
      </c>
      <c r="M326" s="6" t="s">
        <v>3419</v>
      </c>
      <c r="N326" s="6" t="s">
        <v>130</v>
      </c>
      <c r="O326" s="6" t="s">
        <v>3420</v>
      </c>
      <c r="P326" s="6" t="s">
        <v>3421</v>
      </c>
      <c r="Q326" s="6" t="s">
        <v>3422</v>
      </c>
      <c r="R326" s="7" t="s">
        <v>134</v>
      </c>
      <c r="S326" s="6" t="s">
        <v>3423</v>
      </c>
      <c r="T326" s="7" t="s">
        <v>136</v>
      </c>
      <c r="U326" s="7" t="s">
        <v>3424</v>
      </c>
      <c r="V326" s="6" t="s">
        <v>3425</v>
      </c>
      <c r="W326" s="6" t="s">
        <v>160</v>
      </c>
      <c r="X326" s="7" t="s">
        <v>44</v>
      </c>
      <c r="Y326" s="19" t="s">
        <v>9</v>
      </c>
      <c r="Z326" s="6" t="s">
        <v>3426</v>
      </c>
    </row>
    <row r="327" customFormat="false" ht="90.75" hidden="false" customHeight="true" outlineLevel="0" collapsed="false">
      <c r="A327" s="7" t="s">
        <v>3427</v>
      </c>
      <c r="B327" s="6" t="s">
        <v>3414</v>
      </c>
      <c r="C327" s="7" t="s">
        <v>40</v>
      </c>
      <c r="D327" s="7" t="s">
        <v>101</v>
      </c>
      <c r="E327" s="7" t="s">
        <v>3415</v>
      </c>
      <c r="F327" s="6" t="s">
        <v>3416</v>
      </c>
      <c r="G327" s="6" t="s">
        <v>3428</v>
      </c>
      <c r="H327" s="6" t="s">
        <v>3429</v>
      </c>
      <c r="I327" s="7" t="s">
        <v>50</v>
      </c>
      <c r="J327" s="15" t="s">
        <v>19</v>
      </c>
      <c r="K327" s="19" t="n">
        <v>3</v>
      </c>
      <c r="L327" s="7" t="s">
        <v>62</v>
      </c>
      <c r="M327" s="6" t="s">
        <v>3430</v>
      </c>
      <c r="N327" s="6" t="s">
        <v>130</v>
      </c>
      <c r="O327" s="6" t="s">
        <v>3431</v>
      </c>
      <c r="P327" s="6" t="s">
        <v>3432</v>
      </c>
      <c r="Q327" s="6" t="s">
        <v>3433</v>
      </c>
      <c r="R327" s="7" t="s">
        <v>134</v>
      </c>
      <c r="S327" s="6" t="s">
        <v>3423</v>
      </c>
      <c r="T327" s="7" t="s">
        <v>136</v>
      </c>
      <c r="U327" s="7" t="s">
        <v>3424</v>
      </c>
      <c r="V327" s="6" t="s">
        <v>3425</v>
      </c>
      <c r="W327" s="6" t="s">
        <v>160</v>
      </c>
      <c r="X327" s="7" t="s">
        <v>44</v>
      </c>
      <c r="Y327" s="19" t="s">
        <v>9</v>
      </c>
      <c r="Z327" s="6" t="s">
        <v>3434</v>
      </c>
    </row>
    <row r="328" customFormat="false" ht="45.75" hidden="false" customHeight="true" outlineLevel="0" collapsed="false">
      <c r="A328" s="7" t="s">
        <v>3435</v>
      </c>
      <c r="B328" s="6" t="s">
        <v>3436</v>
      </c>
      <c r="C328" s="7" t="s">
        <v>40</v>
      </c>
      <c r="D328" s="7" t="s">
        <v>36</v>
      </c>
      <c r="E328" s="7" t="s">
        <v>3437</v>
      </c>
      <c r="F328" s="6" t="s">
        <v>3438</v>
      </c>
      <c r="G328" s="6" t="s">
        <v>3439</v>
      </c>
      <c r="H328" s="6" t="s">
        <v>3440</v>
      </c>
      <c r="I328" s="7" t="s">
        <v>59</v>
      </c>
      <c r="J328" s="15" t="s">
        <v>19</v>
      </c>
      <c r="K328" s="19" t="n">
        <v>3</v>
      </c>
      <c r="L328" s="7" t="s">
        <v>63</v>
      </c>
      <c r="M328" s="6" t="s">
        <v>138</v>
      </c>
      <c r="N328" s="6" t="s">
        <v>138</v>
      </c>
      <c r="O328" s="6" t="s">
        <v>138</v>
      </c>
      <c r="P328" s="6" t="s">
        <v>138</v>
      </c>
      <c r="Q328" s="6" t="s">
        <v>138</v>
      </c>
      <c r="R328" s="7" t="s">
        <v>134</v>
      </c>
      <c r="S328" s="6" t="s">
        <v>3441</v>
      </c>
      <c r="T328" s="7" t="s">
        <v>138</v>
      </c>
      <c r="U328" s="7" t="s">
        <v>3442</v>
      </c>
      <c r="V328" s="6" t="s">
        <v>138</v>
      </c>
      <c r="W328" s="6" t="s">
        <v>160</v>
      </c>
      <c r="X328" s="7" t="s">
        <v>45</v>
      </c>
      <c r="Y328" s="20" t="s">
        <v>11</v>
      </c>
      <c r="Z328" s="6" t="s">
        <v>3443</v>
      </c>
    </row>
  </sheetData>
  <autoFilter ref="A1:Z328"/>
  <dataValidations count="3">
    <dataValidation allowBlank="false" errorStyle="stop" operator="between" showDropDown="false" showErrorMessage="false" showInputMessage="false" sqref="J2:J328" type="list">
      <formula1>"Critical,High,Medium,Low"</formula1>
      <formula2>0</formula2>
    </dataValidation>
    <dataValidation allowBlank="false" errorStyle="stop" operator="between" showDropDown="false" showErrorMessage="false" showInputMessage="false" sqref="K2:K328" type="list">
      <formula1>"1,2,3,4"</formula1>
      <formula2>0</formula2>
    </dataValidation>
    <dataValidation allowBlank="false" errorStyle="stop" operator="between" showDropDown="false" showErrorMessage="false" showInputMessage="false" sqref="Y2:Y328" type="list">
      <formula1>"Approve,Draft,Reject"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13"/>
    <col collapsed="false" customWidth="true" hidden="false" outlineLevel="0" max="4" min="4" style="1" width="12"/>
    <col collapsed="false" customWidth="true" hidden="false" outlineLevel="0" max="5" min="5" style="1" width="9"/>
    <col collapsed="false" customWidth="true" hidden="false" outlineLevel="0" max="6" min="6" style="1" width="14"/>
    <col collapsed="false" customWidth="true" hidden="false" outlineLevel="0" max="7" min="7" style="1" width="13"/>
    <col collapsed="false" customWidth="true" hidden="false" outlineLevel="0" max="8" min="8" style="1" width="38"/>
    <col collapsed="false" customWidth="true" hidden="false" outlineLevel="0" max="9" min="9" style="1" width="44"/>
    <col collapsed="false" customWidth="true" hidden="false" outlineLevel="0" max="10" min="10" style="1" width="48"/>
    <col collapsed="false" customWidth="true" hidden="false" outlineLevel="0" max="11" min="11" style="1" width="22"/>
    <col collapsed="false" customWidth="true" hidden="false" outlineLevel="0" max="15" min="12" style="1" width="9"/>
    <col collapsed="false" customWidth="true" hidden="false" outlineLevel="0" max="16" min="16" style="1" width="10"/>
  </cols>
  <sheetData>
    <row r="1" customFormat="false" ht="34.5" hidden="false" customHeight="true" outlineLevel="0" collapsed="false">
      <c r="A1" s="5" t="s">
        <v>107</v>
      </c>
      <c r="B1" s="5" t="s">
        <v>3444</v>
      </c>
      <c r="C1" s="5" t="s">
        <v>105</v>
      </c>
      <c r="D1" s="5" t="s">
        <v>32</v>
      </c>
      <c r="E1" s="5" t="s">
        <v>106</v>
      </c>
      <c r="F1" s="5" t="s">
        <v>47</v>
      </c>
      <c r="G1" s="5" t="s">
        <v>118</v>
      </c>
      <c r="H1" s="5" t="s">
        <v>109</v>
      </c>
      <c r="I1" s="5" t="s">
        <v>3445</v>
      </c>
      <c r="J1" s="5" t="s">
        <v>3446</v>
      </c>
      <c r="K1" s="5" t="s">
        <v>3447</v>
      </c>
      <c r="L1" s="5" t="s">
        <v>3448</v>
      </c>
      <c r="M1" s="5" t="s">
        <v>7</v>
      </c>
      <c r="N1" s="5" t="s">
        <v>9</v>
      </c>
      <c r="O1" s="5" t="s">
        <v>11</v>
      </c>
      <c r="P1" s="5" t="s">
        <v>3</v>
      </c>
    </row>
    <row r="2" customFormat="false" ht="34.5" hidden="false" customHeight="true" outlineLevel="0" collapsed="false">
      <c r="A2" s="7" t="s">
        <v>125</v>
      </c>
      <c r="B2" s="7" t="s">
        <v>137</v>
      </c>
      <c r="C2" s="7" t="s">
        <v>124</v>
      </c>
      <c r="D2" s="7" t="s">
        <v>38</v>
      </c>
      <c r="E2" s="7" t="s">
        <v>99</v>
      </c>
      <c r="F2" s="7" t="s">
        <v>53</v>
      </c>
      <c r="G2" s="7" t="s">
        <v>136</v>
      </c>
      <c r="H2" s="6" t="s">
        <v>126</v>
      </c>
      <c r="I2" s="6" t="s">
        <v>3449</v>
      </c>
      <c r="J2" s="6" t="s">
        <v>3450</v>
      </c>
      <c r="K2" s="6" t="s">
        <v>3451</v>
      </c>
      <c r="L2" s="7" t="n">
        <f aca="false">COUNTIFS(TestCases!$E$2:$E$328,$A2)</f>
        <v>2</v>
      </c>
      <c r="M2" s="7" t="n">
        <f aca="false">COUNTIFS(TestCases!$E$2:$E$328,$A2,TestCases!$Y$2:$Y$328,"Approve")</f>
        <v>1</v>
      </c>
      <c r="N2" s="7" t="n">
        <f aca="false">COUNTIFS(TestCases!$E$2:$E$328,$A2,TestCases!$Y$2:$Y$328,"Draft")</f>
        <v>1</v>
      </c>
      <c r="O2" s="7" t="n">
        <f aca="false">COUNTIFS(TestCases!$E$2:$E$328,$A2,TestCases!$Y$2:$Y$328,"Reject")</f>
        <v>0</v>
      </c>
      <c r="P2" s="7" t="str">
        <f aca="false">IF(M2=L2,"Approve",IF(O2=L2,"Reject","Draft"))</f>
        <v>Draft</v>
      </c>
    </row>
    <row r="3" customFormat="false" ht="57" hidden="false" customHeight="true" outlineLevel="0" collapsed="false">
      <c r="A3" s="7" t="s">
        <v>150</v>
      </c>
      <c r="B3" s="7" t="s">
        <v>159</v>
      </c>
      <c r="C3" s="7" t="s">
        <v>149</v>
      </c>
      <c r="D3" s="7" t="s">
        <v>38</v>
      </c>
      <c r="E3" s="7" t="s">
        <v>99</v>
      </c>
      <c r="F3" s="7" t="s">
        <v>53</v>
      </c>
      <c r="G3" s="7" t="s">
        <v>136</v>
      </c>
      <c r="H3" s="6" t="s">
        <v>151</v>
      </c>
      <c r="I3" s="6" t="s">
        <v>3452</v>
      </c>
      <c r="J3" s="6" t="s">
        <v>3453</v>
      </c>
      <c r="K3" s="6" t="s">
        <v>146</v>
      </c>
      <c r="L3" s="7" t="n">
        <f aca="false">COUNTIFS(TestCases!$E$2:$E$328,$A3)</f>
        <v>2</v>
      </c>
      <c r="M3" s="7" t="n">
        <f aca="false">COUNTIFS(TestCases!$E$2:$E$328,$A3,TestCases!$Y$2:$Y$328,"Approve")</f>
        <v>1</v>
      </c>
      <c r="N3" s="7" t="n">
        <f aca="false">COUNTIFS(TestCases!$E$2:$E$328,$A3,TestCases!$Y$2:$Y$328,"Draft")</f>
        <v>1</v>
      </c>
      <c r="O3" s="7" t="n">
        <f aca="false">COUNTIFS(TestCases!$E$2:$E$328,$A3,TestCases!$Y$2:$Y$328,"Reject")</f>
        <v>0</v>
      </c>
      <c r="P3" s="7" t="str">
        <f aca="false">IF(M3=L3,"Approve",IF(O3=L3,"Reject","Draft"))</f>
        <v>Draft</v>
      </c>
    </row>
    <row r="4" customFormat="false" ht="68.25" hidden="false" customHeight="true" outlineLevel="0" collapsed="false">
      <c r="A4" s="7" t="s">
        <v>171</v>
      </c>
      <c r="B4" s="7" t="s">
        <v>181</v>
      </c>
      <c r="C4" s="7" t="s">
        <v>170</v>
      </c>
      <c r="D4" s="7" t="s">
        <v>38</v>
      </c>
      <c r="E4" s="7" t="s">
        <v>99</v>
      </c>
      <c r="F4" s="7" t="s">
        <v>59</v>
      </c>
      <c r="G4" s="7" t="s">
        <v>136</v>
      </c>
      <c r="H4" s="6" t="s">
        <v>172</v>
      </c>
      <c r="I4" s="6" t="s">
        <v>3454</v>
      </c>
      <c r="J4" s="6" t="s">
        <v>3455</v>
      </c>
      <c r="K4" s="6" t="s">
        <v>138</v>
      </c>
      <c r="L4" s="7" t="n">
        <f aca="false">COUNTIFS(TestCases!$E$2:$E$328,$A4)</f>
        <v>1</v>
      </c>
      <c r="M4" s="7" t="n">
        <f aca="false">COUNTIFS(TestCases!$E$2:$E$328,$A4,TestCases!$Y$2:$Y$328,"Approve")</f>
        <v>1</v>
      </c>
      <c r="N4" s="7" t="n">
        <f aca="false">COUNTIFS(TestCases!$E$2:$E$328,$A4,TestCases!$Y$2:$Y$328,"Draft")</f>
        <v>0</v>
      </c>
      <c r="O4" s="7" t="n">
        <f aca="false">COUNTIFS(TestCases!$E$2:$E$328,$A4,TestCases!$Y$2:$Y$328,"Reject")</f>
        <v>0</v>
      </c>
      <c r="P4" s="7" t="str">
        <f aca="false">IF(M4=L4,"Approve",IF(O4=L4,"Reject","Draft"))</f>
        <v>Approve</v>
      </c>
    </row>
    <row r="5" customFormat="false" ht="34.5" hidden="false" customHeight="true" outlineLevel="0" collapsed="false">
      <c r="A5" s="7" t="s">
        <v>185</v>
      </c>
      <c r="B5" s="7" t="s">
        <v>194</v>
      </c>
      <c r="C5" s="7" t="s">
        <v>184</v>
      </c>
      <c r="D5" s="7" t="s">
        <v>38</v>
      </c>
      <c r="E5" s="7" t="s">
        <v>99</v>
      </c>
      <c r="F5" s="7" t="s">
        <v>50</v>
      </c>
      <c r="G5" s="7" t="s">
        <v>136</v>
      </c>
      <c r="H5" s="6" t="s">
        <v>186</v>
      </c>
      <c r="I5" s="6" t="s">
        <v>3456</v>
      </c>
      <c r="J5" s="6" t="s">
        <v>3457</v>
      </c>
      <c r="K5" s="6" t="s">
        <v>138</v>
      </c>
      <c r="L5" s="7" t="n">
        <f aca="false">COUNTIFS(TestCases!$E$2:$E$328,$A5)</f>
        <v>2</v>
      </c>
      <c r="M5" s="7" t="n">
        <f aca="false">COUNTIFS(TestCases!$E$2:$E$328,$A5,TestCases!$Y$2:$Y$328,"Approve")</f>
        <v>2</v>
      </c>
      <c r="N5" s="7" t="n">
        <f aca="false">COUNTIFS(TestCases!$E$2:$E$328,$A5,TestCases!$Y$2:$Y$328,"Draft")</f>
        <v>0</v>
      </c>
      <c r="O5" s="7" t="n">
        <f aca="false">COUNTIFS(TestCases!$E$2:$E$328,$A5,TestCases!$Y$2:$Y$328,"Reject")</f>
        <v>0</v>
      </c>
      <c r="P5" s="7" t="str">
        <f aca="false">IF(M5=L5,"Approve",IF(O5=L5,"Reject","Draft"))</f>
        <v>Approve</v>
      </c>
    </row>
    <row r="6" customFormat="false" ht="68.25" hidden="false" customHeight="true" outlineLevel="0" collapsed="false">
      <c r="A6" s="7" t="s">
        <v>204</v>
      </c>
      <c r="B6" s="7" t="s">
        <v>213</v>
      </c>
      <c r="C6" s="7" t="s">
        <v>203</v>
      </c>
      <c r="D6" s="7" t="s">
        <v>39</v>
      </c>
      <c r="E6" s="7" t="s">
        <v>101</v>
      </c>
      <c r="F6" s="7" t="s">
        <v>50</v>
      </c>
      <c r="G6" s="7" t="s">
        <v>136</v>
      </c>
      <c r="H6" s="6" t="s">
        <v>205</v>
      </c>
      <c r="I6" s="6" t="s">
        <v>3458</v>
      </c>
      <c r="J6" s="6" t="s">
        <v>3459</v>
      </c>
      <c r="K6" s="6" t="s">
        <v>138</v>
      </c>
      <c r="L6" s="7" t="n">
        <f aca="false">COUNTIFS(TestCases!$E$2:$E$328,$A6)</f>
        <v>1</v>
      </c>
      <c r="M6" s="7" t="n">
        <f aca="false">COUNTIFS(TestCases!$E$2:$E$328,$A6,TestCases!$Y$2:$Y$328,"Approve")</f>
        <v>1</v>
      </c>
      <c r="N6" s="7" t="n">
        <f aca="false">COUNTIFS(TestCases!$E$2:$E$328,$A6,TestCases!$Y$2:$Y$328,"Draft")</f>
        <v>0</v>
      </c>
      <c r="O6" s="7" t="n">
        <f aca="false">COUNTIFS(TestCases!$E$2:$E$328,$A6,TestCases!$Y$2:$Y$328,"Reject")</f>
        <v>0</v>
      </c>
      <c r="P6" s="7" t="str">
        <f aca="false">IF(M6=L6,"Approve",IF(O6=L6,"Reject","Draft"))</f>
        <v>Approve</v>
      </c>
    </row>
    <row r="7" customFormat="false" ht="34.5" hidden="false" customHeight="true" outlineLevel="0" collapsed="false">
      <c r="A7" s="7" t="s">
        <v>217</v>
      </c>
      <c r="B7" s="7" t="s">
        <v>227</v>
      </c>
      <c r="C7" s="7" t="s">
        <v>216</v>
      </c>
      <c r="D7" s="7" t="s">
        <v>40</v>
      </c>
      <c r="E7" s="7" t="s">
        <v>99</v>
      </c>
      <c r="F7" s="7" t="s">
        <v>50</v>
      </c>
      <c r="G7" s="7" t="s">
        <v>136</v>
      </c>
      <c r="H7" s="6" t="s">
        <v>218</v>
      </c>
      <c r="I7" s="6" t="s">
        <v>3460</v>
      </c>
      <c r="J7" s="6" t="s">
        <v>3461</v>
      </c>
      <c r="K7" s="6" t="s">
        <v>138</v>
      </c>
      <c r="L7" s="7" t="n">
        <f aca="false">COUNTIFS(TestCases!$E$2:$E$328,$A7)</f>
        <v>2</v>
      </c>
      <c r="M7" s="7" t="n">
        <f aca="false">COUNTIFS(TestCases!$E$2:$E$328,$A7,TestCases!$Y$2:$Y$328,"Approve")</f>
        <v>2</v>
      </c>
      <c r="N7" s="7" t="n">
        <f aca="false">COUNTIFS(TestCases!$E$2:$E$328,$A7,TestCases!$Y$2:$Y$328,"Draft")</f>
        <v>0</v>
      </c>
      <c r="O7" s="7" t="n">
        <f aca="false">COUNTIFS(TestCases!$E$2:$E$328,$A7,TestCases!$Y$2:$Y$328,"Reject")</f>
        <v>0</v>
      </c>
      <c r="P7" s="7" t="str">
        <f aca="false">IF(M7=L7,"Approve",IF(O7=L7,"Reject","Draft"))</f>
        <v>Approve</v>
      </c>
    </row>
    <row r="8" customFormat="false" ht="23.25" hidden="false" customHeight="true" outlineLevel="0" collapsed="false">
      <c r="A8" s="7" t="s">
        <v>238</v>
      </c>
      <c r="B8" s="7" t="s">
        <v>247</v>
      </c>
      <c r="C8" s="7" t="s">
        <v>237</v>
      </c>
      <c r="D8" s="7" t="s">
        <v>40</v>
      </c>
      <c r="E8" s="7" t="s">
        <v>99</v>
      </c>
      <c r="F8" s="7" t="s">
        <v>51</v>
      </c>
      <c r="G8" s="7" t="s">
        <v>256</v>
      </c>
      <c r="H8" s="6" t="s">
        <v>239</v>
      </c>
      <c r="I8" s="6" t="s">
        <v>3462</v>
      </c>
      <c r="J8" s="6" t="s">
        <v>3463</v>
      </c>
      <c r="K8" s="6" t="s">
        <v>248</v>
      </c>
      <c r="L8" s="7" t="n">
        <f aca="false">COUNTIFS(TestCases!$E$2:$E$328,$A8)</f>
        <v>2</v>
      </c>
      <c r="M8" s="7" t="n">
        <f aca="false">COUNTIFS(TestCases!$E$2:$E$328,$A8,TestCases!$Y$2:$Y$328,"Approve")</f>
        <v>0</v>
      </c>
      <c r="N8" s="7" t="n">
        <f aca="false">COUNTIFS(TestCases!$E$2:$E$328,$A8,TestCases!$Y$2:$Y$328,"Draft")</f>
        <v>2</v>
      </c>
      <c r="O8" s="7" t="n">
        <f aca="false">COUNTIFS(TestCases!$E$2:$E$328,$A8,TestCases!$Y$2:$Y$328,"Reject")</f>
        <v>0</v>
      </c>
      <c r="P8" s="7" t="str">
        <f aca="false">IF(M8=L8,"Approve",IF(O8=L8,"Reject","Draft"))</f>
        <v>Draft</v>
      </c>
    </row>
    <row r="9" customFormat="false" ht="45.75" hidden="false" customHeight="true" outlineLevel="0" collapsed="false">
      <c r="A9" s="7" t="s">
        <v>260</v>
      </c>
      <c r="B9" s="7" t="s">
        <v>270</v>
      </c>
      <c r="C9" s="7" t="s">
        <v>259</v>
      </c>
      <c r="D9" s="7" t="s">
        <v>40</v>
      </c>
      <c r="E9" s="7" t="s">
        <v>100</v>
      </c>
      <c r="F9" s="7" t="s">
        <v>49</v>
      </c>
      <c r="G9" s="7" t="s">
        <v>269</v>
      </c>
      <c r="H9" s="6" t="s">
        <v>261</v>
      </c>
      <c r="I9" s="6" t="s">
        <v>3464</v>
      </c>
      <c r="J9" s="6" t="s">
        <v>3465</v>
      </c>
      <c r="K9" s="6" t="s">
        <v>271</v>
      </c>
      <c r="L9" s="7" t="n">
        <f aca="false">COUNTIFS(TestCases!$E$2:$E$328,$A9)</f>
        <v>5</v>
      </c>
      <c r="M9" s="7" t="n">
        <f aca="false">COUNTIFS(TestCases!$E$2:$E$328,$A9,TestCases!$Y$2:$Y$328,"Approve")</f>
        <v>0</v>
      </c>
      <c r="N9" s="7" t="n">
        <f aca="false">COUNTIFS(TestCases!$E$2:$E$328,$A9,TestCases!$Y$2:$Y$328,"Draft")</f>
        <v>5</v>
      </c>
      <c r="O9" s="7" t="n">
        <f aca="false">COUNTIFS(TestCases!$E$2:$E$328,$A9,TestCases!$Y$2:$Y$328,"Reject")</f>
        <v>0</v>
      </c>
      <c r="P9" s="7" t="str">
        <f aca="false">IF(M9=L9,"Approve",IF(O9=L9,"Reject","Draft"))</f>
        <v>Draft</v>
      </c>
    </row>
    <row r="10" customFormat="false" ht="34.5" hidden="false" customHeight="true" outlineLevel="0" collapsed="false">
      <c r="A10" s="7" t="s">
        <v>304</v>
      </c>
      <c r="B10" s="7" t="s">
        <v>313</v>
      </c>
      <c r="C10" s="7" t="s">
        <v>303</v>
      </c>
      <c r="D10" s="7" t="s">
        <v>40</v>
      </c>
      <c r="E10" s="7" t="s">
        <v>100</v>
      </c>
      <c r="F10" s="7" t="s">
        <v>59</v>
      </c>
      <c r="G10" s="7" t="s">
        <v>136</v>
      </c>
      <c r="H10" s="6" t="s">
        <v>305</v>
      </c>
      <c r="I10" s="6" t="s">
        <v>3466</v>
      </c>
      <c r="J10" s="6" t="s">
        <v>3467</v>
      </c>
      <c r="K10" s="6" t="s">
        <v>138</v>
      </c>
      <c r="L10" s="7" t="n">
        <f aca="false">COUNTIFS(TestCases!$E$2:$E$328,$A10)</f>
        <v>2</v>
      </c>
      <c r="M10" s="7" t="n">
        <f aca="false">COUNTIFS(TestCases!$E$2:$E$328,$A10,TestCases!$Y$2:$Y$328,"Approve")</f>
        <v>2</v>
      </c>
      <c r="N10" s="7" t="n">
        <f aca="false">COUNTIFS(TestCases!$E$2:$E$328,$A10,TestCases!$Y$2:$Y$328,"Draft")</f>
        <v>0</v>
      </c>
      <c r="O10" s="7" t="n">
        <f aca="false">COUNTIFS(TestCases!$E$2:$E$328,$A10,TestCases!$Y$2:$Y$328,"Reject")</f>
        <v>0</v>
      </c>
      <c r="P10" s="7" t="str">
        <f aca="false">IF(M10=L10,"Approve",IF(O10=L10,"Reject","Draft"))</f>
        <v>Approve</v>
      </c>
    </row>
    <row r="11" customFormat="false" ht="34.5" hidden="false" customHeight="true" outlineLevel="0" collapsed="false">
      <c r="A11" s="7" t="s">
        <v>325</v>
      </c>
      <c r="B11" s="7" t="s">
        <v>334</v>
      </c>
      <c r="C11" s="7" t="s">
        <v>324</v>
      </c>
      <c r="D11" s="7" t="s">
        <v>40</v>
      </c>
      <c r="E11" s="7" t="s">
        <v>101</v>
      </c>
      <c r="F11" s="7" t="s">
        <v>49</v>
      </c>
      <c r="G11" s="7" t="s">
        <v>136</v>
      </c>
      <c r="H11" s="6" t="s">
        <v>326</v>
      </c>
      <c r="I11" s="6" t="s">
        <v>3468</v>
      </c>
      <c r="J11" s="6" t="s">
        <v>3469</v>
      </c>
      <c r="K11" s="6" t="s">
        <v>271</v>
      </c>
      <c r="L11" s="7" t="n">
        <f aca="false">COUNTIFS(TestCases!$E$2:$E$328,$A11)</f>
        <v>2</v>
      </c>
      <c r="M11" s="7" t="n">
        <f aca="false">COUNTIFS(TestCases!$E$2:$E$328,$A11,TestCases!$Y$2:$Y$328,"Approve")</f>
        <v>0</v>
      </c>
      <c r="N11" s="7" t="n">
        <f aca="false">COUNTIFS(TestCases!$E$2:$E$328,$A11,TestCases!$Y$2:$Y$328,"Draft")</f>
        <v>2</v>
      </c>
      <c r="O11" s="7" t="n">
        <f aca="false">COUNTIFS(TestCases!$E$2:$E$328,$A11,TestCases!$Y$2:$Y$328,"Reject")</f>
        <v>0</v>
      </c>
      <c r="P11" s="7" t="str">
        <f aca="false">IF(M11=L11,"Approve",IF(O11=L11,"Reject","Draft"))</f>
        <v>Draft</v>
      </c>
    </row>
    <row r="12" customFormat="false" ht="68.25" hidden="false" customHeight="true" outlineLevel="0" collapsed="false">
      <c r="A12" s="7" t="s">
        <v>347</v>
      </c>
      <c r="B12" s="7" t="s">
        <v>356</v>
      </c>
      <c r="C12" s="7" t="s">
        <v>345</v>
      </c>
      <c r="D12" s="7" t="s">
        <v>40</v>
      </c>
      <c r="E12" s="7" t="s">
        <v>346</v>
      </c>
      <c r="F12" s="7" t="s">
        <v>49</v>
      </c>
      <c r="G12" s="7" t="s">
        <v>269</v>
      </c>
      <c r="H12" s="6" t="s">
        <v>348</v>
      </c>
      <c r="I12" s="6" t="s">
        <v>3470</v>
      </c>
      <c r="J12" s="6" t="s">
        <v>3471</v>
      </c>
      <c r="K12" s="6" t="s">
        <v>382</v>
      </c>
      <c r="L12" s="7" t="n">
        <f aca="false">COUNTIFS(TestCases!$E$2:$E$328,$A12)</f>
        <v>6</v>
      </c>
      <c r="M12" s="7" t="n">
        <f aca="false">COUNTIFS(TestCases!$E$2:$E$328,$A12,TestCases!$Y$2:$Y$328,"Approve")</f>
        <v>0</v>
      </c>
      <c r="N12" s="7" t="n">
        <f aca="false">COUNTIFS(TestCases!$E$2:$E$328,$A12,TestCases!$Y$2:$Y$328,"Draft")</f>
        <v>6</v>
      </c>
      <c r="O12" s="7" t="n">
        <f aca="false">COUNTIFS(TestCases!$E$2:$E$328,$A12,TestCases!$Y$2:$Y$328,"Reject")</f>
        <v>0</v>
      </c>
      <c r="P12" s="7" t="str">
        <f aca="false">IF(M12=L12,"Approve",IF(O12=L12,"Reject","Draft"))</f>
        <v>Draft</v>
      </c>
    </row>
    <row r="13" customFormat="false" ht="68.25" hidden="false" customHeight="true" outlineLevel="0" collapsed="false">
      <c r="A13" s="7" t="s">
        <v>402</v>
      </c>
      <c r="B13" s="7" t="s">
        <v>410</v>
      </c>
      <c r="C13" s="7" t="s">
        <v>401</v>
      </c>
      <c r="D13" s="7" t="s">
        <v>40</v>
      </c>
      <c r="E13" s="7" t="s">
        <v>100</v>
      </c>
      <c r="F13" s="7" t="s">
        <v>49</v>
      </c>
      <c r="G13" s="7" t="s">
        <v>136</v>
      </c>
      <c r="H13" s="6" t="s">
        <v>403</v>
      </c>
      <c r="I13" s="6" t="s">
        <v>3472</v>
      </c>
      <c r="J13" s="6" t="s">
        <v>3473</v>
      </c>
      <c r="K13" s="6" t="s">
        <v>3474</v>
      </c>
      <c r="L13" s="7" t="n">
        <f aca="false">COUNTIFS(TestCases!$E$2:$E$328,$A13)</f>
        <v>5</v>
      </c>
      <c r="M13" s="7" t="n">
        <f aca="false">COUNTIFS(TestCases!$E$2:$E$328,$A13,TestCases!$Y$2:$Y$328,"Approve")</f>
        <v>1</v>
      </c>
      <c r="N13" s="7" t="n">
        <f aca="false">COUNTIFS(TestCases!$E$2:$E$328,$A13,TestCases!$Y$2:$Y$328,"Draft")</f>
        <v>4</v>
      </c>
      <c r="O13" s="7" t="n">
        <f aca="false">COUNTIFS(TestCases!$E$2:$E$328,$A13,TestCases!$Y$2:$Y$328,"Reject")</f>
        <v>0</v>
      </c>
      <c r="P13" s="7" t="str">
        <f aca="false">IF(M13=L13,"Approve",IF(O13=L13,"Reject","Draft"))</f>
        <v>Draft</v>
      </c>
    </row>
    <row r="14" customFormat="false" ht="68.25" hidden="false" customHeight="true" outlineLevel="0" collapsed="false">
      <c r="A14" s="7" t="s">
        <v>448</v>
      </c>
      <c r="B14" s="7" t="s">
        <v>457</v>
      </c>
      <c r="C14" s="7" t="s">
        <v>447</v>
      </c>
      <c r="D14" s="7" t="s">
        <v>40</v>
      </c>
      <c r="E14" s="7" t="s">
        <v>99</v>
      </c>
      <c r="F14" s="7" t="s">
        <v>50</v>
      </c>
      <c r="G14" s="7" t="s">
        <v>269</v>
      </c>
      <c r="H14" s="6" t="s">
        <v>449</v>
      </c>
      <c r="I14" s="6" t="s">
        <v>3475</v>
      </c>
      <c r="J14" s="6" t="s">
        <v>3476</v>
      </c>
      <c r="K14" s="6" t="s">
        <v>357</v>
      </c>
      <c r="L14" s="7" t="n">
        <f aca="false">COUNTIFS(TestCases!$E$2:$E$328,$A14)</f>
        <v>2</v>
      </c>
      <c r="M14" s="7" t="n">
        <f aca="false">COUNTIFS(TestCases!$E$2:$E$328,$A14,TestCases!$Y$2:$Y$328,"Approve")</f>
        <v>0</v>
      </c>
      <c r="N14" s="7" t="n">
        <f aca="false">COUNTIFS(TestCases!$E$2:$E$328,$A14,TestCases!$Y$2:$Y$328,"Draft")</f>
        <v>2</v>
      </c>
      <c r="O14" s="7" t="n">
        <f aca="false">COUNTIFS(TestCases!$E$2:$E$328,$A14,TestCases!$Y$2:$Y$328,"Reject")</f>
        <v>0</v>
      </c>
      <c r="P14" s="7" t="str">
        <f aca="false">IF(M14=L14,"Approve",IF(O14=L14,"Reject","Draft"))</f>
        <v>Draft</v>
      </c>
    </row>
    <row r="15" customFormat="false" ht="68.25" hidden="false" customHeight="true" outlineLevel="0" collapsed="false">
      <c r="A15" s="7" t="s">
        <v>470</v>
      </c>
      <c r="B15" s="7" t="s">
        <v>479</v>
      </c>
      <c r="C15" s="7" t="s">
        <v>468</v>
      </c>
      <c r="D15" s="7" t="s">
        <v>40</v>
      </c>
      <c r="E15" s="7" t="s">
        <v>469</v>
      </c>
      <c r="F15" s="7" t="s">
        <v>49</v>
      </c>
      <c r="G15" s="7" t="s">
        <v>269</v>
      </c>
      <c r="H15" s="6" t="s">
        <v>471</v>
      </c>
      <c r="I15" s="6" t="s">
        <v>3477</v>
      </c>
      <c r="J15" s="6" t="s">
        <v>3478</v>
      </c>
      <c r="K15" s="6" t="s">
        <v>3479</v>
      </c>
      <c r="L15" s="7" t="n">
        <f aca="false">COUNTIFS(TestCases!$E$2:$E$328,$A15)</f>
        <v>5</v>
      </c>
      <c r="M15" s="7" t="n">
        <f aca="false">COUNTIFS(TestCases!$E$2:$E$328,$A15,TestCases!$Y$2:$Y$328,"Approve")</f>
        <v>0</v>
      </c>
      <c r="N15" s="7" t="n">
        <f aca="false">COUNTIFS(TestCases!$E$2:$E$328,$A15,TestCases!$Y$2:$Y$328,"Draft")</f>
        <v>5</v>
      </c>
      <c r="O15" s="7" t="n">
        <f aca="false">COUNTIFS(TestCases!$E$2:$E$328,$A15,TestCases!$Y$2:$Y$328,"Reject")</f>
        <v>0</v>
      </c>
      <c r="P15" s="7" t="str">
        <f aca="false">IF(M15=L15,"Approve",IF(O15=L15,"Reject","Draft"))</f>
        <v>Draft</v>
      </c>
    </row>
    <row r="16" customFormat="false" ht="68.25" hidden="false" customHeight="true" outlineLevel="0" collapsed="false">
      <c r="A16" s="7" t="s">
        <v>518</v>
      </c>
      <c r="B16" s="7" t="s">
        <v>527</v>
      </c>
      <c r="C16" s="7" t="s">
        <v>516</v>
      </c>
      <c r="D16" s="7" t="s">
        <v>40</v>
      </c>
      <c r="E16" s="7" t="s">
        <v>517</v>
      </c>
      <c r="F16" s="7" t="s">
        <v>51</v>
      </c>
      <c r="G16" s="7" t="s">
        <v>269</v>
      </c>
      <c r="H16" s="6" t="s">
        <v>519</v>
      </c>
      <c r="I16" s="6" t="s">
        <v>3480</v>
      </c>
      <c r="J16" s="6" t="s">
        <v>3481</v>
      </c>
      <c r="K16" s="6" t="s">
        <v>3482</v>
      </c>
      <c r="L16" s="7" t="n">
        <f aca="false">COUNTIFS(TestCases!$E$2:$E$328,$A16)</f>
        <v>5</v>
      </c>
      <c r="M16" s="7" t="n">
        <f aca="false">COUNTIFS(TestCases!$E$2:$E$328,$A16,TestCases!$Y$2:$Y$328,"Approve")</f>
        <v>0</v>
      </c>
      <c r="N16" s="7" t="n">
        <f aca="false">COUNTIFS(TestCases!$E$2:$E$328,$A16,TestCases!$Y$2:$Y$328,"Draft")</f>
        <v>5</v>
      </c>
      <c r="O16" s="7" t="n">
        <f aca="false">COUNTIFS(TestCases!$E$2:$E$328,$A16,TestCases!$Y$2:$Y$328,"Reject")</f>
        <v>0</v>
      </c>
      <c r="P16" s="7" t="str">
        <f aca="false">IF(M16=L16,"Approve",IF(O16=L16,"Reject","Draft"))</f>
        <v>Draft</v>
      </c>
    </row>
    <row r="17" customFormat="false" ht="45.75" hidden="false" customHeight="true" outlineLevel="0" collapsed="false">
      <c r="A17" s="7" t="s">
        <v>564</v>
      </c>
      <c r="B17" s="7" t="s">
        <v>573</v>
      </c>
      <c r="C17" s="7" t="s">
        <v>563</v>
      </c>
      <c r="D17" s="7" t="s">
        <v>40</v>
      </c>
      <c r="E17" s="7" t="s">
        <v>100</v>
      </c>
      <c r="F17" s="7" t="s">
        <v>57</v>
      </c>
      <c r="G17" s="7" t="s">
        <v>256</v>
      </c>
      <c r="H17" s="6" t="s">
        <v>565</v>
      </c>
      <c r="I17" s="6" t="s">
        <v>3483</v>
      </c>
      <c r="J17" s="6" t="s">
        <v>3484</v>
      </c>
      <c r="K17" s="6" t="s">
        <v>3485</v>
      </c>
      <c r="L17" s="7" t="n">
        <f aca="false">COUNTIFS(TestCases!$E$2:$E$328,$A17)</f>
        <v>3</v>
      </c>
      <c r="M17" s="7" t="n">
        <f aca="false">COUNTIFS(TestCases!$E$2:$E$328,$A17,TestCases!$Y$2:$Y$328,"Approve")</f>
        <v>2</v>
      </c>
      <c r="N17" s="7" t="n">
        <f aca="false">COUNTIFS(TestCases!$E$2:$E$328,$A17,TestCases!$Y$2:$Y$328,"Draft")</f>
        <v>1</v>
      </c>
      <c r="O17" s="7" t="n">
        <f aca="false">COUNTIFS(TestCases!$E$2:$E$328,$A17,TestCases!$Y$2:$Y$328,"Reject")</f>
        <v>0</v>
      </c>
      <c r="P17" s="7" t="str">
        <f aca="false">IF(M17=L17,"Approve",IF(O17=L17,"Reject","Draft"))</f>
        <v>Draft</v>
      </c>
    </row>
    <row r="18" customFormat="false" ht="45.75" hidden="false" customHeight="true" outlineLevel="0" collapsed="false">
      <c r="A18" s="7" t="s">
        <v>591</v>
      </c>
      <c r="B18" s="7" t="s">
        <v>599</v>
      </c>
      <c r="C18" s="7" t="s">
        <v>590</v>
      </c>
      <c r="D18" s="7" t="s">
        <v>40</v>
      </c>
      <c r="E18" s="7" t="s">
        <v>100</v>
      </c>
      <c r="F18" s="7" t="s">
        <v>59</v>
      </c>
      <c r="G18" s="7" t="s">
        <v>136</v>
      </c>
      <c r="H18" s="6" t="s">
        <v>592</v>
      </c>
      <c r="I18" s="6" t="s">
        <v>3486</v>
      </c>
      <c r="J18" s="6" t="s">
        <v>3487</v>
      </c>
      <c r="K18" s="6" t="s">
        <v>3488</v>
      </c>
      <c r="L18" s="7" t="n">
        <f aca="false">COUNTIFS(TestCases!$E$2:$E$328,$A18)</f>
        <v>3</v>
      </c>
      <c r="M18" s="7" t="n">
        <f aca="false">COUNTIFS(TestCases!$E$2:$E$328,$A18,TestCases!$Y$2:$Y$328,"Approve")</f>
        <v>0</v>
      </c>
      <c r="N18" s="7" t="n">
        <f aca="false">COUNTIFS(TestCases!$E$2:$E$328,$A18,TestCases!$Y$2:$Y$328,"Draft")</f>
        <v>3</v>
      </c>
      <c r="O18" s="7" t="n">
        <f aca="false">COUNTIFS(TestCases!$E$2:$E$328,$A18,TestCases!$Y$2:$Y$328,"Reject")</f>
        <v>0</v>
      </c>
      <c r="P18" s="7" t="str">
        <f aca="false">IF(M18=L18,"Approve",IF(O18=L18,"Reject","Draft"))</f>
        <v>Draft</v>
      </c>
    </row>
    <row r="19" customFormat="false" ht="57" hidden="false" customHeight="true" outlineLevel="0" collapsed="false">
      <c r="A19" s="7" t="s">
        <v>620</v>
      </c>
      <c r="B19" s="7" t="s">
        <v>628</v>
      </c>
      <c r="C19" s="7" t="s">
        <v>619</v>
      </c>
      <c r="D19" s="7" t="s">
        <v>40</v>
      </c>
      <c r="E19" s="7" t="s">
        <v>469</v>
      </c>
      <c r="F19" s="7" t="s">
        <v>49</v>
      </c>
      <c r="G19" s="7" t="s">
        <v>136</v>
      </c>
      <c r="H19" s="6" t="s">
        <v>621</v>
      </c>
      <c r="I19" s="6" t="s">
        <v>3489</v>
      </c>
      <c r="J19" s="6" t="s">
        <v>3490</v>
      </c>
      <c r="K19" s="6" t="s">
        <v>651</v>
      </c>
      <c r="L19" s="7" t="n">
        <f aca="false">COUNTIFS(TestCases!$E$2:$E$328,$A19)</f>
        <v>4</v>
      </c>
      <c r="M19" s="7" t="n">
        <f aca="false">COUNTIFS(TestCases!$E$2:$E$328,$A19,TestCases!$Y$2:$Y$328,"Approve")</f>
        <v>2</v>
      </c>
      <c r="N19" s="7" t="n">
        <f aca="false">COUNTIFS(TestCases!$E$2:$E$328,$A19,TestCases!$Y$2:$Y$328,"Draft")</f>
        <v>2</v>
      </c>
      <c r="O19" s="7" t="n">
        <f aca="false">COUNTIFS(TestCases!$E$2:$E$328,$A19,TestCases!$Y$2:$Y$328,"Reject")</f>
        <v>0</v>
      </c>
      <c r="P19" s="7" t="str">
        <f aca="false">IF(M19=L19,"Approve",IF(O19=L19,"Reject","Draft"))</f>
        <v>Draft</v>
      </c>
    </row>
    <row r="20" customFormat="false" ht="68.25" hidden="false" customHeight="true" outlineLevel="0" collapsed="false">
      <c r="A20" s="7" t="s">
        <v>655</v>
      </c>
      <c r="B20" s="7" t="s">
        <v>664</v>
      </c>
      <c r="C20" s="7" t="s">
        <v>654</v>
      </c>
      <c r="D20" s="7" t="s">
        <v>40</v>
      </c>
      <c r="E20" s="7" t="s">
        <v>36</v>
      </c>
      <c r="F20" s="7" t="s">
        <v>49</v>
      </c>
      <c r="G20" s="7" t="s">
        <v>269</v>
      </c>
      <c r="H20" s="6" t="s">
        <v>656</v>
      </c>
      <c r="I20" s="6" t="s">
        <v>3491</v>
      </c>
      <c r="J20" s="6" t="s">
        <v>3492</v>
      </c>
      <c r="K20" s="6" t="s">
        <v>3493</v>
      </c>
      <c r="L20" s="7" t="n">
        <f aca="false">COUNTIFS(TestCases!$E$2:$E$328,$A20)</f>
        <v>4</v>
      </c>
      <c r="M20" s="7" t="n">
        <f aca="false">COUNTIFS(TestCases!$E$2:$E$328,$A20,TestCases!$Y$2:$Y$328,"Approve")</f>
        <v>1</v>
      </c>
      <c r="N20" s="7" t="n">
        <f aca="false">COUNTIFS(TestCases!$E$2:$E$328,$A20,TestCases!$Y$2:$Y$328,"Draft")</f>
        <v>2</v>
      </c>
      <c r="O20" s="7" t="n">
        <f aca="false">COUNTIFS(TestCases!$E$2:$E$328,$A20,TestCases!$Y$2:$Y$328,"Reject")</f>
        <v>1</v>
      </c>
      <c r="P20" s="7" t="str">
        <f aca="false">IF(M20=L20,"Approve",IF(O20=L20,"Reject","Draft"))</f>
        <v>Draft</v>
      </c>
    </row>
    <row r="21" customFormat="false" ht="68.25" hidden="false" customHeight="true" outlineLevel="0" collapsed="false">
      <c r="A21" s="7" t="s">
        <v>690</v>
      </c>
      <c r="B21" s="7" t="s">
        <v>699</v>
      </c>
      <c r="C21" s="7" t="s">
        <v>689</v>
      </c>
      <c r="D21" s="7" t="s">
        <v>40</v>
      </c>
      <c r="E21" s="7" t="s">
        <v>100</v>
      </c>
      <c r="F21" s="7" t="s">
        <v>50</v>
      </c>
      <c r="G21" s="7" t="s">
        <v>136</v>
      </c>
      <c r="H21" s="6" t="s">
        <v>691</v>
      </c>
      <c r="I21" s="6" t="s">
        <v>3494</v>
      </c>
      <c r="J21" s="6" t="s">
        <v>3495</v>
      </c>
      <c r="K21" s="6" t="s">
        <v>700</v>
      </c>
      <c r="L21" s="7" t="n">
        <f aca="false">COUNTIFS(TestCases!$E$2:$E$328,$A21)</f>
        <v>2</v>
      </c>
      <c r="M21" s="7" t="n">
        <f aca="false">COUNTIFS(TestCases!$E$2:$E$328,$A21,TestCases!$Y$2:$Y$328,"Approve")</f>
        <v>0</v>
      </c>
      <c r="N21" s="7" t="n">
        <f aca="false">COUNTIFS(TestCases!$E$2:$E$328,$A21,TestCases!$Y$2:$Y$328,"Draft")</f>
        <v>2</v>
      </c>
      <c r="O21" s="7" t="n">
        <f aca="false">COUNTIFS(TestCases!$E$2:$E$328,$A21,TestCases!$Y$2:$Y$328,"Reject")</f>
        <v>0</v>
      </c>
      <c r="P21" s="7" t="str">
        <f aca="false">IF(M21=L21,"Approve",IF(O21=L21,"Reject","Draft"))</f>
        <v>Draft</v>
      </c>
    </row>
    <row r="22" customFormat="false" ht="57" hidden="false" customHeight="true" outlineLevel="0" collapsed="false">
      <c r="A22" s="7" t="s">
        <v>711</v>
      </c>
      <c r="B22" s="7" t="s">
        <v>720</v>
      </c>
      <c r="C22" s="7" t="s">
        <v>710</v>
      </c>
      <c r="D22" s="7" t="s">
        <v>40</v>
      </c>
      <c r="E22" s="7" t="s">
        <v>100</v>
      </c>
      <c r="F22" s="7" t="s">
        <v>49</v>
      </c>
      <c r="G22" s="7" t="s">
        <v>269</v>
      </c>
      <c r="H22" s="6" t="s">
        <v>712</v>
      </c>
      <c r="I22" s="6" t="s">
        <v>3496</v>
      </c>
      <c r="J22" s="6" t="s">
        <v>3497</v>
      </c>
      <c r="K22" s="6" t="s">
        <v>3498</v>
      </c>
      <c r="L22" s="7" t="n">
        <f aca="false">COUNTIFS(TestCases!$E$2:$E$328,$A22)</f>
        <v>4</v>
      </c>
      <c r="M22" s="7" t="n">
        <f aca="false">COUNTIFS(TestCases!$E$2:$E$328,$A22,TestCases!$Y$2:$Y$328,"Approve")</f>
        <v>0</v>
      </c>
      <c r="N22" s="7" t="n">
        <f aca="false">COUNTIFS(TestCases!$E$2:$E$328,$A22,TestCases!$Y$2:$Y$328,"Draft")</f>
        <v>4</v>
      </c>
      <c r="O22" s="7" t="n">
        <f aca="false">COUNTIFS(TestCases!$E$2:$E$328,$A22,TestCases!$Y$2:$Y$328,"Reject")</f>
        <v>0</v>
      </c>
      <c r="P22" s="7" t="str">
        <f aca="false">IF(M22=L22,"Approve",IF(O22=L22,"Reject","Draft"))</f>
        <v>Draft</v>
      </c>
    </row>
    <row r="23" customFormat="false" ht="34.5" hidden="false" customHeight="true" outlineLevel="0" collapsed="false">
      <c r="A23" s="7" t="s">
        <v>749</v>
      </c>
      <c r="B23" s="7" t="s">
        <v>758</v>
      </c>
      <c r="C23" s="7" t="s">
        <v>748</v>
      </c>
      <c r="D23" s="7" t="s">
        <v>40</v>
      </c>
      <c r="E23" s="7" t="s">
        <v>100</v>
      </c>
      <c r="F23" s="7" t="s">
        <v>50</v>
      </c>
      <c r="G23" s="7" t="s">
        <v>136</v>
      </c>
      <c r="H23" s="6" t="s">
        <v>750</v>
      </c>
      <c r="I23" s="6" t="s">
        <v>3499</v>
      </c>
      <c r="J23" s="6" t="s">
        <v>3500</v>
      </c>
      <c r="K23" s="6" t="s">
        <v>138</v>
      </c>
      <c r="L23" s="7" t="n">
        <f aca="false">COUNTIFS(TestCases!$E$2:$E$328,$A23)</f>
        <v>2</v>
      </c>
      <c r="M23" s="7" t="n">
        <f aca="false">COUNTIFS(TestCases!$E$2:$E$328,$A23,TestCases!$Y$2:$Y$328,"Approve")</f>
        <v>2</v>
      </c>
      <c r="N23" s="7" t="n">
        <f aca="false">COUNTIFS(TestCases!$E$2:$E$328,$A23,TestCases!$Y$2:$Y$328,"Draft")</f>
        <v>0</v>
      </c>
      <c r="O23" s="7" t="n">
        <f aca="false">COUNTIFS(TestCases!$E$2:$E$328,$A23,TestCases!$Y$2:$Y$328,"Reject")</f>
        <v>0</v>
      </c>
      <c r="P23" s="7" t="str">
        <f aca="false">IF(M23=L23,"Approve",IF(O23=L23,"Reject","Draft"))</f>
        <v>Approve</v>
      </c>
    </row>
    <row r="24" customFormat="false" ht="68.25" hidden="false" customHeight="true" outlineLevel="0" collapsed="false">
      <c r="A24" s="7" t="s">
        <v>769</v>
      </c>
      <c r="B24" s="7" t="s">
        <v>778</v>
      </c>
      <c r="C24" s="7" t="s">
        <v>768</v>
      </c>
      <c r="D24" s="7" t="s">
        <v>40</v>
      </c>
      <c r="E24" s="7" t="s">
        <v>469</v>
      </c>
      <c r="F24" s="7" t="s">
        <v>49</v>
      </c>
      <c r="G24" s="7" t="s">
        <v>136</v>
      </c>
      <c r="H24" s="6" t="s">
        <v>770</v>
      </c>
      <c r="I24" s="6" t="s">
        <v>3501</v>
      </c>
      <c r="J24" s="6" t="s">
        <v>3502</v>
      </c>
      <c r="K24" s="6" t="s">
        <v>787</v>
      </c>
      <c r="L24" s="7" t="n">
        <f aca="false">COUNTIFS(TestCases!$E$2:$E$328,$A24)</f>
        <v>3</v>
      </c>
      <c r="M24" s="7" t="n">
        <f aca="false">COUNTIFS(TestCases!$E$2:$E$328,$A24,TestCases!$Y$2:$Y$328,"Approve")</f>
        <v>1</v>
      </c>
      <c r="N24" s="7" t="n">
        <f aca="false">COUNTIFS(TestCases!$E$2:$E$328,$A24,TestCases!$Y$2:$Y$328,"Draft")</f>
        <v>2</v>
      </c>
      <c r="O24" s="7" t="n">
        <f aca="false">COUNTIFS(TestCases!$E$2:$E$328,$A24,TestCases!$Y$2:$Y$328,"Reject")</f>
        <v>0</v>
      </c>
      <c r="P24" s="7" t="str">
        <f aca="false">IF(M24=L24,"Approve",IF(O24=L24,"Reject","Draft"))</f>
        <v>Draft</v>
      </c>
    </row>
    <row r="25" customFormat="false" ht="45.75" hidden="false" customHeight="true" outlineLevel="0" collapsed="false">
      <c r="A25" s="7" t="s">
        <v>799</v>
      </c>
      <c r="B25" s="7" t="s">
        <v>808</v>
      </c>
      <c r="C25" s="7" t="s">
        <v>798</v>
      </c>
      <c r="D25" s="7" t="s">
        <v>39</v>
      </c>
      <c r="E25" s="7" t="s">
        <v>101</v>
      </c>
      <c r="F25" s="7" t="s">
        <v>50</v>
      </c>
      <c r="G25" s="7" t="s">
        <v>269</v>
      </c>
      <c r="H25" s="6" t="s">
        <v>800</v>
      </c>
      <c r="I25" s="6" t="s">
        <v>3503</v>
      </c>
      <c r="J25" s="6" t="s">
        <v>3504</v>
      </c>
      <c r="K25" s="6" t="s">
        <v>809</v>
      </c>
      <c r="L25" s="7" t="n">
        <f aca="false">COUNTIFS(TestCases!$E$2:$E$328,$A25)</f>
        <v>2</v>
      </c>
      <c r="M25" s="7" t="n">
        <f aca="false">COUNTIFS(TestCases!$E$2:$E$328,$A25,TestCases!$Y$2:$Y$328,"Approve")</f>
        <v>0</v>
      </c>
      <c r="N25" s="7" t="n">
        <f aca="false">COUNTIFS(TestCases!$E$2:$E$328,$A25,TestCases!$Y$2:$Y$328,"Draft")</f>
        <v>2</v>
      </c>
      <c r="O25" s="7" t="n">
        <f aca="false">COUNTIFS(TestCases!$E$2:$E$328,$A25,TestCases!$Y$2:$Y$328,"Reject")</f>
        <v>0</v>
      </c>
      <c r="P25" s="7" t="str">
        <f aca="false">IF(M25=L25,"Approve",IF(O25=L25,"Reject","Draft"))</f>
        <v>Draft</v>
      </c>
    </row>
    <row r="26" customFormat="false" ht="57" hidden="false" customHeight="true" outlineLevel="0" collapsed="false">
      <c r="A26" s="7" t="s">
        <v>821</v>
      </c>
      <c r="B26" s="7" t="s">
        <v>830</v>
      </c>
      <c r="C26" s="7" t="s">
        <v>820</v>
      </c>
      <c r="D26" s="7" t="s">
        <v>39</v>
      </c>
      <c r="E26" s="7" t="s">
        <v>101</v>
      </c>
      <c r="F26" s="7" t="s">
        <v>51</v>
      </c>
      <c r="G26" s="7" t="s">
        <v>256</v>
      </c>
      <c r="H26" s="6" t="s">
        <v>822</v>
      </c>
      <c r="I26" s="6" t="s">
        <v>3505</v>
      </c>
      <c r="J26" s="6" t="s">
        <v>3506</v>
      </c>
      <c r="K26" s="6" t="s">
        <v>809</v>
      </c>
      <c r="L26" s="7" t="n">
        <f aca="false">COUNTIFS(TestCases!$E$2:$E$328,$A26)</f>
        <v>2</v>
      </c>
      <c r="M26" s="7" t="n">
        <f aca="false">COUNTIFS(TestCases!$E$2:$E$328,$A26,TestCases!$Y$2:$Y$328,"Approve")</f>
        <v>0</v>
      </c>
      <c r="N26" s="7" t="n">
        <f aca="false">COUNTIFS(TestCases!$E$2:$E$328,$A26,TestCases!$Y$2:$Y$328,"Draft")</f>
        <v>2</v>
      </c>
      <c r="O26" s="7" t="n">
        <f aca="false">COUNTIFS(TestCases!$E$2:$E$328,$A26,TestCases!$Y$2:$Y$328,"Reject")</f>
        <v>0</v>
      </c>
      <c r="P26" s="7" t="str">
        <f aca="false">IF(M26=L26,"Approve",IF(O26=L26,"Reject","Draft"))</f>
        <v>Draft</v>
      </c>
    </row>
    <row r="27" customFormat="false" ht="23.25" hidden="false" customHeight="true" outlineLevel="0" collapsed="false">
      <c r="A27" s="7" t="s">
        <v>842</v>
      </c>
      <c r="B27" s="7" t="s">
        <v>851</v>
      </c>
      <c r="C27" s="7" t="s">
        <v>841</v>
      </c>
      <c r="D27" s="7" t="s">
        <v>39</v>
      </c>
      <c r="E27" s="7" t="s">
        <v>101</v>
      </c>
      <c r="F27" s="7" t="s">
        <v>51</v>
      </c>
      <c r="G27" s="7" t="s">
        <v>136</v>
      </c>
      <c r="H27" s="6" t="s">
        <v>843</v>
      </c>
      <c r="I27" s="6" t="s">
        <v>3507</v>
      </c>
      <c r="J27" s="6" t="s">
        <v>3508</v>
      </c>
      <c r="K27" s="6" t="s">
        <v>852</v>
      </c>
      <c r="L27" s="7" t="n">
        <f aca="false">COUNTIFS(TestCases!$E$2:$E$328,$A27)</f>
        <v>1</v>
      </c>
      <c r="M27" s="7" t="n">
        <f aca="false">COUNTIFS(TestCases!$E$2:$E$328,$A27,TestCases!$Y$2:$Y$328,"Approve")</f>
        <v>0</v>
      </c>
      <c r="N27" s="7" t="n">
        <f aca="false">COUNTIFS(TestCases!$E$2:$E$328,$A27,TestCases!$Y$2:$Y$328,"Draft")</f>
        <v>1</v>
      </c>
      <c r="O27" s="7" t="n">
        <f aca="false">COUNTIFS(TestCases!$E$2:$E$328,$A27,TestCases!$Y$2:$Y$328,"Reject")</f>
        <v>0</v>
      </c>
      <c r="P27" s="7" t="str">
        <f aca="false">IF(M27=L27,"Approve",IF(O27=L27,"Reject","Draft"))</f>
        <v>Draft</v>
      </c>
    </row>
    <row r="28" customFormat="false" ht="57" hidden="false" customHeight="true" outlineLevel="0" collapsed="false">
      <c r="A28" s="7" t="s">
        <v>856</v>
      </c>
      <c r="B28" s="7" t="s">
        <v>865</v>
      </c>
      <c r="C28" s="7" t="s">
        <v>855</v>
      </c>
      <c r="D28" s="7" t="s">
        <v>39</v>
      </c>
      <c r="E28" s="7" t="s">
        <v>101</v>
      </c>
      <c r="F28" s="7" t="s">
        <v>59</v>
      </c>
      <c r="G28" s="7" t="s">
        <v>136</v>
      </c>
      <c r="H28" s="6" t="s">
        <v>857</v>
      </c>
      <c r="I28" s="6" t="s">
        <v>3509</v>
      </c>
      <c r="J28" s="6" t="s">
        <v>3510</v>
      </c>
      <c r="K28" s="6" t="s">
        <v>138</v>
      </c>
      <c r="L28" s="7" t="n">
        <f aca="false">COUNTIFS(TestCases!$E$2:$E$328,$A28)</f>
        <v>1</v>
      </c>
      <c r="M28" s="7" t="n">
        <f aca="false">COUNTIFS(TestCases!$E$2:$E$328,$A28,TestCases!$Y$2:$Y$328,"Approve")</f>
        <v>1</v>
      </c>
      <c r="N28" s="7" t="n">
        <f aca="false">COUNTIFS(TestCases!$E$2:$E$328,$A28,TestCases!$Y$2:$Y$328,"Draft")</f>
        <v>0</v>
      </c>
      <c r="O28" s="7" t="n">
        <f aca="false">COUNTIFS(TestCases!$E$2:$E$328,$A28,TestCases!$Y$2:$Y$328,"Reject")</f>
        <v>0</v>
      </c>
      <c r="P28" s="7" t="str">
        <f aca="false">IF(M28=L28,"Approve",IF(O28=L28,"Reject","Draft"))</f>
        <v>Approve</v>
      </c>
    </row>
    <row r="29" customFormat="false" ht="68.25" hidden="false" customHeight="true" outlineLevel="0" collapsed="false">
      <c r="A29" s="7" t="s">
        <v>869</v>
      </c>
      <c r="B29" s="7" t="s">
        <v>878</v>
      </c>
      <c r="C29" s="7" t="s">
        <v>868</v>
      </c>
      <c r="D29" s="7" t="s">
        <v>39</v>
      </c>
      <c r="E29" s="7" t="s">
        <v>101</v>
      </c>
      <c r="F29" s="7" t="s">
        <v>59</v>
      </c>
      <c r="G29" s="7" t="s">
        <v>300</v>
      </c>
      <c r="H29" s="6" t="s">
        <v>870</v>
      </c>
      <c r="I29" s="6" t="s">
        <v>3511</v>
      </c>
      <c r="J29" s="6" t="s">
        <v>3512</v>
      </c>
      <c r="K29" s="6" t="s">
        <v>3513</v>
      </c>
      <c r="L29" s="7" t="n">
        <f aca="false">COUNTIFS(TestCases!$E$2:$E$328,$A29)</f>
        <v>4</v>
      </c>
      <c r="M29" s="7" t="n">
        <f aca="false">COUNTIFS(TestCases!$E$2:$E$328,$A29,TestCases!$Y$2:$Y$328,"Approve")</f>
        <v>1</v>
      </c>
      <c r="N29" s="7" t="n">
        <f aca="false">COUNTIFS(TestCases!$E$2:$E$328,$A29,TestCases!$Y$2:$Y$328,"Draft")</f>
        <v>3</v>
      </c>
      <c r="O29" s="7" t="n">
        <f aca="false">COUNTIFS(TestCases!$E$2:$E$328,$A29,TestCases!$Y$2:$Y$328,"Reject")</f>
        <v>0</v>
      </c>
      <c r="P29" s="7" t="str">
        <f aca="false">IF(M29=L29,"Approve",IF(O29=L29,"Reject","Draft"))</f>
        <v>Draft</v>
      </c>
    </row>
    <row r="30" customFormat="false" ht="68.25" hidden="false" customHeight="true" outlineLevel="0" collapsed="false">
      <c r="A30" s="7" t="s">
        <v>904</v>
      </c>
      <c r="B30" s="7" t="s">
        <v>912</v>
      </c>
      <c r="C30" s="7" t="s">
        <v>903</v>
      </c>
      <c r="D30" s="7" t="s">
        <v>39</v>
      </c>
      <c r="E30" s="7" t="s">
        <v>101</v>
      </c>
      <c r="F30" s="7" t="s">
        <v>57</v>
      </c>
      <c r="G30" s="7" t="s">
        <v>269</v>
      </c>
      <c r="H30" s="6" t="s">
        <v>905</v>
      </c>
      <c r="I30" s="6" t="s">
        <v>3514</v>
      </c>
      <c r="J30" s="6" t="s">
        <v>3515</v>
      </c>
      <c r="K30" s="6" t="s">
        <v>913</v>
      </c>
      <c r="L30" s="7" t="n">
        <f aca="false">COUNTIFS(TestCases!$E$2:$E$328,$A30)</f>
        <v>2</v>
      </c>
      <c r="M30" s="7" t="n">
        <f aca="false">COUNTIFS(TestCases!$E$2:$E$328,$A30,TestCases!$Y$2:$Y$328,"Approve")</f>
        <v>0</v>
      </c>
      <c r="N30" s="7" t="n">
        <f aca="false">COUNTIFS(TestCases!$E$2:$E$328,$A30,TestCases!$Y$2:$Y$328,"Draft")</f>
        <v>2</v>
      </c>
      <c r="O30" s="7" t="n">
        <f aca="false">COUNTIFS(TestCases!$E$2:$E$328,$A30,TestCases!$Y$2:$Y$328,"Reject")</f>
        <v>0</v>
      </c>
      <c r="P30" s="7" t="str">
        <f aca="false">IF(M30=L30,"Approve",IF(O30=L30,"Reject","Draft"))</f>
        <v>Draft</v>
      </c>
    </row>
    <row r="31" customFormat="false" ht="68.25" hidden="false" customHeight="true" outlineLevel="0" collapsed="false">
      <c r="A31" s="7" t="s">
        <v>924</v>
      </c>
      <c r="B31" s="7" t="s">
        <v>932</v>
      </c>
      <c r="C31" s="7" t="s">
        <v>923</v>
      </c>
      <c r="D31" s="7" t="s">
        <v>39</v>
      </c>
      <c r="E31" s="7" t="s">
        <v>101</v>
      </c>
      <c r="F31" s="7" t="s">
        <v>59</v>
      </c>
      <c r="G31" s="7" t="s">
        <v>136</v>
      </c>
      <c r="H31" s="6" t="s">
        <v>925</v>
      </c>
      <c r="I31" s="6" t="s">
        <v>3516</v>
      </c>
      <c r="J31" s="6" t="s">
        <v>3517</v>
      </c>
      <c r="K31" s="6" t="s">
        <v>933</v>
      </c>
      <c r="L31" s="7" t="n">
        <f aca="false">COUNTIFS(TestCases!$E$2:$E$328,$A31)</f>
        <v>2</v>
      </c>
      <c r="M31" s="7" t="n">
        <f aca="false">COUNTIFS(TestCases!$E$2:$E$328,$A31,TestCases!$Y$2:$Y$328,"Approve")</f>
        <v>0</v>
      </c>
      <c r="N31" s="7" t="n">
        <f aca="false">COUNTIFS(TestCases!$E$2:$E$328,$A31,TestCases!$Y$2:$Y$328,"Draft")</f>
        <v>2</v>
      </c>
      <c r="O31" s="7" t="n">
        <f aca="false">COUNTIFS(TestCases!$E$2:$E$328,$A31,TestCases!$Y$2:$Y$328,"Reject")</f>
        <v>0</v>
      </c>
      <c r="P31" s="7" t="str">
        <f aca="false">IF(M31=L31,"Approve",IF(O31=L31,"Reject","Draft"))</f>
        <v>Draft</v>
      </c>
    </row>
    <row r="32" customFormat="false" ht="57" hidden="false" customHeight="true" outlineLevel="0" collapsed="false">
      <c r="A32" s="7" t="s">
        <v>944</v>
      </c>
      <c r="B32" s="7" t="s">
        <v>953</v>
      </c>
      <c r="C32" s="7" t="s">
        <v>943</v>
      </c>
      <c r="D32" s="7" t="s">
        <v>39</v>
      </c>
      <c r="E32" s="7" t="s">
        <v>101</v>
      </c>
      <c r="F32" s="7" t="s">
        <v>50</v>
      </c>
      <c r="G32" s="7" t="s">
        <v>136</v>
      </c>
      <c r="H32" s="6" t="s">
        <v>945</v>
      </c>
      <c r="I32" s="6" t="s">
        <v>3518</v>
      </c>
      <c r="J32" s="6" t="s">
        <v>3519</v>
      </c>
      <c r="K32" s="6" t="s">
        <v>138</v>
      </c>
      <c r="L32" s="7" t="n">
        <f aca="false">COUNTIFS(TestCases!$E$2:$E$328,$A32)</f>
        <v>1</v>
      </c>
      <c r="M32" s="7" t="n">
        <f aca="false">COUNTIFS(TestCases!$E$2:$E$328,$A32,TestCases!$Y$2:$Y$328,"Approve")</f>
        <v>1</v>
      </c>
      <c r="N32" s="7" t="n">
        <f aca="false">COUNTIFS(TestCases!$E$2:$E$328,$A32,TestCases!$Y$2:$Y$328,"Draft")</f>
        <v>0</v>
      </c>
      <c r="O32" s="7" t="n">
        <f aca="false">COUNTIFS(TestCases!$E$2:$E$328,$A32,TestCases!$Y$2:$Y$328,"Reject")</f>
        <v>0</v>
      </c>
      <c r="P32" s="7" t="str">
        <f aca="false">IF(M32=L32,"Approve",IF(O32=L32,"Reject","Draft"))</f>
        <v>Approve</v>
      </c>
    </row>
    <row r="33" customFormat="false" ht="68.25" hidden="false" customHeight="true" outlineLevel="0" collapsed="false">
      <c r="A33" s="7" t="s">
        <v>957</v>
      </c>
      <c r="B33" s="7" t="s">
        <v>965</v>
      </c>
      <c r="C33" s="7" t="s">
        <v>956</v>
      </c>
      <c r="D33" s="7" t="s">
        <v>39</v>
      </c>
      <c r="E33" s="7" t="s">
        <v>101</v>
      </c>
      <c r="F33" s="7" t="s">
        <v>59</v>
      </c>
      <c r="G33" s="7" t="s">
        <v>136</v>
      </c>
      <c r="H33" s="6" t="s">
        <v>958</v>
      </c>
      <c r="I33" s="6" t="s">
        <v>3520</v>
      </c>
      <c r="J33" s="6" t="s">
        <v>3521</v>
      </c>
      <c r="K33" s="6" t="s">
        <v>966</v>
      </c>
      <c r="L33" s="7" t="n">
        <f aca="false">COUNTIFS(TestCases!$E$2:$E$328,$A33)</f>
        <v>1</v>
      </c>
      <c r="M33" s="7" t="n">
        <f aca="false">COUNTIFS(TestCases!$E$2:$E$328,$A33,TestCases!$Y$2:$Y$328,"Approve")</f>
        <v>0</v>
      </c>
      <c r="N33" s="7" t="n">
        <f aca="false">COUNTIFS(TestCases!$E$2:$E$328,$A33,TestCases!$Y$2:$Y$328,"Draft")</f>
        <v>1</v>
      </c>
      <c r="O33" s="7" t="n">
        <f aca="false">COUNTIFS(TestCases!$E$2:$E$328,$A33,TestCases!$Y$2:$Y$328,"Reject")</f>
        <v>0</v>
      </c>
      <c r="P33" s="7" t="str">
        <f aca="false">IF(M33=L33,"Approve",IF(O33=L33,"Reject","Draft"))</f>
        <v>Draft</v>
      </c>
    </row>
    <row r="34" customFormat="false" ht="34.5" hidden="false" customHeight="true" outlineLevel="0" collapsed="false">
      <c r="A34" s="7" t="s">
        <v>970</v>
      </c>
      <c r="B34" s="7" t="s">
        <v>978</v>
      </c>
      <c r="C34" s="7" t="s">
        <v>969</v>
      </c>
      <c r="D34" s="7" t="s">
        <v>39</v>
      </c>
      <c r="E34" s="7" t="s">
        <v>101</v>
      </c>
      <c r="F34" s="7" t="s">
        <v>50</v>
      </c>
      <c r="G34" s="7" t="s">
        <v>136</v>
      </c>
      <c r="H34" s="6" t="s">
        <v>971</v>
      </c>
      <c r="I34" s="6" t="s">
        <v>3522</v>
      </c>
      <c r="J34" s="6" t="s">
        <v>3523</v>
      </c>
      <c r="K34" s="6" t="s">
        <v>933</v>
      </c>
      <c r="L34" s="7" t="n">
        <f aca="false">COUNTIFS(TestCases!$E$2:$E$328,$A34)</f>
        <v>1</v>
      </c>
      <c r="M34" s="7" t="n">
        <f aca="false">COUNTIFS(TestCases!$E$2:$E$328,$A34,TestCases!$Y$2:$Y$328,"Approve")</f>
        <v>0</v>
      </c>
      <c r="N34" s="7" t="n">
        <f aca="false">COUNTIFS(TestCases!$E$2:$E$328,$A34,TestCases!$Y$2:$Y$328,"Draft")</f>
        <v>1</v>
      </c>
      <c r="O34" s="7" t="n">
        <f aca="false">COUNTIFS(TestCases!$E$2:$E$328,$A34,TestCases!$Y$2:$Y$328,"Reject")</f>
        <v>0</v>
      </c>
      <c r="P34" s="7" t="str">
        <f aca="false">IF(M34=L34,"Approve",IF(O34=L34,"Reject","Draft"))</f>
        <v>Draft</v>
      </c>
    </row>
    <row r="35" customFormat="false" ht="23.25" hidden="false" customHeight="true" outlineLevel="0" collapsed="false">
      <c r="A35" s="7" t="s">
        <v>982</v>
      </c>
      <c r="B35" s="7" t="s">
        <v>991</v>
      </c>
      <c r="C35" s="7" t="s">
        <v>981</v>
      </c>
      <c r="D35" s="7" t="s">
        <v>38</v>
      </c>
      <c r="E35" s="7" t="s">
        <v>99</v>
      </c>
      <c r="F35" s="7" t="s">
        <v>50</v>
      </c>
      <c r="G35" s="7" t="s">
        <v>256</v>
      </c>
      <c r="H35" s="6" t="s">
        <v>983</v>
      </c>
      <c r="I35" s="6" t="s">
        <v>3524</v>
      </c>
      <c r="J35" s="6" t="s">
        <v>3525</v>
      </c>
      <c r="K35" s="6" t="s">
        <v>992</v>
      </c>
      <c r="L35" s="7" t="n">
        <f aca="false">COUNTIFS(TestCases!$E$2:$E$328,$A35)</f>
        <v>2</v>
      </c>
      <c r="M35" s="7" t="n">
        <f aca="false">COUNTIFS(TestCases!$E$2:$E$328,$A35,TestCases!$Y$2:$Y$328,"Approve")</f>
        <v>1</v>
      </c>
      <c r="N35" s="7" t="n">
        <f aca="false">COUNTIFS(TestCases!$E$2:$E$328,$A35,TestCases!$Y$2:$Y$328,"Draft")</f>
        <v>1</v>
      </c>
      <c r="O35" s="7" t="n">
        <f aca="false">COUNTIFS(TestCases!$E$2:$E$328,$A35,TestCases!$Y$2:$Y$328,"Reject")</f>
        <v>0</v>
      </c>
      <c r="P35" s="7" t="str">
        <f aca="false">IF(M35=L35,"Approve",IF(O35=L35,"Reject","Draft"))</f>
        <v>Draft</v>
      </c>
    </row>
    <row r="36" customFormat="false" ht="23.25" hidden="false" customHeight="true" outlineLevel="0" collapsed="false">
      <c r="A36" s="7" t="s">
        <v>1003</v>
      </c>
      <c r="B36" s="7" t="s">
        <v>1011</v>
      </c>
      <c r="C36" s="7" t="s">
        <v>981</v>
      </c>
      <c r="D36" s="7" t="s">
        <v>39</v>
      </c>
      <c r="E36" s="7" t="s">
        <v>99</v>
      </c>
      <c r="F36" s="7" t="s">
        <v>59</v>
      </c>
      <c r="G36" s="7" t="s">
        <v>136</v>
      </c>
      <c r="H36" s="6" t="s">
        <v>1004</v>
      </c>
      <c r="I36" s="6" t="s">
        <v>3526</v>
      </c>
      <c r="J36" s="6" t="s">
        <v>3527</v>
      </c>
      <c r="K36" s="6" t="s">
        <v>138</v>
      </c>
      <c r="L36" s="7" t="n">
        <f aca="false">COUNTIFS(TestCases!$E$2:$E$328,$A36)</f>
        <v>1</v>
      </c>
      <c r="M36" s="7" t="n">
        <f aca="false">COUNTIFS(TestCases!$E$2:$E$328,$A36,TestCases!$Y$2:$Y$328,"Approve")</f>
        <v>1</v>
      </c>
      <c r="N36" s="7" t="n">
        <f aca="false">COUNTIFS(TestCases!$E$2:$E$328,$A36,TestCases!$Y$2:$Y$328,"Draft")</f>
        <v>0</v>
      </c>
      <c r="O36" s="7" t="n">
        <f aca="false">COUNTIFS(TestCases!$E$2:$E$328,$A36,TestCases!$Y$2:$Y$328,"Reject")</f>
        <v>0</v>
      </c>
      <c r="P36" s="7" t="str">
        <f aca="false">IF(M36=L36,"Approve",IF(O36=L36,"Reject","Draft"))</f>
        <v>Approve</v>
      </c>
    </row>
    <row r="37" customFormat="false" ht="23.25" hidden="false" customHeight="true" outlineLevel="0" collapsed="false">
      <c r="A37" s="7" t="s">
        <v>1015</v>
      </c>
      <c r="B37" s="7" t="s">
        <v>1024</v>
      </c>
      <c r="C37" s="7" t="s">
        <v>1014</v>
      </c>
      <c r="D37" s="7" t="s">
        <v>39</v>
      </c>
      <c r="E37" s="7" t="s">
        <v>99</v>
      </c>
      <c r="F37" s="7" t="s">
        <v>50</v>
      </c>
      <c r="G37" s="7" t="s">
        <v>136</v>
      </c>
      <c r="H37" s="6" t="s">
        <v>1016</v>
      </c>
      <c r="I37" s="6" t="s">
        <v>3528</v>
      </c>
      <c r="J37" s="6" t="s">
        <v>3529</v>
      </c>
      <c r="K37" s="6" t="s">
        <v>138</v>
      </c>
      <c r="L37" s="7" t="n">
        <f aca="false">COUNTIFS(TestCases!$E$2:$E$328,$A37)</f>
        <v>1</v>
      </c>
      <c r="M37" s="7" t="n">
        <f aca="false">COUNTIFS(TestCases!$E$2:$E$328,$A37,TestCases!$Y$2:$Y$328,"Approve")</f>
        <v>1</v>
      </c>
      <c r="N37" s="7" t="n">
        <f aca="false">COUNTIFS(TestCases!$E$2:$E$328,$A37,TestCases!$Y$2:$Y$328,"Draft")</f>
        <v>0</v>
      </c>
      <c r="O37" s="7" t="n">
        <f aca="false">COUNTIFS(TestCases!$E$2:$E$328,$A37,TestCases!$Y$2:$Y$328,"Reject")</f>
        <v>0</v>
      </c>
      <c r="P37" s="7" t="str">
        <f aca="false">IF(M37=L37,"Approve",IF(O37=L37,"Reject","Draft"))</f>
        <v>Approve</v>
      </c>
    </row>
    <row r="38" customFormat="false" ht="34.5" hidden="false" customHeight="true" outlineLevel="0" collapsed="false">
      <c r="A38" s="7" t="s">
        <v>1028</v>
      </c>
      <c r="B38" s="7" t="s">
        <v>1037</v>
      </c>
      <c r="C38" s="7" t="s">
        <v>1027</v>
      </c>
      <c r="D38" s="7" t="s">
        <v>39</v>
      </c>
      <c r="E38" s="7" t="s">
        <v>99</v>
      </c>
      <c r="F38" s="7" t="s">
        <v>59</v>
      </c>
      <c r="G38" s="7" t="s">
        <v>136</v>
      </c>
      <c r="H38" s="6" t="s">
        <v>1029</v>
      </c>
      <c r="I38" s="6" t="s">
        <v>3530</v>
      </c>
      <c r="J38" s="6" t="s">
        <v>3531</v>
      </c>
      <c r="K38" s="6" t="s">
        <v>879</v>
      </c>
      <c r="L38" s="7" t="n">
        <f aca="false">COUNTIFS(TestCases!$E$2:$E$328,$A38)</f>
        <v>1</v>
      </c>
      <c r="M38" s="7" t="n">
        <f aca="false">COUNTIFS(TestCases!$E$2:$E$328,$A38,TestCases!$Y$2:$Y$328,"Approve")</f>
        <v>0</v>
      </c>
      <c r="N38" s="7" t="n">
        <f aca="false">COUNTIFS(TestCases!$E$2:$E$328,$A38,TestCases!$Y$2:$Y$328,"Draft")</f>
        <v>1</v>
      </c>
      <c r="O38" s="7" t="n">
        <f aca="false">COUNTIFS(TestCases!$E$2:$E$328,$A38,TestCases!$Y$2:$Y$328,"Reject")</f>
        <v>0</v>
      </c>
      <c r="P38" s="7" t="str">
        <f aca="false">IF(M38=L38,"Approve",IF(O38=L38,"Reject","Draft"))</f>
        <v>Draft</v>
      </c>
    </row>
    <row r="39" customFormat="false" ht="45.75" hidden="false" customHeight="true" outlineLevel="0" collapsed="false">
      <c r="A39" s="7" t="s">
        <v>1041</v>
      </c>
      <c r="B39" s="7" t="s">
        <v>1050</v>
      </c>
      <c r="C39" s="7" t="s">
        <v>1040</v>
      </c>
      <c r="D39" s="7" t="s">
        <v>38</v>
      </c>
      <c r="E39" s="7" t="s">
        <v>99</v>
      </c>
      <c r="F39" s="7" t="s">
        <v>59</v>
      </c>
      <c r="G39" s="7" t="s">
        <v>300</v>
      </c>
      <c r="H39" s="6" t="s">
        <v>1042</v>
      </c>
      <c r="I39" s="6" t="s">
        <v>3532</v>
      </c>
      <c r="J39" s="6" t="s">
        <v>3533</v>
      </c>
      <c r="K39" s="6" t="s">
        <v>1051</v>
      </c>
      <c r="L39" s="7" t="n">
        <f aca="false">COUNTIFS(TestCases!$E$2:$E$328,$A39)</f>
        <v>1</v>
      </c>
      <c r="M39" s="7" t="n">
        <f aca="false">COUNTIFS(TestCases!$E$2:$E$328,$A39,TestCases!$Y$2:$Y$328,"Approve")</f>
        <v>0</v>
      </c>
      <c r="N39" s="7" t="n">
        <f aca="false">COUNTIFS(TestCases!$E$2:$E$328,$A39,TestCases!$Y$2:$Y$328,"Draft")</f>
        <v>1</v>
      </c>
      <c r="O39" s="7" t="n">
        <f aca="false">COUNTIFS(TestCases!$E$2:$E$328,$A39,TestCases!$Y$2:$Y$328,"Reject")</f>
        <v>0</v>
      </c>
      <c r="P39" s="7" t="str">
        <f aca="false">IF(M39=L39,"Approve",IF(O39=L39,"Reject","Draft"))</f>
        <v>Draft</v>
      </c>
    </row>
    <row r="40" customFormat="false" ht="34.5" hidden="false" customHeight="true" outlineLevel="0" collapsed="false">
      <c r="A40" s="7" t="s">
        <v>1055</v>
      </c>
      <c r="B40" s="7" t="s">
        <v>1064</v>
      </c>
      <c r="C40" s="7" t="s">
        <v>1054</v>
      </c>
      <c r="D40" s="7" t="s">
        <v>38</v>
      </c>
      <c r="E40" s="7" t="s">
        <v>99</v>
      </c>
      <c r="F40" s="7" t="s">
        <v>50</v>
      </c>
      <c r="G40" s="7" t="s">
        <v>136</v>
      </c>
      <c r="H40" s="6" t="s">
        <v>1056</v>
      </c>
      <c r="I40" s="6" t="s">
        <v>3534</v>
      </c>
      <c r="J40" s="6" t="s">
        <v>3535</v>
      </c>
      <c r="K40" s="6" t="s">
        <v>138</v>
      </c>
      <c r="L40" s="7" t="n">
        <f aca="false">COUNTIFS(TestCases!$E$2:$E$328,$A40)</f>
        <v>1</v>
      </c>
      <c r="M40" s="7" t="n">
        <f aca="false">COUNTIFS(TestCases!$E$2:$E$328,$A40,TestCases!$Y$2:$Y$328,"Approve")</f>
        <v>1</v>
      </c>
      <c r="N40" s="7" t="n">
        <f aca="false">COUNTIFS(TestCases!$E$2:$E$328,$A40,TestCases!$Y$2:$Y$328,"Draft")</f>
        <v>0</v>
      </c>
      <c r="O40" s="7" t="n">
        <f aca="false">COUNTIFS(TestCases!$E$2:$E$328,$A40,TestCases!$Y$2:$Y$328,"Reject")</f>
        <v>0</v>
      </c>
      <c r="P40" s="7" t="str">
        <f aca="false">IF(M40=L40,"Approve",IF(O40=L40,"Reject","Draft"))</f>
        <v>Approve</v>
      </c>
    </row>
    <row r="41" customFormat="false" ht="45.75" hidden="false" customHeight="true" outlineLevel="0" collapsed="false">
      <c r="A41" s="7" t="s">
        <v>1068</v>
      </c>
      <c r="B41" s="7" t="s">
        <v>1077</v>
      </c>
      <c r="C41" s="7" t="s">
        <v>1067</v>
      </c>
      <c r="D41" s="7" t="s">
        <v>38</v>
      </c>
      <c r="E41" s="7" t="s">
        <v>99</v>
      </c>
      <c r="F41" s="7" t="s">
        <v>59</v>
      </c>
      <c r="G41" s="7" t="s">
        <v>136</v>
      </c>
      <c r="H41" s="6" t="s">
        <v>1069</v>
      </c>
      <c r="I41" s="6" t="s">
        <v>3536</v>
      </c>
      <c r="J41" s="6" t="s">
        <v>3537</v>
      </c>
      <c r="K41" s="6" t="s">
        <v>1078</v>
      </c>
      <c r="L41" s="7" t="n">
        <f aca="false">COUNTIFS(TestCases!$E$2:$E$328,$A41)</f>
        <v>1</v>
      </c>
      <c r="M41" s="7" t="n">
        <f aca="false">COUNTIFS(TestCases!$E$2:$E$328,$A41,TestCases!$Y$2:$Y$328,"Approve")</f>
        <v>0</v>
      </c>
      <c r="N41" s="7" t="n">
        <f aca="false">COUNTIFS(TestCases!$E$2:$E$328,$A41,TestCases!$Y$2:$Y$328,"Draft")</f>
        <v>1</v>
      </c>
      <c r="O41" s="7" t="n">
        <f aca="false">COUNTIFS(TestCases!$E$2:$E$328,$A41,TestCases!$Y$2:$Y$328,"Reject")</f>
        <v>0</v>
      </c>
      <c r="P41" s="7" t="str">
        <f aca="false">IF(M41=L41,"Approve",IF(O41=L41,"Reject","Draft"))</f>
        <v>Draft</v>
      </c>
    </row>
    <row r="42" customFormat="false" ht="57" hidden="false" customHeight="true" outlineLevel="0" collapsed="false">
      <c r="A42" s="7" t="s">
        <v>1082</v>
      </c>
      <c r="B42" s="7" t="s">
        <v>1091</v>
      </c>
      <c r="C42" s="7" t="s">
        <v>1081</v>
      </c>
      <c r="D42" s="7" t="s">
        <v>38</v>
      </c>
      <c r="E42" s="7" t="s">
        <v>99</v>
      </c>
      <c r="F42" s="7" t="s">
        <v>54</v>
      </c>
      <c r="G42" s="7" t="s">
        <v>136</v>
      </c>
      <c r="H42" s="6" t="s">
        <v>1083</v>
      </c>
      <c r="I42" s="6" t="s">
        <v>3538</v>
      </c>
      <c r="J42" s="6" t="s">
        <v>3539</v>
      </c>
      <c r="K42" s="6" t="s">
        <v>1092</v>
      </c>
      <c r="L42" s="7" t="n">
        <f aca="false">COUNTIFS(TestCases!$E$2:$E$328,$A42)</f>
        <v>3</v>
      </c>
      <c r="M42" s="7" t="n">
        <f aca="false">COUNTIFS(TestCases!$E$2:$E$328,$A42,TestCases!$Y$2:$Y$328,"Approve")</f>
        <v>0</v>
      </c>
      <c r="N42" s="7" t="n">
        <f aca="false">COUNTIFS(TestCases!$E$2:$E$328,$A42,TestCases!$Y$2:$Y$328,"Draft")</f>
        <v>3</v>
      </c>
      <c r="O42" s="7" t="n">
        <f aca="false">COUNTIFS(TestCases!$E$2:$E$328,$A42,TestCases!$Y$2:$Y$328,"Reject")</f>
        <v>0</v>
      </c>
      <c r="P42" s="7" t="str">
        <f aca="false">IF(M42=L42,"Approve",IF(O42=L42,"Reject","Draft"))</f>
        <v>Draft</v>
      </c>
    </row>
    <row r="43" customFormat="false" ht="68.25" hidden="false" customHeight="true" outlineLevel="0" collapsed="false">
      <c r="A43" s="7" t="s">
        <v>1111</v>
      </c>
      <c r="B43" s="7" t="s">
        <v>1120</v>
      </c>
      <c r="C43" s="7" t="s">
        <v>1110</v>
      </c>
      <c r="D43" s="7" t="s">
        <v>38</v>
      </c>
      <c r="E43" s="7" t="s">
        <v>100</v>
      </c>
      <c r="F43" s="7" t="s">
        <v>59</v>
      </c>
      <c r="G43" s="7" t="s">
        <v>269</v>
      </c>
      <c r="H43" s="6" t="s">
        <v>1112</v>
      </c>
      <c r="I43" s="6" t="s">
        <v>3540</v>
      </c>
      <c r="J43" s="6" t="s">
        <v>3541</v>
      </c>
      <c r="K43" s="6" t="s">
        <v>1121</v>
      </c>
      <c r="L43" s="7" t="n">
        <f aca="false">COUNTIFS(TestCases!$E$2:$E$328,$A43)</f>
        <v>3</v>
      </c>
      <c r="M43" s="7" t="n">
        <f aca="false">COUNTIFS(TestCases!$E$2:$E$328,$A43,TestCases!$Y$2:$Y$328,"Approve")</f>
        <v>1</v>
      </c>
      <c r="N43" s="7" t="n">
        <f aca="false">COUNTIFS(TestCases!$E$2:$E$328,$A43,TestCases!$Y$2:$Y$328,"Draft")</f>
        <v>2</v>
      </c>
      <c r="O43" s="7" t="n">
        <f aca="false">COUNTIFS(TestCases!$E$2:$E$328,$A43,TestCases!$Y$2:$Y$328,"Reject")</f>
        <v>0</v>
      </c>
      <c r="P43" s="7" t="str">
        <f aca="false">IF(M43=L43,"Approve",IF(O43=L43,"Reject","Draft"))</f>
        <v>Draft</v>
      </c>
    </row>
    <row r="44" customFormat="false" ht="23.25" hidden="false" customHeight="true" outlineLevel="0" collapsed="false">
      <c r="A44" s="7" t="s">
        <v>1140</v>
      </c>
      <c r="B44" s="7" t="s">
        <v>1149</v>
      </c>
      <c r="C44" s="7" t="s">
        <v>1139</v>
      </c>
      <c r="D44" s="7" t="s">
        <v>38</v>
      </c>
      <c r="E44" s="7" t="s">
        <v>99</v>
      </c>
      <c r="F44" s="7" t="s">
        <v>51</v>
      </c>
      <c r="G44" s="7" t="s">
        <v>136</v>
      </c>
      <c r="H44" s="6" t="s">
        <v>1141</v>
      </c>
      <c r="I44" s="6" t="s">
        <v>3542</v>
      </c>
      <c r="J44" s="6" t="s">
        <v>3543</v>
      </c>
      <c r="K44" s="6" t="s">
        <v>138</v>
      </c>
      <c r="L44" s="7" t="n">
        <f aca="false">COUNTIFS(TestCases!$E$2:$E$328,$A44)</f>
        <v>1</v>
      </c>
      <c r="M44" s="7" t="n">
        <f aca="false">COUNTIFS(TestCases!$E$2:$E$328,$A44,TestCases!$Y$2:$Y$328,"Approve")</f>
        <v>1</v>
      </c>
      <c r="N44" s="7" t="n">
        <f aca="false">COUNTIFS(TestCases!$E$2:$E$328,$A44,TestCases!$Y$2:$Y$328,"Draft")</f>
        <v>0</v>
      </c>
      <c r="O44" s="7" t="n">
        <f aca="false">COUNTIFS(TestCases!$E$2:$E$328,$A44,TestCases!$Y$2:$Y$328,"Reject")</f>
        <v>0</v>
      </c>
      <c r="P44" s="7" t="str">
        <f aca="false">IF(M44=L44,"Approve",IF(O44=L44,"Reject","Draft"))</f>
        <v>Approve</v>
      </c>
    </row>
    <row r="45" customFormat="false" ht="23.25" hidden="false" customHeight="true" outlineLevel="0" collapsed="false">
      <c r="A45" s="7" t="s">
        <v>1153</v>
      </c>
      <c r="B45" s="7" t="s">
        <v>1161</v>
      </c>
      <c r="C45" s="7" t="s">
        <v>1152</v>
      </c>
      <c r="D45" s="7" t="s">
        <v>38</v>
      </c>
      <c r="E45" s="7" t="s">
        <v>99</v>
      </c>
      <c r="F45" s="7" t="s">
        <v>50</v>
      </c>
      <c r="G45" s="7" t="s">
        <v>136</v>
      </c>
      <c r="H45" s="6" t="s">
        <v>1154</v>
      </c>
      <c r="I45" s="6" t="s">
        <v>3544</v>
      </c>
      <c r="J45" s="6" t="s">
        <v>3545</v>
      </c>
      <c r="K45" s="6" t="s">
        <v>138</v>
      </c>
      <c r="L45" s="7" t="n">
        <f aca="false">COUNTIFS(TestCases!$E$2:$E$328,$A45)</f>
        <v>1</v>
      </c>
      <c r="M45" s="7" t="n">
        <f aca="false">COUNTIFS(TestCases!$E$2:$E$328,$A45,TestCases!$Y$2:$Y$328,"Approve")</f>
        <v>1</v>
      </c>
      <c r="N45" s="7" t="n">
        <f aca="false">COUNTIFS(TestCases!$E$2:$E$328,$A45,TestCases!$Y$2:$Y$328,"Draft")</f>
        <v>0</v>
      </c>
      <c r="O45" s="7" t="n">
        <f aca="false">COUNTIFS(TestCases!$E$2:$E$328,$A45,TestCases!$Y$2:$Y$328,"Reject")</f>
        <v>0</v>
      </c>
      <c r="P45" s="7" t="str">
        <f aca="false">IF(M45=L45,"Approve",IF(O45=L45,"Reject","Draft"))</f>
        <v>Approve</v>
      </c>
    </row>
    <row r="46" customFormat="false" ht="45.75" hidden="false" customHeight="true" outlineLevel="0" collapsed="false">
      <c r="A46" s="7" t="s">
        <v>1165</v>
      </c>
      <c r="B46" s="7" t="s">
        <v>1173</v>
      </c>
      <c r="C46" s="7" t="s">
        <v>1164</v>
      </c>
      <c r="D46" s="7" t="s">
        <v>40</v>
      </c>
      <c r="E46" s="7" t="s">
        <v>100</v>
      </c>
      <c r="F46" s="7" t="s">
        <v>59</v>
      </c>
      <c r="G46" s="7" t="s">
        <v>269</v>
      </c>
      <c r="H46" s="6" t="s">
        <v>1166</v>
      </c>
      <c r="I46" s="6" t="s">
        <v>3546</v>
      </c>
      <c r="J46" s="6" t="s">
        <v>3547</v>
      </c>
      <c r="K46" s="6" t="s">
        <v>643</v>
      </c>
      <c r="L46" s="7" t="n">
        <f aca="false">COUNTIFS(TestCases!$E$2:$E$328,$A46)</f>
        <v>3</v>
      </c>
      <c r="M46" s="7" t="n">
        <f aca="false">COUNTIFS(TestCases!$E$2:$E$328,$A46,TestCases!$Y$2:$Y$328,"Approve")</f>
        <v>2</v>
      </c>
      <c r="N46" s="7" t="n">
        <f aca="false">COUNTIFS(TestCases!$E$2:$E$328,$A46,TestCases!$Y$2:$Y$328,"Draft")</f>
        <v>1</v>
      </c>
      <c r="O46" s="7" t="n">
        <f aca="false">COUNTIFS(TestCases!$E$2:$E$328,$A46,TestCases!$Y$2:$Y$328,"Reject")</f>
        <v>0</v>
      </c>
      <c r="P46" s="7" t="str">
        <f aca="false">IF(M46=L46,"Approve",IF(O46=L46,"Reject","Draft"))</f>
        <v>Draft</v>
      </c>
    </row>
    <row r="47" customFormat="false" ht="45.75" hidden="false" customHeight="true" outlineLevel="0" collapsed="false">
      <c r="A47" s="7" t="s">
        <v>1190</v>
      </c>
      <c r="B47" s="7" t="s">
        <v>1198</v>
      </c>
      <c r="C47" s="7" t="s">
        <v>1189</v>
      </c>
      <c r="D47" s="7" t="s">
        <v>38</v>
      </c>
      <c r="E47" s="7" t="s">
        <v>99</v>
      </c>
      <c r="F47" s="7" t="s">
        <v>51</v>
      </c>
      <c r="G47" s="7" t="s">
        <v>136</v>
      </c>
      <c r="H47" s="6" t="s">
        <v>1191</v>
      </c>
      <c r="I47" s="6" t="s">
        <v>3548</v>
      </c>
      <c r="J47" s="6" t="s">
        <v>3549</v>
      </c>
      <c r="K47" s="6" t="s">
        <v>138</v>
      </c>
      <c r="L47" s="7" t="n">
        <f aca="false">COUNTIFS(TestCases!$E$2:$E$328,$A47)</f>
        <v>1</v>
      </c>
      <c r="M47" s="7" t="n">
        <f aca="false">COUNTIFS(TestCases!$E$2:$E$328,$A47,TestCases!$Y$2:$Y$328,"Approve")</f>
        <v>1</v>
      </c>
      <c r="N47" s="7" t="n">
        <f aca="false">COUNTIFS(TestCases!$E$2:$E$328,$A47,TestCases!$Y$2:$Y$328,"Draft")</f>
        <v>0</v>
      </c>
      <c r="O47" s="7" t="n">
        <f aca="false">COUNTIFS(TestCases!$E$2:$E$328,$A47,TestCases!$Y$2:$Y$328,"Reject")</f>
        <v>0</v>
      </c>
      <c r="P47" s="7" t="str">
        <f aca="false">IF(M47=L47,"Approve",IF(O47=L47,"Reject","Draft"))</f>
        <v>Approve</v>
      </c>
    </row>
    <row r="48" customFormat="false" ht="34.5" hidden="false" customHeight="true" outlineLevel="0" collapsed="false">
      <c r="A48" s="7" t="s">
        <v>1202</v>
      </c>
      <c r="B48" s="7" t="s">
        <v>1211</v>
      </c>
      <c r="C48" s="7" t="s">
        <v>1201</v>
      </c>
      <c r="D48" s="7" t="s">
        <v>38</v>
      </c>
      <c r="E48" s="7" t="s">
        <v>99</v>
      </c>
      <c r="F48" s="7" t="s">
        <v>48</v>
      </c>
      <c r="G48" s="7" t="s">
        <v>256</v>
      </c>
      <c r="H48" s="6" t="s">
        <v>1203</v>
      </c>
      <c r="I48" s="6" t="s">
        <v>3550</v>
      </c>
      <c r="J48" s="6" t="s">
        <v>3551</v>
      </c>
      <c r="K48" s="6" t="s">
        <v>1212</v>
      </c>
      <c r="L48" s="7" t="n">
        <f aca="false">COUNTIFS(TestCases!$E$2:$E$328,$A48)</f>
        <v>2</v>
      </c>
      <c r="M48" s="7" t="n">
        <f aca="false">COUNTIFS(TestCases!$E$2:$E$328,$A48,TestCases!$Y$2:$Y$328,"Approve")</f>
        <v>0</v>
      </c>
      <c r="N48" s="7" t="n">
        <f aca="false">COUNTIFS(TestCases!$E$2:$E$328,$A48,TestCases!$Y$2:$Y$328,"Draft")</f>
        <v>2</v>
      </c>
      <c r="O48" s="7" t="n">
        <f aca="false">COUNTIFS(TestCases!$E$2:$E$328,$A48,TestCases!$Y$2:$Y$328,"Reject")</f>
        <v>0</v>
      </c>
      <c r="P48" s="7" t="str">
        <f aca="false">IF(M48=L48,"Approve",IF(O48=L48,"Reject","Draft"))</f>
        <v>Draft</v>
      </c>
    </row>
    <row r="49" customFormat="false" ht="45.75" hidden="false" customHeight="true" outlineLevel="0" collapsed="false">
      <c r="A49" s="7" t="s">
        <v>1223</v>
      </c>
      <c r="B49" s="7" t="s">
        <v>1232</v>
      </c>
      <c r="C49" s="7" t="s">
        <v>1222</v>
      </c>
      <c r="D49" s="7" t="s">
        <v>38</v>
      </c>
      <c r="E49" s="7" t="s">
        <v>99</v>
      </c>
      <c r="F49" s="7" t="s">
        <v>57</v>
      </c>
      <c r="G49" s="7" t="s">
        <v>300</v>
      </c>
      <c r="H49" s="6" t="s">
        <v>1224</v>
      </c>
      <c r="I49" s="6" t="s">
        <v>3552</v>
      </c>
      <c r="J49" s="6" t="s">
        <v>3553</v>
      </c>
      <c r="K49" s="6" t="s">
        <v>1233</v>
      </c>
      <c r="L49" s="7" t="n">
        <f aca="false">COUNTIFS(TestCases!$E$2:$E$328,$A49)</f>
        <v>1</v>
      </c>
      <c r="M49" s="7" t="n">
        <f aca="false">COUNTIFS(TestCases!$E$2:$E$328,$A49,TestCases!$Y$2:$Y$328,"Approve")</f>
        <v>0</v>
      </c>
      <c r="N49" s="7" t="n">
        <f aca="false">COUNTIFS(TestCases!$E$2:$E$328,$A49,TestCases!$Y$2:$Y$328,"Draft")</f>
        <v>1</v>
      </c>
      <c r="O49" s="7" t="n">
        <f aca="false">COUNTIFS(TestCases!$E$2:$E$328,$A49,TestCases!$Y$2:$Y$328,"Reject")</f>
        <v>0</v>
      </c>
      <c r="P49" s="7" t="str">
        <f aca="false">IF(M49=L49,"Approve",IF(O49=L49,"Reject","Draft"))</f>
        <v>Draft</v>
      </c>
    </row>
    <row r="50" customFormat="false" ht="34.5" hidden="false" customHeight="true" outlineLevel="0" collapsed="false">
      <c r="A50" s="7" t="s">
        <v>1237</v>
      </c>
      <c r="B50" s="7" t="s">
        <v>1246</v>
      </c>
      <c r="C50" s="7" t="s">
        <v>1236</v>
      </c>
      <c r="D50" s="7" t="s">
        <v>38</v>
      </c>
      <c r="E50" s="7" t="s">
        <v>99</v>
      </c>
      <c r="F50" s="7" t="s">
        <v>59</v>
      </c>
      <c r="G50" s="7" t="s">
        <v>136</v>
      </c>
      <c r="H50" s="6" t="s">
        <v>1238</v>
      </c>
      <c r="I50" s="6" t="s">
        <v>3554</v>
      </c>
      <c r="J50" s="6" t="s">
        <v>3555</v>
      </c>
      <c r="K50" s="6" t="s">
        <v>1247</v>
      </c>
      <c r="L50" s="7" t="n">
        <f aca="false">COUNTIFS(TestCases!$E$2:$E$328,$A50)</f>
        <v>1</v>
      </c>
      <c r="M50" s="7" t="n">
        <f aca="false">COUNTIFS(TestCases!$E$2:$E$328,$A50,TestCases!$Y$2:$Y$328,"Approve")</f>
        <v>0</v>
      </c>
      <c r="N50" s="7" t="n">
        <f aca="false">COUNTIFS(TestCases!$E$2:$E$328,$A50,TestCases!$Y$2:$Y$328,"Draft")</f>
        <v>1</v>
      </c>
      <c r="O50" s="7" t="n">
        <f aca="false">COUNTIFS(TestCases!$E$2:$E$328,$A50,TestCases!$Y$2:$Y$328,"Reject")</f>
        <v>0</v>
      </c>
      <c r="P50" s="7" t="str">
        <f aca="false">IF(M50=L50,"Approve",IF(O50=L50,"Reject","Draft"))</f>
        <v>Draft</v>
      </c>
    </row>
    <row r="51" customFormat="false" ht="68.25" hidden="false" customHeight="true" outlineLevel="0" collapsed="false">
      <c r="A51" s="7" t="s">
        <v>1251</v>
      </c>
      <c r="B51" s="7" t="s">
        <v>1260</v>
      </c>
      <c r="C51" s="7" t="s">
        <v>1250</v>
      </c>
      <c r="D51" s="7" t="s">
        <v>40</v>
      </c>
      <c r="E51" s="7" t="s">
        <v>101</v>
      </c>
      <c r="F51" s="7" t="s">
        <v>50</v>
      </c>
      <c r="G51" s="7" t="s">
        <v>136</v>
      </c>
      <c r="H51" s="6" t="s">
        <v>1252</v>
      </c>
      <c r="I51" s="6" t="s">
        <v>3556</v>
      </c>
      <c r="J51" s="6" t="s">
        <v>3557</v>
      </c>
      <c r="K51" s="6" t="s">
        <v>513</v>
      </c>
      <c r="L51" s="7" t="n">
        <f aca="false">COUNTIFS(TestCases!$E$2:$E$328,$A51)</f>
        <v>2</v>
      </c>
      <c r="M51" s="7" t="n">
        <f aca="false">COUNTIFS(TestCases!$E$2:$E$328,$A51,TestCases!$Y$2:$Y$328,"Approve")</f>
        <v>0</v>
      </c>
      <c r="N51" s="7" t="n">
        <f aca="false">COUNTIFS(TestCases!$E$2:$E$328,$A51,TestCases!$Y$2:$Y$328,"Draft")</f>
        <v>2</v>
      </c>
      <c r="O51" s="7" t="n">
        <f aca="false">COUNTIFS(TestCases!$E$2:$E$328,$A51,TestCases!$Y$2:$Y$328,"Reject")</f>
        <v>0</v>
      </c>
      <c r="P51" s="7" t="str">
        <f aca="false">IF(M51=L51,"Approve",IF(O51=L51,"Reject","Draft"))</f>
        <v>Draft</v>
      </c>
    </row>
    <row r="52" customFormat="false" ht="45.75" hidden="false" customHeight="true" outlineLevel="0" collapsed="false">
      <c r="A52" s="7" t="s">
        <v>1272</v>
      </c>
      <c r="B52" s="7" t="s">
        <v>1280</v>
      </c>
      <c r="C52" s="7" t="s">
        <v>1271</v>
      </c>
      <c r="D52" s="7" t="s">
        <v>38</v>
      </c>
      <c r="E52" s="7" t="s">
        <v>101</v>
      </c>
      <c r="F52" s="7" t="s">
        <v>59</v>
      </c>
      <c r="G52" s="7" t="s">
        <v>269</v>
      </c>
      <c r="H52" s="6" t="s">
        <v>1273</v>
      </c>
      <c r="I52" s="6" t="s">
        <v>3558</v>
      </c>
      <c r="J52" s="6" t="s">
        <v>3559</v>
      </c>
      <c r="K52" s="6" t="s">
        <v>966</v>
      </c>
      <c r="L52" s="7" t="n">
        <f aca="false">COUNTIFS(TestCases!$E$2:$E$328,$A52)</f>
        <v>2</v>
      </c>
      <c r="M52" s="7" t="n">
        <f aca="false">COUNTIFS(TestCases!$E$2:$E$328,$A52,TestCases!$Y$2:$Y$328,"Approve")</f>
        <v>0</v>
      </c>
      <c r="N52" s="7" t="n">
        <f aca="false">COUNTIFS(TestCases!$E$2:$E$328,$A52,TestCases!$Y$2:$Y$328,"Draft")</f>
        <v>2</v>
      </c>
      <c r="O52" s="7" t="n">
        <f aca="false">COUNTIFS(TestCases!$E$2:$E$328,$A52,TestCases!$Y$2:$Y$328,"Reject")</f>
        <v>0</v>
      </c>
      <c r="P52" s="7" t="str">
        <f aca="false">IF(M52=L52,"Approve",IF(O52=L52,"Reject","Draft"))</f>
        <v>Draft</v>
      </c>
    </row>
    <row r="53" customFormat="false" ht="34.5" hidden="false" customHeight="true" outlineLevel="0" collapsed="false">
      <c r="A53" s="7" t="s">
        <v>1292</v>
      </c>
      <c r="B53" s="7" t="s">
        <v>1301</v>
      </c>
      <c r="C53" s="7" t="s">
        <v>1291</v>
      </c>
      <c r="D53" s="7" t="s">
        <v>38</v>
      </c>
      <c r="E53" s="7" t="s">
        <v>99</v>
      </c>
      <c r="F53" s="7" t="s">
        <v>56</v>
      </c>
      <c r="G53" s="7" t="s">
        <v>136</v>
      </c>
      <c r="H53" s="6" t="s">
        <v>1293</v>
      </c>
      <c r="I53" s="6" t="s">
        <v>3560</v>
      </c>
      <c r="J53" s="6" t="s">
        <v>3561</v>
      </c>
      <c r="K53" s="6" t="s">
        <v>1310</v>
      </c>
      <c r="L53" s="7" t="n">
        <f aca="false">COUNTIFS(TestCases!$E$2:$E$328,$A53)</f>
        <v>2</v>
      </c>
      <c r="M53" s="7" t="n">
        <f aca="false">COUNTIFS(TestCases!$E$2:$E$328,$A53,TestCases!$Y$2:$Y$328,"Approve")</f>
        <v>1</v>
      </c>
      <c r="N53" s="7" t="n">
        <f aca="false">COUNTIFS(TestCases!$E$2:$E$328,$A53,TestCases!$Y$2:$Y$328,"Draft")</f>
        <v>1</v>
      </c>
      <c r="O53" s="7" t="n">
        <f aca="false">COUNTIFS(TestCases!$E$2:$E$328,$A53,TestCases!$Y$2:$Y$328,"Reject")</f>
        <v>0</v>
      </c>
      <c r="P53" s="7" t="str">
        <f aca="false">IF(M53=L53,"Approve",IF(O53=L53,"Reject","Draft"))</f>
        <v>Draft</v>
      </c>
    </row>
    <row r="54" customFormat="false" ht="68.25" hidden="false" customHeight="true" outlineLevel="0" collapsed="false">
      <c r="A54" s="7" t="s">
        <v>1314</v>
      </c>
      <c r="B54" s="7" t="s">
        <v>1322</v>
      </c>
      <c r="C54" s="7" t="s">
        <v>1313</v>
      </c>
      <c r="D54" s="7" t="s">
        <v>38</v>
      </c>
      <c r="E54" s="7" t="s">
        <v>99</v>
      </c>
      <c r="F54" s="7" t="s">
        <v>49</v>
      </c>
      <c r="G54" s="7" t="s">
        <v>269</v>
      </c>
      <c r="H54" s="6" t="s">
        <v>1315</v>
      </c>
      <c r="I54" s="6" t="s">
        <v>3562</v>
      </c>
      <c r="J54" s="6" t="s">
        <v>3563</v>
      </c>
      <c r="K54" s="6" t="s">
        <v>1323</v>
      </c>
      <c r="L54" s="7" t="n">
        <f aca="false">COUNTIFS(TestCases!$E$2:$E$328,$A54)</f>
        <v>3</v>
      </c>
      <c r="M54" s="7" t="n">
        <f aca="false">COUNTIFS(TestCases!$E$2:$E$328,$A54,TestCases!$Y$2:$Y$328,"Approve")</f>
        <v>0</v>
      </c>
      <c r="N54" s="7" t="n">
        <f aca="false">COUNTIFS(TestCases!$E$2:$E$328,$A54,TestCases!$Y$2:$Y$328,"Draft")</f>
        <v>3</v>
      </c>
      <c r="O54" s="7" t="n">
        <f aca="false">COUNTIFS(TestCases!$E$2:$E$328,$A54,TestCases!$Y$2:$Y$328,"Reject")</f>
        <v>0</v>
      </c>
      <c r="P54" s="7" t="str">
        <f aca="false">IF(M54=L54,"Approve",IF(O54=L54,"Reject","Draft"))</f>
        <v>Draft</v>
      </c>
    </row>
    <row r="55" customFormat="false" ht="23.25" hidden="false" customHeight="true" outlineLevel="0" collapsed="false">
      <c r="A55" s="7" t="s">
        <v>1341</v>
      </c>
      <c r="B55" s="7" t="s">
        <v>1349</v>
      </c>
      <c r="C55" s="7" t="s">
        <v>1340</v>
      </c>
      <c r="D55" s="7" t="s">
        <v>38</v>
      </c>
      <c r="E55" s="7" t="s">
        <v>99</v>
      </c>
      <c r="F55" s="7" t="s">
        <v>50</v>
      </c>
      <c r="G55" s="7" t="s">
        <v>136</v>
      </c>
      <c r="H55" s="6" t="s">
        <v>1342</v>
      </c>
      <c r="I55" s="6" t="s">
        <v>3564</v>
      </c>
      <c r="J55" s="6" t="s">
        <v>3565</v>
      </c>
      <c r="K55" s="6" t="s">
        <v>138</v>
      </c>
      <c r="L55" s="7" t="n">
        <f aca="false">COUNTIFS(TestCases!$E$2:$E$328,$A55)</f>
        <v>1</v>
      </c>
      <c r="M55" s="7" t="n">
        <f aca="false">COUNTIFS(TestCases!$E$2:$E$328,$A55,TestCases!$Y$2:$Y$328,"Approve")</f>
        <v>1</v>
      </c>
      <c r="N55" s="7" t="n">
        <f aca="false">COUNTIFS(TestCases!$E$2:$E$328,$A55,TestCases!$Y$2:$Y$328,"Draft")</f>
        <v>0</v>
      </c>
      <c r="O55" s="7" t="n">
        <f aca="false">COUNTIFS(TestCases!$E$2:$E$328,$A55,TestCases!$Y$2:$Y$328,"Reject")</f>
        <v>0</v>
      </c>
      <c r="P55" s="7" t="str">
        <f aca="false">IF(M55=L55,"Approve",IF(O55=L55,"Reject","Draft"))</f>
        <v>Approve</v>
      </c>
    </row>
    <row r="56" customFormat="false" ht="34.5" hidden="false" customHeight="true" outlineLevel="0" collapsed="false">
      <c r="A56" s="7" t="s">
        <v>1353</v>
      </c>
      <c r="B56" s="7" t="s">
        <v>1362</v>
      </c>
      <c r="C56" s="7" t="s">
        <v>1352</v>
      </c>
      <c r="D56" s="7" t="s">
        <v>38</v>
      </c>
      <c r="E56" s="7" t="s">
        <v>99</v>
      </c>
      <c r="F56" s="7" t="s">
        <v>53</v>
      </c>
      <c r="G56" s="7" t="s">
        <v>136</v>
      </c>
      <c r="H56" s="6" t="s">
        <v>1354</v>
      </c>
      <c r="I56" s="6" t="s">
        <v>3566</v>
      </c>
      <c r="J56" s="6" t="s">
        <v>3567</v>
      </c>
      <c r="K56" s="6" t="s">
        <v>138</v>
      </c>
      <c r="L56" s="7" t="n">
        <f aca="false">COUNTIFS(TestCases!$E$2:$E$328,$A56)</f>
        <v>1</v>
      </c>
      <c r="M56" s="7" t="n">
        <f aca="false">COUNTIFS(TestCases!$E$2:$E$328,$A56,TestCases!$Y$2:$Y$328,"Approve")</f>
        <v>1</v>
      </c>
      <c r="N56" s="7" t="n">
        <f aca="false">COUNTIFS(TestCases!$E$2:$E$328,$A56,TestCases!$Y$2:$Y$328,"Draft")</f>
        <v>0</v>
      </c>
      <c r="O56" s="7" t="n">
        <f aca="false">COUNTIFS(TestCases!$E$2:$E$328,$A56,TestCases!$Y$2:$Y$328,"Reject")</f>
        <v>0</v>
      </c>
      <c r="P56" s="7" t="str">
        <f aca="false">IF(M56=L56,"Approve",IF(O56=L56,"Reject","Draft"))</f>
        <v>Approve</v>
      </c>
    </row>
    <row r="57" customFormat="false" ht="34.5" hidden="false" customHeight="true" outlineLevel="0" collapsed="false">
      <c r="A57" s="7" t="s">
        <v>1366</v>
      </c>
      <c r="B57" s="7" t="s">
        <v>1375</v>
      </c>
      <c r="C57" s="7" t="s">
        <v>1365</v>
      </c>
      <c r="D57" s="7" t="s">
        <v>38</v>
      </c>
      <c r="E57" s="7" t="s">
        <v>99</v>
      </c>
      <c r="F57" s="7" t="s">
        <v>50</v>
      </c>
      <c r="G57" s="7" t="s">
        <v>136</v>
      </c>
      <c r="H57" s="6" t="s">
        <v>1367</v>
      </c>
      <c r="I57" s="6" t="s">
        <v>3568</v>
      </c>
      <c r="J57" s="6" t="s">
        <v>3569</v>
      </c>
      <c r="K57" s="6" t="s">
        <v>3570</v>
      </c>
      <c r="L57" s="7" t="n">
        <f aca="false">COUNTIFS(TestCases!$E$2:$E$328,$A57)</f>
        <v>2</v>
      </c>
      <c r="M57" s="7" t="n">
        <f aca="false">COUNTIFS(TestCases!$E$2:$E$328,$A57,TestCases!$Y$2:$Y$328,"Approve")</f>
        <v>0</v>
      </c>
      <c r="N57" s="7" t="n">
        <f aca="false">COUNTIFS(TestCases!$E$2:$E$328,$A57,TestCases!$Y$2:$Y$328,"Draft")</f>
        <v>2</v>
      </c>
      <c r="O57" s="7" t="n">
        <f aca="false">COUNTIFS(TestCases!$E$2:$E$328,$A57,TestCases!$Y$2:$Y$328,"Reject")</f>
        <v>0</v>
      </c>
      <c r="P57" s="7" t="str">
        <f aca="false">IF(M57=L57,"Approve",IF(O57=L57,"Reject","Draft"))</f>
        <v>Draft</v>
      </c>
    </row>
    <row r="58" customFormat="false" ht="57" hidden="false" customHeight="true" outlineLevel="0" collapsed="false">
      <c r="A58" s="7" t="s">
        <v>1388</v>
      </c>
      <c r="B58" s="7" t="s">
        <v>1396</v>
      </c>
      <c r="C58" s="7" t="s">
        <v>1387</v>
      </c>
      <c r="D58" s="7" t="s">
        <v>38</v>
      </c>
      <c r="E58" s="7" t="s">
        <v>99</v>
      </c>
      <c r="F58" s="7" t="s">
        <v>57</v>
      </c>
      <c r="G58" s="7" t="s">
        <v>300</v>
      </c>
      <c r="H58" s="6" t="s">
        <v>1389</v>
      </c>
      <c r="I58" s="6" t="s">
        <v>3571</v>
      </c>
      <c r="J58" s="6" t="s">
        <v>3572</v>
      </c>
      <c r="K58" s="6" t="s">
        <v>1397</v>
      </c>
      <c r="L58" s="7" t="n">
        <f aca="false">COUNTIFS(TestCases!$E$2:$E$328,$A58)</f>
        <v>2</v>
      </c>
      <c r="M58" s="7" t="n">
        <f aca="false">COUNTIFS(TestCases!$E$2:$E$328,$A58,TestCases!$Y$2:$Y$328,"Approve")</f>
        <v>1</v>
      </c>
      <c r="N58" s="7" t="n">
        <f aca="false">COUNTIFS(TestCases!$E$2:$E$328,$A58,TestCases!$Y$2:$Y$328,"Draft")</f>
        <v>1</v>
      </c>
      <c r="O58" s="7" t="n">
        <f aca="false">COUNTIFS(TestCases!$E$2:$E$328,$A58,TestCases!$Y$2:$Y$328,"Reject")</f>
        <v>0</v>
      </c>
      <c r="P58" s="7" t="str">
        <f aca="false">IF(M58=L58,"Approve",IF(O58=L58,"Reject","Draft"))</f>
        <v>Draft</v>
      </c>
    </row>
    <row r="59" customFormat="false" ht="45.75" hidden="false" customHeight="true" outlineLevel="0" collapsed="false">
      <c r="A59" s="7" t="s">
        <v>1408</v>
      </c>
      <c r="B59" s="7" t="s">
        <v>1417</v>
      </c>
      <c r="C59" s="7" t="s">
        <v>1407</v>
      </c>
      <c r="D59" s="7" t="s">
        <v>38</v>
      </c>
      <c r="E59" s="7" t="s">
        <v>99</v>
      </c>
      <c r="F59" s="7" t="s">
        <v>59</v>
      </c>
      <c r="G59" s="7" t="s">
        <v>136</v>
      </c>
      <c r="H59" s="6" t="s">
        <v>1409</v>
      </c>
      <c r="I59" s="6" t="s">
        <v>3573</v>
      </c>
      <c r="J59" s="6" t="s">
        <v>3574</v>
      </c>
      <c r="K59" s="6" t="s">
        <v>1418</v>
      </c>
      <c r="L59" s="7" t="n">
        <f aca="false">COUNTIFS(TestCases!$E$2:$E$328,$A59)</f>
        <v>2</v>
      </c>
      <c r="M59" s="7" t="n">
        <f aca="false">COUNTIFS(TestCases!$E$2:$E$328,$A59,TestCases!$Y$2:$Y$328,"Approve")</f>
        <v>1</v>
      </c>
      <c r="N59" s="7" t="n">
        <f aca="false">COUNTIFS(TestCases!$E$2:$E$328,$A59,TestCases!$Y$2:$Y$328,"Draft")</f>
        <v>1</v>
      </c>
      <c r="O59" s="7" t="n">
        <f aca="false">COUNTIFS(TestCases!$E$2:$E$328,$A59,TestCases!$Y$2:$Y$328,"Reject")</f>
        <v>0</v>
      </c>
      <c r="P59" s="7" t="str">
        <f aca="false">IF(M59=L59,"Approve",IF(O59=L59,"Reject","Draft"))</f>
        <v>Draft</v>
      </c>
    </row>
    <row r="60" customFormat="false" ht="23.25" hidden="false" customHeight="true" outlineLevel="0" collapsed="false">
      <c r="A60" s="7" t="s">
        <v>1430</v>
      </c>
      <c r="B60" s="7" t="s">
        <v>1439</v>
      </c>
      <c r="C60" s="7" t="s">
        <v>1429</v>
      </c>
      <c r="D60" s="7" t="s">
        <v>38</v>
      </c>
      <c r="E60" s="7" t="s">
        <v>99</v>
      </c>
      <c r="F60" s="7" t="s">
        <v>53</v>
      </c>
      <c r="G60" s="7" t="s">
        <v>136</v>
      </c>
      <c r="H60" s="6" t="s">
        <v>1431</v>
      </c>
      <c r="I60" s="6" t="s">
        <v>3575</v>
      </c>
      <c r="J60" s="6" t="s">
        <v>3576</v>
      </c>
      <c r="K60" s="6" t="s">
        <v>138</v>
      </c>
      <c r="L60" s="7" t="n">
        <f aca="false">COUNTIFS(TestCases!$E$2:$E$328,$A60)</f>
        <v>2</v>
      </c>
      <c r="M60" s="7" t="n">
        <f aca="false">COUNTIFS(TestCases!$E$2:$E$328,$A60,TestCases!$Y$2:$Y$328,"Approve")</f>
        <v>2</v>
      </c>
      <c r="N60" s="7" t="n">
        <f aca="false">COUNTIFS(TestCases!$E$2:$E$328,$A60,TestCases!$Y$2:$Y$328,"Draft")</f>
        <v>0</v>
      </c>
      <c r="O60" s="7" t="n">
        <f aca="false">COUNTIFS(TestCases!$E$2:$E$328,$A60,TestCases!$Y$2:$Y$328,"Reject")</f>
        <v>0</v>
      </c>
      <c r="P60" s="7" t="str">
        <f aca="false">IF(M60=L60,"Approve",IF(O60=L60,"Reject","Draft"))</f>
        <v>Approve</v>
      </c>
    </row>
    <row r="61" customFormat="false" ht="68.25" hidden="false" customHeight="true" outlineLevel="0" collapsed="false">
      <c r="A61" s="7" t="s">
        <v>1450</v>
      </c>
      <c r="B61" s="7" t="s">
        <v>1459</v>
      </c>
      <c r="C61" s="7" t="s">
        <v>1449</v>
      </c>
      <c r="D61" s="7" t="s">
        <v>40</v>
      </c>
      <c r="E61" s="7" t="s">
        <v>99</v>
      </c>
      <c r="F61" s="7" t="s">
        <v>59</v>
      </c>
      <c r="G61" s="7" t="s">
        <v>136</v>
      </c>
      <c r="H61" s="6" t="s">
        <v>1451</v>
      </c>
      <c r="I61" s="6" t="s">
        <v>3577</v>
      </c>
      <c r="J61" s="6" t="s">
        <v>3578</v>
      </c>
      <c r="K61" s="6" t="s">
        <v>1474</v>
      </c>
      <c r="L61" s="7" t="n">
        <f aca="false">COUNTIFS(TestCases!$E$2:$E$328,$A61)</f>
        <v>3</v>
      </c>
      <c r="M61" s="7" t="n">
        <f aca="false">COUNTIFS(TestCases!$E$2:$E$328,$A61,TestCases!$Y$2:$Y$328,"Approve")</f>
        <v>2</v>
      </c>
      <c r="N61" s="7" t="n">
        <f aca="false">COUNTIFS(TestCases!$E$2:$E$328,$A61,TestCases!$Y$2:$Y$328,"Draft")</f>
        <v>1</v>
      </c>
      <c r="O61" s="7" t="n">
        <f aca="false">COUNTIFS(TestCases!$E$2:$E$328,$A61,TestCases!$Y$2:$Y$328,"Reject")</f>
        <v>0</v>
      </c>
      <c r="P61" s="7" t="str">
        <f aca="false">IF(M61=L61,"Approve",IF(O61=L61,"Reject","Draft"))</f>
        <v>Draft</v>
      </c>
    </row>
    <row r="62" customFormat="false" ht="45.75" hidden="false" customHeight="true" outlineLevel="0" collapsed="false">
      <c r="A62" s="7" t="s">
        <v>1478</v>
      </c>
      <c r="B62" s="7" t="s">
        <v>1487</v>
      </c>
      <c r="C62" s="7" t="s">
        <v>1477</v>
      </c>
      <c r="D62" s="7" t="s">
        <v>38</v>
      </c>
      <c r="E62" s="7" t="s">
        <v>99</v>
      </c>
      <c r="F62" s="7" t="s">
        <v>54</v>
      </c>
      <c r="G62" s="7" t="s">
        <v>136</v>
      </c>
      <c r="H62" s="6" t="s">
        <v>1479</v>
      </c>
      <c r="I62" s="6" t="s">
        <v>3579</v>
      </c>
      <c r="J62" s="6" t="s">
        <v>3580</v>
      </c>
      <c r="K62" s="6" t="s">
        <v>1488</v>
      </c>
      <c r="L62" s="7" t="n">
        <f aca="false">COUNTIFS(TestCases!$E$2:$E$328,$A62)</f>
        <v>2</v>
      </c>
      <c r="M62" s="7" t="n">
        <f aca="false">COUNTIFS(TestCases!$E$2:$E$328,$A62,TestCases!$Y$2:$Y$328,"Approve")</f>
        <v>1</v>
      </c>
      <c r="N62" s="7" t="n">
        <f aca="false">COUNTIFS(TestCases!$E$2:$E$328,$A62,TestCases!$Y$2:$Y$328,"Draft")</f>
        <v>1</v>
      </c>
      <c r="O62" s="7" t="n">
        <f aca="false">COUNTIFS(TestCases!$E$2:$E$328,$A62,TestCases!$Y$2:$Y$328,"Reject")</f>
        <v>0</v>
      </c>
      <c r="P62" s="7" t="str">
        <f aca="false">IF(M62=L62,"Approve",IF(O62=L62,"Reject","Draft"))</f>
        <v>Draft</v>
      </c>
    </row>
    <row r="63" customFormat="false" ht="34.5" hidden="false" customHeight="true" outlineLevel="0" collapsed="false">
      <c r="A63" s="7" t="s">
        <v>1499</v>
      </c>
      <c r="B63" s="7" t="s">
        <v>1507</v>
      </c>
      <c r="C63" s="7" t="s">
        <v>1498</v>
      </c>
      <c r="D63" s="7" t="s">
        <v>38</v>
      </c>
      <c r="E63" s="7" t="s">
        <v>100</v>
      </c>
      <c r="F63" s="7" t="s">
        <v>59</v>
      </c>
      <c r="G63" s="7" t="s">
        <v>136</v>
      </c>
      <c r="H63" s="6" t="s">
        <v>1500</v>
      </c>
      <c r="I63" s="6" t="s">
        <v>3581</v>
      </c>
      <c r="J63" s="6" t="s">
        <v>3582</v>
      </c>
      <c r="K63" s="6" t="s">
        <v>879</v>
      </c>
      <c r="L63" s="7" t="n">
        <f aca="false">COUNTIFS(TestCases!$E$2:$E$328,$A63)</f>
        <v>2</v>
      </c>
      <c r="M63" s="7" t="n">
        <f aca="false">COUNTIFS(TestCases!$E$2:$E$328,$A63,TestCases!$Y$2:$Y$328,"Approve")</f>
        <v>0</v>
      </c>
      <c r="N63" s="7" t="n">
        <f aca="false">COUNTIFS(TestCases!$E$2:$E$328,$A63,TestCases!$Y$2:$Y$328,"Draft")</f>
        <v>2</v>
      </c>
      <c r="O63" s="7" t="n">
        <f aca="false">COUNTIFS(TestCases!$E$2:$E$328,$A63,TestCases!$Y$2:$Y$328,"Reject")</f>
        <v>0</v>
      </c>
      <c r="P63" s="7" t="str">
        <f aca="false">IF(M63=L63,"Approve",IF(O63=L63,"Reject","Draft"))</f>
        <v>Draft</v>
      </c>
    </row>
    <row r="64" customFormat="false" ht="34.5" hidden="false" customHeight="true" outlineLevel="0" collapsed="false">
      <c r="A64" s="7" t="s">
        <v>1519</v>
      </c>
      <c r="B64" s="7" t="s">
        <v>1527</v>
      </c>
      <c r="C64" s="7" t="s">
        <v>1518</v>
      </c>
      <c r="D64" s="7" t="s">
        <v>38</v>
      </c>
      <c r="E64" s="7" t="s">
        <v>100</v>
      </c>
      <c r="F64" s="7" t="s">
        <v>48</v>
      </c>
      <c r="G64" s="7" t="s">
        <v>256</v>
      </c>
      <c r="H64" s="6" t="s">
        <v>1520</v>
      </c>
      <c r="I64" s="6" t="s">
        <v>3583</v>
      </c>
      <c r="J64" s="6" t="s">
        <v>3584</v>
      </c>
      <c r="K64" s="6" t="s">
        <v>1528</v>
      </c>
      <c r="L64" s="7" t="n">
        <f aca="false">COUNTIFS(TestCases!$E$2:$E$328,$A64)</f>
        <v>3</v>
      </c>
      <c r="M64" s="7" t="n">
        <f aca="false">COUNTIFS(TestCases!$E$2:$E$328,$A64,TestCases!$Y$2:$Y$328,"Approve")</f>
        <v>0</v>
      </c>
      <c r="N64" s="7" t="n">
        <f aca="false">COUNTIFS(TestCases!$E$2:$E$328,$A64,TestCases!$Y$2:$Y$328,"Draft")</f>
        <v>3</v>
      </c>
      <c r="O64" s="7" t="n">
        <f aca="false">COUNTIFS(TestCases!$E$2:$E$328,$A64,TestCases!$Y$2:$Y$328,"Reject")</f>
        <v>0</v>
      </c>
      <c r="P64" s="7" t="str">
        <f aca="false">IF(M64=L64,"Approve",IF(O64=L64,"Reject","Draft"))</f>
        <v>Draft</v>
      </c>
    </row>
    <row r="65" customFormat="false" ht="34.5" hidden="false" customHeight="true" outlineLevel="0" collapsed="false">
      <c r="A65" s="7" t="s">
        <v>1547</v>
      </c>
      <c r="B65" s="7" t="s">
        <v>1556</v>
      </c>
      <c r="C65" s="7" t="s">
        <v>1546</v>
      </c>
      <c r="D65" s="7" t="s">
        <v>40</v>
      </c>
      <c r="E65" s="7" t="s">
        <v>100</v>
      </c>
      <c r="F65" s="7" t="s">
        <v>49</v>
      </c>
      <c r="G65" s="7" t="s">
        <v>269</v>
      </c>
      <c r="H65" s="6" t="s">
        <v>1548</v>
      </c>
      <c r="I65" s="6" t="s">
        <v>3585</v>
      </c>
      <c r="J65" s="6" t="s">
        <v>3586</v>
      </c>
      <c r="K65" s="6" t="s">
        <v>357</v>
      </c>
      <c r="L65" s="7" t="n">
        <f aca="false">COUNTIFS(TestCases!$E$2:$E$328,$A65)</f>
        <v>2</v>
      </c>
      <c r="M65" s="7" t="n">
        <f aca="false">COUNTIFS(TestCases!$E$2:$E$328,$A65,TestCases!$Y$2:$Y$328,"Approve")</f>
        <v>0</v>
      </c>
      <c r="N65" s="7" t="n">
        <f aca="false">COUNTIFS(TestCases!$E$2:$E$328,$A65,TestCases!$Y$2:$Y$328,"Draft")</f>
        <v>2</v>
      </c>
      <c r="O65" s="7" t="n">
        <f aca="false">COUNTIFS(TestCases!$E$2:$E$328,$A65,TestCases!$Y$2:$Y$328,"Reject")</f>
        <v>0</v>
      </c>
      <c r="P65" s="7" t="str">
        <f aca="false">IF(M65=L65,"Approve",IF(O65=L65,"Reject","Draft"))</f>
        <v>Draft</v>
      </c>
    </row>
    <row r="66" customFormat="false" ht="34.5" hidden="false" customHeight="true" outlineLevel="0" collapsed="false">
      <c r="A66" s="7" t="s">
        <v>1567</v>
      </c>
      <c r="B66" s="7" t="s">
        <v>1576</v>
      </c>
      <c r="C66" s="7" t="s">
        <v>1566</v>
      </c>
      <c r="D66" s="7" t="s">
        <v>38</v>
      </c>
      <c r="E66" s="7" t="s">
        <v>100</v>
      </c>
      <c r="F66" s="7" t="s">
        <v>49</v>
      </c>
      <c r="G66" s="7" t="s">
        <v>269</v>
      </c>
      <c r="H66" s="6" t="s">
        <v>1568</v>
      </c>
      <c r="I66" s="6" t="s">
        <v>3587</v>
      </c>
      <c r="J66" s="6" t="s">
        <v>3588</v>
      </c>
      <c r="K66" s="6" t="s">
        <v>1577</v>
      </c>
      <c r="L66" s="7" t="n">
        <f aca="false">COUNTIFS(TestCases!$E$2:$E$328,$A66)</f>
        <v>3</v>
      </c>
      <c r="M66" s="7" t="n">
        <f aca="false">COUNTIFS(TestCases!$E$2:$E$328,$A66,TestCases!$Y$2:$Y$328,"Approve")</f>
        <v>1</v>
      </c>
      <c r="N66" s="7" t="n">
        <f aca="false">COUNTIFS(TestCases!$E$2:$E$328,$A66,TestCases!$Y$2:$Y$328,"Draft")</f>
        <v>2</v>
      </c>
      <c r="O66" s="7" t="n">
        <f aca="false">COUNTIFS(TestCases!$E$2:$E$328,$A66,TestCases!$Y$2:$Y$328,"Reject")</f>
        <v>0</v>
      </c>
      <c r="P66" s="7" t="str">
        <f aca="false">IF(M66=L66,"Approve",IF(O66=L66,"Reject","Draft"))</f>
        <v>Draft</v>
      </c>
    </row>
    <row r="67" customFormat="false" ht="34.5" hidden="false" customHeight="true" outlineLevel="0" collapsed="false">
      <c r="A67" s="7" t="s">
        <v>1596</v>
      </c>
      <c r="B67" s="7" t="s">
        <v>1605</v>
      </c>
      <c r="C67" s="7" t="s">
        <v>1595</v>
      </c>
      <c r="D67" s="7" t="s">
        <v>38</v>
      </c>
      <c r="E67" s="7" t="s">
        <v>99</v>
      </c>
      <c r="F67" s="7" t="s">
        <v>51</v>
      </c>
      <c r="G67" s="7" t="s">
        <v>136</v>
      </c>
      <c r="H67" s="6" t="s">
        <v>1597</v>
      </c>
      <c r="I67" s="6" t="s">
        <v>3589</v>
      </c>
      <c r="J67" s="6" t="s">
        <v>3590</v>
      </c>
      <c r="K67" s="6" t="s">
        <v>138</v>
      </c>
      <c r="L67" s="7" t="n">
        <f aca="false">COUNTIFS(TestCases!$E$2:$E$328,$A67)</f>
        <v>1</v>
      </c>
      <c r="M67" s="7" t="n">
        <f aca="false">COUNTIFS(TestCases!$E$2:$E$328,$A67,TestCases!$Y$2:$Y$328,"Approve")</f>
        <v>1</v>
      </c>
      <c r="N67" s="7" t="n">
        <f aca="false">COUNTIFS(TestCases!$E$2:$E$328,$A67,TestCases!$Y$2:$Y$328,"Draft")</f>
        <v>0</v>
      </c>
      <c r="O67" s="7" t="n">
        <f aca="false">COUNTIFS(TestCases!$E$2:$E$328,$A67,TestCases!$Y$2:$Y$328,"Reject")</f>
        <v>0</v>
      </c>
      <c r="P67" s="7" t="str">
        <f aca="false">IF(M67=L67,"Approve",IF(O67=L67,"Reject","Draft"))</f>
        <v>Approve</v>
      </c>
    </row>
    <row r="68" customFormat="false" ht="23.25" hidden="false" customHeight="true" outlineLevel="0" collapsed="false">
      <c r="A68" s="7" t="s">
        <v>1609</v>
      </c>
      <c r="B68" s="7" t="s">
        <v>1618</v>
      </c>
      <c r="C68" s="7" t="s">
        <v>1608</v>
      </c>
      <c r="D68" s="7" t="s">
        <v>40</v>
      </c>
      <c r="E68" s="7" t="s">
        <v>100</v>
      </c>
      <c r="F68" s="7" t="s">
        <v>59</v>
      </c>
      <c r="G68" s="7" t="s">
        <v>136</v>
      </c>
      <c r="H68" s="6" t="s">
        <v>1610</v>
      </c>
      <c r="I68" s="6" t="s">
        <v>3591</v>
      </c>
      <c r="J68" s="6" t="s">
        <v>3592</v>
      </c>
      <c r="K68" s="6" t="s">
        <v>700</v>
      </c>
      <c r="L68" s="7" t="n">
        <f aca="false">COUNTIFS(TestCases!$E$2:$E$328,$A68)</f>
        <v>2</v>
      </c>
      <c r="M68" s="7" t="n">
        <f aca="false">COUNTIFS(TestCases!$E$2:$E$328,$A68,TestCases!$Y$2:$Y$328,"Approve")</f>
        <v>1</v>
      </c>
      <c r="N68" s="7" t="n">
        <f aca="false">COUNTIFS(TestCases!$E$2:$E$328,$A68,TestCases!$Y$2:$Y$328,"Draft")</f>
        <v>1</v>
      </c>
      <c r="O68" s="7" t="n">
        <f aca="false">COUNTIFS(TestCases!$E$2:$E$328,$A68,TestCases!$Y$2:$Y$328,"Reject")</f>
        <v>0</v>
      </c>
      <c r="P68" s="7" t="str">
        <f aca="false">IF(M68=L68,"Approve",IF(O68=L68,"Reject","Draft"))</f>
        <v>Draft</v>
      </c>
    </row>
    <row r="69" customFormat="false" ht="34.5" hidden="false" customHeight="true" outlineLevel="0" collapsed="false">
      <c r="A69" s="7" t="s">
        <v>1629</v>
      </c>
      <c r="B69" s="7" t="s">
        <v>1637</v>
      </c>
      <c r="C69" s="7" t="s">
        <v>1628</v>
      </c>
      <c r="D69" s="7" t="s">
        <v>40</v>
      </c>
      <c r="E69" s="7" t="s">
        <v>101</v>
      </c>
      <c r="F69" s="7" t="s">
        <v>50</v>
      </c>
      <c r="G69" s="7" t="s">
        <v>136</v>
      </c>
      <c r="H69" s="6" t="s">
        <v>1630</v>
      </c>
      <c r="I69" s="6" t="s">
        <v>3593</v>
      </c>
      <c r="J69" s="6" t="s">
        <v>3594</v>
      </c>
      <c r="K69" s="6" t="s">
        <v>1638</v>
      </c>
      <c r="L69" s="7" t="n">
        <f aca="false">COUNTIFS(TestCases!$E$2:$E$328,$A69)</f>
        <v>2</v>
      </c>
      <c r="M69" s="7" t="n">
        <f aca="false">COUNTIFS(TestCases!$E$2:$E$328,$A69,TestCases!$Y$2:$Y$328,"Approve")</f>
        <v>0</v>
      </c>
      <c r="N69" s="7" t="n">
        <f aca="false">COUNTIFS(TestCases!$E$2:$E$328,$A69,TestCases!$Y$2:$Y$328,"Draft")</f>
        <v>2</v>
      </c>
      <c r="O69" s="7" t="n">
        <f aca="false">COUNTIFS(TestCases!$E$2:$E$328,$A69,TestCases!$Y$2:$Y$328,"Reject")</f>
        <v>0</v>
      </c>
      <c r="P69" s="7" t="str">
        <f aca="false">IF(M69=L69,"Approve",IF(O69=L69,"Reject","Draft"))</f>
        <v>Draft</v>
      </c>
    </row>
    <row r="70" customFormat="false" ht="34.5" hidden="false" customHeight="true" outlineLevel="0" collapsed="false">
      <c r="A70" s="7" t="s">
        <v>1649</v>
      </c>
      <c r="B70" s="7" t="s">
        <v>1658</v>
      </c>
      <c r="C70" s="7" t="s">
        <v>1648</v>
      </c>
      <c r="D70" s="7" t="s">
        <v>40</v>
      </c>
      <c r="E70" s="7" t="s">
        <v>99</v>
      </c>
      <c r="F70" s="7" t="s">
        <v>50</v>
      </c>
      <c r="G70" s="7" t="s">
        <v>136</v>
      </c>
      <c r="H70" s="6" t="s">
        <v>1650</v>
      </c>
      <c r="I70" s="6" t="s">
        <v>3595</v>
      </c>
      <c r="J70" s="6" t="s">
        <v>3596</v>
      </c>
      <c r="K70" s="6" t="s">
        <v>3597</v>
      </c>
      <c r="L70" s="7" t="n">
        <f aca="false">COUNTIFS(TestCases!$E$2:$E$328,$A70)</f>
        <v>2</v>
      </c>
      <c r="M70" s="7" t="n">
        <f aca="false">COUNTIFS(TestCases!$E$2:$E$328,$A70,TestCases!$Y$2:$Y$328,"Approve")</f>
        <v>2</v>
      </c>
      <c r="N70" s="7" t="n">
        <f aca="false">COUNTIFS(TestCases!$E$2:$E$328,$A70,TestCases!$Y$2:$Y$328,"Draft")</f>
        <v>0</v>
      </c>
      <c r="O70" s="7" t="n">
        <f aca="false">COUNTIFS(TestCases!$E$2:$E$328,$A70,TestCases!$Y$2:$Y$328,"Reject")</f>
        <v>0</v>
      </c>
      <c r="P70" s="7" t="str">
        <f aca="false">IF(M70=L70,"Approve",IF(O70=L70,"Reject","Draft"))</f>
        <v>Approve</v>
      </c>
    </row>
    <row r="71" customFormat="false" ht="34.5" hidden="false" customHeight="true" outlineLevel="0" collapsed="false">
      <c r="A71" s="7" t="s">
        <v>1670</v>
      </c>
      <c r="B71" s="7" t="s">
        <v>1679</v>
      </c>
      <c r="C71" s="7" t="s">
        <v>1669</v>
      </c>
      <c r="D71" s="7" t="s">
        <v>40</v>
      </c>
      <c r="E71" s="7" t="s">
        <v>101</v>
      </c>
      <c r="F71" s="7" t="s">
        <v>51</v>
      </c>
      <c r="G71" s="7" t="s">
        <v>136</v>
      </c>
      <c r="H71" s="6" t="s">
        <v>1671</v>
      </c>
      <c r="I71" s="6" t="s">
        <v>3598</v>
      </c>
      <c r="J71" s="6" t="s">
        <v>3599</v>
      </c>
      <c r="K71" s="6" t="s">
        <v>528</v>
      </c>
      <c r="L71" s="7" t="n">
        <f aca="false">COUNTIFS(TestCases!$E$2:$E$328,$A71)</f>
        <v>2</v>
      </c>
      <c r="M71" s="7" t="n">
        <f aca="false">COUNTIFS(TestCases!$E$2:$E$328,$A71,TestCases!$Y$2:$Y$328,"Approve")</f>
        <v>0</v>
      </c>
      <c r="N71" s="7" t="n">
        <f aca="false">COUNTIFS(TestCases!$E$2:$E$328,$A71,TestCases!$Y$2:$Y$328,"Draft")</f>
        <v>2</v>
      </c>
      <c r="O71" s="7" t="n">
        <f aca="false">COUNTIFS(TestCases!$E$2:$E$328,$A71,TestCases!$Y$2:$Y$328,"Reject")</f>
        <v>0</v>
      </c>
      <c r="P71" s="7" t="str">
        <f aca="false">IF(M71=L71,"Approve",IF(O71=L71,"Reject","Draft"))</f>
        <v>Draft</v>
      </c>
    </row>
    <row r="72" customFormat="false" ht="68.25" hidden="false" customHeight="true" outlineLevel="0" collapsed="false">
      <c r="A72" s="7" t="s">
        <v>1691</v>
      </c>
      <c r="B72" s="7" t="s">
        <v>1699</v>
      </c>
      <c r="C72" s="7" t="s">
        <v>1690</v>
      </c>
      <c r="D72" s="7" t="s">
        <v>38</v>
      </c>
      <c r="E72" s="7" t="s">
        <v>469</v>
      </c>
      <c r="F72" s="7" t="s">
        <v>50</v>
      </c>
      <c r="G72" s="7" t="s">
        <v>136</v>
      </c>
      <c r="H72" s="6" t="s">
        <v>1692</v>
      </c>
      <c r="I72" s="6" t="s">
        <v>3600</v>
      </c>
      <c r="J72" s="6" t="s">
        <v>3601</v>
      </c>
      <c r="K72" s="6" t="s">
        <v>1474</v>
      </c>
      <c r="L72" s="7" t="n">
        <f aca="false">COUNTIFS(TestCases!$E$2:$E$328,$A72)</f>
        <v>2</v>
      </c>
      <c r="M72" s="7" t="n">
        <f aca="false">COUNTIFS(TestCases!$E$2:$E$328,$A72,TestCases!$Y$2:$Y$328,"Approve")</f>
        <v>0</v>
      </c>
      <c r="N72" s="7" t="n">
        <f aca="false">COUNTIFS(TestCases!$E$2:$E$328,$A72,TestCases!$Y$2:$Y$328,"Draft")</f>
        <v>2</v>
      </c>
      <c r="O72" s="7" t="n">
        <f aca="false">COUNTIFS(TestCases!$E$2:$E$328,$A72,TestCases!$Y$2:$Y$328,"Reject")</f>
        <v>0</v>
      </c>
      <c r="P72" s="7" t="str">
        <f aca="false">IF(M72=L72,"Approve",IF(O72=L72,"Reject","Draft"))</f>
        <v>Draft</v>
      </c>
    </row>
    <row r="73" customFormat="false" ht="68.25" hidden="false" customHeight="true" outlineLevel="0" collapsed="false">
      <c r="A73" s="7" t="s">
        <v>1710</v>
      </c>
      <c r="B73" s="7" t="s">
        <v>1719</v>
      </c>
      <c r="C73" s="7" t="s">
        <v>1709</v>
      </c>
      <c r="D73" s="7" t="s">
        <v>38</v>
      </c>
      <c r="E73" s="7" t="s">
        <v>100</v>
      </c>
      <c r="F73" s="7" t="s">
        <v>54</v>
      </c>
      <c r="G73" s="7" t="s">
        <v>269</v>
      </c>
      <c r="H73" s="6" t="s">
        <v>1711</v>
      </c>
      <c r="I73" s="6" t="s">
        <v>3602</v>
      </c>
      <c r="J73" s="6" t="s">
        <v>3603</v>
      </c>
      <c r="K73" s="6" t="s">
        <v>1720</v>
      </c>
      <c r="L73" s="7" t="n">
        <f aca="false">COUNTIFS(TestCases!$E$2:$E$328,$A73)</f>
        <v>2</v>
      </c>
      <c r="M73" s="7" t="n">
        <f aca="false">COUNTIFS(TestCases!$E$2:$E$328,$A73,TestCases!$Y$2:$Y$328,"Approve")</f>
        <v>1</v>
      </c>
      <c r="N73" s="7" t="n">
        <f aca="false">COUNTIFS(TestCases!$E$2:$E$328,$A73,TestCases!$Y$2:$Y$328,"Draft")</f>
        <v>1</v>
      </c>
      <c r="O73" s="7" t="n">
        <f aca="false">COUNTIFS(TestCases!$E$2:$E$328,$A73,TestCases!$Y$2:$Y$328,"Reject")</f>
        <v>0</v>
      </c>
      <c r="P73" s="7" t="str">
        <f aca="false">IF(M73=L73,"Approve",IF(O73=L73,"Reject","Draft"))</f>
        <v>Draft</v>
      </c>
    </row>
    <row r="74" customFormat="false" ht="68.25" hidden="false" customHeight="true" outlineLevel="0" collapsed="false">
      <c r="A74" s="7" t="s">
        <v>1732</v>
      </c>
      <c r="B74" s="7" t="s">
        <v>1741</v>
      </c>
      <c r="C74" s="7" t="s">
        <v>1731</v>
      </c>
      <c r="D74" s="7" t="s">
        <v>38</v>
      </c>
      <c r="E74" s="7" t="s">
        <v>100</v>
      </c>
      <c r="F74" s="7" t="s">
        <v>50</v>
      </c>
      <c r="G74" s="7" t="s">
        <v>136</v>
      </c>
      <c r="H74" s="6" t="s">
        <v>1733</v>
      </c>
      <c r="I74" s="6" t="s">
        <v>3604</v>
      </c>
      <c r="J74" s="6" t="s">
        <v>3605</v>
      </c>
      <c r="K74" s="6" t="s">
        <v>1474</v>
      </c>
      <c r="L74" s="7" t="n">
        <f aca="false">COUNTIFS(TestCases!$E$2:$E$328,$A74)</f>
        <v>1</v>
      </c>
      <c r="M74" s="7" t="n">
        <f aca="false">COUNTIFS(TestCases!$E$2:$E$328,$A74,TestCases!$Y$2:$Y$328,"Approve")</f>
        <v>0</v>
      </c>
      <c r="N74" s="7" t="n">
        <f aca="false">COUNTIFS(TestCases!$E$2:$E$328,$A74,TestCases!$Y$2:$Y$328,"Draft")</f>
        <v>1</v>
      </c>
      <c r="O74" s="7" t="n">
        <f aca="false">COUNTIFS(TestCases!$E$2:$E$328,$A74,TestCases!$Y$2:$Y$328,"Reject")</f>
        <v>0</v>
      </c>
      <c r="P74" s="7" t="str">
        <f aca="false">IF(M74=L74,"Approve",IF(O74=L74,"Reject","Draft"))</f>
        <v>Draft</v>
      </c>
    </row>
    <row r="75" customFormat="false" ht="57" hidden="false" customHeight="true" outlineLevel="0" collapsed="false">
      <c r="A75" s="7" t="s">
        <v>1745</v>
      </c>
      <c r="B75" s="7" t="s">
        <v>1754</v>
      </c>
      <c r="C75" s="7" t="s">
        <v>1744</v>
      </c>
      <c r="D75" s="7" t="s">
        <v>38</v>
      </c>
      <c r="E75" s="7" t="s">
        <v>100</v>
      </c>
      <c r="F75" s="7" t="s">
        <v>56</v>
      </c>
      <c r="G75" s="7" t="s">
        <v>136</v>
      </c>
      <c r="H75" s="6" t="s">
        <v>1746</v>
      </c>
      <c r="I75" s="6" t="s">
        <v>3606</v>
      </c>
      <c r="J75" s="6" t="s">
        <v>3607</v>
      </c>
      <c r="K75" s="6" t="s">
        <v>138</v>
      </c>
      <c r="L75" s="7" t="n">
        <f aca="false">COUNTIFS(TestCases!$E$2:$E$328,$A75)</f>
        <v>2</v>
      </c>
      <c r="M75" s="7" t="n">
        <f aca="false">COUNTIFS(TestCases!$E$2:$E$328,$A75,TestCases!$Y$2:$Y$328,"Approve")</f>
        <v>2</v>
      </c>
      <c r="N75" s="7" t="n">
        <f aca="false">COUNTIFS(TestCases!$E$2:$E$328,$A75,TestCases!$Y$2:$Y$328,"Draft")</f>
        <v>0</v>
      </c>
      <c r="O75" s="7" t="n">
        <f aca="false">COUNTIFS(TestCases!$E$2:$E$328,$A75,TestCases!$Y$2:$Y$328,"Reject")</f>
        <v>0</v>
      </c>
      <c r="P75" s="7" t="str">
        <f aca="false">IF(M75=L75,"Approve",IF(O75=L75,"Reject","Draft"))</f>
        <v>Approve</v>
      </c>
    </row>
    <row r="76" customFormat="false" ht="34.5" hidden="false" customHeight="true" outlineLevel="0" collapsed="false">
      <c r="A76" s="7" t="s">
        <v>1765</v>
      </c>
      <c r="B76" s="7" t="s">
        <v>1773</v>
      </c>
      <c r="C76" s="7" t="s">
        <v>1764</v>
      </c>
      <c r="D76" s="7" t="s">
        <v>38</v>
      </c>
      <c r="E76" s="7" t="s">
        <v>100</v>
      </c>
      <c r="F76" s="7" t="s">
        <v>50</v>
      </c>
      <c r="G76" s="7" t="s">
        <v>136</v>
      </c>
      <c r="H76" s="6" t="s">
        <v>1766</v>
      </c>
      <c r="I76" s="6" t="s">
        <v>3608</v>
      </c>
      <c r="J76" s="6" t="s">
        <v>3609</v>
      </c>
      <c r="K76" s="6" t="s">
        <v>1774</v>
      </c>
      <c r="L76" s="7" t="n">
        <f aca="false">COUNTIFS(TestCases!$E$2:$E$328,$A76)</f>
        <v>2</v>
      </c>
      <c r="M76" s="7" t="n">
        <f aca="false">COUNTIFS(TestCases!$E$2:$E$328,$A76,TestCases!$Y$2:$Y$328,"Approve")</f>
        <v>0</v>
      </c>
      <c r="N76" s="7" t="n">
        <f aca="false">COUNTIFS(TestCases!$E$2:$E$328,$A76,TestCases!$Y$2:$Y$328,"Draft")</f>
        <v>2</v>
      </c>
      <c r="O76" s="7" t="n">
        <f aca="false">COUNTIFS(TestCases!$E$2:$E$328,$A76,TestCases!$Y$2:$Y$328,"Reject")</f>
        <v>0</v>
      </c>
      <c r="P76" s="7" t="str">
        <f aca="false">IF(M76=L76,"Approve",IF(O76=L76,"Reject","Draft"))</f>
        <v>Draft</v>
      </c>
    </row>
    <row r="77" customFormat="false" ht="45.75" hidden="false" customHeight="true" outlineLevel="0" collapsed="false">
      <c r="A77" s="7" t="s">
        <v>1785</v>
      </c>
      <c r="B77" s="7" t="s">
        <v>1793</v>
      </c>
      <c r="C77" s="7" t="s">
        <v>1784</v>
      </c>
      <c r="D77" s="7" t="s">
        <v>38</v>
      </c>
      <c r="E77" s="7" t="s">
        <v>100</v>
      </c>
      <c r="F77" s="7" t="s">
        <v>50</v>
      </c>
      <c r="G77" s="7" t="s">
        <v>136</v>
      </c>
      <c r="H77" s="6" t="s">
        <v>1786</v>
      </c>
      <c r="I77" s="6" t="s">
        <v>3610</v>
      </c>
      <c r="J77" s="6" t="s">
        <v>3611</v>
      </c>
      <c r="K77" s="6" t="s">
        <v>138</v>
      </c>
      <c r="L77" s="7" t="n">
        <f aca="false">COUNTIFS(TestCases!$E$2:$E$328,$A77)</f>
        <v>1</v>
      </c>
      <c r="M77" s="7" t="n">
        <f aca="false">COUNTIFS(TestCases!$E$2:$E$328,$A77,TestCases!$Y$2:$Y$328,"Approve")</f>
        <v>1</v>
      </c>
      <c r="N77" s="7" t="n">
        <f aca="false">COUNTIFS(TestCases!$E$2:$E$328,$A77,TestCases!$Y$2:$Y$328,"Draft")</f>
        <v>0</v>
      </c>
      <c r="O77" s="7" t="n">
        <f aca="false">COUNTIFS(TestCases!$E$2:$E$328,$A77,TestCases!$Y$2:$Y$328,"Reject")</f>
        <v>0</v>
      </c>
      <c r="P77" s="7" t="str">
        <f aca="false">IF(M77=L77,"Approve",IF(O77=L77,"Reject","Draft"))</f>
        <v>Approve</v>
      </c>
    </row>
    <row r="78" customFormat="false" ht="57" hidden="false" customHeight="true" outlineLevel="0" collapsed="false">
      <c r="A78" s="7" t="s">
        <v>1797</v>
      </c>
      <c r="B78" s="7" t="s">
        <v>1806</v>
      </c>
      <c r="C78" s="7" t="s">
        <v>1796</v>
      </c>
      <c r="D78" s="7" t="s">
        <v>38</v>
      </c>
      <c r="E78" s="7" t="s">
        <v>100</v>
      </c>
      <c r="F78" s="7" t="s">
        <v>57</v>
      </c>
      <c r="G78" s="7" t="s">
        <v>300</v>
      </c>
      <c r="H78" s="6" t="s">
        <v>1798</v>
      </c>
      <c r="I78" s="6" t="s">
        <v>3612</v>
      </c>
      <c r="J78" s="6" t="s">
        <v>3613</v>
      </c>
      <c r="K78" s="6" t="s">
        <v>1397</v>
      </c>
      <c r="L78" s="7" t="n">
        <f aca="false">COUNTIFS(TestCases!$E$2:$E$328,$A78)</f>
        <v>1</v>
      </c>
      <c r="M78" s="7" t="n">
        <f aca="false">COUNTIFS(TestCases!$E$2:$E$328,$A78,TestCases!$Y$2:$Y$328,"Approve")</f>
        <v>0</v>
      </c>
      <c r="N78" s="7" t="n">
        <f aca="false">COUNTIFS(TestCases!$E$2:$E$328,$A78,TestCases!$Y$2:$Y$328,"Draft")</f>
        <v>1</v>
      </c>
      <c r="O78" s="7" t="n">
        <f aca="false">COUNTIFS(TestCases!$E$2:$E$328,$A78,TestCases!$Y$2:$Y$328,"Reject")</f>
        <v>0</v>
      </c>
      <c r="P78" s="7" t="str">
        <f aca="false">IF(M78=L78,"Approve",IF(O78=L78,"Reject","Draft"))</f>
        <v>Draft</v>
      </c>
    </row>
    <row r="79" customFormat="false" ht="45.75" hidden="false" customHeight="true" outlineLevel="0" collapsed="false">
      <c r="A79" s="7" t="s">
        <v>1810</v>
      </c>
      <c r="B79" s="7" t="s">
        <v>1818</v>
      </c>
      <c r="C79" s="7" t="s">
        <v>1809</v>
      </c>
      <c r="D79" s="7" t="s">
        <v>38</v>
      </c>
      <c r="E79" s="7" t="s">
        <v>100</v>
      </c>
      <c r="F79" s="7" t="s">
        <v>59</v>
      </c>
      <c r="G79" s="7" t="s">
        <v>136</v>
      </c>
      <c r="H79" s="6" t="s">
        <v>1811</v>
      </c>
      <c r="I79" s="6" t="s">
        <v>3614</v>
      </c>
      <c r="J79" s="6" t="s">
        <v>3615</v>
      </c>
      <c r="K79" s="6" t="s">
        <v>138</v>
      </c>
      <c r="L79" s="7" t="n">
        <f aca="false">COUNTIFS(TestCases!$E$2:$E$328,$A79)</f>
        <v>1</v>
      </c>
      <c r="M79" s="7" t="n">
        <f aca="false">COUNTIFS(TestCases!$E$2:$E$328,$A79,TestCases!$Y$2:$Y$328,"Approve")</f>
        <v>1</v>
      </c>
      <c r="N79" s="7" t="n">
        <f aca="false">COUNTIFS(TestCases!$E$2:$E$328,$A79,TestCases!$Y$2:$Y$328,"Draft")</f>
        <v>0</v>
      </c>
      <c r="O79" s="7" t="n">
        <f aca="false">COUNTIFS(TestCases!$E$2:$E$328,$A79,TestCases!$Y$2:$Y$328,"Reject")</f>
        <v>0</v>
      </c>
      <c r="P79" s="7" t="str">
        <f aca="false">IF(M79=L79,"Approve",IF(O79=L79,"Reject","Draft"))</f>
        <v>Approve</v>
      </c>
    </row>
    <row r="80" customFormat="false" ht="23.25" hidden="false" customHeight="true" outlineLevel="0" collapsed="false">
      <c r="A80" s="7" t="s">
        <v>1822</v>
      </c>
      <c r="B80" s="7" t="s">
        <v>1830</v>
      </c>
      <c r="C80" s="7" t="s">
        <v>1821</v>
      </c>
      <c r="D80" s="7" t="s">
        <v>38</v>
      </c>
      <c r="E80" s="7" t="s">
        <v>100</v>
      </c>
      <c r="F80" s="7" t="s">
        <v>53</v>
      </c>
      <c r="G80" s="7" t="s">
        <v>136</v>
      </c>
      <c r="H80" s="6" t="s">
        <v>1823</v>
      </c>
      <c r="I80" s="6" t="s">
        <v>3616</v>
      </c>
      <c r="J80" s="6" t="s">
        <v>3617</v>
      </c>
      <c r="K80" s="6" t="s">
        <v>138</v>
      </c>
      <c r="L80" s="7" t="n">
        <f aca="false">COUNTIFS(TestCases!$E$2:$E$328,$A80)</f>
        <v>1</v>
      </c>
      <c r="M80" s="7" t="n">
        <f aca="false">COUNTIFS(TestCases!$E$2:$E$328,$A80,TestCases!$Y$2:$Y$328,"Approve")</f>
        <v>1</v>
      </c>
      <c r="N80" s="7" t="n">
        <f aca="false">COUNTIFS(TestCases!$E$2:$E$328,$A80,TestCases!$Y$2:$Y$328,"Draft")</f>
        <v>0</v>
      </c>
      <c r="O80" s="7" t="n">
        <f aca="false">COUNTIFS(TestCases!$E$2:$E$328,$A80,TestCases!$Y$2:$Y$328,"Reject")</f>
        <v>0</v>
      </c>
      <c r="P80" s="7" t="str">
        <f aca="false">IF(M80=L80,"Approve",IF(O80=L80,"Reject","Draft"))</f>
        <v>Approve</v>
      </c>
    </row>
    <row r="81" customFormat="false" ht="45.75" hidden="false" customHeight="true" outlineLevel="0" collapsed="false">
      <c r="A81" s="7" t="s">
        <v>1834</v>
      </c>
      <c r="B81" s="7" t="s">
        <v>1842</v>
      </c>
      <c r="C81" s="7" t="s">
        <v>1833</v>
      </c>
      <c r="D81" s="7" t="s">
        <v>38</v>
      </c>
      <c r="E81" s="7" t="s">
        <v>100</v>
      </c>
      <c r="F81" s="7" t="s">
        <v>54</v>
      </c>
      <c r="G81" s="7" t="s">
        <v>136</v>
      </c>
      <c r="H81" s="6" t="s">
        <v>1835</v>
      </c>
      <c r="I81" s="6" t="s">
        <v>3618</v>
      </c>
      <c r="J81" s="6" t="s">
        <v>3619</v>
      </c>
      <c r="K81" s="6" t="s">
        <v>1488</v>
      </c>
      <c r="L81" s="7" t="n">
        <f aca="false">COUNTIFS(TestCases!$E$2:$E$328,$A81)</f>
        <v>1</v>
      </c>
      <c r="M81" s="7" t="n">
        <f aca="false">COUNTIFS(TestCases!$E$2:$E$328,$A81,TestCases!$Y$2:$Y$328,"Approve")</f>
        <v>0</v>
      </c>
      <c r="N81" s="7" t="n">
        <f aca="false">COUNTIFS(TestCases!$E$2:$E$328,$A81,TestCases!$Y$2:$Y$328,"Draft")</f>
        <v>1</v>
      </c>
      <c r="O81" s="7" t="n">
        <f aca="false">COUNTIFS(TestCases!$E$2:$E$328,$A81,TestCases!$Y$2:$Y$328,"Reject")</f>
        <v>0</v>
      </c>
      <c r="P81" s="7" t="str">
        <f aca="false">IF(M81=L81,"Approve",IF(O81=L81,"Reject","Draft"))</f>
        <v>Draft</v>
      </c>
    </row>
    <row r="82" customFormat="false" ht="34.5" hidden="false" customHeight="true" outlineLevel="0" collapsed="false">
      <c r="A82" s="7" t="s">
        <v>1846</v>
      </c>
      <c r="B82" s="7" t="s">
        <v>1854</v>
      </c>
      <c r="C82" s="7" t="s">
        <v>1845</v>
      </c>
      <c r="D82" s="7" t="s">
        <v>38</v>
      </c>
      <c r="E82" s="7" t="s">
        <v>100</v>
      </c>
      <c r="F82" s="7" t="s">
        <v>59</v>
      </c>
      <c r="G82" s="7" t="s">
        <v>136</v>
      </c>
      <c r="H82" s="6" t="s">
        <v>1847</v>
      </c>
      <c r="I82" s="6" t="s">
        <v>3620</v>
      </c>
      <c r="J82" s="6" t="s">
        <v>3621</v>
      </c>
      <c r="K82" s="6" t="s">
        <v>879</v>
      </c>
      <c r="L82" s="7" t="n">
        <f aca="false">COUNTIFS(TestCases!$E$2:$E$328,$A82)</f>
        <v>1</v>
      </c>
      <c r="M82" s="7" t="n">
        <f aca="false">COUNTIFS(TestCases!$E$2:$E$328,$A82,TestCases!$Y$2:$Y$328,"Approve")</f>
        <v>0</v>
      </c>
      <c r="N82" s="7" t="n">
        <f aca="false">COUNTIFS(TestCases!$E$2:$E$328,$A82,TestCases!$Y$2:$Y$328,"Draft")</f>
        <v>1</v>
      </c>
      <c r="O82" s="7" t="n">
        <f aca="false">COUNTIFS(TestCases!$E$2:$E$328,$A82,TestCases!$Y$2:$Y$328,"Reject")</f>
        <v>0</v>
      </c>
      <c r="P82" s="7" t="str">
        <f aca="false">IF(M82=L82,"Approve",IF(O82=L82,"Reject","Draft"))</f>
        <v>Draft</v>
      </c>
    </row>
    <row r="83" customFormat="false" ht="34.5" hidden="false" customHeight="true" outlineLevel="0" collapsed="false">
      <c r="A83" s="7" t="s">
        <v>1858</v>
      </c>
      <c r="B83" s="7" t="s">
        <v>1864</v>
      </c>
      <c r="C83" s="7" t="s">
        <v>1857</v>
      </c>
      <c r="D83" s="7" t="s">
        <v>38</v>
      </c>
      <c r="E83" s="7" t="s">
        <v>100</v>
      </c>
      <c r="F83" s="7" t="s">
        <v>50</v>
      </c>
      <c r="G83" s="7" t="s">
        <v>136</v>
      </c>
      <c r="H83" s="6" t="s">
        <v>1859</v>
      </c>
      <c r="I83" s="6" t="s">
        <v>3622</v>
      </c>
      <c r="J83" s="6" t="s">
        <v>3623</v>
      </c>
      <c r="K83" s="6" t="s">
        <v>1774</v>
      </c>
      <c r="L83" s="7" t="n">
        <f aca="false">COUNTIFS(TestCases!$E$2:$E$328,$A83)</f>
        <v>1</v>
      </c>
      <c r="M83" s="7" t="n">
        <f aca="false">COUNTIFS(TestCases!$E$2:$E$328,$A83,TestCases!$Y$2:$Y$328,"Approve")</f>
        <v>0</v>
      </c>
      <c r="N83" s="7" t="n">
        <f aca="false">COUNTIFS(TestCases!$E$2:$E$328,$A83,TestCases!$Y$2:$Y$328,"Draft")</f>
        <v>1</v>
      </c>
      <c r="O83" s="7" t="n">
        <f aca="false">COUNTIFS(TestCases!$E$2:$E$328,$A83,TestCases!$Y$2:$Y$328,"Reject")</f>
        <v>0</v>
      </c>
      <c r="P83" s="7" t="str">
        <f aca="false">IF(M83=L83,"Approve",IF(O83=L83,"Reject","Draft"))</f>
        <v>Draft</v>
      </c>
    </row>
    <row r="84" customFormat="false" ht="34.5" hidden="false" customHeight="true" outlineLevel="0" collapsed="false">
      <c r="A84" s="7" t="s">
        <v>1868</v>
      </c>
      <c r="B84" s="7" t="s">
        <v>1876</v>
      </c>
      <c r="C84" s="7" t="s">
        <v>1867</v>
      </c>
      <c r="D84" s="7" t="s">
        <v>38</v>
      </c>
      <c r="E84" s="7" t="s">
        <v>100</v>
      </c>
      <c r="F84" s="7" t="s">
        <v>51</v>
      </c>
      <c r="G84" s="7" t="s">
        <v>136</v>
      </c>
      <c r="H84" s="6" t="s">
        <v>1869</v>
      </c>
      <c r="I84" s="6" t="s">
        <v>3624</v>
      </c>
      <c r="J84" s="6" t="s">
        <v>3625</v>
      </c>
      <c r="K84" s="6" t="s">
        <v>138</v>
      </c>
      <c r="L84" s="7" t="n">
        <f aca="false">COUNTIFS(TestCases!$E$2:$E$328,$A84)</f>
        <v>1</v>
      </c>
      <c r="M84" s="7" t="n">
        <f aca="false">COUNTIFS(TestCases!$E$2:$E$328,$A84,TestCases!$Y$2:$Y$328,"Approve")</f>
        <v>1</v>
      </c>
      <c r="N84" s="7" t="n">
        <f aca="false">COUNTIFS(TestCases!$E$2:$E$328,$A84,TestCases!$Y$2:$Y$328,"Draft")</f>
        <v>0</v>
      </c>
      <c r="O84" s="7" t="n">
        <f aca="false">COUNTIFS(TestCases!$E$2:$E$328,$A84,TestCases!$Y$2:$Y$328,"Reject")</f>
        <v>0</v>
      </c>
      <c r="P84" s="7" t="str">
        <f aca="false">IF(M84=L84,"Approve",IF(O84=L84,"Reject","Draft"))</f>
        <v>Approve</v>
      </c>
    </row>
    <row r="85" customFormat="false" ht="23.25" hidden="false" customHeight="true" outlineLevel="0" collapsed="false">
      <c r="A85" s="7" t="s">
        <v>1880</v>
      </c>
      <c r="B85" s="7" t="s">
        <v>1889</v>
      </c>
      <c r="C85" s="7" t="s">
        <v>1879</v>
      </c>
      <c r="D85" s="7" t="s">
        <v>40</v>
      </c>
      <c r="E85" s="7" t="s">
        <v>100</v>
      </c>
      <c r="F85" s="7" t="s">
        <v>59</v>
      </c>
      <c r="G85" s="7" t="s">
        <v>136</v>
      </c>
      <c r="H85" s="6" t="s">
        <v>1881</v>
      </c>
      <c r="I85" s="6" t="s">
        <v>3626</v>
      </c>
      <c r="J85" s="6" t="s">
        <v>3627</v>
      </c>
      <c r="K85" s="6" t="s">
        <v>3628</v>
      </c>
      <c r="L85" s="7" t="n">
        <f aca="false">COUNTIFS(TestCases!$E$2:$E$328,$A85)</f>
        <v>2</v>
      </c>
      <c r="M85" s="7" t="n">
        <f aca="false">COUNTIFS(TestCases!$E$2:$E$328,$A85,TestCases!$Y$2:$Y$328,"Approve")</f>
        <v>0</v>
      </c>
      <c r="N85" s="7" t="n">
        <f aca="false">COUNTIFS(TestCases!$E$2:$E$328,$A85,TestCases!$Y$2:$Y$328,"Draft")</f>
        <v>2</v>
      </c>
      <c r="O85" s="7" t="n">
        <f aca="false">COUNTIFS(TestCases!$E$2:$E$328,$A85,TestCases!$Y$2:$Y$328,"Reject")</f>
        <v>0</v>
      </c>
      <c r="P85" s="7" t="str">
        <f aca="false">IF(M85=L85,"Approve",IF(O85=L85,"Reject","Draft"))</f>
        <v>Draft</v>
      </c>
    </row>
    <row r="86" customFormat="false" ht="34.5" hidden="false" customHeight="true" outlineLevel="0" collapsed="false">
      <c r="A86" s="7" t="s">
        <v>1901</v>
      </c>
      <c r="B86" s="7" t="s">
        <v>1907</v>
      </c>
      <c r="C86" s="7" t="s">
        <v>1900</v>
      </c>
      <c r="D86" s="7" t="s">
        <v>38</v>
      </c>
      <c r="E86" s="7" t="s">
        <v>100</v>
      </c>
      <c r="F86" s="7" t="s">
        <v>54</v>
      </c>
      <c r="G86" s="7" t="s">
        <v>136</v>
      </c>
      <c r="H86" s="6" t="s">
        <v>1902</v>
      </c>
      <c r="I86" s="6" t="s">
        <v>3618</v>
      </c>
      <c r="J86" s="6" t="s">
        <v>3629</v>
      </c>
      <c r="K86" s="6" t="s">
        <v>1488</v>
      </c>
      <c r="L86" s="7" t="n">
        <f aca="false">COUNTIFS(TestCases!$E$2:$E$328,$A86)</f>
        <v>1</v>
      </c>
      <c r="M86" s="7" t="n">
        <f aca="false">COUNTIFS(TestCases!$E$2:$E$328,$A86,TestCases!$Y$2:$Y$328,"Approve")</f>
        <v>0</v>
      </c>
      <c r="N86" s="7" t="n">
        <f aca="false">COUNTIFS(TestCases!$E$2:$E$328,$A86,TestCases!$Y$2:$Y$328,"Draft")</f>
        <v>1</v>
      </c>
      <c r="O86" s="7" t="n">
        <f aca="false">COUNTIFS(TestCases!$E$2:$E$328,$A86,TestCases!$Y$2:$Y$328,"Reject")</f>
        <v>0</v>
      </c>
      <c r="P86" s="7" t="str">
        <f aca="false">IF(M86=L86,"Approve",IF(O86=L86,"Reject","Draft"))</f>
        <v>Draft</v>
      </c>
    </row>
    <row r="87" customFormat="false" ht="57" hidden="false" customHeight="true" outlineLevel="0" collapsed="false">
      <c r="A87" s="7" t="s">
        <v>1911</v>
      </c>
      <c r="B87" s="7" t="s">
        <v>1920</v>
      </c>
      <c r="C87" s="7" t="s">
        <v>1910</v>
      </c>
      <c r="D87" s="7" t="s">
        <v>38</v>
      </c>
      <c r="E87" s="7" t="s">
        <v>100</v>
      </c>
      <c r="F87" s="7" t="s">
        <v>59</v>
      </c>
      <c r="G87" s="7" t="s">
        <v>136</v>
      </c>
      <c r="H87" s="6" t="s">
        <v>1912</v>
      </c>
      <c r="I87" s="6" t="s">
        <v>3630</v>
      </c>
      <c r="J87" s="6" t="s">
        <v>3631</v>
      </c>
      <c r="K87" s="6" t="s">
        <v>1921</v>
      </c>
      <c r="L87" s="7" t="n">
        <f aca="false">COUNTIFS(TestCases!$E$2:$E$328,$A87)</f>
        <v>1</v>
      </c>
      <c r="M87" s="7" t="n">
        <f aca="false">COUNTIFS(TestCases!$E$2:$E$328,$A87,TestCases!$Y$2:$Y$328,"Approve")</f>
        <v>0</v>
      </c>
      <c r="N87" s="7" t="n">
        <f aca="false">COUNTIFS(TestCases!$E$2:$E$328,$A87,TestCases!$Y$2:$Y$328,"Draft")</f>
        <v>1</v>
      </c>
      <c r="O87" s="7" t="n">
        <f aca="false">COUNTIFS(TestCases!$E$2:$E$328,$A87,TestCases!$Y$2:$Y$328,"Reject")</f>
        <v>0</v>
      </c>
      <c r="P87" s="7" t="str">
        <f aca="false">IF(M87=L87,"Approve",IF(O87=L87,"Reject","Draft"))</f>
        <v>Draft</v>
      </c>
    </row>
    <row r="88" customFormat="false" ht="34.5" hidden="false" customHeight="true" outlineLevel="0" collapsed="false">
      <c r="A88" s="7" t="s">
        <v>1925</v>
      </c>
      <c r="B88" s="7" t="s">
        <v>1934</v>
      </c>
      <c r="C88" s="7" t="s">
        <v>1924</v>
      </c>
      <c r="D88" s="7" t="s">
        <v>38</v>
      </c>
      <c r="E88" s="7" t="s">
        <v>100</v>
      </c>
      <c r="F88" s="7" t="s">
        <v>59</v>
      </c>
      <c r="G88" s="7" t="s">
        <v>136</v>
      </c>
      <c r="H88" s="6" t="s">
        <v>1926</v>
      </c>
      <c r="I88" s="6" t="s">
        <v>3632</v>
      </c>
      <c r="J88" s="6" t="s">
        <v>3633</v>
      </c>
      <c r="K88" s="6" t="s">
        <v>1935</v>
      </c>
      <c r="L88" s="7" t="n">
        <f aca="false">COUNTIFS(TestCases!$E$2:$E$328,$A88)</f>
        <v>1</v>
      </c>
      <c r="M88" s="7" t="n">
        <f aca="false">COUNTIFS(TestCases!$E$2:$E$328,$A88,TestCases!$Y$2:$Y$328,"Approve")</f>
        <v>0</v>
      </c>
      <c r="N88" s="7" t="n">
        <f aca="false">COUNTIFS(TestCases!$E$2:$E$328,$A88,TestCases!$Y$2:$Y$328,"Draft")</f>
        <v>1</v>
      </c>
      <c r="O88" s="7" t="n">
        <f aca="false">COUNTIFS(TestCases!$E$2:$E$328,$A88,TestCases!$Y$2:$Y$328,"Reject")</f>
        <v>0</v>
      </c>
      <c r="P88" s="7" t="str">
        <f aca="false">IF(M88=L88,"Approve",IF(O88=L88,"Reject","Draft"))</f>
        <v>Draft</v>
      </c>
    </row>
    <row r="89" customFormat="false" ht="68.25" hidden="false" customHeight="true" outlineLevel="0" collapsed="false">
      <c r="A89" s="7" t="s">
        <v>1939</v>
      </c>
      <c r="B89" s="7" t="s">
        <v>1947</v>
      </c>
      <c r="C89" s="7" t="s">
        <v>1938</v>
      </c>
      <c r="D89" s="7" t="s">
        <v>38</v>
      </c>
      <c r="E89" s="7" t="s">
        <v>100</v>
      </c>
      <c r="F89" s="7" t="s">
        <v>59</v>
      </c>
      <c r="G89" s="7" t="s">
        <v>136</v>
      </c>
      <c r="H89" s="6" t="s">
        <v>1940</v>
      </c>
      <c r="I89" s="6" t="s">
        <v>3634</v>
      </c>
      <c r="J89" s="6" t="s">
        <v>3635</v>
      </c>
      <c r="K89" s="6" t="s">
        <v>1935</v>
      </c>
      <c r="L89" s="7" t="n">
        <f aca="false">COUNTIFS(TestCases!$E$2:$E$328,$A89)</f>
        <v>1</v>
      </c>
      <c r="M89" s="7" t="n">
        <f aca="false">COUNTIFS(TestCases!$E$2:$E$328,$A89,TestCases!$Y$2:$Y$328,"Approve")</f>
        <v>0</v>
      </c>
      <c r="N89" s="7" t="n">
        <f aca="false">COUNTIFS(TestCases!$E$2:$E$328,$A89,TestCases!$Y$2:$Y$328,"Draft")</f>
        <v>1</v>
      </c>
      <c r="O89" s="7" t="n">
        <f aca="false">COUNTIFS(TestCases!$E$2:$E$328,$A89,TestCases!$Y$2:$Y$328,"Reject")</f>
        <v>0</v>
      </c>
      <c r="P89" s="7" t="str">
        <f aca="false">IF(M89=L89,"Approve",IF(O89=L89,"Reject","Draft"))</f>
        <v>Draft</v>
      </c>
    </row>
    <row r="90" customFormat="false" ht="34.5" hidden="false" customHeight="true" outlineLevel="0" collapsed="false">
      <c r="A90" s="7" t="s">
        <v>1951</v>
      </c>
      <c r="B90" s="7" t="s">
        <v>1960</v>
      </c>
      <c r="C90" s="7" t="s">
        <v>1950</v>
      </c>
      <c r="D90" s="7" t="s">
        <v>38</v>
      </c>
      <c r="E90" s="7" t="s">
        <v>100</v>
      </c>
      <c r="F90" s="7" t="s">
        <v>57</v>
      </c>
      <c r="G90" s="7" t="s">
        <v>300</v>
      </c>
      <c r="H90" s="6" t="s">
        <v>1952</v>
      </c>
      <c r="I90" s="6" t="s">
        <v>3636</v>
      </c>
      <c r="J90" s="6" t="s">
        <v>3637</v>
      </c>
      <c r="K90" s="6" t="s">
        <v>3638</v>
      </c>
      <c r="L90" s="7" t="n">
        <f aca="false">COUNTIFS(TestCases!$E$2:$E$328,$A90)</f>
        <v>2</v>
      </c>
      <c r="M90" s="7" t="n">
        <f aca="false">COUNTIFS(TestCases!$E$2:$E$328,$A90,TestCases!$Y$2:$Y$328,"Approve")</f>
        <v>0</v>
      </c>
      <c r="N90" s="7" t="n">
        <f aca="false">COUNTIFS(TestCases!$E$2:$E$328,$A90,TestCases!$Y$2:$Y$328,"Draft")</f>
        <v>2</v>
      </c>
      <c r="O90" s="7" t="n">
        <f aca="false">COUNTIFS(TestCases!$E$2:$E$328,$A90,TestCases!$Y$2:$Y$328,"Reject")</f>
        <v>0</v>
      </c>
      <c r="P90" s="7" t="str">
        <f aca="false">IF(M90=L90,"Approve",IF(O90=L90,"Reject","Draft"))</f>
        <v>Draft</v>
      </c>
    </row>
    <row r="91" customFormat="false" ht="45.75" hidden="false" customHeight="true" outlineLevel="0" collapsed="false">
      <c r="A91" s="7" t="s">
        <v>1973</v>
      </c>
      <c r="B91" s="7" t="s">
        <v>1982</v>
      </c>
      <c r="C91" s="7" t="s">
        <v>1972</v>
      </c>
      <c r="D91" s="7" t="s">
        <v>38</v>
      </c>
      <c r="E91" s="7" t="s">
        <v>100</v>
      </c>
      <c r="F91" s="7" t="s">
        <v>59</v>
      </c>
      <c r="G91" s="7" t="s">
        <v>136</v>
      </c>
      <c r="H91" s="6" t="s">
        <v>1974</v>
      </c>
      <c r="I91" s="6" t="s">
        <v>3639</v>
      </c>
      <c r="J91" s="6" t="s">
        <v>3640</v>
      </c>
      <c r="K91" s="6" t="s">
        <v>1983</v>
      </c>
      <c r="L91" s="7" t="n">
        <f aca="false">COUNTIFS(TestCases!$E$2:$E$328,$A91)</f>
        <v>1</v>
      </c>
      <c r="M91" s="7" t="n">
        <f aca="false">COUNTIFS(TestCases!$E$2:$E$328,$A91,TestCases!$Y$2:$Y$328,"Approve")</f>
        <v>0</v>
      </c>
      <c r="N91" s="7" t="n">
        <f aca="false">COUNTIFS(TestCases!$E$2:$E$328,$A91,TestCases!$Y$2:$Y$328,"Draft")</f>
        <v>1</v>
      </c>
      <c r="O91" s="7" t="n">
        <f aca="false">COUNTIFS(TestCases!$E$2:$E$328,$A91,TestCases!$Y$2:$Y$328,"Reject")</f>
        <v>0</v>
      </c>
      <c r="P91" s="7" t="str">
        <f aca="false">IF(M91=L91,"Approve",IF(O91=L91,"Reject","Draft"))</f>
        <v>Draft</v>
      </c>
    </row>
    <row r="92" customFormat="false" ht="45.75" hidden="false" customHeight="true" outlineLevel="0" collapsed="false">
      <c r="A92" s="7" t="s">
        <v>1987</v>
      </c>
      <c r="B92" s="7" t="s">
        <v>1995</v>
      </c>
      <c r="C92" s="7" t="s">
        <v>1986</v>
      </c>
      <c r="D92" s="7" t="s">
        <v>38</v>
      </c>
      <c r="E92" s="7" t="s">
        <v>100</v>
      </c>
      <c r="F92" s="7" t="s">
        <v>57</v>
      </c>
      <c r="G92" s="7" t="s">
        <v>300</v>
      </c>
      <c r="H92" s="6" t="s">
        <v>1988</v>
      </c>
      <c r="I92" s="6" t="s">
        <v>3641</v>
      </c>
      <c r="J92" s="6" t="s">
        <v>3642</v>
      </c>
      <c r="K92" s="6" t="s">
        <v>3643</v>
      </c>
      <c r="L92" s="7" t="n">
        <f aca="false">COUNTIFS(TestCases!$E$2:$E$328,$A92)</f>
        <v>3</v>
      </c>
      <c r="M92" s="7" t="n">
        <f aca="false">COUNTIFS(TestCases!$E$2:$E$328,$A92,TestCases!$Y$2:$Y$328,"Approve")</f>
        <v>1</v>
      </c>
      <c r="N92" s="7" t="n">
        <f aca="false">COUNTIFS(TestCases!$E$2:$E$328,$A92,TestCases!$Y$2:$Y$328,"Draft")</f>
        <v>2</v>
      </c>
      <c r="O92" s="7" t="n">
        <f aca="false">COUNTIFS(TestCases!$E$2:$E$328,$A92,TestCases!$Y$2:$Y$328,"Reject")</f>
        <v>0</v>
      </c>
      <c r="P92" s="7" t="str">
        <f aca="false">IF(M92=L92,"Approve",IF(O92=L92,"Reject","Draft"))</f>
        <v>Draft</v>
      </c>
    </row>
    <row r="93" customFormat="false" ht="34.5" hidden="false" customHeight="true" outlineLevel="0" collapsed="false">
      <c r="A93" s="7" t="s">
        <v>2014</v>
      </c>
      <c r="B93" s="7" t="s">
        <v>2023</v>
      </c>
      <c r="C93" s="7" t="s">
        <v>2013</v>
      </c>
      <c r="D93" s="7" t="s">
        <v>38</v>
      </c>
      <c r="E93" s="7" t="s">
        <v>100</v>
      </c>
      <c r="F93" s="7" t="s">
        <v>50</v>
      </c>
      <c r="G93" s="7" t="s">
        <v>136</v>
      </c>
      <c r="H93" s="6" t="s">
        <v>2015</v>
      </c>
      <c r="I93" s="6" t="s">
        <v>3644</v>
      </c>
      <c r="J93" s="6" t="s">
        <v>3645</v>
      </c>
      <c r="K93" s="6" t="s">
        <v>2024</v>
      </c>
      <c r="L93" s="7" t="n">
        <f aca="false">COUNTIFS(TestCases!$E$2:$E$328,$A93)</f>
        <v>1</v>
      </c>
      <c r="M93" s="7" t="n">
        <f aca="false">COUNTIFS(TestCases!$E$2:$E$328,$A93,TestCases!$Y$2:$Y$328,"Approve")</f>
        <v>0</v>
      </c>
      <c r="N93" s="7" t="n">
        <f aca="false">COUNTIFS(TestCases!$E$2:$E$328,$A93,TestCases!$Y$2:$Y$328,"Draft")</f>
        <v>1</v>
      </c>
      <c r="O93" s="7" t="n">
        <f aca="false">COUNTIFS(TestCases!$E$2:$E$328,$A93,TestCases!$Y$2:$Y$328,"Reject")</f>
        <v>0</v>
      </c>
      <c r="P93" s="7" t="str">
        <f aca="false">IF(M93=L93,"Approve",IF(O93=L93,"Reject","Draft"))</f>
        <v>Draft</v>
      </c>
    </row>
    <row r="94" customFormat="false" ht="57" hidden="false" customHeight="true" outlineLevel="0" collapsed="false">
      <c r="A94" s="7" t="s">
        <v>2028</v>
      </c>
      <c r="B94" s="7" t="s">
        <v>2037</v>
      </c>
      <c r="C94" s="7" t="s">
        <v>2027</v>
      </c>
      <c r="D94" s="7" t="s">
        <v>38</v>
      </c>
      <c r="E94" s="7" t="s">
        <v>100</v>
      </c>
      <c r="F94" s="7" t="s">
        <v>49</v>
      </c>
      <c r="G94" s="7" t="s">
        <v>269</v>
      </c>
      <c r="H94" s="6" t="s">
        <v>2029</v>
      </c>
      <c r="I94" s="6" t="s">
        <v>3646</v>
      </c>
      <c r="J94" s="6" t="s">
        <v>3647</v>
      </c>
      <c r="K94" s="6" t="s">
        <v>2054</v>
      </c>
      <c r="L94" s="7" t="n">
        <f aca="false">COUNTIFS(TestCases!$E$2:$E$328,$A94)</f>
        <v>4</v>
      </c>
      <c r="M94" s="7" t="n">
        <f aca="false">COUNTIFS(TestCases!$E$2:$E$328,$A94,TestCases!$Y$2:$Y$328,"Approve")</f>
        <v>0</v>
      </c>
      <c r="N94" s="7" t="n">
        <f aca="false">COUNTIFS(TestCases!$E$2:$E$328,$A94,TestCases!$Y$2:$Y$328,"Draft")</f>
        <v>4</v>
      </c>
      <c r="O94" s="7" t="n">
        <f aca="false">COUNTIFS(TestCases!$E$2:$E$328,$A94,TestCases!$Y$2:$Y$328,"Reject")</f>
        <v>0</v>
      </c>
      <c r="P94" s="7" t="str">
        <f aca="false">IF(M94=L94,"Approve",IF(O94=L94,"Reject","Draft"))</f>
        <v>Draft</v>
      </c>
    </row>
    <row r="95" customFormat="false" ht="45.75" hidden="false" customHeight="true" outlineLevel="0" collapsed="false">
      <c r="A95" s="7" t="s">
        <v>2066</v>
      </c>
      <c r="B95" s="7" t="s">
        <v>2075</v>
      </c>
      <c r="C95" s="7" t="s">
        <v>2065</v>
      </c>
      <c r="D95" s="7" t="s">
        <v>38</v>
      </c>
      <c r="E95" s="7" t="s">
        <v>100</v>
      </c>
      <c r="F95" s="7" t="s">
        <v>59</v>
      </c>
      <c r="G95" s="7" t="s">
        <v>136</v>
      </c>
      <c r="H95" s="6" t="s">
        <v>2067</v>
      </c>
      <c r="I95" s="6" t="s">
        <v>3648</v>
      </c>
      <c r="J95" s="6" t="s">
        <v>3649</v>
      </c>
      <c r="K95" s="6" t="s">
        <v>138</v>
      </c>
      <c r="L95" s="7" t="n">
        <f aca="false">COUNTIFS(TestCases!$E$2:$E$328,$A95)</f>
        <v>2</v>
      </c>
      <c r="M95" s="7" t="n">
        <f aca="false">COUNTIFS(TestCases!$E$2:$E$328,$A95,TestCases!$Y$2:$Y$328,"Approve")</f>
        <v>2</v>
      </c>
      <c r="N95" s="7" t="n">
        <f aca="false">COUNTIFS(TestCases!$E$2:$E$328,$A95,TestCases!$Y$2:$Y$328,"Draft")</f>
        <v>0</v>
      </c>
      <c r="O95" s="7" t="n">
        <f aca="false">COUNTIFS(TestCases!$E$2:$E$328,$A95,TestCases!$Y$2:$Y$328,"Reject")</f>
        <v>0</v>
      </c>
      <c r="P95" s="7" t="str">
        <f aca="false">IF(M95=L95,"Approve",IF(O95=L95,"Reject","Draft"))</f>
        <v>Approve</v>
      </c>
    </row>
    <row r="96" customFormat="false" ht="34.5" hidden="false" customHeight="true" outlineLevel="0" collapsed="false">
      <c r="A96" s="7" t="s">
        <v>2087</v>
      </c>
      <c r="B96" s="7" t="s">
        <v>2096</v>
      </c>
      <c r="C96" s="7" t="s">
        <v>2086</v>
      </c>
      <c r="D96" s="7" t="s">
        <v>38</v>
      </c>
      <c r="E96" s="7" t="s">
        <v>100</v>
      </c>
      <c r="F96" s="7" t="s">
        <v>48</v>
      </c>
      <c r="G96" s="7" t="s">
        <v>256</v>
      </c>
      <c r="H96" s="6" t="s">
        <v>2088</v>
      </c>
      <c r="I96" s="6" t="s">
        <v>3650</v>
      </c>
      <c r="J96" s="6" t="s">
        <v>3651</v>
      </c>
      <c r="K96" s="6" t="s">
        <v>138</v>
      </c>
      <c r="L96" s="7" t="n">
        <f aca="false">COUNTIFS(TestCases!$E$2:$E$328,$A96)</f>
        <v>2</v>
      </c>
      <c r="M96" s="7" t="n">
        <f aca="false">COUNTIFS(TestCases!$E$2:$E$328,$A96,TestCases!$Y$2:$Y$328,"Approve")</f>
        <v>2</v>
      </c>
      <c r="N96" s="7" t="n">
        <f aca="false">COUNTIFS(TestCases!$E$2:$E$328,$A96,TestCases!$Y$2:$Y$328,"Draft")</f>
        <v>0</v>
      </c>
      <c r="O96" s="7" t="n">
        <f aca="false">COUNTIFS(TestCases!$E$2:$E$328,$A96,TestCases!$Y$2:$Y$328,"Reject")</f>
        <v>0</v>
      </c>
      <c r="P96" s="7" t="str">
        <f aca="false">IF(M96=L96,"Approve",IF(O96=L96,"Reject","Draft"))</f>
        <v>Approve</v>
      </c>
    </row>
    <row r="97" customFormat="false" ht="68.25" hidden="false" customHeight="true" outlineLevel="0" collapsed="false">
      <c r="A97" s="7" t="s">
        <v>2106</v>
      </c>
      <c r="B97" s="7" t="s">
        <v>2115</v>
      </c>
      <c r="C97" s="7" t="s">
        <v>2105</v>
      </c>
      <c r="D97" s="7" t="s">
        <v>38</v>
      </c>
      <c r="E97" s="7" t="s">
        <v>100</v>
      </c>
      <c r="F97" s="7" t="s">
        <v>59</v>
      </c>
      <c r="G97" s="7" t="s">
        <v>300</v>
      </c>
      <c r="H97" s="6" t="s">
        <v>2107</v>
      </c>
      <c r="I97" s="6" t="s">
        <v>3652</v>
      </c>
      <c r="J97" s="6" t="s">
        <v>3653</v>
      </c>
      <c r="K97" s="6" t="s">
        <v>2116</v>
      </c>
      <c r="L97" s="7" t="n">
        <f aca="false">COUNTIFS(TestCases!$E$2:$E$328,$A97)</f>
        <v>3</v>
      </c>
      <c r="M97" s="7" t="n">
        <f aca="false">COUNTIFS(TestCases!$E$2:$E$328,$A97,TestCases!$Y$2:$Y$328,"Approve")</f>
        <v>1</v>
      </c>
      <c r="N97" s="7" t="n">
        <f aca="false">COUNTIFS(TestCases!$E$2:$E$328,$A97,TestCases!$Y$2:$Y$328,"Draft")</f>
        <v>2</v>
      </c>
      <c r="O97" s="7" t="n">
        <f aca="false">COUNTIFS(TestCases!$E$2:$E$328,$A97,TestCases!$Y$2:$Y$328,"Reject")</f>
        <v>0</v>
      </c>
      <c r="P97" s="7" t="str">
        <f aca="false">IF(M97=L97,"Approve",IF(O97=L97,"Reject","Draft"))</f>
        <v>Draft</v>
      </c>
    </row>
    <row r="98" customFormat="false" ht="45.75" hidden="false" customHeight="true" outlineLevel="0" collapsed="false">
      <c r="A98" s="7" t="s">
        <v>2135</v>
      </c>
      <c r="B98" s="7" t="s">
        <v>2143</v>
      </c>
      <c r="C98" s="7" t="s">
        <v>2134</v>
      </c>
      <c r="D98" s="7" t="s">
        <v>38</v>
      </c>
      <c r="E98" s="7" t="s">
        <v>100</v>
      </c>
      <c r="F98" s="7" t="s">
        <v>59</v>
      </c>
      <c r="G98" s="7" t="s">
        <v>300</v>
      </c>
      <c r="H98" s="6" t="s">
        <v>2136</v>
      </c>
      <c r="I98" s="6" t="s">
        <v>3654</v>
      </c>
      <c r="J98" s="6" t="s">
        <v>3655</v>
      </c>
      <c r="K98" s="6" t="s">
        <v>2116</v>
      </c>
      <c r="L98" s="7" t="n">
        <f aca="false">COUNTIFS(TestCases!$E$2:$E$328,$A98)</f>
        <v>2</v>
      </c>
      <c r="M98" s="7" t="n">
        <f aca="false">COUNTIFS(TestCases!$E$2:$E$328,$A98,TestCases!$Y$2:$Y$328,"Approve")</f>
        <v>0</v>
      </c>
      <c r="N98" s="7" t="n">
        <f aca="false">COUNTIFS(TestCases!$E$2:$E$328,$A98,TestCases!$Y$2:$Y$328,"Draft")</f>
        <v>2</v>
      </c>
      <c r="O98" s="7" t="n">
        <f aca="false">COUNTIFS(TestCases!$E$2:$E$328,$A98,TestCases!$Y$2:$Y$328,"Reject")</f>
        <v>0</v>
      </c>
      <c r="P98" s="7" t="str">
        <f aca="false">IF(M98=L98,"Approve",IF(O98=L98,"Reject","Draft"))</f>
        <v>Draft</v>
      </c>
    </row>
    <row r="99" customFormat="false" ht="45.75" hidden="false" customHeight="true" outlineLevel="0" collapsed="false">
      <c r="A99" s="7" t="s">
        <v>2153</v>
      </c>
      <c r="B99" s="7" t="s">
        <v>2160</v>
      </c>
      <c r="C99" s="7" t="s">
        <v>2152</v>
      </c>
      <c r="D99" s="7" t="s">
        <v>38</v>
      </c>
      <c r="E99" s="7" t="s">
        <v>100</v>
      </c>
      <c r="F99" s="7" t="s">
        <v>57</v>
      </c>
      <c r="G99" s="7" t="s">
        <v>300</v>
      </c>
      <c r="H99" s="6" t="s">
        <v>2154</v>
      </c>
      <c r="I99" s="6" t="s">
        <v>3656</v>
      </c>
      <c r="J99" s="6" t="s">
        <v>3657</v>
      </c>
      <c r="K99" s="6" t="s">
        <v>2116</v>
      </c>
      <c r="L99" s="7" t="n">
        <f aca="false">COUNTIFS(TestCases!$E$2:$E$328,$A99)</f>
        <v>2</v>
      </c>
      <c r="M99" s="7" t="n">
        <f aca="false">COUNTIFS(TestCases!$E$2:$E$328,$A99,TestCases!$Y$2:$Y$328,"Approve")</f>
        <v>0</v>
      </c>
      <c r="N99" s="7" t="n">
        <f aca="false">COUNTIFS(TestCases!$E$2:$E$328,$A99,TestCases!$Y$2:$Y$328,"Draft")</f>
        <v>2</v>
      </c>
      <c r="O99" s="7" t="n">
        <f aca="false">COUNTIFS(TestCases!$E$2:$E$328,$A99,TestCases!$Y$2:$Y$328,"Reject")</f>
        <v>0</v>
      </c>
      <c r="P99" s="7" t="str">
        <f aca="false">IF(M99=L99,"Approve",IF(O99=L99,"Reject","Draft"))</f>
        <v>Draft</v>
      </c>
    </row>
    <row r="100" customFormat="false" ht="68.25" hidden="false" customHeight="true" outlineLevel="0" collapsed="false">
      <c r="A100" s="7" t="s">
        <v>2170</v>
      </c>
      <c r="B100" s="7" t="s">
        <v>2179</v>
      </c>
      <c r="C100" s="7" t="s">
        <v>2169</v>
      </c>
      <c r="D100" s="7" t="s">
        <v>38</v>
      </c>
      <c r="E100" s="7" t="s">
        <v>101</v>
      </c>
      <c r="F100" s="7" t="s">
        <v>59</v>
      </c>
      <c r="G100" s="7" t="s">
        <v>136</v>
      </c>
      <c r="H100" s="6" t="s">
        <v>2171</v>
      </c>
      <c r="I100" s="6" t="s">
        <v>3658</v>
      </c>
      <c r="J100" s="6" t="s">
        <v>3659</v>
      </c>
      <c r="K100" s="6" t="s">
        <v>2180</v>
      </c>
      <c r="L100" s="7" t="n">
        <f aca="false">COUNTIFS(TestCases!$E$2:$E$328,$A100)</f>
        <v>2</v>
      </c>
      <c r="M100" s="7" t="n">
        <f aca="false">COUNTIFS(TestCases!$E$2:$E$328,$A100,TestCases!$Y$2:$Y$328,"Approve")</f>
        <v>0</v>
      </c>
      <c r="N100" s="7" t="n">
        <f aca="false">COUNTIFS(TestCases!$E$2:$E$328,$A100,TestCases!$Y$2:$Y$328,"Draft")</f>
        <v>2</v>
      </c>
      <c r="O100" s="7" t="n">
        <f aca="false">COUNTIFS(TestCases!$E$2:$E$328,$A100,TestCases!$Y$2:$Y$328,"Reject")</f>
        <v>0</v>
      </c>
      <c r="P100" s="7" t="str">
        <f aca="false">IF(M100=L100,"Approve",IF(O100=L100,"Reject","Draft"))</f>
        <v>Draft</v>
      </c>
    </row>
    <row r="101" customFormat="false" ht="68.25" hidden="false" customHeight="true" outlineLevel="0" collapsed="false">
      <c r="A101" s="7" t="s">
        <v>2192</v>
      </c>
      <c r="B101" s="7" t="s">
        <v>2200</v>
      </c>
      <c r="C101" s="7" t="s">
        <v>2191</v>
      </c>
      <c r="D101" s="7" t="s">
        <v>38</v>
      </c>
      <c r="E101" s="7" t="s">
        <v>101</v>
      </c>
      <c r="F101" s="7" t="s">
        <v>59</v>
      </c>
      <c r="G101" s="7" t="s">
        <v>136</v>
      </c>
      <c r="H101" s="6" t="s">
        <v>2193</v>
      </c>
      <c r="I101" s="6" t="s">
        <v>3660</v>
      </c>
      <c r="J101" s="6" t="s">
        <v>3661</v>
      </c>
      <c r="K101" s="6" t="s">
        <v>2180</v>
      </c>
      <c r="L101" s="7" t="n">
        <f aca="false">COUNTIFS(TestCases!$E$2:$E$328,$A101)</f>
        <v>2</v>
      </c>
      <c r="M101" s="7" t="n">
        <f aca="false">COUNTIFS(TestCases!$E$2:$E$328,$A101,TestCases!$Y$2:$Y$328,"Approve")</f>
        <v>0</v>
      </c>
      <c r="N101" s="7" t="n">
        <f aca="false">COUNTIFS(TestCases!$E$2:$E$328,$A101,TestCases!$Y$2:$Y$328,"Draft")</f>
        <v>2</v>
      </c>
      <c r="O101" s="7" t="n">
        <f aca="false">COUNTIFS(TestCases!$E$2:$E$328,$A101,TestCases!$Y$2:$Y$328,"Reject")</f>
        <v>0</v>
      </c>
      <c r="P101" s="7" t="str">
        <f aca="false">IF(M101=L101,"Approve",IF(O101=L101,"Reject","Draft"))</f>
        <v>Draft</v>
      </c>
    </row>
    <row r="102" customFormat="false" ht="68.25" hidden="false" customHeight="true" outlineLevel="0" collapsed="false">
      <c r="A102" s="7" t="s">
        <v>2211</v>
      </c>
      <c r="B102" s="7" t="s">
        <v>2219</v>
      </c>
      <c r="C102" s="7" t="s">
        <v>2210</v>
      </c>
      <c r="D102" s="7" t="s">
        <v>38</v>
      </c>
      <c r="E102" s="7" t="s">
        <v>101</v>
      </c>
      <c r="F102" s="7" t="s">
        <v>51</v>
      </c>
      <c r="G102" s="7" t="s">
        <v>136</v>
      </c>
      <c r="H102" s="6" t="s">
        <v>2212</v>
      </c>
      <c r="I102" s="6" t="s">
        <v>3662</v>
      </c>
      <c r="J102" s="6" t="s">
        <v>3663</v>
      </c>
      <c r="K102" s="6" t="s">
        <v>2180</v>
      </c>
      <c r="L102" s="7" t="n">
        <f aca="false">COUNTIFS(TestCases!$E$2:$E$328,$A102)</f>
        <v>1</v>
      </c>
      <c r="M102" s="7" t="n">
        <f aca="false">COUNTIFS(TestCases!$E$2:$E$328,$A102,TestCases!$Y$2:$Y$328,"Approve")</f>
        <v>0</v>
      </c>
      <c r="N102" s="7" t="n">
        <f aca="false">COUNTIFS(TestCases!$E$2:$E$328,$A102,TestCases!$Y$2:$Y$328,"Draft")</f>
        <v>1</v>
      </c>
      <c r="O102" s="7" t="n">
        <f aca="false">COUNTIFS(TestCases!$E$2:$E$328,$A102,TestCases!$Y$2:$Y$328,"Reject")</f>
        <v>0</v>
      </c>
      <c r="P102" s="7" t="str">
        <f aca="false">IF(M102=L102,"Approve",IF(O102=L102,"Reject","Draft"))</f>
        <v>Draft</v>
      </c>
    </row>
    <row r="103" customFormat="false" ht="68.25" hidden="false" customHeight="true" outlineLevel="0" collapsed="false">
      <c r="A103" s="7" t="s">
        <v>2223</v>
      </c>
      <c r="B103" s="7" t="s">
        <v>2232</v>
      </c>
      <c r="C103" s="7" t="s">
        <v>2222</v>
      </c>
      <c r="D103" s="7" t="s">
        <v>38</v>
      </c>
      <c r="E103" s="7" t="s">
        <v>101</v>
      </c>
      <c r="F103" s="7" t="s">
        <v>51</v>
      </c>
      <c r="G103" s="7" t="s">
        <v>136</v>
      </c>
      <c r="H103" s="6" t="s">
        <v>2224</v>
      </c>
      <c r="I103" s="6" t="s">
        <v>3664</v>
      </c>
      <c r="J103" s="6" t="s">
        <v>3665</v>
      </c>
      <c r="K103" s="6" t="s">
        <v>2180</v>
      </c>
      <c r="L103" s="7" t="n">
        <f aca="false">COUNTIFS(TestCases!$E$2:$E$328,$A103)</f>
        <v>1</v>
      </c>
      <c r="M103" s="7" t="n">
        <f aca="false">COUNTIFS(TestCases!$E$2:$E$328,$A103,TestCases!$Y$2:$Y$328,"Approve")</f>
        <v>0</v>
      </c>
      <c r="N103" s="7" t="n">
        <f aca="false">COUNTIFS(TestCases!$E$2:$E$328,$A103,TestCases!$Y$2:$Y$328,"Draft")</f>
        <v>1</v>
      </c>
      <c r="O103" s="7" t="n">
        <f aca="false">COUNTIFS(TestCases!$E$2:$E$328,$A103,TestCases!$Y$2:$Y$328,"Reject")</f>
        <v>0</v>
      </c>
      <c r="P103" s="7" t="str">
        <f aca="false">IF(M103=L103,"Approve",IF(O103=L103,"Reject","Draft"))</f>
        <v>Draft</v>
      </c>
    </row>
    <row r="104" customFormat="false" ht="34.5" hidden="false" customHeight="true" outlineLevel="0" collapsed="false">
      <c r="A104" s="7" t="s">
        <v>2236</v>
      </c>
      <c r="B104" s="7" t="s">
        <v>2241</v>
      </c>
      <c r="C104" s="7" t="s">
        <v>2235</v>
      </c>
      <c r="D104" s="7" t="s">
        <v>38</v>
      </c>
      <c r="E104" s="7" t="s">
        <v>36</v>
      </c>
      <c r="F104" s="7" t="s">
        <v>49</v>
      </c>
      <c r="G104" s="7" t="s">
        <v>136</v>
      </c>
      <c r="H104" s="6" t="s">
        <v>2237</v>
      </c>
      <c r="I104" s="6" t="s">
        <v>3666</v>
      </c>
      <c r="J104" s="6" t="s">
        <v>3667</v>
      </c>
      <c r="K104" s="6" t="s">
        <v>3668</v>
      </c>
      <c r="L104" s="7" t="n">
        <f aca="false">COUNTIFS(TestCases!$E$2:$E$328,$A104)</f>
        <v>1</v>
      </c>
      <c r="M104" s="7" t="n">
        <f aca="false">COUNTIFS(TestCases!$E$2:$E$328,$A104,TestCases!$Y$2:$Y$328,"Approve")</f>
        <v>0</v>
      </c>
      <c r="N104" s="7" t="n">
        <f aca="false">COUNTIFS(TestCases!$E$2:$E$328,$A104,TestCases!$Y$2:$Y$328,"Draft")</f>
        <v>0</v>
      </c>
      <c r="O104" s="7" t="n">
        <f aca="false">COUNTIFS(TestCases!$E$2:$E$328,$A104,TestCases!$Y$2:$Y$328,"Reject")</f>
        <v>1</v>
      </c>
      <c r="P104" s="7" t="str">
        <f aca="false">IF(M104=L104,"Approve",IF(O104=L104,"Reject","Draft"))</f>
        <v>Reject</v>
      </c>
    </row>
    <row r="105" customFormat="false" ht="34.5" hidden="false" customHeight="true" outlineLevel="0" collapsed="false">
      <c r="A105" s="7" t="s">
        <v>2245</v>
      </c>
      <c r="B105" s="7" t="s">
        <v>2254</v>
      </c>
      <c r="C105" s="7" t="s">
        <v>2244</v>
      </c>
      <c r="D105" s="7" t="s">
        <v>38</v>
      </c>
      <c r="E105" s="7" t="s">
        <v>100</v>
      </c>
      <c r="F105" s="7" t="s">
        <v>59</v>
      </c>
      <c r="G105" s="7" t="s">
        <v>136</v>
      </c>
      <c r="H105" s="6" t="s">
        <v>2246</v>
      </c>
      <c r="I105" s="6" t="s">
        <v>3669</v>
      </c>
      <c r="J105" s="6" t="s">
        <v>3670</v>
      </c>
      <c r="K105" s="6" t="s">
        <v>3488</v>
      </c>
      <c r="L105" s="7" t="n">
        <f aca="false">COUNTIFS(TestCases!$E$2:$E$328,$A105)</f>
        <v>2</v>
      </c>
      <c r="M105" s="7" t="n">
        <f aca="false">COUNTIFS(TestCases!$E$2:$E$328,$A105,TestCases!$Y$2:$Y$328,"Approve")</f>
        <v>0</v>
      </c>
      <c r="N105" s="7" t="n">
        <f aca="false">COUNTIFS(TestCases!$E$2:$E$328,$A105,TestCases!$Y$2:$Y$328,"Draft")</f>
        <v>2</v>
      </c>
      <c r="O105" s="7" t="n">
        <f aca="false">COUNTIFS(TestCases!$E$2:$E$328,$A105,TestCases!$Y$2:$Y$328,"Reject")</f>
        <v>0</v>
      </c>
      <c r="P105" s="7" t="str">
        <f aca="false">IF(M105=L105,"Approve",IF(O105=L105,"Reject","Draft"))</f>
        <v>Draft</v>
      </c>
    </row>
    <row r="106" customFormat="false" ht="68.25" hidden="false" customHeight="true" outlineLevel="0" collapsed="false">
      <c r="A106" s="7" t="s">
        <v>2266</v>
      </c>
      <c r="B106" s="7" t="s">
        <v>2275</v>
      </c>
      <c r="C106" s="7" t="s">
        <v>2265</v>
      </c>
      <c r="D106" s="7" t="s">
        <v>38</v>
      </c>
      <c r="E106" s="7" t="s">
        <v>101</v>
      </c>
      <c r="F106" s="7" t="s">
        <v>49</v>
      </c>
      <c r="G106" s="7" t="s">
        <v>269</v>
      </c>
      <c r="H106" s="6" t="s">
        <v>2267</v>
      </c>
      <c r="I106" s="6" t="s">
        <v>3671</v>
      </c>
      <c r="J106" s="6" t="s">
        <v>3672</v>
      </c>
      <c r="K106" s="6" t="s">
        <v>2276</v>
      </c>
      <c r="L106" s="7" t="n">
        <f aca="false">COUNTIFS(TestCases!$E$2:$E$328,$A106)</f>
        <v>4</v>
      </c>
      <c r="M106" s="7" t="n">
        <f aca="false">COUNTIFS(TestCases!$E$2:$E$328,$A106,TestCases!$Y$2:$Y$328,"Approve")</f>
        <v>0</v>
      </c>
      <c r="N106" s="7" t="n">
        <f aca="false">COUNTIFS(TestCases!$E$2:$E$328,$A106,TestCases!$Y$2:$Y$328,"Draft")</f>
        <v>4</v>
      </c>
      <c r="O106" s="7" t="n">
        <f aca="false">COUNTIFS(TestCases!$E$2:$E$328,$A106,TestCases!$Y$2:$Y$328,"Reject")</f>
        <v>0</v>
      </c>
      <c r="P106" s="7" t="str">
        <f aca="false">IF(M106=L106,"Approve",IF(O106=L106,"Reject","Draft"))</f>
        <v>Draft</v>
      </c>
    </row>
    <row r="107" customFormat="false" ht="57" hidden="false" customHeight="true" outlineLevel="0" collapsed="false">
      <c r="A107" s="7" t="s">
        <v>2304</v>
      </c>
      <c r="B107" s="7" t="s">
        <v>2313</v>
      </c>
      <c r="C107" s="7" t="s">
        <v>2303</v>
      </c>
      <c r="D107" s="7" t="s">
        <v>38</v>
      </c>
      <c r="E107" s="7" t="s">
        <v>101</v>
      </c>
      <c r="F107" s="7" t="s">
        <v>51</v>
      </c>
      <c r="G107" s="7" t="s">
        <v>136</v>
      </c>
      <c r="H107" s="6" t="s">
        <v>2305</v>
      </c>
      <c r="I107" s="6" t="s">
        <v>3673</v>
      </c>
      <c r="J107" s="6" t="s">
        <v>3674</v>
      </c>
      <c r="K107" s="6" t="s">
        <v>3675</v>
      </c>
      <c r="L107" s="7" t="n">
        <f aca="false">COUNTIFS(TestCases!$E$2:$E$328,$A107)</f>
        <v>2</v>
      </c>
      <c r="M107" s="7" t="n">
        <f aca="false">COUNTIFS(TestCases!$E$2:$E$328,$A107,TestCases!$Y$2:$Y$328,"Approve")</f>
        <v>0</v>
      </c>
      <c r="N107" s="7" t="n">
        <f aca="false">COUNTIFS(TestCases!$E$2:$E$328,$A107,TestCases!$Y$2:$Y$328,"Draft")</f>
        <v>2</v>
      </c>
      <c r="O107" s="7" t="n">
        <f aca="false">COUNTIFS(TestCases!$E$2:$E$328,$A107,TestCases!$Y$2:$Y$328,"Reject")</f>
        <v>0</v>
      </c>
      <c r="P107" s="7" t="str">
        <f aca="false">IF(M107=L107,"Approve",IF(O107=L107,"Reject","Draft"))</f>
        <v>Draft</v>
      </c>
    </row>
    <row r="108" customFormat="false" ht="68.25" hidden="false" customHeight="true" outlineLevel="0" collapsed="false">
      <c r="A108" s="7" t="s">
        <v>2325</v>
      </c>
      <c r="B108" s="7" t="s">
        <v>2333</v>
      </c>
      <c r="C108" s="7" t="s">
        <v>2324</v>
      </c>
      <c r="D108" s="7" t="s">
        <v>40</v>
      </c>
      <c r="E108" s="7" t="s">
        <v>101</v>
      </c>
      <c r="F108" s="7" t="s">
        <v>49</v>
      </c>
      <c r="G108" s="7" t="s">
        <v>256</v>
      </c>
      <c r="H108" s="6" t="s">
        <v>2326</v>
      </c>
      <c r="I108" s="6" t="s">
        <v>3676</v>
      </c>
      <c r="J108" s="6" t="s">
        <v>3677</v>
      </c>
      <c r="K108" s="6" t="s">
        <v>3678</v>
      </c>
      <c r="L108" s="7" t="n">
        <f aca="false">COUNTIFS(TestCases!$E$2:$E$328,$A108)</f>
        <v>4</v>
      </c>
      <c r="M108" s="7" t="n">
        <f aca="false">COUNTIFS(TestCases!$E$2:$E$328,$A108,TestCases!$Y$2:$Y$328,"Approve")</f>
        <v>2</v>
      </c>
      <c r="N108" s="7" t="n">
        <f aca="false">COUNTIFS(TestCases!$E$2:$E$328,$A108,TestCases!$Y$2:$Y$328,"Draft")</f>
        <v>2</v>
      </c>
      <c r="O108" s="7" t="n">
        <f aca="false">COUNTIFS(TestCases!$E$2:$E$328,$A108,TestCases!$Y$2:$Y$328,"Reject")</f>
        <v>0</v>
      </c>
      <c r="P108" s="7" t="str">
        <f aca="false">IF(M108=L108,"Approve",IF(O108=L108,"Reject","Draft"))</f>
        <v>Draft</v>
      </c>
    </row>
    <row r="109" customFormat="false" ht="57" hidden="false" customHeight="true" outlineLevel="0" collapsed="false">
      <c r="A109" s="7" t="s">
        <v>2361</v>
      </c>
      <c r="B109" s="7" t="s">
        <v>2369</v>
      </c>
      <c r="C109" s="7" t="s">
        <v>2360</v>
      </c>
      <c r="D109" s="7" t="s">
        <v>38</v>
      </c>
      <c r="E109" s="7" t="s">
        <v>101</v>
      </c>
      <c r="F109" s="7" t="s">
        <v>59</v>
      </c>
      <c r="G109" s="7" t="s">
        <v>136</v>
      </c>
      <c r="H109" s="6" t="s">
        <v>2362</v>
      </c>
      <c r="I109" s="6" t="s">
        <v>3679</v>
      </c>
      <c r="J109" s="6" t="s">
        <v>3680</v>
      </c>
      <c r="K109" s="6" t="s">
        <v>2370</v>
      </c>
      <c r="L109" s="7" t="n">
        <f aca="false">COUNTIFS(TestCases!$E$2:$E$328,$A109)</f>
        <v>1</v>
      </c>
      <c r="M109" s="7" t="n">
        <f aca="false">COUNTIFS(TestCases!$E$2:$E$328,$A109,TestCases!$Y$2:$Y$328,"Approve")</f>
        <v>0</v>
      </c>
      <c r="N109" s="7" t="n">
        <f aca="false">COUNTIFS(TestCases!$E$2:$E$328,$A109,TestCases!$Y$2:$Y$328,"Draft")</f>
        <v>1</v>
      </c>
      <c r="O109" s="7" t="n">
        <f aca="false">COUNTIFS(TestCases!$E$2:$E$328,$A109,TestCases!$Y$2:$Y$328,"Reject")</f>
        <v>0</v>
      </c>
      <c r="P109" s="7" t="str">
        <f aca="false">IF(M109=L109,"Approve",IF(O109=L109,"Reject","Draft"))</f>
        <v>Draft</v>
      </c>
    </row>
    <row r="110" customFormat="false" ht="45.75" hidden="false" customHeight="true" outlineLevel="0" collapsed="false">
      <c r="A110" s="7" t="s">
        <v>2374</v>
      </c>
      <c r="B110" s="7" t="s">
        <v>2381</v>
      </c>
      <c r="C110" s="7" t="s">
        <v>2373</v>
      </c>
      <c r="D110" s="7" t="s">
        <v>38</v>
      </c>
      <c r="E110" s="7" t="s">
        <v>101</v>
      </c>
      <c r="F110" s="7" t="s">
        <v>54</v>
      </c>
      <c r="G110" s="7" t="s">
        <v>269</v>
      </c>
      <c r="H110" s="6" t="s">
        <v>2375</v>
      </c>
      <c r="I110" s="6" t="s">
        <v>3681</v>
      </c>
      <c r="J110" s="6" t="s">
        <v>3682</v>
      </c>
      <c r="K110" s="6" t="s">
        <v>138</v>
      </c>
      <c r="L110" s="7" t="n">
        <f aca="false">COUNTIFS(TestCases!$E$2:$E$328,$A110)</f>
        <v>2</v>
      </c>
      <c r="M110" s="7" t="n">
        <f aca="false">COUNTIFS(TestCases!$E$2:$E$328,$A110,TestCases!$Y$2:$Y$328,"Approve")</f>
        <v>2</v>
      </c>
      <c r="N110" s="7" t="n">
        <f aca="false">COUNTIFS(TestCases!$E$2:$E$328,$A110,TestCases!$Y$2:$Y$328,"Draft")</f>
        <v>0</v>
      </c>
      <c r="O110" s="7" t="n">
        <f aca="false">COUNTIFS(TestCases!$E$2:$E$328,$A110,TestCases!$Y$2:$Y$328,"Reject")</f>
        <v>0</v>
      </c>
      <c r="P110" s="7" t="str">
        <f aca="false">IF(M110=L110,"Approve",IF(O110=L110,"Reject","Draft"))</f>
        <v>Approve</v>
      </c>
    </row>
    <row r="111" customFormat="false" ht="68.25" hidden="false" customHeight="true" outlineLevel="0" collapsed="false">
      <c r="A111" s="7" t="s">
        <v>2392</v>
      </c>
      <c r="B111" s="7" t="s">
        <v>2401</v>
      </c>
      <c r="C111" s="7" t="s">
        <v>2391</v>
      </c>
      <c r="D111" s="7" t="s">
        <v>40</v>
      </c>
      <c r="E111" s="7" t="s">
        <v>517</v>
      </c>
      <c r="F111" s="7" t="s">
        <v>59</v>
      </c>
      <c r="G111" s="7" t="s">
        <v>136</v>
      </c>
      <c r="H111" s="6" t="s">
        <v>2393</v>
      </c>
      <c r="I111" s="6" t="s">
        <v>3683</v>
      </c>
      <c r="J111" s="6" t="s">
        <v>3684</v>
      </c>
      <c r="K111" s="6" t="s">
        <v>2402</v>
      </c>
      <c r="L111" s="7" t="n">
        <f aca="false">COUNTIFS(TestCases!$E$2:$E$328,$A111)</f>
        <v>3</v>
      </c>
      <c r="M111" s="7" t="n">
        <f aca="false">COUNTIFS(TestCases!$E$2:$E$328,$A111,TestCases!$Y$2:$Y$328,"Approve")</f>
        <v>0</v>
      </c>
      <c r="N111" s="7" t="n">
        <f aca="false">COUNTIFS(TestCases!$E$2:$E$328,$A111,TestCases!$Y$2:$Y$328,"Draft")</f>
        <v>3</v>
      </c>
      <c r="O111" s="7" t="n">
        <f aca="false">COUNTIFS(TestCases!$E$2:$E$328,$A111,TestCases!$Y$2:$Y$328,"Reject")</f>
        <v>0</v>
      </c>
      <c r="P111" s="7" t="str">
        <f aca="false">IF(M111=L111,"Approve",IF(O111=L111,"Reject","Draft"))</f>
        <v>Draft</v>
      </c>
    </row>
    <row r="112" customFormat="false" ht="68.25" hidden="false" customHeight="true" outlineLevel="0" collapsed="false">
      <c r="A112" s="7" t="s">
        <v>2422</v>
      </c>
      <c r="B112" s="7" t="s">
        <v>2431</v>
      </c>
      <c r="C112" s="7" t="s">
        <v>2421</v>
      </c>
      <c r="D112" s="7" t="s">
        <v>40</v>
      </c>
      <c r="E112" s="7" t="s">
        <v>517</v>
      </c>
      <c r="F112" s="7" t="s">
        <v>59</v>
      </c>
      <c r="G112" s="7" t="s">
        <v>136</v>
      </c>
      <c r="H112" s="6" t="s">
        <v>2423</v>
      </c>
      <c r="I112" s="6" t="s">
        <v>3685</v>
      </c>
      <c r="J112" s="6" t="s">
        <v>3686</v>
      </c>
      <c r="K112" s="6" t="s">
        <v>2402</v>
      </c>
      <c r="L112" s="7" t="n">
        <f aca="false">COUNTIFS(TestCases!$E$2:$E$328,$A112)</f>
        <v>4</v>
      </c>
      <c r="M112" s="7" t="n">
        <f aca="false">COUNTIFS(TestCases!$E$2:$E$328,$A112,TestCases!$Y$2:$Y$328,"Approve")</f>
        <v>1</v>
      </c>
      <c r="N112" s="7" t="n">
        <f aca="false">COUNTIFS(TestCases!$E$2:$E$328,$A112,TestCases!$Y$2:$Y$328,"Draft")</f>
        <v>3</v>
      </c>
      <c r="O112" s="7" t="n">
        <f aca="false">COUNTIFS(TestCases!$E$2:$E$328,$A112,TestCases!$Y$2:$Y$328,"Reject")</f>
        <v>0</v>
      </c>
      <c r="P112" s="7" t="str">
        <f aca="false">IF(M112=L112,"Approve",IF(O112=L112,"Reject","Draft"))</f>
        <v>Draft</v>
      </c>
    </row>
    <row r="113" customFormat="false" ht="57" hidden="false" customHeight="true" outlineLevel="0" collapsed="false">
      <c r="A113" s="7" t="s">
        <v>2457</v>
      </c>
      <c r="B113" s="7" t="s">
        <v>2466</v>
      </c>
      <c r="C113" s="7" t="s">
        <v>2456</v>
      </c>
      <c r="D113" s="7" t="s">
        <v>40</v>
      </c>
      <c r="E113" s="7" t="s">
        <v>100</v>
      </c>
      <c r="F113" s="7" t="s">
        <v>51</v>
      </c>
      <c r="G113" s="7" t="s">
        <v>136</v>
      </c>
      <c r="H113" s="6" t="s">
        <v>2458</v>
      </c>
      <c r="I113" s="6" t="s">
        <v>3687</v>
      </c>
      <c r="J113" s="6" t="s">
        <v>3688</v>
      </c>
      <c r="K113" s="6" t="s">
        <v>3689</v>
      </c>
      <c r="L113" s="7" t="n">
        <f aca="false">COUNTIFS(TestCases!$E$2:$E$328,$A113)</f>
        <v>2</v>
      </c>
      <c r="M113" s="7" t="n">
        <f aca="false">COUNTIFS(TestCases!$E$2:$E$328,$A113,TestCases!$Y$2:$Y$328,"Approve")</f>
        <v>0</v>
      </c>
      <c r="N113" s="7" t="n">
        <f aca="false">COUNTIFS(TestCases!$E$2:$E$328,$A113,TestCases!$Y$2:$Y$328,"Draft")</f>
        <v>2</v>
      </c>
      <c r="O113" s="7" t="n">
        <f aca="false">COUNTIFS(TestCases!$E$2:$E$328,$A113,TestCases!$Y$2:$Y$328,"Reject")</f>
        <v>0</v>
      </c>
      <c r="P113" s="7" t="str">
        <f aca="false">IF(M113=L113,"Approve",IF(O113=L113,"Reject","Draft"))</f>
        <v>Draft</v>
      </c>
    </row>
    <row r="114" customFormat="false" ht="57" hidden="false" customHeight="true" outlineLevel="0" collapsed="false">
      <c r="A114" s="7" t="s">
        <v>2478</v>
      </c>
      <c r="B114" s="7" t="s">
        <v>2486</v>
      </c>
      <c r="C114" s="7" t="s">
        <v>2477</v>
      </c>
      <c r="D114" s="7" t="s">
        <v>40</v>
      </c>
      <c r="E114" s="7" t="s">
        <v>100</v>
      </c>
      <c r="F114" s="7" t="s">
        <v>59</v>
      </c>
      <c r="G114" s="7" t="s">
        <v>269</v>
      </c>
      <c r="H114" s="6" t="s">
        <v>2479</v>
      </c>
      <c r="I114" s="6" t="s">
        <v>3690</v>
      </c>
      <c r="J114" s="6" t="s">
        <v>3691</v>
      </c>
      <c r="K114" s="6" t="s">
        <v>357</v>
      </c>
      <c r="L114" s="7" t="n">
        <f aca="false">COUNTIFS(TestCases!$E$2:$E$328,$A114)</f>
        <v>2</v>
      </c>
      <c r="M114" s="7" t="n">
        <f aca="false">COUNTIFS(TestCases!$E$2:$E$328,$A114,TestCases!$Y$2:$Y$328,"Approve")</f>
        <v>0</v>
      </c>
      <c r="N114" s="7" t="n">
        <f aca="false">COUNTIFS(TestCases!$E$2:$E$328,$A114,TestCases!$Y$2:$Y$328,"Draft")</f>
        <v>2</v>
      </c>
      <c r="O114" s="7" t="n">
        <f aca="false">COUNTIFS(TestCases!$E$2:$E$328,$A114,TestCases!$Y$2:$Y$328,"Reject")</f>
        <v>0</v>
      </c>
      <c r="P114" s="7" t="str">
        <f aca="false">IF(M114=L114,"Approve",IF(O114=L114,"Reject","Draft"))</f>
        <v>Draft</v>
      </c>
    </row>
    <row r="115" customFormat="false" ht="57" hidden="false" customHeight="true" outlineLevel="0" collapsed="false">
      <c r="A115" s="7" t="s">
        <v>2497</v>
      </c>
      <c r="B115" s="7" t="s">
        <v>2506</v>
      </c>
      <c r="C115" s="7" t="s">
        <v>2496</v>
      </c>
      <c r="D115" s="7" t="s">
        <v>40</v>
      </c>
      <c r="E115" s="7" t="s">
        <v>100</v>
      </c>
      <c r="F115" s="7" t="s">
        <v>51</v>
      </c>
      <c r="G115" s="7" t="s">
        <v>136</v>
      </c>
      <c r="H115" s="6" t="s">
        <v>2498</v>
      </c>
      <c r="I115" s="6" t="s">
        <v>3692</v>
      </c>
      <c r="J115" s="6" t="s">
        <v>3693</v>
      </c>
      <c r="K115" s="6" t="s">
        <v>3694</v>
      </c>
      <c r="L115" s="7" t="n">
        <f aca="false">COUNTIFS(TestCases!$E$2:$E$328,$A115)</f>
        <v>3</v>
      </c>
      <c r="M115" s="7" t="n">
        <f aca="false">COUNTIFS(TestCases!$E$2:$E$328,$A115,TestCases!$Y$2:$Y$328,"Approve")</f>
        <v>1</v>
      </c>
      <c r="N115" s="7" t="n">
        <f aca="false">COUNTIFS(TestCases!$E$2:$E$328,$A115,TestCases!$Y$2:$Y$328,"Draft")</f>
        <v>2</v>
      </c>
      <c r="O115" s="7" t="n">
        <f aca="false">COUNTIFS(TestCases!$E$2:$E$328,$A115,TestCases!$Y$2:$Y$328,"Reject")</f>
        <v>0</v>
      </c>
      <c r="P115" s="7" t="str">
        <f aca="false">IF(M115=L115,"Approve",IF(O115=L115,"Reject","Draft"))</f>
        <v>Draft</v>
      </c>
    </row>
    <row r="116" customFormat="false" ht="57" hidden="false" customHeight="true" outlineLevel="0" collapsed="false">
      <c r="A116" s="7" t="s">
        <v>2525</v>
      </c>
      <c r="B116" s="7" t="s">
        <v>2534</v>
      </c>
      <c r="C116" s="7" t="s">
        <v>2524</v>
      </c>
      <c r="D116" s="7" t="s">
        <v>40</v>
      </c>
      <c r="E116" s="7" t="s">
        <v>100</v>
      </c>
      <c r="F116" s="7" t="s">
        <v>51</v>
      </c>
      <c r="G116" s="7" t="s">
        <v>269</v>
      </c>
      <c r="H116" s="6" t="s">
        <v>2526</v>
      </c>
      <c r="I116" s="6" t="s">
        <v>3695</v>
      </c>
      <c r="J116" s="6" t="s">
        <v>3696</v>
      </c>
      <c r="K116" s="6" t="s">
        <v>248</v>
      </c>
      <c r="L116" s="7" t="n">
        <f aca="false">COUNTIFS(TestCases!$E$2:$E$328,$A116)</f>
        <v>2</v>
      </c>
      <c r="M116" s="7" t="n">
        <f aca="false">COUNTIFS(TestCases!$E$2:$E$328,$A116,TestCases!$Y$2:$Y$328,"Approve")</f>
        <v>0</v>
      </c>
      <c r="N116" s="7" t="n">
        <f aca="false">COUNTIFS(TestCases!$E$2:$E$328,$A116,TestCases!$Y$2:$Y$328,"Draft")</f>
        <v>2</v>
      </c>
      <c r="O116" s="7" t="n">
        <f aca="false">COUNTIFS(TestCases!$E$2:$E$328,$A116,TestCases!$Y$2:$Y$328,"Reject")</f>
        <v>0</v>
      </c>
      <c r="P116" s="7" t="str">
        <f aca="false">IF(M116=L116,"Approve",IF(O116=L116,"Reject","Draft"))</f>
        <v>Draft</v>
      </c>
    </row>
    <row r="117" customFormat="false" ht="68.25" hidden="false" customHeight="true" outlineLevel="0" collapsed="false">
      <c r="A117" s="7" t="s">
        <v>2546</v>
      </c>
      <c r="B117" s="7" t="s">
        <v>2555</v>
      </c>
      <c r="C117" s="7" t="s">
        <v>2545</v>
      </c>
      <c r="D117" s="7" t="s">
        <v>40</v>
      </c>
      <c r="E117" s="7" t="s">
        <v>100</v>
      </c>
      <c r="F117" s="7" t="s">
        <v>59</v>
      </c>
      <c r="G117" s="7" t="s">
        <v>269</v>
      </c>
      <c r="H117" s="6" t="s">
        <v>2547</v>
      </c>
      <c r="I117" s="6" t="s">
        <v>3697</v>
      </c>
      <c r="J117" s="6" t="s">
        <v>3698</v>
      </c>
      <c r="K117" s="6" t="s">
        <v>2556</v>
      </c>
      <c r="L117" s="7" t="n">
        <f aca="false">COUNTIFS(TestCases!$E$2:$E$328,$A117)</f>
        <v>3</v>
      </c>
      <c r="M117" s="7" t="n">
        <f aca="false">COUNTIFS(TestCases!$E$2:$E$328,$A117,TestCases!$Y$2:$Y$328,"Approve")</f>
        <v>0</v>
      </c>
      <c r="N117" s="7" t="n">
        <f aca="false">COUNTIFS(TestCases!$E$2:$E$328,$A117,TestCases!$Y$2:$Y$328,"Draft")</f>
        <v>3</v>
      </c>
      <c r="O117" s="7" t="n">
        <f aca="false">COUNTIFS(TestCases!$E$2:$E$328,$A117,TestCases!$Y$2:$Y$328,"Reject")</f>
        <v>0</v>
      </c>
      <c r="P117" s="7" t="str">
        <f aca="false">IF(M117=L117,"Approve",IF(O117=L117,"Reject","Draft"))</f>
        <v>Draft</v>
      </c>
    </row>
    <row r="118" customFormat="false" ht="68.25" hidden="false" customHeight="true" outlineLevel="0" collapsed="false">
      <c r="A118" s="7" t="s">
        <v>2573</v>
      </c>
      <c r="B118" s="7" t="s">
        <v>2581</v>
      </c>
      <c r="C118" s="7" t="s">
        <v>2572</v>
      </c>
      <c r="D118" s="7" t="s">
        <v>40</v>
      </c>
      <c r="E118" s="7" t="s">
        <v>100</v>
      </c>
      <c r="F118" s="7" t="s">
        <v>59</v>
      </c>
      <c r="G118" s="7" t="s">
        <v>269</v>
      </c>
      <c r="H118" s="6" t="s">
        <v>2574</v>
      </c>
      <c r="I118" s="6" t="s">
        <v>3699</v>
      </c>
      <c r="J118" s="6" t="s">
        <v>3700</v>
      </c>
      <c r="K118" s="6" t="s">
        <v>3701</v>
      </c>
      <c r="L118" s="7" t="n">
        <f aca="false">COUNTIFS(TestCases!$E$2:$E$328,$A118)</f>
        <v>6</v>
      </c>
      <c r="M118" s="7" t="n">
        <f aca="false">COUNTIFS(TestCases!$E$2:$E$328,$A118,TestCases!$Y$2:$Y$328,"Approve")</f>
        <v>3</v>
      </c>
      <c r="N118" s="7" t="n">
        <f aca="false">COUNTIFS(TestCases!$E$2:$E$328,$A118,TestCases!$Y$2:$Y$328,"Draft")</f>
        <v>3</v>
      </c>
      <c r="O118" s="7" t="n">
        <f aca="false">COUNTIFS(TestCases!$E$2:$E$328,$A118,TestCases!$Y$2:$Y$328,"Reject")</f>
        <v>0</v>
      </c>
      <c r="P118" s="7" t="str">
        <f aca="false">IF(M118=L118,"Approve",IF(O118=L118,"Reject","Draft"))</f>
        <v>Draft</v>
      </c>
    </row>
    <row r="119" customFormat="false" ht="45.75" hidden="false" customHeight="true" outlineLevel="0" collapsed="false">
      <c r="A119" s="7" t="s">
        <v>2623</v>
      </c>
      <c r="B119" s="7" t="s">
        <v>2631</v>
      </c>
      <c r="C119" s="7" t="s">
        <v>2622</v>
      </c>
      <c r="D119" s="7" t="s">
        <v>39</v>
      </c>
      <c r="E119" s="7" t="s">
        <v>101</v>
      </c>
      <c r="F119" s="7" t="s">
        <v>53</v>
      </c>
      <c r="G119" s="7" t="s">
        <v>136</v>
      </c>
      <c r="H119" s="6" t="s">
        <v>2624</v>
      </c>
      <c r="I119" s="6" t="s">
        <v>3702</v>
      </c>
      <c r="J119" s="6" t="s">
        <v>3703</v>
      </c>
      <c r="K119" s="6" t="s">
        <v>2632</v>
      </c>
      <c r="L119" s="7" t="n">
        <f aca="false">COUNTIFS(TestCases!$E$2:$E$328,$A119)</f>
        <v>2</v>
      </c>
      <c r="M119" s="7" t="n">
        <f aca="false">COUNTIFS(TestCases!$E$2:$E$328,$A119,TestCases!$Y$2:$Y$328,"Approve")</f>
        <v>0</v>
      </c>
      <c r="N119" s="7" t="n">
        <f aca="false">COUNTIFS(TestCases!$E$2:$E$328,$A119,TestCases!$Y$2:$Y$328,"Draft")</f>
        <v>2</v>
      </c>
      <c r="O119" s="7" t="n">
        <f aca="false">COUNTIFS(TestCases!$E$2:$E$328,$A119,TestCases!$Y$2:$Y$328,"Reject")</f>
        <v>0</v>
      </c>
      <c r="P119" s="7" t="str">
        <f aca="false">IF(M119=L119,"Approve",IF(O119=L119,"Reject","Draft"))</f>
        <v>Draft</v>
      </c>
    </row>
    <row r="120" customFormat="false" ht="34.5" hidden="false" customHeight="true" outlineLevel="0" collapsed="false">
      <c r="A120" s="7" t="s">
        <v>2643</v>
      </c>
      <c r="B120" s="7" t="s">
        <v>2651</v>
      </c>
      <c r="C120" s="7" t="s">
        <v>2642</v>
      </c>
      <c r="D120" s="7" t="s">
        <v>39</v>
      </c>
      <c r="E120" s="7" t="s">
        <v>101</v>
      </c>
      <c r="F120" s="7" t="s">
        <v>45</v>
      </c>
      <c r="G120" s="7" t="s">
        <v>136</v>
      </c>
      <c r="H120" s="6" t="s">
        <v>2644</v>
      </c>
      <c r="I120" s="6" t="s">
        <v>3704</v>
      </c>
      <c r="J120" s="6" t="s">
        <v>3705</v>
      </c>
      <c r="K120" s="6" t="s">
        <v>3706</v>
      </c>
      <c r="L120" s="7" t="n">
        <f aca="false">COUNTIFS(TestCases!$E$2:$E$328,$A120)</f>
        <v>1</v>
      </c>
      <c r="M120" s="7" t="n">
        <f aca="false">COUNTIFS(TestCases!$E$2:$E$328,$A120,TestCases!$Y$2:$Y$328,"Approve")</f>
        <v>0</v>
      </c>
      <c r="N120" s="7" t="n">
        <f aca="false">COUNTIFS(TestCases!$E$2:$E$328,$A120,TestCases!$Y$2:$Y$328,"Draft")</f>
        <v>1</v>
      </c>
      <c r="O120" s="7" t="n">
        <f aca="false">COUNTIFS(TestCases!$E$2:$E$328,$A120,TestCases!$Y$2:$Y$328,"Reject")</f>
        <v>0</v>
      </c>
      <c r="P120" s="7" t="str">
        <f aca="false">IF(M120=L120,"Approve",IF(O120=L120,"Reject","Draft"))</f>
        <v>Draft</v>
      </c>
    </row>
    <row r="121" customFormat="false" ht="34.5" hidden="false" customHeight="true" outlineLevel="0" collapsed="false">
      <c r="A121" s="7" t="s">
        <v>2655</v>
      </c>
      <c r="B121" s="7" t="s">
        <v>2664</v>
      </c>
      <c r="C121" s="7" t="s">
        <v>2654</v>
      </c>
      <c r="D121" s="7" t="s">
        <v>39</v>
      </c>
      <c r="E121" s="7" t="s">
        <v>101</v>
      </c>
      <c r="F121" s="7" t="s">
        <v>51</v>
      </c>
      <c r="G121" s="7" t="s">
        <v>256</v>
      </c>
      <c r="H121" s="6" t="s">
        <v>2656</v>
      </c>
      <c r="I121" s="6" t="s">
        <v>3707</v>
      </c>
      <c r="J121" s="6" t="s">
        <v>3708</v>
      </c>
      <c r="K121" s="6" t="s">
        <v>913</v>
      </c>
      <c r="L121" s="7" t="n">
        <f aca="false">COUNTIFS(TestCases!$E$2:$E$328,$A121)</f>
        <v>2</v>
      </c>
      <c r="M121" s="7" t="n">
        <f aca="false">COUNTIFS(TestCases!$E$2:$E$328,$A121,TestCases!$Y$2:$Y$328,"Approve")</f>
        <v>0</v>
      </c>
      <c r="N121" s="7" t="n">
        <f aca="false">COUNTIFS(TestCases!$E$2:$E$328,$A121,TestCases!$Y$2:$Y$328,"Draft")</f>
        <v>2</v>
      </c>
      <c r="O121" s="7" t="n">
        <f aca="false">COUNTIFS(TestCases!$E$2:$E$328,$A121,TestCases!$Y$2:$Y$328,"Reject")</f>
        <v>0</v>
      </c>
      <c r="P121" s="7" t="str">
        <f aca="false">IF(M121=L121,"Approve",IF(O121=L121,"Reject","Draft"))</f>
        <v>Draft</v>
      </c>
    </row>
    <row r="122" customFormat="false" ht="45.75" hidden="false" customHeight="true" outlineLevel="0" collapsed="false">
      <c r="A122" s="7" t="s">
        <v>2676</v>
      </c>
      <c r="B122" s="7" t="s">
        <v>2685</v>
      </c>
      <c r="C122" s="7" t="s">
        <v>2675</v>
      </c>
      <c r="D122" s="7" t="s">
        <v>39</v>
      </c>
      <c r="E122" s="7" t="s">
        <v>101</v>
      </c>
      <c r="F122" s="7" t="s">
        <v>48</v>
      </c>
      <c r="G122" s="7" t="s">
        <v>256</v>
      </c>
      <c r="H122" s="6" t="s">
        <v>2677</v>
      </c>
      <c r="I122" s="6" t="s">
        <v>3709</v>
      </c>
      <c r="J122" s="6" t="s">
        <v>3710</v>
      </c>
      <c r="K122" s="6" t="s">
        <v>913</v>
      </c>
      <c r="L122" s="7" t="n">
        <f aca="false">COUNTIFS(TestCases!$E$2:$E$328,$A122)</f>
        <v>2</v>
      </c>
      <c r="M122" s="7" t="n">
        <f aca="false">COUNTIFS(TestCases!$E$2:$E$328,$A122,TestCases!$Y$2:$Y$328,"Approve")</f>
        <v>0</v>
      </c>
      <c r="N122" s="7" t="n">
        <f aca="false">COUNTIFS(TestCases!$E$2:$E$328,$A122,TestCases!$Y$2:$Y$328,"Draft")</f>
        <v>2</v>
      </c>
      <c r="O122" s="7" t="n">
        <f aca="false">COUNTIFS(TestCases!$E$2:$E$328,$A122,TestCases!$Y$2:$Y$328,"Reject")</f>
        <v>0</v>
      </c>
      <c r="P122" s="7" t="str">
        <f aca="false">IF(M122=L122,"Approve",IF(O122=L122,"Reject","Draft"))</f>
        <v>Draft</v>
      </c>
    </row>
    <row r="123" customFormat="false" ht="34.5" hidden="false" customHeight="true" outlineLevel="0" collapsed="false">
      <c r="A123" s="7" t="s">
        <v>2697</v>
      </c>
      <c r="B123" s="7" t="s">
        <v>2706</v>
      </c>
      <c r="C123" s="7" t="s">
        <v>2696</v>
      </c>
      <c r="D123" s="7" t="s">
        <v>39</v>
      </c>
      <c r="E123" s="7" t="s">
        <v>101</v>
      </c>
      <c r="F123" s="7" t="s">
        <v>59</v>
      </c>
      <c r="G123" s="7" t="s">
        <v>136</v>
      </c>
      <c r="H123" s="6" t="s">
        <v>2698</v>
      </c>
      <c r="I123" s="6" t="s">
        <v>3711</v>
      </c>
      <c r="J123" s="6" t="s">
        <v>3712</v>
      </c>
      <c r="K123" s="6" t="s">
        <v>138</v>
      </c>
      <c r="L123" s="7" t="n">
        <f aca="false">COUNTIFS(TestCases!$E$2:$E$328,$A123)</f>
        <v>1</v>
      </c>
      <c r="M123" s="7" t="n">
        <f aca="false">COUNTIFS(TestCases!$E$2:$E$328,$A123,TestCases!$Y$2:$Y$328,"Approve")</f>
        <v>1</v>
      </c>
      <c r="N123" s="7" t="n">
        <f aca="false">COUNTIFS(TestCases!$E$2:$E$328,$A123,TestCases!$Y$2:$Y$328,"Draft")</f>
        <v>0</v>
      </c>
      <c r="O123" s="7" t="n">
        <f aca="false">COUNTIFS(TestCases!$E$2:$E$328,$A123,TestCases!$Y$2:$Y$328,"Reject")</f>
        <v>0</v>
      </c>
      <c r="P123" s="7" t="str">
        <f aca="false">IF(M123=L123,"Approve",IF(O123=L123,"Reject","Draft"))</f>
        <v>Approve</v>
      </c>
    </row>
    <row r="124" customFormat="false" ht="23.25" hidden="false" customHeight="true" outlineLevel="0" collapsed="false">
      <c r="A124" s="7" t="s">
        <v>2710</v>
      </c>
      <c r="B124" s="7" t="s">
        <v>2719</v>
      </c>
      <c r="C124" s="7" t="s">
        <v>2709</v>
      </c>
      <c r="D124" s="7" t="s">
        <v>39</v>
      </c>
      <c r="E124" s="7" t="s">
        <v>101</v>
      </c>
      <c r="F124" s="7" t="s">
        <v>59</v>
      </c>
      <c r="G124" s="7" t="s">
        <v>136</v>
      </c>
      <c r="H124" s="6" t="s">
        <v>2711</v>
      </c>
      <c r="I124" s="6" t="s">
        <v>3713</v>
      </c>
      <c r="J124" s="6" t="s">
        <v>3714</v>
      </c>
      <c r="K124" s="6" t="s">
        <v>3715</v>
      </c>
      <c r="L124" s="7" t="n">
        <f aca="false">COUNTIFS(TestCases!$E$2:$E$328,$A124)</f>
        <v>2</v>
      </c>
      <c r="M124" s="7" t="n">
        <f aca="false">COUNTIFS(TestCases!$E$2:$E$328,$A124,TestCases!$Y$2:$Y$328,"Approve")</f>
        <v>0</v>
      </c>
      <c r="N124" s="7" t="n">
        <f aca="false">COUNTIFS(TestCases!$E$2:$E$328,$A124,TestCases!$Y$2:$Y$328,"Draft")</f>
        <v>2</v>
      </c>
      <c r="O124" s="7" t="n">
        <f aca="false">COUNTIFS(TestCases!$E$2:$E$328,$A124,TestCases!$Y$2:$Y$328,"Reject")</f>
        <v>0</v>
      </c>
      <c r="P124" s="7" t="str">
        <f aca="false">IF(M124=L124,"Approve",IF(O124=L124,"Reject","Draft"))</f>
        <v>Draft</v>
      </c>
    </row>
    <row r="125" customFormat="false" ht="68.25" hidden="false" customHeight="true" outlineLevel="0" collapsed="false">
      <c r="A125" s="7" t="s">
        <v>2730</v>
      </c>
      <c r="B125" s="7" t="s">
        <v>2738</v>
      </c>
      <c r="C125" s="7" t="s">
        <v>2729</v>
      </c>
      <c r="D125" s="7" t="s">
        <v>39</v>
      </c>
      <c r="E125" s="7" t="s">
        <v>101</v>
      </c>
      <c r="F125" s="7" t="s">
        <v>50</v>
      </c>
      <c r="G125" s="7" t="s">
        <v>136</v>
      </c>
      <c r="H125" s="6" t="s">
        <v>2731</v>
      </c>
      <c r="I125" s="6" t="s">
        <v>3716</v>
      </c>
      <c r="J125" s="6" t="s">
        <v>3717</v>
      </c>
      <c r="K125" s="6" t="s">
        <v>138</v>
      </c>
      <c r="L125" s="7" t="n">
        <f aca="false">COUNTIFS(TestCases!$E$2:$E$328,$A125)</f>
        <v>1</v>
      </c>
      <c r="M125" s="7" t="n">
        <f aca="false">COUNTIFS(TestCases!$E$2:$E$328,$A125,TestCases!$Y$2:$Y$328,"Approve")</f>
        <v>1</v>
      </c>
      <c r="N125" s="7" t="n">
        <f aca="false">COUNTIFS(TestCases!$E$2:$E$328,$A125,TestCases!$Y$2:$Y$328,"Draft")</f>
        <v>0</v>
      </c>
      <c r="O125" s="7" t="n">
        <f aca="false">COUNTIFS(TestCases!$E$2:$E$328,$A125,TestCases!$Y$2:$Y$328,"Reject")</f>
        <v>0</v>
      </c>
      <c r="P125" s="7" t="str">
        <f aca="false">IF(M125=L125,"Approve",IF(O125=L125,"Reject","Draft"))</f>
        <v>Approve</v>
      </c>
    </row>
    <row r="126" customFormat="false" ht="34.5" hidden="false" customHeight="true" outlineLevel="0" collapsed="false">
      <c r="A126" s="7" t="s">
        <v>2742</v>
      </c>
      <c r="B126" s="7" t="s">
        <v>2751</v>
      </c>
      <c r="C126" s="7" t="s">
        <v>2741</v>
      </c>
      <c r="D126" s="7" t="s">
        <v>39</v>
      </c>
      <c r="E126" s="7" t="s">
        <v>101</v>
      </c>
      <c r="F126" s="7" t="s">
        <v>48</v>
      </c>
      <c r="G126" s="7" t="s">
        <v>256</v>
      </c>
      <c r="H126" s="6" t="s">
        <v>2743</v>
      </c>
      <c r="I126" s="6" t="s">
        <v>3718</v>
      </c>
      <c r="J126" s="6" t="s">
        <v>3719</v>
      </c>
      <c r="K126" s="6" t="s">
        <v>138</v>
      </c>
      <c r="L126" s="7" t="n">
        <f aca="false">COUNTIFS(TestCases!$E$2:$E$328,$A126)</f>
        <v>3</v>
      </c>
      <c r="M126" s="7" t="n">
        <f aca="false">COUNTIFS(TestCases!$E$2:$E$328,$A126,TestCases!$Y$2:$Y$328,"Approve")</f>
        <v>3</v>
      </c>
      <c r="N126" s="7" t="n">
        <f aca="false">COUNTIFS(TestCases!$E$2:$E$328,$A126,TestCases!$Y$2:$Y$328,"Draft")</f>
        <v>0</v>
      </c>
      <c r="O126" s="7" t="n">
        <f aca="false">COUNTIFS(TestCases!$E$2:$E$328,$A126,TestCases!$Y$2:$Y$328,"Reject")</f>
        <v>0</v>
      </c>
      <c r="P126" s="7" t="str">
        <f aca="false">IF(M126=L126,"Approve",IF(O126=L126,"Reject","Draft"))</f>
        <v>Approve</v>
      </c>
    </row>
    <row r="127" customFormat="false" ht="23.25" hidden="false" customHeight="true" outlineLevel="0" collapsed="false">
      <c r="A127" s="7" t="s">
        <v>2768</v>
      </c>
      <c r="B127" s="7" t="s">
        <v>2776</v>
      </c>
      <c r="C127" s="7" t="s">
        <v>2767</v>
      </c>
      <c r="D127" s="7" t="s">
        <v>39</v>
      </c>
      <c r="E127" s="7" t="s">
        <v>101</v>
      </c>
      <c r="F127" s="7" t="s">
        <v>50</v>
      </c>
      <c r="G127" s="7" t="s">
        <v>136</v>
      </c>
      <c r="H127" s="6" t="s">
        <v>2769</v>
      </c>
      <c r="I127" s="6" t="s">
        <v>3720</v>
      </c>
      <c r="J127" s="6" t="s">
        <v>3721</v>
      </c>
      <c r="K127" s="6" t="s">
        <v>138</v>
      </c>
      <c r="L127" s="7" t="n">
        <f aca="false">COUNTIFS(TestCases!$E$2:$E$328,$A127)</f>
        <v>1</v>
      </c>
      <c r="M127" s="7" t="n">
        <f aca="false">COUNTIFS(TestCases!$E$2:$E$328,$A127,TestCases!$Y$2:$Y$328,"Approve")</f>
        <v>1</v>
      </c>
      <c r="N127" s="7" t="n">
        <f aca="false">COUNTIFS(TestCases!$E$2:$E$328,$A127,TestCases!$Y$2:$Y$328,"Draft")</f>
        <v>0</v>
      </c>
      <c r="O127" s="7" t="n">
        <f aca="false">COUNTIFS(TestCases!$E$2:$E$328,$A127,TestCases!$Y$2:$Y$328,"Reject")</f>
        <v>0</v>
      </c>
      <c r="P127" s="7" t="str">
        <f aca="false">IF(M127=L127,"Approve",IF(O127=L127,"Reject","Draft"))</f>
        <v>Approve</v>
      </c>
    </row>
    <row r="128" customFormat="false" ht="45.75" hidden="false" customHeight="true" outlineLevel="0" collapsed="false">
      <c r="A128" s="7" t="s">
        <v>2780</v>
      </c>
      <c r="B128" s="7" t="s">
        <v>2789</v>
      </c>
      <c r="C128" s="7" t="s">
        <v>2779</v>
      </c>
      <c r="D128" s="7" t="s">
        <v>39</v>
      </c>
      <c r="E128" s="7" t="s">
        <v>101</v>
      </c>
      <c r="F128" s="7" t="s">
        <v>51</v>
      </c>
      <c r="G128" s="7" t="s">
        <v>136</v>
      </c>
      <c r="H128" s="6" t="s">
        <v>2781</v>
      </c>
      <c r="I128" s="6" t="s">
        <v>3722</v>
      </c>
      <c r="J128" s="6" t="s">
        <v>3723</v>
      </c>
      <c r="K128" s="6" t="s">
        <v>138</v>
      </c>
      <c r="L128" s="7" t="n">
        <f aca="false">COUNTIFS(TestCases!$E$2:$E$328,$A128)</f>
        <v>1</v>
      </c>
      <c r="M128" s="7" t="n">
        <f aca="false">COUNTIFS(TestCases!$E$2:$E$328,$A128,TestCases!$Y$2:$Y$328,"Approve")</f>
        <v>1</v>
      </c>
      <c r="N128" s="7" t="n">
        <f aca="false">COUNTIFS(TestCases!$E$2:$E$328,$A128,TestCases!$Y$2:$Y$328,"Draft")</f>
        <v>0</v>
      </c>
      <c r="O128" s="7" t="n">
        <f aca="false">COUNTIFS(TestCases!$E$2:$E$328,$A128,TestCases!$Y$2:$Y$328,"Reject")</f>
        <v>0</v>
      </c>
      <c r="P128" s="7" t="str">
        <f aca="false">IF(M128=L128,"Approve",IF(O128=L128,"Reject","Draft"))</f>
        <v>Approve</v>
      </c>
    </row>
    <row r="129" customFormat="false" ht="45.75" hidden="false" customHeight="true" outlineLevel="0" collapsed="false">
      <c r="A129" s="7" t="s">
        <v>2793</v>
      </c>
      <c r="B129" s="7" t="s">
        <v>2802</v>
      </c>
      <c r="C129" s="7" t="s">
        <v>2792</v>
      </c>
      <c r="D129" s="7" t="s">
        <v>39</v>
      </c>
      <c r="E129" s="7" t="s">
        <v>101</v>
      </c>
      <c r="F129" s="7" t="s">
        <v>59</v>
      </c>
      <c r="G129" s="7" t="s">
        <v>300</v>
      </c>
      <c r="H129" s="6" t="s">
        <v>2794</v>
      </c>
      <c r="I129" s="6" t="s">
        <v>3724</v>
      </c>
      <c r="J129" s="6" t="s">
        <v>3725</v>
      </c>
      <c r="K129" s="6" t="s">
        <v>2811</v>
      </c>
      <c r="L129" s="7" t="n">
        <f aca="false">COUNTIFS(TestCases!$E$2:$E$328,$A129)</f>
        <v>3</v>
      </c>
      <c r="M129" s="7" t="n">
        <f aca="false">COUNTIFS(TestCases!$E$2:$E$328,$A129,TestCases!$Y$2:$Y$328,"Approve")</f>
        <v>1</v>
      </c>
      <c r="N129" s="7" t="n">
        <f aca="false">COUNTIFS(TestCases!$E$2:$E$328,$A129,TestCases!$Y$2:$Y$328,"Draft")</f>
        <v>2</v>
      </c>
      <c r="O129" s="7" t="n">
        <f aca="false">COUNTIFS(TestCases!$E$2:$E$328,$A129,TestCases!$Y$2:$Y$328,"Reject")</f>
        <v>0</v>
      </c>
      <c r="P129" s="7" t="str">
        <f aca="false">IF(M129=L129,"Approve",IF(O129=L129,"Reject","Draft"))</f>
        <v>Draft</v>
      </c>
    </row>
    <row r="130" customFormat="false" ht="45.75" hidden="false" customHeight="true" outlineLevel="0" collapsed="false">
      <c r="A130" s="7" t="s">
        <v>2822</v>
      </c>
      <c r="B130" s="7" t="s">
        <v>2831</v>
      </c>
      <c r="C130" s="7" t="s">
        <v>2821</v>
      </c>
      <c r="D130" s="7" t="s">
        <v>39</v>
      </c>
      <c r="E130" s="7" t="s">
        <v>101</v>
      </c>
      <c r="F130" s="7" t="s">
        <v>59</v>
      </c>
      <c r="G130" s="7" t="s">
        <v>256</v>
      </c>
      <c r="H130" s="6" t="s">
        <v>2823</v>
      </c>
      <c r="I130" s="6" t="s">
        <v>3726</v>
      </c>
      <c r="J130" s="6" t="s">
        <v>3727</v>
      </c>
      <c r="K130" s="6" t="s">
        <v>2832</v>
      </c>
      <c r="L130" s="7" t="n">
        <f aca="false">COUNTIFS(TestCases!$E$2:$E$328,$A130)</f>
        <v>2</v>
      </c>
      <c r="M130" s="7" t="n">
        <f aca="false">COUNTIFS(TestCases!$E$2:$E$328,$A130,TestCases!$Y$2:$Y$328,"Approve")</f>
        <v>0</v>
      </c>
      <c r="N130" s="7" t="n">
        <f aca="false">COUNTIFS(TestCases!$E$2:$E$328,$A130,TestCases!$Y$2:$Y$328,"Draft")</f>
        <v>2</v>
      </c>
      <c r="O130" s="7" t="n">
        <f aca="false">COUNTIFS(TestCases!$E$2:$E$328,$A130,TestCases!$Y$2:$Y$328,"Reject")</f>
        <v>0</v>
      </c>
      <c r="P130" s="7" t="str">
        <f aca="false">IF(M130=L130,"Approve",IF(O130=L130,"Reject","Draft"))</f>
        <v>Draft</v>
      </c>
    </row>
    <row r="131" customFormat="false" ht="23.25" hidden="false" customHeight="true" outlineLevel="0" collapsed="false">
      <c r="A131" s="7" t="s">
        <v>2845</v>
      </c>
      <c r="B131" s="7" t="s">
        <v>2854</v>
      </c>
      <c r="C131" s="7" t="s">
        <v>2844</v>
      </c>
      <c r="D131" s="7" t="s">
        <v>39</v>
      </c>
      <c r="E131" s="7" t="s">
        <v>101</v>
      </c>
      <c r="F131" s="7" t="s">
        <v>59</v>
      </c>
      <c r="G131" s="7" t="s">
        <v>136</v>
      </c>
      <c r="H131" s="6" t="s">
        <v>2846</v>
      </c>
      <c r="I131" s="6" t="s">
        <v>3728</v>
      </c>
      <c r="J131" s="6" t="s">
        <v>3729</v>
      </c>
      <c r="K131" s="6" t="s">
        <v>138</v>
      </c>
      <c r="L131" s="7" t="n">
        <f aca="false">COUNTIFS(TestCases!$E$2:$E$328,$A131)</f>
        <v>1</v>
      </c>
      <c r="M131" s="7" t="n">
        <f aca="false">COUNTIFS(TestCases!$E$2:$E$328,$A131,TestCases!$Y$2:$Y$328,"Approve")</f>
        <v>1</v>
      </c>
      <c r="N131" s="7" t="n">
        <f aca="false">COUNTIFS(TestCases!$E$2:$E$328,$A131,TestCases!$Y$2:$Y$328,"Draft")</f>
        <v>0</v>
      </c>
      <c r="O131" s="7" t="n">
        <f aca="false">COUNTIFS(TestCases!$E$2:$E$328,$A131,TestCases!$Y$2:$Y$328,"Reject")</f>
        <v>0</v>
      </c>
      <c r="P131" s="7" t="str">
        <f aca="false">IF(M131=L131,"Approve",IF(O131=L131,"Reject","Draft"))</f>
        <v>Approve</v>
      </c>
    </row>
    <row r="132" customFormat="false" ht="23.25" hidden="false" customHeight="true" outlineLevel="0" collapsed="false">
      <c r="A132" s="7" t="s">
        <v>2858</v>
      </c>
      <c r="B132" s="7" t="s">
        <v>2867</v>
      </c>
      <c r="C132" s="7" t="s">
        <v>2857</v>
      </c>
      <c r="D132" s="7" t="s">
        <v>39</v>
      </c>
      <c r="E132" s="7" t="s">
        <v>101</v>
      </c>
      <c r="F132" s="7" t="s">
        <v>59</v>
      </c>
      <c r="G132" s="7" t="s">
        <v>57</v>
      </c>
      <c r="H132" s="6" t="s">
        <v>2859</v>
      </c>
      <c r="I132" s="6" t="s">
        <v>3730</v>
      </c>
      <c r="J132" s="6" t="s">
        <v>3731</v>
      </c>
      <c r="K132" s="6" t="s">
        <v>138</v>
      </c>
      <c r="L132" s="7" t="n">
        <f aca="false">COUNTIFS(TestCases!$E$2:$E$328,$A132)</f>
        <v>1</v>
      </c>
      <c r="M132" s="7" t="n">
        <f aca="false">COUNTIFS(TestCases!$E$2:$E$328,$A132,TestCases!$Y$2:$Y$328,"Approve")</f>
        <v>1</v>
      </c>
      <c r="N132" s="7" t="n">
        <f aca="false">COUNTIFS(TestCases!$E$2:$E$328,$A132,TestCases!$Y$2:$Y$328,"Draft")</f>
        <v>0</v>
      </c>
      <c r="O132" s="7" t="n">
        <f aca="false">COUNTIFS(TestCases!$E$2:$E$328,$A132,TestCases!$Y$2:$Y$328,"Reject")</f>
        <v>0</v>
      </c>
      <c r="P132" s="7" t="str">
        <f aca="false">IF(M132=L132,"Approve",IF(O132=L132,"Reject","Draft"))</f>
        <v>Approve</v>
      </c>
    </row>
    <row r="133" customFormat="false" ht="34.5" hidden="false" customHeight="true" outlineLevel="0" collapsed="false">
      <c r="A133" s="7" t="s">
        <v>2871</v>
      </c>
      <c r="B133" s="7" t="s">
        <v>2879</v>
      </c>
      <c r="C133" s="7" t="s">
        <v>2870</v>
      </c>
      <c r="D133" s="7" t="s">
        <v>39</v>
      </c>
      <c r="E133" s="7" t="s">
        <v>101</v>
      </c>
      <c r="F133" s="7" t="s">
        <v>59</v>
      </c>
      <c r="G133" s="7" t="s">
        <v>136</v>
      </c>
      <c r="H133" s="6" t="s">
        <v>2872</v>
      </c>
      <c r="I133" s="6" t="s">
        <v>3732</v>
      </c>
      <c r="J133" s="6" t="s">
        <v>3733</v>
      </c>
      <c r="K133" s="6" t="s">
        <v>3488</v>
      </c>
      <c r="L133" s="7" t="n">
        <f aca="false">COUNTIFS(TestCases!$E$2:$E$328,$A133)</f>
        <v>2</v>
      </c>
      <c r="M133" s="7" t="n">
        <f aca="false">COUNTIFS(TestCases!$E$2:$E$328,$A133,TestCases!$Y$2:$Y$328,"Approve")</f>
        <v>0</v>
      </c>
      <c r="N133" s="7" t="n">
        <f aca="false">COUNTIFS(TestCases!$E$2:$E$328,$A133,TestCases!$Y$2:$Y$328,"Draft")</f>
        <v>2</v>
      </c>
      <c r="O133" s="7" t="n">
        <f aca="false">COUNTIFS(TestCases!$E$2:$E$328,$A133,TestCases!$Y$2:$Y$328,"Reject")</f>
        <v>0</v>
      </c>
      <c r="P133" s="7" t="str">
        <f aca="false">IF(M133=L133,"Approve",IF(O133=L133,"Reject","Draft"))</f>
        <v>Draft</v>
      </c>
    </row>
    <row r="134" customFormat="false" ht="57" hidden="false" customHeight="true" outlineLevel="0" collapsed="false">
      <c r="A134" s="7" t="s">
        <v>2889</v>
      </c>
      <c r="B134" s="7" t="s">
        <v>2898</v>
      </c>
      <c r="C134" s="7" t="s">
        <v>2888</v>
      </c>
      <c r="D134" s="7" t="s">
        <v>39</v>
      </c>
      <c r="E134" s="7" t="s">
        <v>101</v>
      </c>
      <c r="F134" s="7" t="s">
        <v>48</v>
      </c>
      <c r="G134" s="7" t="s">
        <v>269</v>
      </c>
      <c r="H134" s="6" t="s">
        <v>2890</v>
      </c>
      <c r="I134" s="6" t="s">
        <v>3734</v>
      </c>
      <c r="J134" s="6" t="s">
        <v>3735</v>
      </c>
      <c r="K134" s="6" t="s">
        <v>2811</v>
      </c>
      <c r="L134" s="7" t="n">
        <f aca="false">COUNTIFS(TestCases!$E$2:$E$328,$A134)</f>
        <v>3</v>
      </c>
      <c r="M134" s="7" t="n">
        <f aca="false">COUNTIFS(TestCases!$E$2:$E$328,$A134,TestCases!$Y$2:$Y$328,"Approve")</f>
        <v>0</v>
      </c>
      <c r="N134" s="7" t="n">
        <f aca="false">COUNTIFS(TestCases!$E$2:$E$328,$A134,TestCases!$Y$2:$Y$328,"Draft")</f>
        <v>3</v>
      </c>
      <c r="O134" s="7" t="n">
        <f aca="false">COUNTIFS(TestCases!$E$2:$E$328,$A134,TestCases!$Y$2:$Y$328,"Reject")</f>
        <v>0</v>
      </c>
      <c r="P134" s="7" t="str">
        <f aca="false">IF(M134=L134,"Approve",IF(O134=L134,"Reject","Draft"))</f>
        <v>Draft</v>
      </c>
    </row>
    <row r="135" customFormat="false" ht="45.75" hidden="false" customHeight="true" outlineLevel="0" collapsed="false">
      <c r="A135" s="7" t="s">
        <v>2914</v>
      </c>
      <c r="B135" s="7" t="s">
        <v>2923</v>
      </c>
      <c r="C135" s="7" t="s">
        <v>2913</v>
      </c>
      <c r="D135" s="7" t="s">
        <v>39</v>
      </c>
      <c r="E135" s="7" t="s">
        <v>101</v>
      </c>
      <c r="F135" s="7" t="s">
        <v>57</v>
      </c>
      <c r="G135" s="7" t="s">
        <v>300</v>
      </c>
      <c r="H135" s="6" t="s">
        <v>2915</v>
      </c>
      <c r="I135" s="6" t="s">
        <v>3736</v>
      </c>
      <c r="J135" s="6" t="s">
        <v>3737</v>
      </c>
      <c r="K135" s="6" t="s">
        <v>2924</v>
      </c>
      <c r="L135" s="7" t="n">
        <f aca="false">COUNTIFS(TestCases!$E$2:$E$328,$A135)</f>
        <v>1</v>
      </c>
      <c r="M135" s="7" t="n">
        <f aca="false">COUNTIFS(TestCases!$E$2:$E$328,$A135,TestCases!$Y$2:$Y$328,"Approve")</f>
        <v>0</v>
      </c>
      <c r="N135" s="7" t="n">
        <f aca="false">COUNTIFS(TestCases!$E$2:$E$328,$A135,TestCases!$Y$2:$Y$328,"Draft")</f>
        <v>1</v>
      </c>
      <c r="O135" s="7" t="n">
        <f aca="false">COUNTIFS(TestCases!$E$2:$E$328,$A135,TestCases!$Y$2:$Y$328,"Reject")</f>
        <v>0</v>
      </c>
      <c r="P135" s="7" t="str">
        <f aca="false">IF(M135=L135,"Approve",IF(O135=L135,"Reject","Draft"))</f>
        <v>Draft</v>
      </c>
    </row>
    <row r="136" customFormat="false" ht="57" hidden="false" customHeight="true" outlineLevel="0" collapsed="false">
      <c r="A136" s="7" t="s">
        <v>2928</v>
      </c>
      <c r="B136" s="7" t="s">
        <v>2936</v>
      </c>
      <c r="C136" s="7" t="s">
        <v>2927</v>
      </c>
      <c r="D136" s="7" t="s">
        <v>39</v>
      </c>
      <c r="E136" s="7" t="s">
        <v>101</v>
      </c>
      <c r="F136" s="7" t="s">
        <v>49</v>
      </c>
      <c r="G136" s="7" t="s">
        <v>269</v>
      </c>
      <c r="H136" s="6" t="s">
        <v>2929</v>
      </c>
      <c r="I136" s="6" t="s">
        <v>3738</v>
      </c>
      <c r="J136" s="6" t="s">
        <v>3739</v>
      </c>
      <c r="K136" s="6" t="s">
        <v>138</v>
      </c>
      <c r="L136" s="7" t="n">
        <f aca="false">COUNTIFS(TestCases!$E$2:$E$328,$A136)</f>
        <v>3</v>
      </c>
      <c r="M136" s="7" t="n">
        <f aca="false">COUNTIFS(TestCases!$E$2:$E$328,$A136,TestCases!$Y$2:$Y$328,"Approve")</f>
        <v>3</v>
      </c>
      <c r="N136" s="7" t="n">
        <f aca="false">COUNTIFS(TestCases!$E$2:$E$328,$A136,TestCases!$Y$2:$Y$328,"Draft")</f>
        <v>0</v>
      </c>
      <c r="O136" s="7" t="n">
        <f aca="false">COUNTIFS(TestCases!$E$2:$E$328,$A136,TestCases!$Y$2:$Y$328,"Reject")</f>
        <v>0</v>
      </c>
      <c r="P136" s="7" t="str">
        <f aca="false">IF(M136=L136,"Approve",IF(O136=L136,"Reject","Draft"))</f>
        <v>Approve</v>
      </c>
    </row>
    <row r="137" customFormat="false" ht="34.5" hidden="false" customHeight="true" outlineLevel="0" collapsed="false">
      <c r="A137" s="7" t="s">
        <v>2954</v>
      </c>
      <c r="B137" s="7" t="s">
        <v>2963</v>
      </c>
      <c r="C137" s="7" t="s">
        <v>2953</v>
      </c>
      <c r="D137" s="7" t="s">
        <v>39</v>
      </c>
      <c r="E137" s="7" t="s">
        <v>101</v>
      </c>
      <c r="F137" s="7" t="s">
        <v>59</v>
      </c>
      <c r="G137" s="7" t="s">
        <v>136</v>
      </c>
      <c r="H137" s="6" t="s">
        <v>2955</v>
      </c>
      <c r="I137" s="6" t="s">
        <v>3740</v>
      </c>
      <c r="J137" s="6" t="s">
        <v>3741</v>
      </c>
      <c r="K137" s="6" t="s">
        <v>138</v>
      </c>
      <c r="L137" s="7" t="n">
        <f aca="false">COUNTIFS(TestCases!$E$2:$E$328,$A137)</f>
        <v>1</v>
      </c>
      <c r="M137" s="7" t="n">
        <f aca="false">COUNTIFS(TestCases!$E$2:$E$328,$A137,TestCases!$Y$2:$Y$328,"Approve")</f>
        <v>1</v>
      </c>
      <c r="N137" s="7" t="n">
        <f aca="false">COUNTIFS(TestCases!$E$2:$E$328,$A137,TestCases!$Y$2:$Y$328,"Draft")</f>
        <v>0</v>
      </c>
      <c r="O137" s="7" t="n">
        <f aca="false">COUNTIFS(TestCases!$E$2:$E$328,$A137,TestCases!$Y$2:$Y$328,"Reject")</f>
        <v>0</v>
      </c>
      <c r="P137" s="7" t="str">
        <f aca="false">IF(M137=L137,"Approve",IF(O137=L137,"Reject","Draft"))</f>
        <v>Approve</v>
      </c>
    </row>
    <row r="138" customFormat="false" ht="57" hidden="false" customHeight="true" outlineLevel="0" collapsed="false">
      <c r="A138" s="7" t="s">
        <v>2967</v>
      </c>
      <c r="B138" s="7" t="s">
        <v>2975</v>
      </c>
      <c r="C138" s="7" t="s">
        <v>2966</v>
      </c>
      <c r="D138" s="7" t="s">
        <v>39</v>
      </c>
      <c r="E138" s="7" t="s">
        <v>101</v>
      </c>
      <c r="F138" s="7" t="s">
        <v>57</v>
      </c>
      <c r="G138" s="7" t="s">
        <v>136</v>
      </c>
      <c r="H138" s="6" t="s">
        <v>2968</v>
      </c>
      <c r="I138" s="6" t="s">
        <v>3742</v>
      </c>
      <c r="J138" s="6" t="s">
        <v>3743</v>
      </c>
      <c r="K138" s="6" t="s">
        <v>138</v>
      </c>
      <c r="L138" s="7" t="n">
        <f aca="false">COUNTIFS(TestCases!$E$2:$E$328,$A138)</f>
        <v>1</v>
      </c>
      <c r="M138" s="7" t="n">
        <f aca="false">COUNTIFS(TestCases!$E$2:$E$328,$A138,TestCases!$Y$2:$Y$328,"Approve")</f>
        <v>1</v>
      </c>
      <c r="N138" s="7" t="n">
        <f aca="false">COUNTIFS(TestCases!$E$2:$E$328,$A138,TestCases!$Y$2:$Y$328,"Draft")</f>
        <v>0</v>
      </c>
      <c r="O138" s="7" t="n">
        <f aca="false">COUNTIFS(TestCases!$E$2:$E$328,$A138,TestCases!$Y$2:$Y$328,"Reject")</f>
        <v>0</v>
      </c>
      <c r="P138" s="7" t="str">
        <f aca="false">IF(M138=L138,"Approve",IF(O138=L138,"Reject","Draft"))</f>
        <v>Approve</v>
      </c>
    </row>
    <row r="139" customFormat="false" ht="57" hidden="false" customHeight="true" outlineLevel="0" collapsed="false">
      <c r="A139" s="7" t="s">
        <v>2979</v>
      </c>
      <c r="B139" s="7" t="s">
        <v>2987</v>
      </c>
      <c r="C139" s="7" t="s">
        <v>2978</v>
      </c>
      <c r="D139" s="7" t="s">
        <v>39</v>
      </c>
      <c r="E139" s="7" t="s">
        <v>99</v>
      </c>
      <c r="F139" s="7" t="s">
        <v>50</v>
      </c>
      <c r="G139" s="7" t="s">
        <v>136</v>
      </c>
      <c r="H139" s="6" t="s">
        <v>2980</v>
      </c>
      <c r="I139" s="6" t="s">
        <v>3744</v>
      </c>
      <c r="J139" s="6" t="s">
        <v>3745</v>
      </c>
      <c r="K139" s="6" t="s">
        <v>2924</v>
      </c>
      <c r="L139" s="7" t="n">
        <f aca="false">COUNTIFS(TestCases!$E$2:$E$328,$A139)</f>
        <v>1</v>
      </c>
      <c r="M139" s="7" t="n">
        <f aca="false">COUNTIFS(TestCases!$E$2:$E$328,$A139,TestCases!$Y$2:$Y$328,"Approve")</f>
        <v>0</v>
      </c>
      <c r="N139" s="7" t="n">
        <f aca="false">COUNTIFS(TestCases!$E$2:$E$328,$A139,TestCases!$Y$2:$Y$328,"Draft")</f>
        <v>1</v>
      </c>
      <c r="O139" s="7" t="n">
        <f aca="false">COUNTIFS(TestCases!$E$2:$E$328,$A139,TestCases!$Y$2:$Y$328,"Reject")</f>
        <v>0</v>
      </c>
      <c r="P139" s="7" t="str">
        <f aca="false">IF(M139=L139,"Approve",IF(O139=L139,"Reject","Draft"))</f>
        <v>Draft</v>
      </c>
    </row>
    <row r="140" customFormat="false" ht="45.75" hidden="false" customHeight="true" outlineLevel="0" collapsed="false">
      <c r="A140" s="7" t="s">
        <v>2991</v>
      </c>
      <c r="B140" s="7" t="s">
        <v>2999</v>
      </c>
      <c r="C140" s="7" t="s">
        <v>2990</v>
      </c>
      <c r="D140" s="7" t="s">
        <v>39</v>
      </c>
      <c r="E140" s="7" t="s">
        <v>101</v>
      </c>
      <c r="F140" s="7" t="s">
        <v>57</v>
      </c>
      <c r="G140" s="7" t="s">
        <v>269</v>
      </c>
      <c r="H140" s="6" t="s">
        <v>2992</v>
      </c>
      <c r="I140" s="6" t="s">
        <v>3746</v>
      </c>
      <c r="J140" s="6" t="s">
        <v>3747</v>
      </c>
      <c r="K140" s="6" t="s">
        <v>138</v>
      </c>
      <c r="L140" s="7" t="n">
        <f aca="false">COUNTIFS(TestCases!$E$2:$E$328,$A140)</f>
        <v>2</v>
      </c>
      <c r="M140" s="7" t="n">
        <f aca="false">COUNTIFS(TestCases!$E$2:$E$328,$A140,TestCases!$Y$2:$Y$328,"Approve")</f>
        <v>2</v>
      </c>
      <c r="N140" s="7" t="n">
        <f aca="false">COUNTIFS(TestCases!$E$2:$E$328,$A140,TestCases!$Y$2:$Y$328,"Draft")</f>
        <v>0</v>
      </c>
      <c r="O140" s="7" t="n">
        <f aca="false">COUNTIFS(TestCases!$E$2:$E$328,$A140,TestCases!$Y$2:$Y$328,"Reject")</f>
        <v>0</v>
      </c>
      <c r="P140" s="7" t="str">
        <f aca="false">IF(M140=L140,"Approve",IF(O140=L140,"Reject","Draft"))</f>
        <v>Approve</v>
      </c>
    </row>
    <row r="141" customFormat="false" ht="57" hidden="false" customHeight="true" outlineLevel="0" collapsed="false">
      <c r="A141" s="7" t="s">
        <v>3009</v>
      </c>
      <c r="B141" s="7" t="s">
        <v>3018</v>
      </c>
      <c r="C141" s="7" t="s">
        <v>3008</v>
      </c>
      <c r="D141" s="7" t="s">
        <v>39</v>
      </c>
      <c r="E141" s="7" t="s">
        <v>101</v>
      </c>
      <c r="F141" s="7" t="s">
        <v>51</v>
      </c>
      <c r="G141" s="7" t="s">
        <v>136</v>
      </c>
      <c r="H141" s="6" t="s">
        <v>3010</v>
      </c>
      <c r="I141" s="6" t="s">
        <v>3748</v>
      </c>
      <c r="J141" s="6" t="s">
        <v>3749</v>
      </c>
      <c r="K141" s="6" t="s">
        <v>138</v>
      </c>
      <c r="L141" s="7" t="n">
        <f aca="false">COUNTIFS(TestCases!$E$2:$E$328,$A141)</f>
        <v>1</v>
      </c>
      <c r="M141" s="7" t="n">
        <f aca="false">COUNTIFS(TestCases!$E$2:$E$328,$A141,TestCases!$Y$2:$Y$328,"Approve")</f>
        <v>1</v>
      </c>
      <c r="N141" s="7" t="n">
        <f aca="false">COUNTIFS(TestCases!$E$2:$E$328,$A141,TestCases!$Y$2:$Y$328,"Draft")</f>
        <v>0</v>
      </c>
      <c r="O141" s="7" t="n">
        <f aca="false">COUNTIFS(TestCases!$E$2:$E$328,$A141,TestCases!$Y$2:$Y$328,"Reject")</f>
        <v>0</v>
      </c>
      <c r="P141" s="7" t="str">
        <f aca="false">IF(M141=L141,"Approve",IF(O141=L141,"Reject","Draft"))</f>
        <v>Approve</v>
      </c>
    </row>
    <row r="142" customFormat="false" ht="57" hidden="false" customHeight="true" outlineLevel="0" collapsed="false">
      <c r="A142" s="7" t="s">
        <v>3022</v>
      </c>
      <c r="B142" s="7" t="s">
        <v>3030</v>
      </c>
      <c r="C142" s="7" t="s">
        <v>3021</v>
      </c>
      <c r="D142" s="7" t="s">
        <v>39</v>
      </c>
      <c r="E142" s="7" t="s">
        <v>101</v>
      </c>
      <c r="F142" s="7" t="s">
        <v>55</v>
      </c>
      <c r="G142" s="7" t="s">
        <v>269</v>
      </c>
      <c r="H142" s="6" t="s">
        <v>3023</v>
      </c>
      <c r="I142" s="6" t="s">
        <v>3750</v>
      </c>
      <c r="J142" s="6" t="s">
        <v>3751</v>
      </c>
      <c r="K142" s="6" t="s">
        <v>933</v>
      </c>
      <c r="L142" s="7" t="n">
        <f aca="false">COUNTIFS(TestCases!$E$2:$E$328,$A142)</f>
        <v>2</v>
      </c>
      <c r="M142" s="7" t="n">
        <f aca="false">COUNTIFS(TestCases!$E$2:$E$328,$A142,TestCases!$Y$2:$Y$328,"Approve")</f>
        <v>0</v>
      </c>
      <c r="N142" s="7" t="n">
        <f aca="false">COUNTIFS(TestCases!$E$2:$E$328,$A142,TestCases!$Y$2:$Y$328,"Draft")</f>
        <v>2</v>
      </c>
      <c r="O142" s="7" t="n">
        <f aca="false">COUNTIFS(TestCases!$E$2:$E$328,$A142,TestCases!$Y$2:$Y$328,"Reject")</f>
        <v>0</v>
      </c>
      <c r="P142" s="7" t="str">
        <f aca="false">IF(M142=L142,"Approve",IF(O142=L142,"Reject","Draft"))</f>
        <v>Draft</v>
      </c>
    </row>
    <row r="143" customFormat="false" ht="68.25" hidden="false" customHeight="true" outlineLevel="0" collapsed="false">
      <c r="A143" s="7" t="s">
        <v>3040</v>
      </c>
      <c r="B143" s="7" t="s">
        <v>3048</v>
      </c>
      <c r="C143" s="7" t="s">
        <v>3039</v>
      </c>
      <c r="D143" s="7" t="s">
        <v>39</v>
      </c>
      <c r="E143" s="7" t="s">
        <v>101</v>
      </c>
      <c r="F143" s="7" t="s">
        <v>55</v>
      </c>
      <c r="G143" s="7" t="s">
        <v>136</v>
      </c>
      <c r="H143" s="6" t="s">
        <v>3041</v>
      </c>
      <c r="I143" s="6" t="s">
        <v>3752</v>
      </c>
      <c r="J143" s="6" t="s">
        <v>3753</v>
      </c>
      <c r="K143" s="6" t="s">
        <v>933</v>
      </c>
      <c r="L143" s="7" t="n">
        <f aca="false">COUNTIFS(TestCases!$E$2:$E$328,$A143)</f>
        <v>2</v>
      </c>
      <c r="M143" s="7" t="n">
        <f aca="false">COUNTIFS(TestCases!$E$2:$E$328,$A143,TestCases!$Y$2:$Y$328,"Approve")</f>
        <v>0</v>
      </c>
      <c r="N143" s="7" t="n">
        <f aca="false">COUNTIFS(TestCases!$E$2:$E$328,$A143,TestCases!$Y$2:$Y$328,"Draft")</f>
        <v>2</v>
      </c>
      <c r="O143" s="7" t="n">
        <f aca="false">COUNTIFS(TestCases!$E$2:$E$328,$A143,TestCases!$Y$2:$Y$328,"Reject")</f>
        <v>0</v>
      </c>
      <c r="P143" s="7" t="str">
        <f aca="false">IF(M143=L143,"Approve",IF(O143=L143,"Reject","Draft"))</f>
        <v>Draft</v>
      </c>
    </row>
    <row r="144" customFormat="false" ht="57" hidden="false" customHeight="true" outlineLevel="0" collapsed="false">
      <c r="A144" s="7" t="s">
        <v>3060</v>
      </c>
      <c r="B144" s="7" t="s">
        <v>3067</v>
      </c>
      <c r="C144" s="7" t="s">
        <v>3059</v>
      </c>
      <c r="D144" s="7" t="s">
        <v>39</v>
      </c>
      <c r="E144" s="7" t="s">
        <v>101</v>
      </c>
      <c r="F144" s="7" t="s">
        <v>59</v>
      </c>
      <c r="G144" s="7" t="s">
        <v>300</v>
      </c>
      <c r="H144" s="6" t="s">
        <v>3061</v>
      </c>
      <c r="I144" s="6" t="s">
        <v>3754</v>
      </c>
      <c r="J144" s="6" t="s">
        <v>3755</v>
      </c>
      <c r="K144" s="6" t="s">
        <v>2924</v>
      </c>
      <c r="L144" s="7" t="n">
        <f aca="false">COUNTIFS(TestCases!$E$2:$E$328,$A144)</f>
        <v>2</v>
      </c>
      <c r="M144" s="7" t="n">
        <f aca="false">COUNTIFS(TestCases!$E$2:$E$328,$A144,TestCases!$Y$2:$Y$328,"Approve")</f>
        <v>0</v>
      </c>
      <c r="N144" s="7" t="n">
        <f aca="false">COUNTIFS(TestCases!$E$2:$E$328,$A144,TestCases!$Y$2:$Y$328,"Draft")</f>
        <v>2</v>
      </c>
      <c r="O144" s="7" t="n">
        <f aca="false">COUNTIFS(TestCases!$E$2:$E$328,$A144,TestCases!$Y$2:$Y$328,"Reject")</f>
        <v>0</v>
      </c>
      <c r="P144" s="7" t="str">
        <f aca="false">IF(M144=L144,"Approve",IF(O144=L144,"Reject","Draft"))</f>
        <v>Draft</v>
      </c>
    </row>
    <row r="145" customFormat="false" ht="45.75" hidden="false" customHeight="true" outlineLevel="0" collapsed="false">
      <c r="A145" s="7" t="s">
        <v>3078</v>
      </c>
      <c r="B145" s="7" t="s">
        <v>3087</v>
      </c>
      <c r="C145" s="7" t="s">
        <v>3077</v>
      </c>
      <c r="D145" s="7" t="s">
        <v>40</v>
      </c>
      <c r="E145" s="7" t="s">
        <v>100</v>
      </c>
      <c r="F145" s="7" t="s">
        <v>59</v>
      </c>
      <c r="G145" s="7" t="s">
        <v>269</v>
      </c>
      <c r="H145" s="6" t="s">
        <v>3079</v>
      </c>
      <c r="I145" s="6" t="s">
        <v>3756</v>
      </c>
      <c r="J145" s="6" t="s">
        <v>3757</v>
      </c>
      <c r="K145" s="6" t="s">
        <v>3096</v>
      </c>
      <c r="L145" s="7" t="n">
        <f aca="false">COUNTIFS(TestCases!$E$2:$E$328,$A145)</f>
        <v>3</v>
      </c>
      <c r="M145" s="7" t="n">
        <f aca="false">COUNTIFS(TestCases!$E$2:$E$328,$A145,TestCases!$Y$2:$Y$328,"Approve")</f>
        <v>0</v>
      </c>
      <c r="N145" s="7" t="n">
        <f aca="false">COUNTIFS(TestCases!$E$2:$E$328,$A145,TestCases!$Y$2:$Y$328,"Draft")</f>
        <v>3</v>
      </c>
      <c r="O145" s="7" t="n">
        <f aca="false">COUNTIFS(TestCases!$E$2:$E$328,$A145,TestCases!$Y$2:$Y$328,"Reject")</f>
        <v>0</v>
      </c>
      <c r="P145" s="7" t="str">
        <f aca="false">IF(M145=L145,"Approve",IF(O145=L145,"Reject","Draft"))</f>
        <v>Draft</v>
      </c>
    </row>
    <row r="146" customFormat="false" ht="68.25" hidden="false" customHeight="true" outlineLevel="0" collapsed="false">
      <c r="A146" s="7" t="s">
        <v>3108</v>
      </c>
      <c r="B146" s="7" t="s">
        <v>3117</v>
      </c>
      <c r="C146" s="7" t="s">
        <v>3107</v>
      </c>
      <c r="D146" s="7" t="s">
        <v>40</v>
      </c>
      <c r="E146" s="7" t="s">
        <v>101</v>
      </c>
      <c r="F146" s="7" t="s">
        <v>51</v>
      </c>
      <c r="G146" s="7" t="s">
        <v>269</v>
      </c>
      <c r="H146" s="6" t="s">
        <v>3109</v>
      </c>
      <c r="I146" s="6" t="s">
        <v>3758</v>
      </c>
      <c r="J146" s="6" t="s">
        <v>3759</v>
      </c>
      <c r="K146" s="6" t="s">
        <v>3118</v>
      </c>
      <c r="L146" s="7" t="n">
        <f aca="false">COUNTIFS(TestCases!$E$2:$E$328,$A146)</f>
        <v>2</v>
      </c>
      <c r="M146" s="7" t="n">
        <f aca="false">COUNTIFS(TestCases!$E$2:$E$328,$A146,TestCases!$Y$2:$Y$328,"Approve")</f>
        <v>0</v>
      </c>
      <c r="N146" s="7" t="n">
        <f aca="false">COUNTIFS(TestCases!$E$2:$E$328,$A146,TestCases!$Y$2:$Y$328,"Draft")</f>
        <v>2</v>
      </c>
      <c r="O146" s="7" t="n">
        <f aca="false">COUNTIFS(TestCases!$E$2:$E$328,$A146,TestCases!$Y$2:$Y$328,"Reject")</f>
        <v>0</v>
      </c>
      <c r="P146" s="7" t="str">
        <f aca="false">IF(M146=L146,"Approve",IF(O146=L146,"Reject","Draft"))</f>
        <v>Draft</v>
      </c>
    </row>
    <row r="147" customFormat="false" ht="68.25" hidden="false" customHeight="true" outlineLevel="0" collapsed="false">
      <c r="A147" s="7" t="s">
        <v>3130</v>
      </c>
      <c r="B147" s="7" t="s">
        <v>3139</v>
      </c>
      <c r="C147" s="7" t="s">
        <v>3129</v>
      </c>
      <c r="D147" s="7" t="s">
        <v>40</v>
      </c>
      <c r="E147" s="7" t="s">
        <v>101</v>
      </c>
      <c r="F147" s="7" t="s">
        <v>50</v>
      </c>
      <c r="G147" s="7" t="s">
        <v>256</v>
      </c>
      <c r="H147" s="6" t="s">
        <v>3131</v>
      </c>
      <c r="I147" s="6" t="s">
        <v>3760</v>
      </c>
      <c r="J147" s="6" t="s">
        <v>3761</v>
      </c>
      <c r="K147" s="6" t="s">
        <v>513</v>
      </c>
      <c r="L147" s="7" t="n">
        <f aca="false">COUNTIFS(TestCases!$E$2:$E$328,$A147)</f>
        <v>3</v>
      </c>
      <c r="M147" s="7" t="n">
        <f aca="false">COUNTIFS(TestCases!$E$2:$E$328,$A147,TestCases!$Y$2:$Y$328,"Approve")</f>
        <v>1</v>
      </c>
      <c r="N147" s="7" t="n">
        <f aca="false">COUNTIFS(TestCases!$E$2:$E$328,$A147,TestCases!$Y$2:$Y$328,"Draft")</f>
        <v>2</v>
      </c>
      <c r="O147" s="7" t="n">
        <f aca="false">COUNTIFS(TestCases!$E$2:$E$328,$A147,TestCases!$Y$2:$Y$328,"Reject")</f>
        <v>0</v>
      </c>
      <c r="P147" s="7" t="str">
        <f aca="false">IF(M147=L147,"Approve",IF(O147=L147,"Reject","Draft"))</f>
        <v>Draft</v>
      </c>
    </row>
    <row r="148" customFormat="false" ht="34.5" hidden="false" customHeight="true" outlineLevel="0" collapsed="false">
      <c r="A148" s="7" t="s">
        <v>3158</v>
      </c>
      <c r="B148" s="7" t="s">
        <v>3166</v>
      </c>
      <c r="C148" s="7" t="s">
        <v>3157</v>
      </c>
      <c r="D148" s="7" t="s">
        <v>40</v>
      </c>
      <c r="E148" s="7" t="s">
        <v>101</v>
      </c>
      <c r="F148" s="7" t="s">
        <v>50</v>
      </c>
      <c r="G148" s="7" t="s">
        <v>136</v>
      </c>
      <c r="H148" s="6" t="s">
        <v>3159</v>
      </c>
      <c r="I148" s="6" t="s">
        <v>3762</v>
      </c>
      <c r="J148" s="6" t="s">
        <v>3763</v>
      </c>
      <c r="K148" s="6" t="s">
        <v>138</v>
      </c>
      <c r="L148" s="7" t="n">
        <f aca="false">COUNTIFS(TestCases!$E$2:$E$328,$A148)</f>
        <v>2</v>
      </c>
      <c r="M148" s="7" t="n">
        <f aca="false">COUNTIFS(TestCases!$E$2:$E$328,$A148,TestCases!$Y$2:$Y$328,"Approve")</f>
        <v>2</v>
      </c>
      <c r="N148" s="7" t="n">
        <f aca="false">COUNTIFS(TestCases!$E$2:$E$328,$A148,TestCases!$Y$2:$Y$328,"Draft")</f>
        <v>0</v>
      </c>
      <c r="O148" s="7" t="n">
        <f aca="false">COUNTIFS(TestCases!$E$2:$E$328,$A148,TestCases!$Y$2:$Y$328,"Reject")</f>
        <v>0</v>
      </c>
      <c r="P148" s="7" t="str">
        <f aca="false">IF(M148=L148,"Approve",IF(O148=L148,"Reject","Draft"))</f>
        <v>Approve</v>
      </c>
    </row>
    <row r="149" customFormat="false" ht="45.75" hidden="false" customHeight="true" outlineLevel="0" collapsed="false">
      <c r="A149" s="7" t="s">
        <v>3176</v>
      </c>
      <c r="B149" s="7" t="s">
        <v>3185</v>
      </c>
      <c r="C149" s="7" t="s">
        <v>3175</v>
      </c>
      <c r="D149" s="7" t="s">
        <v>40</v>
      </c>
      <c r="E149" s="7" t="s">
        <v>101</v>
      </c>
      <c r="F149" s="7" t="s">
        <v>51</v>
      </c>
      <c r="G149" s="7" t="s">
        <v>136</v>
      </c>
      <c r="H149" s="6" t="s">
        <v>3177</v>
      </c>
      <c r="I149" s="6" t="s">
        <v>3764</v>
      </c>
      <c r="J149" s="6" t="s">
        <v>3765</v>
      </c>
      <c r="K149" s="6" t="s">
        <v>1638</v>
      </c>
      <c r="L149" s="7" t="n">
        <f aca="false">COUNTIFS(TestCases!$E$2:$E$328,$A149)</f>
        <v>2</v>
      </c>
      <c r="M149" s="7" t="n">
        <f aca="false">COUNTIFS(TestCases!$E$2:$E$328,$A149,TestCases!$Y$2:$Y$328,"Approve")</f>
        <v>0</v>
      </c>
      <c r="N149" s="7" t="n">
        <f aca="false">COUNTIFS(TestCases!$E$2:$E$328,$A149,TestCases!$Y$2:$Y$328,"Draft")</f>
        <v>2</v>
      </c>
      <c r="O149" s="7" t="n">
        <f aca="false">COUNTIFS(TestCases!$E$2:$E$328,$A149,TestCases!$Y$2:$Y$328,"Reject")</f>
        <v>0</v>
      </c>
      <c r="P149" s="7" t="str">
        <f aca="false">IF(M149=L149,"Approve",IF(O149=L149,"Reject","Draft"))</f>
        <v>Draft</v>
      </c>
    </row>
    <row r="150" customFormat="false" ht="23.25" hidden="false" customHeight="true" outlineLevel="0" collapsed="false">
      <c r="A150" s="7" t="s">
        <v>3196</v>
      </c>
      <c r="B150" s="7" t="s">
        <v>3204</v>
      </c>
      <c r="C150" s="7" t="s">
        <v>3195</v>
      </c>
      <c r="D150" s="7" t="s">
        <v>40</v>
      </c>
      <c r="E150" s="7" t="s">
        <v>101</v>
      </c>
      <c r="F150" s="7" t="s">
        <v>50</v>
      </c>
      <c r="G150" s="7" t="s">
        <v>136</v>
      </c>
      <c r="H150" s="6" t="s">
        <v>3197</v>
      </c>
      <c r="I150" s="6" t="s">
        <v>3766</v>
      </c>
      <c r="J150" s="6" t="s">
        <v>3767</v>
      </c>
      <c r="K150" s="6" t="s">
        <v>1638</v>
      </c>
      <c r="L150" s="7" t="n">
        <f aca="false">COUNTIFS(TestCases!$E$2:$E$328,$A150)</f>
        <v>1</v>
      </c>
      <c r="M150" s="7" t="n">
        <f aca="false">COUNTIFS(TestCases!$E$2:$E$328,$A150,TestCases!$Y$2:$Y$328,"Approve")</f>
        <v>0</v>
      </c>
      <c r="N150" s="7" t="n">
        <f aca="false">COUNTIFS(TestCases!$E$2:$E$328,$A150,TestCases!$Y$2:$Y$328,"Draft")</f>
        <v>1</v>
      </c>
      <c r="O150" s="7" t="n">
        <f aca="false">COUNTIFS(TestCases!$E$2:$E$328,$A150,TestCases!$Y$2:$Y$328,"Reject")</f>
        <v>0</v>
      </c>
      <c r="P150" s="7" t="str">
        <f aca="false">IF(M150=L150,"Approve",IF(O150=L150,"Reject","Draft"))</f>
        <v>Draft</v>
      </c>
    </row>
    <row r="151" customFormat="false" ht="45.75" hidden="false" customHeight="true" outlineLevel="0" collapsed="false">
      <c r="A151" s="7" t="s">
        <v>3208</v>
      </c>
      <c r="B151" s="7" t="s">
        <v>3217</v>
      </c>
      <c r="C151" s="7" t="s">
        <v>3207</v>
      </c>
      <c r="D151" s="7" t="s">
        <v>40</v>
      </c>
      <c r="E151" s="7" t="s">
        <v>101</v>
      </c>
      <c r="F151" s="7" t="s">
        <v>48</v>
      </c>
      <c r="G151" s="7" t="s">
        <v>256</v>
      </c>
      <c r="H151" s="6" t="s">
        <v>3209</v>
      </c>
      <c r="I151" s="6" t="s">
        <v>3768</v>
      </c>
      <c r="J151" s="6" t="s">
        <v>3769</v>
      </c>
      <c r="K151" s="6" t="s">
        <v>1638</v>
      </c>
      <c r="L151" s="7" t="n">
        <f aca="false">COUNTIFS(TestCases!$E$2:$E$328,$A151)</f>
        <v>3</v>
      </c>
      <c r="M151" s="7" t="n">
        <f aca="false">COUNTIFS(TestCases!$E$2:$E$328,$A151,TestCases!$Y$2:$Y$328,"Approve")</f>
        <v>0</v>
      </c>
      <c r="N151" s="7" t="n">
        <f aca="false">COUNTIFS(TestCases!$E$2:$E$328,$A151,TestCases!$Y$2:$Y$328,"Draft")</f>
        <v>3</v>
      </c>
      <c r="O151" s="7" t="n">
        <f aca="false">COUNTIFS(TestCases!$E$2:$E$328,$A151,TestCases!$Y$2:$Y$328,"Reject")</f>
        <v>0</v>
      </c>
      <c r="P151" s="7" t="str">
        <f aca="false">IF(M151=L151,"Approve",IF(O151=L151,"Reject","Draft"))</f>
        <v>Draft</v>
      </c>
    </row>
    <row r="152" customFormat="false" ht="34.5" hidden="false" customHeight="true" outlineLevel="0" collapsed="false">
      <c r="A152" s="7" t="s">
        <v>3235</v>
      </c>
      <c r="B152" s="7" t="s">
        <v>3244</v>
      </c>
      <c r="C152" s="7" t="s">
        <v>3234</v>
      </c>
      <c r="D152" s="7" t="s">
        <v>40</v>
      </c>
      <c r="E152" s="7" t="s">
        <v>346</v>
      </c>
      <c r="F152" s="7" t="s">
        <v>59</v>
      </c>
      <c r="G152" s="7" t="s">
        <v>136</v>
      </c>
      <c r="H152" s="6" t="s">
        <v>3236</v>
      </c>
      <c r="I152" s="6" t="s">
        <v>3770</v>
      </c>
      <c r="J152" s="6" t="s">
        <v>3771</v>
      </c>
      <c r="K152" s="6" t="s">
        <v>3597</v>
      </c>
      <c r="L152" s="7" t="n">
        <f aca="false">COUNTIFS(TestCases!$E$2:$E$328,$A152)</f>
        <v>2</v>
      </c>
      <c r="M152" s="7" t="n">
        <f aca="false">COUNTIFS(TestCases!$E$2:$E$328,$A152,TestCases!$Y$2:$Y$328,"Approve")</f>
        <v>0</v>
      </c>
      <c r="N152" s="7" t="n">
        <f aca="false">COUNTIFS(TestCases!$E$2:$E$328,$A152,TestCases!$Y$2:$Y$328,"Draft")</f>
        <v>2</v>
      </c>
      <c r="O152" s="7" t="n">
        <f aca="false">COUNTIFS(TestCases!$E$2:$E$328,$A152,TestCases!$Y$2:$Y$328,"Reject")</f>
        <v>0</v>
      </c>
      <c r="P152" s="7" t="str">
        <f aca="false">IF(M152=L152,"Approve",IF(O152=L152,"Reject","Draft"))</f>
        <v>Draft</v>
      </c>
    </row>
    <row r="153" customFormat="false" ht="23.25" hidden="false" customHeight="true" outlineLevel="0" collapsed="false">
      <c r="A153" s="7" t="s">
        <v>3255</v>
      </c>
      <c r="B153" s="7" t="s">
        <v>3263</v>
      </c>
      <c r="C153" s="7" t="s">
        <v>3254</v>
      </c>
      <c r="D153" s="7" t="s">
        <v>40</v>
      </c>
      <c r="E153" s="7" t="s">
        <v>346</v>
      </c>
      <c r="F153" s="7" t="s">
        <v>59</v>
      </c>
      <c r="G153" s="7" t="s">
        <v>136</v>
      </c>
      <c r="H153" s="6" t="s">
        <v>3256</v>
      </c>
      <c r="I153" s="6" t="s">
        <v>3772</v>
      </c>
      <c r="J153" s="6" t="s">
        <v>3773</v>
      </c>
      <c r="K153" s="6" t="s">
        <v>3597</v>
      </c>
      <c r="L153" s="7" t="n">
        <f aca="false">COUNTIFS(TestCases!$E$2:$E$328,$A153)</f>
        <v>3</v>
      </c>
      <c r="M153" s="7" t="n">
        <f aca="false">COUNTIFS(TestCases!$E$2:$E$328,$A153,TestCases!$Y$2:$Y$328,"Approve")</f>
        <v>0</v>
      </c>
      <c r="N153" s="7" t="n">
        <f aca="false">COUNTIFS(TestCases!$E$2:$E$328,$A153,TestCases!$Y$2:$Y$328,"Draft")</f>
        <v>3</v>
      </c>
      <c r="O153" s="7" t="n">
        <f aca="false">COUNTIFS(TestCases!$E$2:$E$328,$A153,TestCases!$Y$2:$Y$328,"Reject")</f>
        <v>0</v>
      </c>
      <c r="P153" s="7" t="str">
        <f aca="false">IF(M153=L153,"Approve",IF(O153=L153,"Reject","Draft"))</f>
        <v>Draft</v>
      </c>
    </row>
    <row r="154" customFormat="false" ht="23.25" hidden="false" customHeight="true" outlineLevel="0" collapsed="false">
      <c r="A154" s="7" t="s">
        <v>3278</v>
      </c>
      <c r="B154" s="7" t="s">
        <v>3286</v>
      </c>
      <c r="C154" s="7" t="s">
        <v>3254</v>
      </c>
      <c r="D154" s="7" t="s">
        <v>38</v>
      </c>
      <c r="E154" s="7" t="s">
        <v>346</v>
      </c>
      <c r="F154" s="7" t="s">
        <v>53</v>
      </c>
      <c r="G154" s="7" t="s">
        <v>136</v>
      </c>
      <c r="H154" s="6" t="s">
        <v>3279</v>
      </c>
      <c r="I154" s="6" t="s">
        <v>3774</v>
      </c>
      <c r="J154" s="6" t="s">
        <v>3775</v>
      </c>
      <c r="K154" s="6" t="s">
        <v>3597</v>
      </c>
      <c r="L154" s="7" t="n">
        <f aca="false">COUNTIFS(TestCases!$E$2:$E$328,$A154)</f>
        <v>1</v>
      </c>
      <c r="M154" s="7" t="n">
        <f aca="false">COUNTIFS(TestCases!$E$2:$E$328,$A154,TestCases!$Y$2:$Y$328,"Approve")</f>
        <v>0</v>
      </c>
      <c r="N154" s="7" t="n">
        <f aca="false">COUNTIFS(TestCases!$E$2:$E$328,$A154,TestCases!$Y$2:$Y$328,"Draft")</f>
        <v>1</v>
      </c>
      <c r="O154" s="7" t="n">
        <f aca="false">COUNTIFS(TestCases!$E$2:$E$328,$A154,TestCases!$Y$2:$Y$328,"Reject")</f>
        <v>0</v>
      </c>
      <c r="P154" s="7" t="str">
        <f aca="false">IF(M154=L154,"Approve",IF(O154=L154,"Reject","Draft"))</f>
        <v>Draft</v>
      </c>
    </row>
    <row r="155" customFormat="false" ht="23.25" hidden="false" customHeight="true" outlineLevel="0" collapsed="false">
      <c r="A155" s="7" t="s">
        <v>3289</v>
      </c>
      <c r="B155" s="7" t="s">
        <v>3297</v>
      </c>
      <c r="C155" s="7" t="s">
        <v>3254</v>
      </c>
      <c r="D155" s="7" t="s">
        <v>39</v>
      </c>
      <c r="E155" s="7" t="s">
        <v>346</v>
      </c>
      <c r="F155" s="7" t="s">
        <v>59</v>
      </c>
      <c r="G155" s="7" t="s">
        <v>136</v>
      </c>
      <c r="H155" s="6" t="s">
        <v>3290</v>
      </c>
      <c r="I155" s="6" t="s">
        <v>3776</v>
      </c>
      <c r="J155" s="6" t="s">
        <v>3777</v>
      </c>
      <c r="K155" s="6" t="s">
        <v>3778</v>
      </c>
      <c r="L155" s="7" t="n">
        <f aca="false">COUNTIFS(TestCases!$E$2:$E$328,$A155)</f>
        <v>3</v>
      </c>
      <c r="M155" s="7" t="n">
        <f aca="false">COUNTIFS(TestCases!$E$2:$E$328,$A155,TestCases!$Y$2:$Y$328,"Approve")</f>
        <v>0</v>
      </c>
      <c r="N155" s="7" t="n">
        <f aca="false">COUNTIFS(TestCases!$E$2:$E$328,$A155,TestCases!$Y$2:$Y$328,"Draft")</f>
        <v>2</v>
      </c>
      <c r="O155" s="7" t="n">
        <f aca="false">COUNTIFS(TestCases!$E$2:$E$328,$A155,TestCases!$Y$2:$Y$328,"Reject")</f>
        <v>1</v>
      </c>
      <c r="P155" s="7" t="str">
        <f aca="false">IF(M155=L155,"Approve",IF(O155=L155,"Reject","Draft"))</f>
        <v>Draft</v>
      </c>
    </row>
    <row r="156" customFormat="false" ht="23.25" hidden="false" customHeight="true" outlineLevel="0" collapsed="false">
      <c r="A156" s="7" t="s">
        <v>3312</v>
      </c>
      <c r="B156" s="7" t="s">
        <v>3320</v>
      </c>
      <c r="C156" s="7" t="s">
        <v>3311</v>
      </c>
      <c r="D156" s="7" t="s">
        <v>38</v>
      </c>
      <c r="E156" s="7" t="s">
        <v>99</v>
      </c>
      <c r="F156" s="7" t="s">
        <v>50</v>
      </c>
      <c r="G156" s="7" t="s">
        <v>136</v>
      </c>
      <c r="H156" s="6" t="s">
        <v>3313</v>
      </c>
      <c r="I156" s="6" t="s">
        <v>3779</v>
      </c>
      <c r="J156" s="6" t="s">
        <v>3780</v>
      </c>
      <c r="K156" s="6" t="s">
        <v>3597</v>
      </c>
      <c r="L156" s="7" t="n">
        <f aca="false">COUNTIFS(TestCases!$E$2:$E$328,$A156)</f>
        <v>1</v>
      </c>
      <c r="M156" s="7" t="n">
        <f aca="false">COUNTIFS(TestCases!$E$2:$E$328,$A156,TestCases!$Y$2:$Y$328,"Approve")</f>
        <v>0</v>
      </c>
      <c r="N156" s="7" t="n">
        <f aca="false">COUNTIFS(TestCases!$E$2:$E$328,$A156,TestCases!$Y$2:$Y$328,"Draft")</f>
        <v>1</v>
      </c>
      <c r="O156" s="7" t="n">
        <f aca="false">COUNTIFS(TestCases!$E$2:$E$328,$A156,TestCases!$Y$2:$Y$328,"Reject")</f>
        <v>0</v>
      </c>
      <c r="P156" s="7" t="str">
        <f aca="false">IF(M156=L156,"Approve",IF(O156=L156,"Reject","Draft"))</f>
        <v>Draft</v>
      </c>
    </row>
    <row r="157" customFormat="false" ht="23.25" hidden="false" customHeight="true" outlineLevel="0" collapsed="false">
      <c r="A157" s="7" t="s">
        <v>3324</v>
      </c>
      <c r="B157" s="7" t="s">
        <v>3332</v>
      </c>
      <c r="C157" s="7" t="s">
        <v>3323</v>
      </c>
      <c r="D157" s="7" t="s">
        <v>38</v>
      </c>
      <c r="E157" s="7" t="s">
        <v>99</v>
      </c>
      <c r="F157" s="7" t="s">
        <v>55</v>
      </c>
      <c r="G157" s="7" t="s">
        <v>136</v>
      </c>
      <c r="H157" s="6" t="s">
        <v>3325</v>
      </c>
      <c r="I157" s="6" t="s">
        <v>3781</v>
      </c>
      <c r="J157" s="6" t="s">
        <v>3782</v>
      </c>
      <c r="K157" s="6" t="s">
        <v>3597</v>
      </c>
      <c r="L157" s="7" t="n">
        <f aca="false">COUNTIFS(TestCases!$E$2:$E$328,$A157)</f>
        <v>1</v>
      </c>
      <c r="M157" s="7" t="n">
        <f aca="false">COUNTIFS(TestCases!$E$2:$E$328,$A157,TestCases!$Y$2:$Y$328,"Approve")</f>
        <v>0</v>
      </c>
      <c r="N157" s="7" t="n">
        <f aca="false">COUNTIFS(TestCases!$E$2:$E$328,$A157,TestCases!$Y$2:$Y$328,"Draft")</f>
        <v>1</v>
      </c>
      <c r="O157" s="7" t="n">
        <f aca="false">COUNTIFS(TestCases!$E$2:$E$328,$A157,TestCases!$Y$2:$Y$328,"Reject")</f>
        <v>0</v>
      </c>
      <c r="P157" s="7" t="str">
        <f aca="false">IF(M157=L157,"Approve",IF(O157=L157,"Reject","Draft"))</f>
        <v>Draft</v>
      </c>
    </row>
    <row r="158" customFormat="false" ht="57" hidden="false" customHeight="true" outlineLevel="0" collapsed="false">
      <c r="A158" s="7" t="s">
        <v>3336</v>
      </c>
      <c r="B158" s="7" t="s">
        <v>3344</v>
      </c>
      <c r="C158" s="7" t="s">
        <v>3335</v>
      </c>
      <c r="D158" s="7" t="s">
        <v>40</v>
      </c>
      <c r="E158" s="7" t="s">
        <v>100</v>
      </c>
      <c r="F158" s="7" t="s">
        <v>59</v>
      </c>
      <c r="G158" s="7" t="s">
        <v>269</v>
      </c>
      <c r="H158" s="6" t="s">
        <v>3337</v>
      </c>
      <c r="I158" s="6" t="s">
        <v>3783</v>
      </c>
      <c r="J158" s="6" t="s">
        <v>3784</v>
      </c>
      <c r="K158" s="6" t="s">
        <v>3628</v>
      </c>
      <c r="L158" s="7" t="n">
        <f aca="false">COUNTIFS(TestCases!$E$2:$E$328,$A158)</f>
        <v>2</v>
      </c>
      <c r="M158" s="7" t="n">
        <f aca="false">COUNTIFS(TestCases!$E$2:$E$328,$A158,TestCases!$Y$2:$Y$328,"Approve")</f>
        <v>0</v>
      </c>
      <c r="N158" s="7" t="n">
        <f aca="false">COUNTIFS(TestCases!$E$2:$E$328,$A158,TestCases!$Y$2:$Y$328,"Draft")</f>
        <v>2</v>
      </c>
      <c r="O158" s="7" t="n">
        <f aca="false">COUNTIFS(TestCases!$E$2:$E$328,$A158,TestCases!$Y$2:$Y$328,"Reject")</f>
        <v>0</v>
      </c>
      <c r="P158" s="7" t="str">
        <f aca="false">IF(M158=L158,"Approve",IF(O158=L158,"Reject","Draft"))</f>
        <v>Draft</v>
      </c>
    </row>
    <row r="159" customFormat="false" ht="34.5" hidden="false" customHeight="true" outlineLevel="0" collapsed="false">
      <c r="A159" s="7" t="s">
        <v>3355</v>
      </c>
      <c r="B159" s="7" t="s">
        <v>3363</v>
      </c>
      <c r="C159" s="7" t="s">
        <v>3354</v>
      </c>
      <c r="D159" s="7" t="s">
        <v>40</v>
      </c>
      <c r="E159" s="7" t="s">
        <v>36</v>
      </c>
      <c r="F159" s="7" t="s">
        <v>59</v>
      </c>
      <c r="G159" s="7" t="s">
        <v>136</v>
      </c>
      <c r="H159" s="6" t="s">
        <v>3356</v>
      </c>
      <c r="I159" s="6" t="s">
        <v>3785</v>
      </c>
      <c r="J159" s="6" t="s">
        <v>3786</v>
      </c>
      <c r="K159" s="6" t="s">
        <v>3364</v>
      </c>
      <c r="L159" s="7" t="n">
        <f aca="false">COUNTIFS(TestCases!$E$2:$E$328,$A159)</f>
        <v>2</v>
      </c>
      <c r="M159" s="7" t="n">
        <f aca="false">COUNTIFS(TestCases!$E$2:$E$328,$A159,TestCases!$Y$2:$Y$328,"Approve")</f>
        <v>0</v>
      </c>
      <c r="N159" s="7" t="n">
        <f aca="false">COUNTIFS(TestCases!$E$2:$E$328,$A159,TestCases!$Y$2:$Y$328,"Draft")</f>
        <v>2</v>
      </c>
      <c r="O159" s="7" t="n">
        <f aca="false">COUNTIFS(TestCases!$E$2:$E$328,$A159,TestCases!$Y$2:$Y$328,"Reject")</f>
        <v>0</v>
      </c>
      <c r="P159" s="7" t="str">
        <f aca="false">IF(M159=L159,"Approve",IF(O159=L159,"Reject","Draft"))</f>
        <v>Draft</v>
      </c>
    </row>
    <row r="160" customFormat="false" ht="57" hidden="false" customHeight="true" outlineLevel="0" collapsed="false">
      <c r="A160" s="7" t="s">
        <v>3375</v>
      </c>
      <c r="B160" s="7" t="s">
        <v>3383</v>
      </c>
      <c r="C160" s="7" t="s">
        <v>3374</v>
      </c>
      <c r="D160" s="7" t="s">
        <v>40</v>
      </c>
      <c r="E160" s="7" t="s">
        <v>36</v>
      </c>
      <c r="F160" s="7" t="s">
        <v>51</v>
      </c>
      <c r="G160" s="7" t="s">
        <v>136</v>
      </c>
      <c r="H160" s="6" t="s">
        <v>3376</v>
      </c>
      <c r="I160" s="6" t="s">
        <v>3787</v>
      </c>
      <c r="J160" s="6" t="s">
        <v>3788</v>
      </c>
      <c r="K160" s="6" t="s">
        <v>3364</v>
      </c>
      <c r="L160" s="7" t="n">
        <f aca="false">COUNTIFS(TestCases!$E$2:$E$328,$A160)</f>
        <v>2</v>
      </c>
      <c r="M160" s="7" t="n">
        <f aca="false">COUNTIFS(TestCases!$E$2:$E$328,$A160,TestCases!$Y$2:$Y$328,"Approve")</f>
        <v>0</v>
      </c>
      <c r="N160" s="7" t="n">
        <f aca="false">COUNTIFS(TestCases!$E$2:$E$328,$A160,TestCases!$Y$2:$Y$328,"Draft")</f>
        <v>2</v>
      </c>
      <c r="O160" s="7" t="n">
        <f aca="false">COUNTIFS(TestCases!$E$2:$E$328,$A160,TestCases!$Y$2:$Y$328,"Reject")</f>
        <v>0</v>
      </c>
      <c r="P160" s="7" t="str">
        <f aca="false">IF(M160=L160,"Approve",IF(O160=L160,"Reject","Draft"))</f>
        <v>Draft</v>
      </c>
    </row>
    <row r="161" customFormat="false" ht="34.5" hidden="false" customHeight="true" outlineLevel="0" collapsed="false">
      <c r="A161" s="7" t="s">
        <v>3395</v>
      </c>
      <c r="B161" s="7" t="s">
        <v>3404</v>
      </c>
      <c r="C161" s="7" t="s">
        <v>3394</v>
      </c>
      <c r="D161" s="7" t="s">
        <v>40</v>
      </c>
      <c r="E161" s="7" t="s">
        <v>100</v>
      </c>
      <c r="F161" s="7" t="s">
        <v>57</v>
      </c>
      <c r="G161" s="7" t="s">
        <v>300</v>
      </c>
      <c r="H161" s="6" t="s">
        <v>3396</v>
      </c>
      <c r="I161" s="6" t="s">
        <v>3789</v>
      </c>
      <c r="J161" s="6" t="s">
        <v>3790</v>
      </c>
      <c r="K161" s="6" t="s">
        <v>3364</v>
      </c>
      <c r="L161" s="7" t="n">
        <f aca="false">COUNTIFS(TestCases!$E$2:$E$328,$A161)</f>
        <v>2</v>
      </c>
      <c r="M161" s="7" t="n">
        <f aca="false">COUNTIFS(TestCases!$E$2:$E$328,$A161,TestCases!$Y$2:$Y$328,"Approve")</f>
        <v>0</v>
      </c>
      <c r="N161" s="7" t="n">
        <f aca="false">COUNTIFS(TestCases!$E$2:$E$328,$A161,TestCases!$Y$2:$Y$328,"Draft")</f>
        <v>2</v>
      </c>
      <c r="O161" s="7" t="n">
        <f aca="false">COUNTIFS(TestCases!$E$2:$E$328,$A161,TestCases!$Y$2:$Y$328,"Reject")</f>
        <v>0</v>
      </c>
      <c r="P161" s="7" t="str">
        <f aca="false">IF(M161=L161,"Approve",IF(O161=L161,"Reject","Draft"))</f>
        <v>Draft</v>
      </c>
    </row>
    <row r="162" customFormat="false" ht="45.75" hidden="false" customHeight="true" outlineLevel="0" collapsed="false">
      <c r="A162" s="7" t="s">
        <v>3415</v>
      </c>
      <c r="B162" s="7" t="s">
        <v>3424</v>
      </c>
      <c r="C162" s="7" t="s">
        <v>3414</v>
      </c>
      <c r="D162" s="7" t="s">
        <v>40</v>
      </c>
      <c r="E162" s="7" t="s">
        <v>101</v>
      </c>
      <c r="F162" s="7" t="s">
        <v>50</v>
      </c>
      <c r="G162" s="7" t="s">
        <v>136</v>
      </c>
      <c r="H162" s="6" t="s">
        <v>3416</v>
      </c>
      <c r="I162" s="6" t="s">
        <v>3791</v>
      </c>
      <c r="J162" s="6" t="s">
        <v>3792</v>
      </c>
      <c r="K162" s="6" t="s">
        <v>3425</v>
      </c>
      <c r="L162" s="7" t="n">
        <f aca="false">COUNTIFS(TestCases!$E$2:$E$328,$A162)</f>
        <v>2</v>
      </c>
      <c r="M162" s="7" t="n">
        <f aca="false">COUNTIFS(TestCases!$E$2:$E$328,$A162,TestCases!$Y$2:$Y$328,"Approve")</f>
        <v>0</v>
      </c>
      <c r="N162" s="7" t="n">
        <f aca="false">COUNTIFS(TestCases!$E$2:$E$328,$A162,TestCases!$Y$2:$Y$328,"Draft")</f>
        <v>2</v>
      </c>
      <c r="O162" s="7" t="n">
        <f aca="false">COUNTIFS(TestCases!$E$2:$E$328,$A162,TestCases!$Y$2:$Y$328,"Reject")</f>
        <v>0</v>
      </c>
      <c r="P162" s="7" t="str">
        <f aca="false">IF(M162=L162,"Approve",IF(O162=L162,"Reject","Draft"))</f>
        <v>Draft</v>
      </c>
    </row>
    <row r="163" customFormat="false" ht="34.5" hidden="false" customHeight="true" outlineLevel="0" collapsed="false">
      <c r="A163" s="7" t="s">
        <v>3437</v>
      </c>
      <c r="B163" s="7" t="s">
        <v>3442</v>
      </c>
      <c r="C163" s="7" t="s">
        <v>3436</v>
      </c>
      <c r="D163" s="7" t="s">
        <v>40</v>
      </c>
      <c r="E163" s="7" t="s">
        <v>36</v>
      </c>
      <c r="F163" s="7" t="s">
        <v>59</v>
      </c>
      <c r="G163" s="7" t="s">
        <v>136</v>
      </c>
      <c r="H163" s="6" t="s">
        <v>3438</v>
      </c>
      <c r="I163" s="6" t="s">
        <v>3793</v>
      </c>
      <c r="J163" s="6" t="s">
        <v>3794</v>
      </c>
      <c r="K163" s="6" t="s">
        <v>3795</v>
      </c>
      <c r="L163" s="7" t="n">
        <f aca="false">COUNTIFS(TestCases!$E$2:$E$328,$A163)</f>
        <v>1</v>
      </c>
      <c r="M163" s="7" t="n">
        <f aca="false">COUNTIFS(TestCases!$E$2:$E$328,$A163,TestCases!$Y$2:$Y$328,"Approve")</f>
        <v>0</v>
      </c>
      <c r="N163" s="7" t="n">
        <f aca="false">COUNTIFS(TestCases!$E$2:$E$328,$A163,TestCases!$Y$2:$Y$328,"Draft")</f>
        <v>0</v>
      </c>
      <c r="O163" s="7" t="n">
        <f aca="false">COUNTIFS(TestCases!$E$2:$E$328,$A163,TestCases!$Y$2:$Y$328,"Reject")</f>
        <v>1</v>
      </c>
      <c r="P163" s="7" t="str">
        <f aca="false">IF(M163=L163,"Approve",IF(O163=L163,"Reject","Draft"))</f>
        <v>Reject</v>
      </c>
    </row>
  </sheetData>
  <autoFilter ref="A1:P1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6"/>
    <col collapsed="false" customWidth="true" hidden="false" outlineLevel="0" max="3" min="3" style="1" width="13"/>
    <col collapsed="false" customWidth="true" hidden="false" outlineLevel="0" max="4" min="4" style="1" width="62"/>
    <col collapsed="false" customWidth="true" hidden="false" outlineLevel="0" max="5" min="5" style="1" width="12"/>
    <col collapsed="false" customWidth="true" hidden="false" outlineLevel="0" max="6" min="6" style="1" width="9"/>
    <col collapsed="false" customWidth="true" hidden="false" outlineLevel="0" max="7" min="7" style="1" width="11"/>
    <col collapsed="false" customWidth="true" hidden="false" outlineLevel="0" max="8" min="8" style="1" width="14"/>
    <col collapsed="false" customWidth="true" hidden="false" outlineLevel="0" max="9" min="9" style="1" width="26"/>
    <col collapsed="false" customWidth="true" hidden="false" outlineLevel="0" max="10" min="10" style="1" width="14"/>
    <col collapsed="false" customWidth="true" hidden="false" outlineLevel="0" max="11" min="11" style="1" width="48"/>
    <col collapsed="false" customWidth="true" hidden="false" outlineLevel="0" max="12" min="12" style="1" width="30"/>
    <col collapsed="false" customWidth="true" hidden="false" outlineLevel="0" max="13" min="13" style="1" width="24"/>
    <col collapsed="false" customWidth="true" hidden="false" outlineLevel="0" max="16" min="14" style="1" width="9"/>
  </cols>
  <sheetData>
    <row r="1" customFormat="false" ht="34.5" hidden="false" customHeight="true" outlineLevel="0" collapsed="false">
      <c r="A1" s="5" t="s">
        <v>3796</v>
      </c>
      <c r="B1" s="5" t="s">
        <v>3797</v>
      </c>
      <c r="C1" s="5" t="s">
        <v>105</v>
      </c>
      <c r="D1" s="5" t="s">
        <v>3798</v>
      </c>
      <c r="E1" s="5" t="s">
        <v>32</v>
      </c>
      <c r="F1" s="5" t="s">
        <v>106</v>
      </c>
      <c r="G1" s="5" t="s">
        <v>67</v>
      </c>
      <c r="H1" s="5" t="s">
        <v>3799</v>
      </c>
      <c r="I1" s="5" t="s">
        <v>3800</v>
      </c>
      <c r="J1" s="5" t="s">
        <v>3801</v>
      </c>
      <c r="K1" s="5" t="s">
        <v>3802</v>
      </c>
      <c r="L1" s="5" t="s">
        <v>3803</v>
      </c>
      <c r="M1" s="5" t="s">
        <v>3804</v>
      </c>
      <c r="N1" s="5" t="s">
        <v>7</v>
      </c>
      <c r="O1" s="5" t="s">
        <v>9</v>
      </c>
      <c r="P1" s="5" t="s">
        <v>11</v>
      </c>
    </row>
    <row r="2" customFormat="false" ht="15" hidden="false" customHeight="true" outlineLevel="0" collapsed="false">
      <c r="A2" s="7" t="s">
        <v>137</v>
      </c>
      <c r="B2" s="7" t="s">
        <v>3805</v>
      </c>
      <c r="C2" s="7" t="s">
        <v>124</v>
      </c>
      <c r="D2" s="6" t="s">
        <v>3806</v>
      </c>
      <c r="E2" s="7" t="s">
        <v>38</v>
      </c>
      <c r="F2" s="7" t="s">
        <v>99</v>
      </c>
      <c r="G2" s="7" t="s">
        <v>68</v>
      </c>
      <c r="H2" s="7" t="str">
        <f aca="false">IF(COUNTIFS(TestCases!$U$2:$U$328,$A2,TestCases!$Y$2:$Y$328,"&lt;&gt;Reject")&gt;0,"Yes","No")</f>
        <v>Yes</v>
      </c>
      <c r="I2" s="6" t="s">
        <v>3451</v>
      </c>
      <c r="J2" s="7" t="s">
        <v>7</v>
      </c>
      <c r="K2" s="6" t="s">
        <v>3807</v>
      </c>
      <c r="L2" s="6" t="s">
        <v>3808</v>
      </c>
      <c r="M2" s="6" t="s">
        <v>3809</v>
      </c>
      <c r="N2" s="7" t="n">
        <f aca="false">COUNTIFS(TestCases!$U$2:$U$328,$A2,TestCases!$Y$2:$Y$328,"Approve")</f>
        <v>1</v>
      </c>
      <c r="O2" s="7" t="n">
        <f aca="false">COUNTIFS(TestCases!$U$2:$U$328,$A2,TestCases!$Y$2:$Y$328,"Draft")</f>
        <v>1</v>
      </c>
      <c r="P2" s="7" t="n">
        <f aca="false">COUNTIFS(TestCases!$U$2:$U$328,$A2,TestCases!$Y$2:$Y$328,"Reject")</f>
        <v>0</v>
      </c>
    </row>
    <row r="3" customFormat="false" ht="23.25" hidden="false" customHeight="true" outlineLevel="0" collapsed="false">
      <c r="A3" s="7" t="s">
        <v>159</v>
      </c>
      <c r="B3" s="7" t="s">
        <v>3810</v>
      </c>
      <c r="C3" s="7" t="s">
        <v>149</v>
      </c>
      <c r="D3" s="6" t="s">
        <v>3811</v>
      </c>
      <c r="E3" s="7" t="s">
        <v>38</v>
      </c>
      <c r="F3" s="7" t="s">
        <v>99</v>
      </c>
      <c r="G3" s="7" t="s">
        <v>69</v>
      </c>
      <c r="H3" s="7" t="str">
        <f aca="false">IF(COUNTIFS(TestCases!$U$2:$U$328,$A3,TestCases!$Y$2:$Y$328,"&lt;&gt;Reject")&gt;0,"Yes","No")</f>
        <v>Yes</v>
      </c>
      <c r="I3" s="6" t="s">
        <v>146</v>
      </c>
      <c r="J3" s="7" t="s">
        <v>9</v>
      </c>
      <c r="K3" s="6" t="s">
        <v>3812</v>
      </c>
      <c r="L3" s="6" t="s">
        <v>3813</v>
      </c>
      <c r="M3" s="6" t="s">
        <v>138</v>
      </c>
      <c r="N3" s="7" t="n">
        <f aca="false">COUNTIFS(TestCases!$U$2:$U$328,$A3,TestCases!$Y$2:$Y$328,"Approve")</f>
        <v>1</v>
      </c>
      <c r="O3" s="7" t="n">
        <f aca="false">COUNTIFS(TestCases!$U$2:$U$328,$A3,TestCases!$Y$2:$Y$328,"Draft")</f>
        <v>1</v>
      </c>
      <c r="P3" s="7" t="n">
        <f aca="false">COUNTIFS(TestCases!$U$2:$U$328,$A3,TestCases!$Y$2:$Y$328,"Reject")</f>
        <v>0</v>
      </c>
    </row>
    <row r="4" customFormat="false" ht="23.25" hidden="false" customHeight="true" outlineLevel="0" collapsed="false">
      <c r="A4" s="7" t="s">
        <v>181</v>
      </c>
      <c r="B4" s="7" t="s">
        <v>3814</v>
      </c>
      <c r="C4" s="7" t="s">
        <v>170</v>
      </c>
      <c r="D4" s="6" t="s">
        <v>3815</v>
      </c>
      <c r="E4" s="7" t="s">
        <v>38</v>
      </c>
      <c r="F4" s="7" t="s">
        <v>99</v>
      </c>
      <c r="G4" s="7" t="s">
        <v>68</v>
      </c>
      <c r="H4" s="7" t="str">
        <f aca="false">IF(COUNTIFS(TestCases!$U$2:$U$328,$A4,TestCases!$Y$2:$Y$328,"&lt;&gt;Reject")&gt;0,"Yes","No")</f>
        <v>Yes</v>
      </c>
      <c r="I4" s="6" t="s">
        <v>138</v>
      </c>
      <c r="J4" s="7" t="s">
        <v>7</v>
      </c>
      <c r="K4" s="6" t="s">
        <v>3807</v>
      </c>
      <c r="L4" s="6" t="s">
        <v>169</v>
      </c>
      <c r="M4" s="6" t="s">
        <v>138</v>
      </c>
      <c r="N4" s="7" t="n">
        <f aca="false">COUNTIFS(TestCases!$U$2:$U$328,$A4,TestCases!$Y$2:$Y$328,"Approve")</f>
        <v>1</v>
      </c>
      <c r="O4" s="7" t="n">
        <f aca="false">COUNTIFS(TestCases!$U$2:$U$328,$A4,TestCases!$Y$2:$Y$328,"Draft")</f>
        <v>0</v>
      </c>
      <c r="P4" s="7" t="n">
        <f aca="false">COUNTIFS(TestCases!$U$2:$U$328,$A4,TestCases!$Y$2:$Y$328,"Reject")</f>
        <v>0</v>
      </c>
    </row>
    <row r="5" customFormat="false" ht="23.25" hidden="false" customHeight="true" outlineLevel="0" collapsed="false">
      <c r="A5" s="7" t="s">
        <v>194</v>
      </c>
      <c r="B5" s="7" t="s">
        <v>3816</v>
      </c>
      <c r="C5" s="7" t="s">
        <v>184</v>
      </c>
      <c r="D5" s="6" t="s">
        <v>3817</v>
      </c>
      <c r="E5" s="7" t="s">
        <v>38</v>
      </c>
      <c r="F5" s="7" t="s">
        <v>99</v>
      </c>
      <c r="G5" s="7" t="s">
        <v>68</v>
      </c>
      <c r="H5" s="7" t="str">
        <f aca="false">IF(COUNTIFS(TestCases!$U$2:$U$328,$A5,TestCases!$Y$2:$Y$328,"&lt;&gt;Reject")&gt;0,"Yes","No")</f>
        <v>Yes</v>
      </c>
      <c r="I5" s="6" t="s">
        <v>138</v>
      </c>
      <c r="J5" s="7" t="s">
        <v>7</v>
      </c>
      <c r="K5" s="6" t="s">
        <v>3807</v>
      </c>
      <c r="L5" s="6" t="s">
        <v>3818</v>
      </c>
      <c r="M5" s="6" t="s">
        <v>138</v>
      </c>
      <c r="N5" s="7" t="n">
        <f aca="false">COUNTIFS(TestCases!$U$2:$U$328,$A5,TestCases!$Y$2:$Y$328,"Approve")</f>
        <v>2</v>
      </c>
      <c r="O5" s="7" t="n">
        <f aca="false">COUNTIFS(TestCases!$U$2:$U$328,$A5,TestCases!$Y$2:$Y$328,"Draft")</f>
        <v>0</v>
      </c>
      <c r="P5" s="7" t="n">
        <f aca="false">COUNTIFS(TestCases!$U$2:$U$328,$A5,TestCases!$Y$2:$Y$328,"Reject")</f>
        <v>0</v>
      </c>
    </row>
    <row r="6" customFormat="false" ht="34.5" hidden="false" customHeight="true" outlineLevel="0" collapsed="false">
      <c r="A6" s="7" t="s">
        <v>213</v>
      </c>
      <c r="B6" s="7" t="s">
        <v>3819</v>
      </c>
      <c r="C6" s="7" t="s">
        <v>203</v>
      </c>
      <c r="D6" s="6" t="s">
        <v>3820</v>
      </c>
      <c r="E6" s="7" t="s">
        <v>39</v>
      </c>
      <c r="F6" s="7" t="s">
        <v>101</v>
      </c>
      <c r="G6" s="7" t="s">
        <v>68</v>
      </c>
      <c r="H6" s="7" t="str">
        <f aca="false">IF(COUNTIFS(TestCases!$U$2:$U$328,$A6,TestCases!$Y$2:$Y$328,"&lt;&gt;Reject")&gt;0,"Yes","No")</f>
        <v>Yes</v>
      </c>
      <c r="I6" s="6" t="s">
        <v>138</v>
      </c>
      <c r="J6" s="7" t="s">
        <v>7</v>
      </c>
      <c r="K6" s="6" t="s">
        <v>3807</v>
      </c>
      <c r="L6" s="6" t="s">
        <v>202</v>
      </c>
      <c r="M6" s="6" t="s">
        <v>138</v>
      </c>
      <c r="N6" s="7" t="n">
        <f aca="false">COUNTIFS(TestCases!$U$2:$U$328,$A6,TestCases!$Y$2:$Y$328,"Approve")</f>
        <v>1</v>
      </c>
      <c r="O6" s="7" t="n">
        <f aca="false">COUNTIFS(TestCases!$U$2:$U$328,$A6,TestCases!$Y$2:$Y$328,"Draft")</f>
        <v>0</v>
      </c>
      <c r="P6" s="7" t="n">
        <f aca="false">COUNTIFS(TestCases!$U$2:$U$328,$A6,TestCases!$Y$2:$Y$328,"Reject")</f>
        <v>0</v>
      </c>
    </row>
    <row r="7" customFormat="false" ht="23.25" hidden="false" customHeight="true" outlineLevel="0" collapsed="false">
      <c r="A7" s="7" t="s">
        <v>227</v>
      </c>
      <c r="B7" s="7" t="s">
        <v>3821</v>
      </c>
      <c r="C7" s="7" t="s">
        <v>216</v>
      </c>
      <c r="D7" s="6" t="s">
        <v>3822</v>
      </c>
      <c r="E7" s="7" t="s">
        <v>40</v>
      </c>
      <c r="F7" s="7" t="s">
        <v>99</v>
      </c>
      <c r="G7" s="7" t="s">
        <v>68</v>
      </c>
      <c r="H7" s="7" t="str">
        <f aca="false">IF(COUNTIFS(TestCases!$U$2:$U$328,$A7,TestCases!$Y$2:$Y$328,"&lt;&gt;Reject")&gt;0,"Yes","No")</f>
        <v>Yes</v>
      </c>
      <c r="I7" s="6" t="s">
        <v>138</v>
      </c>
      <c r="J7" s="7" t="s">
        <v>7</v>
      </c>
      <c r="K7" s="6" t="s">
        <v>3807</v>
      </c>
      <c r="L7" s="6" t="s">
        <v>3823</v>
      </c>
      <c r="M7" s="6" t="s">
        <v>138</v>
      </c>
      <c r="N7" s="7" t="n">
        <f aca="false">COUNTIFS(TestCases!$U$2:$U$328,$A7,TestCases!$Y$2:$Y$328,"Approve")</f>
        <v>2</v>
      </c>
      <c r="O7" s="7" t="n">
        <f aca="false">COUNTIFS(TestCases!$U$2:$U$328,$A7,TestCases!$Y$2:$Y$328,"Draft")</f>
        <v>0</v>
      </c>
      <c r="P7" s="7" t="n">
        <f aca="false">COUNTIFS(TestCases!$U$2:$U$328,$A7,TestCases!$Y$2:$Y$328,"Reject")</f>
        <v>0</v>
      </c>
    </row>
    <row r="8" customFormat="false" ht="15" hidden="false" customHeight="true" outlineLevel="0" collapsed="false">
      <c r="A8" s="7" t="s">
        <v>247</v>
      </c>
      <c r="B8" s="7" t="s">
        <v>3824</v>
      </c>
      <c r="C8" s="7" t="s">
        <v>237</v>
      </c>
      <c r="D8" s="6" t="s">
        <v>3825</v>
      </c>
      <c r="E8" s="7" t="s">
        <v>40</v>
      </c>
      <c r="F8" s="7" t="s">
        <v>99</v>
      </c>
      <c r="G8" s="7" t="s">
        <v>69</v>
      </c>
      <c r="H8" s="7" t="str">
        <f aca="false">IF(COUNTIFS(TestCases!$U$2:$U$328,$A8,TestCases!$Y$2:$Y$328,"&lt;&gt;Reject")&gt;0,"Yes","No")</f>
        <v>Yes</v>
      </c>
      <c r="I8" s="6" t="s">
        <v>248</v>
      </c>
      <c r="J8" s="7" t="s">
        <v>9</v>
      </c>
      <c r="K8" s="6" t="s">
        <v>3826</v>
      </c>
      <c r="L8" s="6" t="s">
        <v>3827</v>
      </c>
      <c r="M8" s="6" t="s">
        <v>3828</v>
      </c>
      <c r="N8" s="7" t="n">
        <f aca="false">COUNTIFS(TestCases!$U$2:$U$328,$A8,TestCases!$Y$2:$Y$328,"Approve")</f>
        <v>0</v>
      </c>
      <c r="O8" s="7" t="n">
        <f aca="false">COUNTIFS(TestCases!$U$2:$U$328,$A8,TestCases!$Y$2:$Y$328,"Draft")</f>
        <v>2</v>
      </c>
      <c r="P8" s="7" t="n">
        <f aca="false">COUNTIFS(TestCases!$U$2:$U$328,$A8,TestCases!$Y$2:$Y$328,"Reject")</f>
        <v>0</v>
      </c>
    </row>
    <row r="9" customFormat="false" ht="34.5" hidden="false" customHeight="true" outlineLevel="0" collapsed="false">
      <c r="A9" s="7" t="s">
        <v>270</v>
      </c>
      <c r="B9" s="7" t="s">
        <v>3829</v>
      </c>
      <c r="C9" s="7" t="s">
        <v>259</v>
      </c>
      <c r="D9" s="6" t="s">
        <v>3830</v>
      </c>
      <c r="E9" s="7" t="s">
        <v>40</v>
      </c>
      <c r="F9" s="7" t="s">
        <v>100</v>
      </c>
      <c r="G9" s="7" t="s">
        <v>69</v>
      </c>
      <c r="H9" s="7" t="str">
        <f aca="false">IF(COUNTIFS(TestCases!$U$2:$U$328,$A9,TestCases!$Y$2:$Y$328,"&lt;&gt;Reject")&gt;0,"Yes","No")</f>
        <v>Yes</v>
      </c>
      <c r="I9" s="6" t="s">
        <v>271</v>
      </c>
      <c r="J9" s="7" t="s">
        <v>9</v>
      </c>
      <c r="K9" s="6" t="s">
        <v>3831</v>
      </c>
      <c r="L9" s="6" t="s">
        <v>3832</v>
      </c>
      <c r="M9" s="6" t="s">
        <v>3833</v>
      </c>
      <c r="N9" s="7" t="n">
        <f aca="false">COUNTIFS(TestCases!$U$2:$U$328,$A9,TestCases!$Y$2:$Y$328,"Approve")</f>
        <v>0</v>
      </c>
      <c r="O9" s="7" t="n">
        <f aca="false">COUNTIFS(TestCases!$U$2:$U$328,$A9,TestCases!$Y$2:$Y$328,"Draft")</f>
        <v>5</v>
      </c>
      <c r="P9" s="7" t="n">
        <f aca="false">COUNTIFS(TestCases!$U$2:$U$328,$A9,TestCases!$Y$2:$Y$328,"Reject")</f>
        <v>0</v>
      </c>
    </row>
    <row r="10" customFormat="false" ht="15" hidden="false" customHeight="true" outlineLevel="0" collapsed="false">
      <c r="A10" s="7" t="s">
        <v>313</v>
      </c>
      <c r="B10" s="7" t="s">
        <v>3834</v>
      </c>
      <c r="C10" s="7" t="s">
        <v>303</v>
      </c>
      <c r="D10" s="6" t="s">
        <v>3835</v>
      </c>
      <c r="E10" s="7" t="s">
        <v>40</v>
      </c>
      <c r="F10" s="7" t="s">
        <v>100</v>
      </c>
      <c r="G10" s="7" t="s">
        <v>68</v>
      </c>
      <c r="H10" s="7" t="str">
        <f aca="false">IF(COUNTIFS(TestCases!$U$2:$U$328,$A10,TestCases!$Y$2:$Y$328,"&lt;&gt;Reject")&gt;0,"Yes","No")</f>
        <v>Yes</v>
      </c>
      <c r="I10" s="6" t="s">
        <v>138</v>
      </c>
      <c r="J10" s="7" t="s">
        <v>7</v>
      </c>
      <c r="K10" s="6" t="s">
        <v>3807</v>
      </c>
      <c r="L10" s="6" t="s">
        <v>3836</v>
      </c>
      <c r="M10" s="6" t="s">
        <v>138</v>
      </c>
      <c r="N10" s="7" t="n">
        <f aca="false">COUNTIFS(TestCases!$U$2:$U$328,$A10,TestCases!$Y$2:$Y$328,"Approve")</f>
        <v>2</v>
      </c>
      <c r="O10" s="7" t="n">
        <f aca="false">COUNTIFS(TestCases!$U$2:$U$328,$A10,TestCases!$Y$2:$Y$328,"Draft")</f>
        <v>0</v>
      </c>
      <c r="P10" s="7" t="n">
        <f aca="false">COUNTIFS(TestCases!$U$2:$U$328,$A10,TestCases!$Y$2:$Y$328,"Reject")</f>
        <v>0</v>
      </c>
    </row>
    <row r="11" customFormat="false" ht="23.25" hidden="false" customHeight="true" outlineLevel="0" collapsed="false">
      <c r="A11" s="7" t="s">
        <v>334</v>
      </c>
      <c r="B11" s="7" t="s">
        <v>3837</v>
      </c>
      <c r="C11" s="7" t="s">
        <v>324</v>
      </c>
      <c r="D11" s="6" t="s">
        <v>3838</v>
      </c>
      <c r="E11" s="7" t="s">
        <v>40</v>
      </c>
      <c r="F11" s="7" t="s">
        <v>101</v>
      </c>
      <c r="G11" s="7" t="s">
        <v>69</v>
      </c>
      <c r="H11" s="7" t="str">
        <f aca="false">IF(COUNTIFS(TestCases!$U$2:$U$328,$A11,TestCases!$Y$2:$Y$328,"&lt;&gt;Reject")&gt;0,"Yes","No")</f>
        <v>Yes</v>
      </c>
      <c r="I11" s="6" t="s">
        <v>271</v>
      </c>
      <c r="J11" s="7" t="s">
        <v>9</v>
      </c>
      <c r="K11" s="6" t="s">
        <v>3831</v>
      </c>
      <c r="L11" s="6" t="s">
        <v>3839</v>
      </c>
      <c r="M11" s="6" t="s">
        <v>138</v>
      </c>
      <c r="N11" s="7" t="n">
        <f aca="false">COUNTIFS(TestCases!$U$2:$U$328,$A11,TestCases!$Y$2:$Y$328,"Approve")</f>
        <v>0</v>
      </c>
      <c r="O11" s="7" t="n">
        <f aca="false">COUNTIFS(TestCases!$U$2:$U$328,$A11,TestCases!$Y$2:$Y$328,"Draft")</f>
        <v>2</v>
      </c>
      <c r="P11" s="7" t="n">
        <f aca="false">COUNTIFS(TestCases!$U$2:$U$328,$A11,TestCases!$Y$2:$Y$328,"Reject")</f>
        <v>0</v>
      </c>
    </row>
    <row r="12" customFormat="false" ht="34.5" hidden="false" customHeight="true" outlineLevel="0" collapsed="false">
      <c r="A12" s="7" t="s">
        <v>356</v>
      </c>
      <c r="B12" s="7" t="s">
        <v>3840</v>
      </c>
      <c r="C12" s="7" t="s">
        <v>345</v>
      </c>
      <c r="D12" s="6" t="s">
        <v>3841</v>
      </c>
      <c r="E12" s="7" t="s">
        <v>40</v>
      </c>
      <c r="F12" s="7" t="s">
        <v>346</v>
      </c>
      <c r="G12" s="7" t="s">
        <v>69</v>
      </c>
      <c r="H12" s="7" t="str">
        <f aca="false">IF(COUNTIFS(TestCases!$U$2:$U$328,$A12,TestCases!$Y$2:$Y$328,"&lt;&gt;Reject")&gt;0,"Yes","No")</f>
        <v>Yes</v>
      </c>
      <c r="I12" s="6" t="s">
        <v>382</v>
      </c>
      <c r="J12" s="7" t="s">
        <v>9</v>
      </c>
      <c r="K12" s="6" t="s">
        <v>3842</v>
      </c>
      <c r="L12" s="6" t="s">
        <v>3843</v>
      </c>
      <c r="M12" s="6" t="s">
        <v>3844</v>
      </c>
      <c r="N12" s="7" t="n">
        <f aca="false">COUNTIFS(TestCases!$U$2:$U$328,$A12,TestCases!$Y$2:$Y$328,"Approve")</f>
        <v>0</v>
      </c>
      <c r="O12" s="7" t="n">
        <f aca="false">COUNTIFS(TestCases!$U$2:$U$328,$A12,TestCases!$Y$2:$Y$328,"Draft")</f>
        <v>6</v>
      </c>
      <c r="P12" s="7" t="n">
        <f aca="false">COUNTIFS(TestCases!$U$2:$U$328,$A12,TestCases!$Y$2:$Y$328,"Reject")</f>
        <v>0</v>
      </c>
    </row>
    <row r="13" customFormat="false" ht="34.5" hidden="false" customHeight="true" outlineLevel="0" collapsed="false">
      <c r="A13" s="7" t="s">
        <v>410</v>
      </c>
      <c r="B13" s="7" t="s">
        <v>3845</v>
      </c>
      <c r="C13" s="7" t="s">
        <v>401</v>
      </c>
      <c r="D13" s="6" t="s">
        <v>3846</v>
      </c>
      <c r="E13" s="7" t="s">
        <v>40</v>
      </c>
      <c r="F13" s="7" t="s">
        <v>100</v>
      </c>
      <c r="G13" s="7" t="s">
        <v>69</v>
      </c>
      <c r="H13" s="7" t="str">
        <f aca="false">IF(COUNTIFS(TestCases!$U$2:$U$328,$A13,TestCases!$Y$2:$Y$328,"&lt;&gt;Reject")&gt;0,"Yes","No")</f>
        <v>Yes</v>
      </c>
      <c r="I13" s="6" t="s">
        <v>3474</v>
      </c>
      <c r="J13" s="7" t="s">
        <v>9</v>
      </c>
      <c r="K13" s="6" t="s">
        <v>3847</v>
      </c>
      <c r="L13" s="6" t="s">
        <v>3848</v>
      </c>
      <c r="M13" s="6" t="s">
        <v>3849</v>
      </c>
      <c r="N13" s="7" t="n">
        <f aca="false">COUNTIFS(TestCases!$U$2:$U$328,$A13,TestCases!$Y$2:$Y$328,"Approve")</f>
        <v>1</v>
      </c>
      <c r="O13" s="7" t="n">
        <f aca="false">COUNTIFS(TestCases!$U$2:$U$328,$A13,TestCases!$Y$2:$Y$328,"Draft")</f>
        <v>4</v>
      </c>
      <c r="P13" s="7" t="n">
        <f aca="false">COUNTIFS(TestCases!$U$2:$U$328,$A13,TestCases!$Y$2:$Y$328,"Reject")</f>
        <v>0</v>
      </c>
    </row>
    <row r="14" customFormat="false" ht="23.25" hidden="false" customHeight="true" outlineLevel="0" collapsed="false">
      <c r="A14" s="7" t="s">
        <v>457</v>
      </c>
      <c r="B14" s="7" t="s">
        <v>3850</v>
      </c>
      <c r="C14" s="7" t="s">
        <v>447</v>
      </c>
      <c r="D14" s="6" t="s">
        <v>3851</v>
      </c>
      <c r="E14" s="7" t="s">
        <v>40</v>
      </c>
      <c r="F14" s="7" t="s">
        <v>99</v>
      </c>
      <c r="G14" s="7" t="s">
        <v>69</v>
      </c>
      <c r="H14" s="7" t="str">
        <f aca="false">IF(COUNTIFS(TestCases!$U$2:$U$328,$A14,TestCases!$Y$2:$Y$328,"&lt;&gt;Reject")&gt;0,"Yes","No")</f>
        <v>Yes</v>
      </c>
      <c r="I14" s="6" t="s">
        <v>357</v>
      </c>
      <c r="J14" s="7" t="s">
        <v>9</v>
      </c>
      <c r="K14" s="6" t="s">
        <v>3852</v>
      </c>
      <c r="L14" s="6" t="s">
        <v>3853</v>
      </c>
      <c r="M14" s="6" t="s">
        <v>138</v>
      </c>
      <c r="N14" s="7" t="n">
        <f aca="false">COUNTIFS(TestCases!$U$2:$U$328,$A14,TestCases!$Y$2:$Y$328,"Approve")</f>
        <v>0</v>
      </c>
      <c r="O14" s="7" t="n">
        <f aca="false">COUNTIFS(TestCases!$U$2:$U$328,$A14,TestCases!$Y$2:$Y$328,"Draft")</f>
        <v>2</v>
      </c>
      <c r="P14" s="7" t="n">
        <f aca="false">COUNTIFS(TestCases!$U$2:$U$328,$A14,TestCases!$Y$2:$Y$328,"Reject")</f>
        <v>0</v>
      </c>
    </row>
    <row r="15" customFormat="false" ht="34.5" hidden="false" customHeight="true" outlineLevel="0" collapsed="false">
      <c r="A15" s="7" t="s">
        <v>479</v>
      </c>
      <c r="B15" s="7" t="s">
        <v>3854</v>
      </c>
      <c r="C15" s="7" t="s">
        <v>468</v>
      </c>
      <c r="D15" s="6" t="s">
        <v>3855</v>
      </c>
      <c r="E15" s="7" t="s">
        <v>40</v>
      </c>
      <c r="F15" s="7" t="s">
        <v>469</v>
      </c>
      <c r="G15" s="7" t="s">
        <v>69</v>
      </c>
      <c r="H15" s="7" t="str">
        <f aca="false">IF(COUNTIFS(TestCases!$U$2:$U$328,$A15,TestCases!$Y$2:$Y$328,"&lt;&gt;Reject")&gt;0,"Yes","No")</f>
        <v>Yes</v>
      </c>
      <c r="I15" s="6" t="s">
        <v>3479</v>
      </c>
      <c r="J15" s="7" t="s">
        <v>9</v>
      </c>
      <c r="K15" s="6" t="s">
        <v>3856</v>
      </c>
      <c r="L15" s="6" t="s">
        <v>3857</v>
      </c>
      <c r="M15" s="6" t="s">
        <v>3858</v>
      </c>
      <c r="N15" s="7" t="n">
        <f aca="false">COUNTIFS(TestCases!$U$2:$U$328,$A15,TestCases!$Y$2:$Y$328,"Approve")</f>
        <v>0</v>
      </c>
      <c r="O15" s="7" t="n">
        <f aca="false">COUNTIFS(TestCases!$U$2:$U$328,$A15,TestCases!$Y$2:$Y$328,"Draft")</f>
        <v>5</v>
      </c>
      <c r="P15" s="7" t="n">
        <f aca="false">COUNTIFS(TestCases!$U$2:$U$328,$A15,TestCases!$Y$2:$Y$328,"Reject")</f>
        <v>0</v>
      </c>
    </row>
    <row r="16" customFormat="false" ht="34.5" hidden="false" customHeight="true" outlineLevel="0" collapsed="false">
      <c r="A16" s="7" t="s">
        <v>527</v>
      </c>
      <c r="B16" s="7" t="s">
        <v>3859</v>
      </c>
      <c r="C16" s="7" t="s">
        <v>516</v>
      </c>
      <c r="D16" s="6" t="s">
        <v>3860</v>
      </c>
      <c r="E16" s="7" t="s">
        <v>40</v>
      </c>
      <c r="F16" s="7" t="s">
        <v>517</v>
      </c>
      <c r="G16" s="7" t="s">
        <v>69</v>
      </c>
      <c r="H16" s="7" t="str">
        <f aca="false">IF(COUNTIFS(TestCases!$U$2:$U$328,$A16,TestCases!$Y$2:$Y$328,"&lt;&gt;Reject")&gt;0,"Yes","No")</f>
        <v>Yes</v>
      </c>
      <c r="I16" s="6" t="s">
        <v>3482</v>
      </c>
      <c r="J16" s="7" t="s">
        <v>9</v>
      </c>
      <c r="K16" s="6" t="s">
        <v>3861</v>
      </c>
      <c r="L16" s="6" t="s">
        <v>3862</v>
      </c>
      <c r="M16" s="6" t="s">
        <v>3863</v>
      </c>
      <c r="N16" s="7" t="n">
        <f aca="false">COUNTIFS(TestCases!$U$2:$U$328,$A16,TestCases!$Y$2:$Y$328,"Approve")</f>
        <v>0</v>
      </c>
      <c r="O16" s="7" t="n">
        <f aca="false">COUNTIFS(TestCases!$U$2:$U$328,$A16,TestCases!$Y$2:$Y$328,"Draft")</f>
        <v>5</v>
      </c>
      <c r="P16" s="7" t="n">
        <f aca="false">COUNTIFS(TestCases!$U$2:$U$328,$A16,TestCases!$Y$2:$Y$328,"Reject")</f>
        <v>0</v>
      </c>
    </row>
    <row r="17" customFormat="false" ht="23.25" hidden="false" customHeight="true" outlineLevel="0" collapsed="false">
      <c r="A17" s="7" t="s">
        <v>573</v>
      </c>
      <c r="B17" s="7" t="s">
        <v>3864</v>
      </c>
      <c r="C17" s="7" t="s">
        <v>563</v>
      </c>
      <c r="D17" s="6" t="s">
        <v>3865</v>
      </c>
      <c r="E17" s="7" t="s">
        <v>40</v>
      </c>
      <c r="F17" s="7" t="s">
        <v>100</v>
      </c>
      <c r="G17" s="7" t="s">
        <v>69</v>
      </c>
      <c r="H17" s="7" t="str">
        <f aca="false">IF(COUNTIFS(TestCases!$U$2:$U$328,$A17,TestCases!$Y$2:$Y$328,"&lt;&gt;Reject")&gt;0,"Yes","No")</f>
        <v>Yes</v>
      </c>
      <c r="I17" s="6" t="s">
        <v>3485</v>
      </c>
      <c r="J17" s="7" t="s">
        <v>9</v>
      </c>
      <c r="K17" s="6" t="s">
        <v>3866</v>
      </c>
      <c r="L17" s="6" t="s">
        <v>3867</v>
      </c>
      <c r="M17" s="6" t="s">
        <v>3868</v>
      </c>
      <c r="N17" s="7" t="n">
        <f aca="false">COUNTIFS(TestCases!$U$2:$U$328,$A17,TestCases!$Y$2:$Y$328,"Approve")</f>
        <v>2</v>
      </c>
      <c r="O17" s="7" t="n">
        <f aca="false">COUNTIFS(TestCases!$U$2:$U$328,$A17,TestCases!$Y$2:$Y$328,"Draft")</f>
        <v>1</v>
      </c>
      <c r="P17" s="7" t="n">
        <f aca="false">COUNTIFS(TestCases!$U$2:$U$328,$A17,TestCases!$Y$2:$Y$328,"Reject")</f>
        <v>0</v>
      </c>
    </row>
    <row r="18" customFormat="false" ht="23.25" hidden="false" customHeight="true" outlineLevel="0" collapsed="false">
      <c r="A18" s="7" t="s">
        <v>599</v>
      </c>
      <c r="B18" s="7" t="s">
        <v>3869</v>
      </c>
      <c r="C18" s="7" t="s">
        <v>590</v>
      </c>
      <c r="D18" s="6" t="s">
        <v>3870</v>
      </c>
      <c r="E18" s="7" t="s">
        <v>40</v>
      </c>
      <c r="F18" s="7" t="s">
        <v>100</v>
      </c>
      <c r="G18" s="7" t="s">
        <v>69</v>
      </c>
      <c r="H18" s="7" t="str">
        <f aca="false">IF(COUNTIFS(TestCases!$U$2:$U$328,$A18,TestCases!$Y$2:$Y$328,"&lt;&gt;Reject")&gt;0,"Yes","No")</f>
        <v>Yes</v>
      </c>
      <c r="I18" s="6" t="s">
        <v>3488</v>
      </c>
      <c r="J18" s="7" t="s">
        <v>9</v>
      </c>
      <c r="K18" s="6" t="s">
        <v>3871</v>
      </c>
      <c r="L18" s="6" t="s">
        <v>3872</v>
      </c>
      <c r="M18" s="6" t="s">
        <v>3873</v>
      </c>
      <c r="N18" s="7" t="n">
        <f aca="false">COUNTIFS(TestCases!$U$2:$U$328,$A18,TestCases!$Y$2:$Y$328,"Approve")</f>
        <v>0</v>
      </c>
      <c r="O18" s="7" t="n">
        <f aca="false">COUNTIFS(TestCases!$U$2:$U$328,$A18,TestCases!$Y$2:$Y$328,"Draft")</f>
        <v>3</v>
      </c>
      <c r="P18" s="7" t="n">
        <f aca="false">COUNTIFS(TestCases!$U$2:$U$328,$A18,TestCases!$Y$2:$Y$328,"Reject")</f>
        <v>0</v>
      </c>
    </row>
    <row r="19" customFormat="false" ht="23.25" hidden="false" customHeight="true" outlineLevel="0" collapsed="false">
      <c r="A19" s="7" t="s">
        <v>628</v>
      </c>
      <c r="B19" s="7" t="s">
        <v>3874</v>
      </c>
      <c r="C19" s="7" t="s">
        <v>619</v>
      </c>
      <c r="D19" s="6" t="s">
        <v>3875</v>
      </c>
      <c r="E19" s="7" t="s">
        <v>40</v>
      </c>
      <c r="F19" s="7" t="s">
        <v>469</v>
      </c>
      <c r="G19" s="7" t="s">
        <v>69</v>
      </c>
      <c r="H19" s="7" t="str">
        <f aca="false">IF(COUNTIFS(TestCases!$U$2:$U$328,$A19,TestCases!$Y$2:$Y$328,"&lt;&gt;Reject")&gt;0,"Yes","No")</f>
        <v>Yes</v>
      </c>
      <c r="I19" s="6" t="s">
        <v>651</v>
      </c>
      <c r="J19" s="7" t="s">
        <v>9</v>
      </c>
      <c r="K19" s="6" t="s">
        <v>3876</v>
      </c>
      <c r="L19" s="6" t="s">
        <v>3877</v>
      </c>
      <c r="M19" s="6" t="s">
        <v>3878</v>
      </c>
      <c r="N19" s="7" t="n">
        <f aca="false">COUNTIFS(TestCases!$U$2:$U$328,$A19,TestCases!$Y$2:$Y$328,"Approve")</f>
        <v>2</v>
      </c>
      <c r="O19" s="7" t="n">
        <f aca="false">COUNTIFS(TestCases!$U$2:$U$328,$A19,TestCases!$Y$2:$Y$328,"Draft")</f>
        <v>2</v>
      </c>
      <c r="P19" s="7" t="n">
        <f aca="false">COUNTIFS(TestCases!$U$2:$U$328,$A19,TestCases!$Y$2:$Y$328,"Reject")</f>
        <v>0</v>
      </c>
    </row>
    <row r="20" customFormat="false" ht="23.25" hidden="false" customHeight="true" outlineLevel="0" collapsed="false">
      <c r="A20" s="7" t="s">
        <v>664</v>
      </c>
      <c r="B20" s="7" t="s">
        <v>3879</v>
      </c>
      <c r="C20" s="7" t="s">
        <v>654</v>
      </c>
      <c r="D20" s="6" t="s">
        <v>3880</v>
      </c>
      <c r="E20" s="7" t="s">
        <v>40</v>
      </c>
      <c r="F20" s="7" t="s">
        <v>36</v>
      </c>
      <c r="G20" s="7" t="s">
        <v>70</v>
      </c>
      <c r="H20" s="7" t="str">
        <f aca="false">IF(COUNTIFS(TestCases!$U$2:$U$328,$A20,TestCases!$Y$2:$Y$328,"&lt;&gt;Reject")&gt;0,"Yes","No")</f>
        <v>Yes</v>
      </c>
      <c r="I20" s="6" t="s">
        <v>3493</v>
      </c>
      <c r="J20" s="7" t="s">
        <v>9</v>
      </c>
      <c r="K20" s="6" t="s">
        <v>3881</v>
      </c>
      <c r="L20" s="6" t="s">
        <v>3882</v>
      </c>
      <c r="M20" s="6" t="s">
        <v>3883</v>
      </c>
      <c r="N20" s="7" t="n">
        <f aca="false">COUNTIFS(TestCases!$U$2:$U$328,$A20,TestCases!$Y$2:$Y$328,"Approve")</f>
        <v>1</v>
      </c>
      <c r="O20" s="7" t="n">
        <f aca="false">COUNTIFS(TestCases!$U$2:$U$328,$A20,TestCases!$Y$2:$Y$328,"Draft")</f>
        <v>2</v>
      </c>
      <c r="P20" s="7" t="n">
        <f aca="false">COUNTIFS(TestCases!$U$2:$U$328,$A20,TestCases!$Y$2:$Y$328,"Reject")</f>
        <v>1</v>
      </c>
    </row>
    <row r="21" customFormat="false" ht="23.25" hidden="false" customHeight="true" outlineLevel="0" collapsed="false">
      <c r="A21" s="7" t="s">
        <v>699</v>
      </c>
      <c r="B21" s="7" t="s">
        <v>3884</v>
      </c>
      <c r="C21" s="7" t="s">
        <v>689</v>
      </c>
      <c r="D21" s="6" t="s">
        <v>3885</v>
      </c>
      <c r="E21" s="7" t="s">
        <v>40</v>
      </c>
      <c r="F21" s="7" t="s">
        <v>100</v>
      </c>
      <c r="G21" s="7" t="s">
        <v>69</v>
      </c>
      <c r="H21" s="7" t="str">
        <f aca="false">IF(COUNTIFS(TestCases!$U$2:$U$328,$A21,TestCases!$Y$2:$Y$328,"&lt;&gt;Reject")&gt;0,"Yes","No")</f>
        <v>Yes</v>
      </c>
      <c r="I21" s="6" t="s">
        <v>700</v>
      </c>
      <c r="J21" s="7" t="s">
        <v>9</v>
      </c>
      <c r="K21" s="6" t="s">
        <v>3886</v>
      </c>
      <c r="L21" s="6" t="s">
        <v>3887</v>
      </c>
      <c r="M21" s="6" t="s">
        <v>138</v>
      </c>
      <c r="N21" s="7" t="n">
        <f aca="false">COUNTIFS(TestCases!$U$2:$U$328,$A21,TestCases!$Y$2:$Y$328,"Approve")</f>
        <v>0</v>
      </c>
      <c r="O21" s="7" t="n">
        <f aca="false">COUNTIFS(TestCases!$U$2:$U$328,$A21,TestCases!$Y$2:$Y$328,"Draft")</f>
        <v>2</v>
      </c>
      <c r="P21" s="7" t="n">
        <f aca="false">COUNTIFS(TestCases!$U$2:$U$328,$A21,TestCases!$Y$2:$Y$328,"Reject")</f>
        <v>0</v>
      </c>
    </row>
    <row r="22" customFormat="false" ht="34.5" hidden="false" customHeight="true" outlineLevel="0" collapsed="false">
      <c r="A22" s="7" t="s">
        <v>720</v>
      </c>
      <c r="B22" s="7" t="s">
        <v>3888</v>
      </c>
      <c r="C22" s="7" t="s">
        <v>710</v>
      </c>
      <c r="D22" s="6" t="s">
        <v>3889</v>
      </c>
      <c r="E22" s="7" t="s">
        <v>40</v>
      </c>
      <c r="F22" s="7" t="s">
        <v>100</v>
      </c>
      <c r="G22" s="7" t="s">
        <v>69</v>
      </c>
      <c r="H22" s="7" t="str">
        <f aca="false">IF(COUNTIFS(TestCases!$U$2:$U$328,$A22,TestCases!$Y$2:$Y$328,"&lt;&gt;Reject")&gt;0,"Yes","No")</f>
        <v>Yes</v>
      </c>
      <c r="I22" s="6" t="s">
        <v>3498</v>
      </c>
      <c r="J22" s="7" t="s">
        <v>9</v>
      </c>
      <c r="K22" s="6" t="s">
        <v>3890</v>
      </c>
      <c r="L22" s="6" t="s">
        <v>3891</v>
      </c>
      <c r="M22" s="6" t="s">
        <v>3892</v>
      </c>
      <c r="N22" s="7" t="n">
        <f aca="false">COUNTIFS(TestCases!$U$2:$U$328,$A22,TestCases!$Y$2:$Y$328,"Approve")</f>
        <v>0</v>
      </c>
      <c r="O22" s="7" t="n">
        <f aca="false">COUNTIFS(TestCases!$U$2:$U$328,$A22,TestCases!$Y$2:$Y$328,"Draft")</f>
        <v>4</v>
      </c>
      <c r="P22" s="7" t="n">
        <f aca="false">COUNTIFS(TestCases!$U$2:$U$328,$A22,TestCases!$Y$2:$Y$328,"Reject")</f>
        <v>0</v>
      </c>
    </row>
    <row r="23" customFormat="false" ht="15" hidden="false" customHeight="true" outlineLevel="0" collapsed="false">
      <c r="A23" s="7" t="s">
        <v>758</v>
      </c>
      <c r="B23" s="7" t="s">
        <v>3893</v>
      </c>
      <c r="C23" s="7" t="s">
        <v>748</v>
      </c>
      <c r="D23" s="6" t="s">
        <v>3894</v>
      </c>
      <c r="E23" s="7" t="s">
        <v>40</v>
      </c>
      <c r="F23" s="7" t="s">
        <v>100</v>
      </c>
      <c r="G23" s="7" t="s">
        <v>68</v>
      </c>
      <c r="H23" s="7" t="str">
        <f aca="false">IF(COUNTIFS(TestCases!$U$2:$U$328,$A23,TestCases!$Y$2:$Y$328,"&lt;&gt;Reject")&gt;0,"Yes","No")</f>
        <v>Yes</v>
      </c>
      <c r="I23" s="6" t="s">
        <v>138</v>
      </c>
      <c r="J23" s="7" t="s">
        <v>7</v>
      </c>
      <c r="K23" s="6" t="s">
        <v>3807</v>
      </c>
      <c r="L23" s="6" t="s">
        <v>3895</v>
      </c>
      <c r="M23" s="6" t="s">
        <v>138</v>
      </c>
      <c r="N23" s="7" t="n">
        <f aca="false">COUNTIFS(TestCases!$U$2:$U$328,$A23,TestCases!$Y$2:$Y$328,"Approve")</f>
        <v>2</v>
      </c>
      <c r="O23" s="7" t="n">
        <f aca="false">COUNTIFS(TestCases!$U$2:$U$328,$A23,TestCases!$Y$2:$Y$328,"Draft")</f>
        <v>0</v>
      </c>
      <c r="P23" s="7" t="n">
        <f aca="false">COUNTIFS(TestCases!$U$2:$U$328,$A23,TestCases!$Y$2:$Y$328,"Reject")</f>
        <v>0</v>
      </c>
    </row>
    <row r="24" customFormat="false" ht="23.25" hidden="false" customHeight="true" outlineLevel="0" collapsed="false">
      <c r="A24" s="7" t="s">
        <v>778</v>
      </c>
      <c r="B24" s="7" t="s">
        <v>3896</v>
      </c>
      <c r="C24" s="7" t="s">
        <v>768</v>
      </c>
      <c r="D24" s="6" t="s">
        <v>3897</v>
      </c>
      <c r="E24" s="7" t="s">
        <v>40</v>
      </c>
      <c r="F24" s="7" t="s">
        <v>469</v>
      </c>
      <c r="G24" s="7" t="s">
        <v>69</v>
      </c>
      <c r="H24" s="7" t="str">
        <f aca="false">IF(COUNTIFS(TestCases!$U$2:$U$328,$A24,TestCases!$Y$2:$Y$328,"&lt;&gt;Reject")&gt;0,"Yes","No")</f>
        <v>Yes</v>
      </c>
      <c r="I24" s="6" t="s">
        <v>787</v>
      </c>
      <c r="J24" s="7" t="s">
        <v>9</v>
      </c>
      <c r="K24" s="6" t="s">
        <v>3898</v>
      </c>
      <c r="L24" s="6" t="s">
        <v>3899</v>
      </c>
      <c r="M24" s="6" t="s">
        <v>3900</v>
      </c>
      <c r="N24" s="7" t="n">
        <f aca="false">COUNTIFS(TestCases!$U$2:$U$328,$A24,TestCases!$Y$2:$Y$328,"Approve")</f>
        <v>1</v>
      </c>
      <c r="O24" s="7" t="n">
        <f aca="false">COUNTIFS(TestCases!$U$2:$U$328,$A24,TestCases!$Y$2:$Y$328,"Draft")</f>
        <v>2</v>
      </c>
      <c r="P24" s="7" t="n">
        <f aca="false">COUNTIFS(TestCases!$U$2:$U$328,$A24,TestCases!$Y$2:$Y$328,"Reject")</f>
        <v>0</v>
      </c>
    </row>
    <row r="25" customFormat="false" ht="23.25" hidden="false" customHeight="true" outlineLevel="0" collapsed="false">
      <c r="A25" s="7" t="s">
        <v>808</v>
      </c>
      <c r="B25" s="7" t="s">
        <v>3901</v>
      </c>
      <c r="C25" s="7" t="s">
        <v>798</v>
      </c>
      <c r="D25" s="6" t="s">
        <v>3902</v>
      </c>
      <c r="E25" s="7" t="s">
        <v>39</v>
      </c>
      <c r="F25" s="7" t="s">
        <v>101</v>
      </c>
      <c r="G25" s="7" t="s">
        <v>69</v>
      </c>
      <c r="H25" s="7" t="str">
        <f aca="false">IF(COUNTIFS(TestCases!$U$2:$U$328,$A25,TestCases!$Y$2:$Y$328,"&lt;&gt;Reject")&gt;0,"Yes","No")</f>
        <v>Yes</v>
      </c>
      <c r="I25" s="6" t="s">
        <v>809</v>
      </c>
      <c r="J25" s="7" t="s">
        <v>9</v>
      </c>
      <c r="K25" s="6" t="s">
        <v>3903</v>
      </c>
      <c r="L25" s="6" t="s">
        <v>3904</v>
      </c>
      <c r="M25" s="6" t="s">
        <v>138</v>
      </c>
      <c r="N25" s="7" t="n">
        <f aca="false">COUNTIFS(TestCases!$U$2:$U$328,$A25,TestCases!$Y$2:$Y$328,"Approve")</f>
        <v>0</v>
      </c>
      <c r="O25" s="7" t="n">
        <f aca="false">COUNTIFS(TestCases!$U$2:$U$328,$A25,TestCases!$Y$2:$Y$328,"Draft")</f>
        <v>2</v>
      </c>
      <c r="P25" s="7" t="n">
        <f aca="false">COUNTIFS(TestCases!$U$2:$U$328,$A25,TestCases!$Y$2:$Y$328,"Reject")</f>
        <v>0</v>
      </c>
    </row>
    <row r="26" customFormat="false" ht="23.25" hidden="false" customHeight="true" outlineLevel="0" collapsed="false">
      <c r="A26" s="7" t="s">
        <v>830</v>
      </c>
      <c r="B26" s="7" t="s">
        <v>3905</v>
      </c>
      <c r="C26" s="7" t="s">
        <v>820</v>
      </c>
      <c r="D26" s="6" t="s">
        <v>3906</v>
      </c>
      <c r="E26" s="7" t="s">
        <v>39</v>
      </c>
      <c r="F26" s="7" t="s">
        <v>101</v>
      </c>
      <c r="G26" s="7" t="s">
        <v>69</v>
      </c>
      <c r="H26" s="7" t="str">
        <f aca="false">IF(COUNTIFS(TestCases!$U$2:$U$328,$A26,TestCases!$Y$2:$Y$328,"&lt;&gt;Reject")&gt;0,"Yes","No")</f>
        <v>Yes</v>
      </c>
      <c r="I26" s="6" t="s">
        <v>809</v>
      </c>
      <c r="J26" s="7" t="s">
        <v>9</v>
      </c>
      <c r="K26" s="6" t="s">
        <v>3903</v>
      </c>
      <c r="L26" s="6" t="s">
        <v>3907</v>
      </c>
      <c r="M26" s="6" t="s">
        <v>3908</v>
      </c>
      <c r="N26" s="7" t="n">
        <f aca="false">COUNTIFS(TestCases!$U$2:$U$328,$A26,TestCases!$Y$2:$Y$328,"Approve")</f>
        <v>0</v>
      </c>
      <c r="O26" s="7" t="n">
        <f aca="false">COUNTIFS(TestCases!$U$2:$U$328,$A26,TestCases!$Y$2:$Y$328,"Draft")</f>
        <v>2</v>
      </c>
      <c r="P26" s="7" t="n">
        <f aca="false">COUNTIFS(TestCases!$U$2:$U$328,$A26,TestCases!$Y$2:$Y$328,"Reject")</f>
        <v>0</v>
      </c>
    </row>
    <row r="27" customFormat="false" ht="15" hidden="false" customHeight="true" outlineLevel="0" collapsed="false">
      <c r="A27" s="7" t="s">
        <v>851</v>
      </c>
      <c r="B27" s="7" t="s">
        <v>3909</v>
      </c>
      <c r="C27" s="7" t="s">
        <v>841</v>
      </c>
      <c r="D27" s="6" t="s">
        <v>3910</v>
      </c>
      <c r="E27" s="7" t="s">
        <v>39</v>
      </c>
      <c r="F27" s="7" t="s">
        <v>101</v>
      </c>
      <c r="G27" s="7" t="s">
        <v>69</v>
      </c>
      <c r="H27" s="7" t="str">
        <f aca="false">IF(COUNTIFS(TestCases!$U$2:$U$328,$A27,TestCases!$Y$2:$Y$328,"&lt;&gt;Reject")&gt;0,"Yes","No")</f>
        <v>Yes</v>
      </c>
      <c r="I27" s="6" t="s">
        <v>852</v>
      </c>
      <c r="J27" s="7" t="s">
        <v>9</v>
      </c>
      <c r="K27" s="6" t="s">
        <v>3911</v>
      </c>
      <c r="L27" s="6" t="s">
        <v>840</v>
      </c>
      <c r="M27" s="6" t="s">
        <v>138</v>
      </c>
      <c r="N27" s="7" t="n">
        <f aca="false">COUNTIFS(TestCases!$U$2:$U$328,$A27,TestCases!$Y$2:$Y$328,"Approve")</f>
        <v>0</v>
      </c>
      <c r="O27" s="7" t="n">
        <f aca="false">COUNTIFS(TestCases!$U$2:$U$328,$A27,TestCases!$Y$2:$Y$328,"Draft")</f>
        <v>1</v>
      </c>
      <c r="P27" s="7" t="n">
        <f aca="false">COUNTIFS(TestCases!$U$2:$U$328,$A27,TestCases!$Y$2:$Y$328,"Reject")</f>
        <v>0</v>
      </c>
    </row>
    <row r="28" customFormat="false" ht="23.25" hidden="false" customHeight="true" outlineLevel="0" collapsed="false">
      <c r="A28" s="7" t="s">
        <v>865</v>
      </c>
      <c r="B28" s="7" t="s">
        <v>3912</v>
      </c>
      <c r="C28" s="7" t="s">
        <v>855</v>
      </c>
      <c r="D28" s="6" t="s">
        <v>3913</v>
      </c>
      <c r="E28" s="7" t="s">
        <v>39</v>
      </c>
      <c r="F28" s="7" t="s">
        <v>101</v>
      </c>
      <c r="G28" s="7" t="s">
        <v>68</v>
      </c>
      <c r="H28" s="7" t="str">
        <f aca="false">IF(COUNTIFS(TestCases!$U$2:$U$328,$A28,TestCases!$Y$2:$Y$328,"&lt;&gt;Reject")&gt;0,"Yes","No")</f>
        <v>Yes</v>
      </c>
      <c r="I28" s="6" t="s">
        <v>138</v>
      </c>
      <c r="J28" s="7" t="s">
        <v>7</v>
      </c>
      <c r="K28" s="6" t="s">
        <v>3807</v>
      </c>
      <c r="L28" s="6" t="s">
        <v>854</v>
      </c>
      <c r="M28" s="6" t="s">
        <v>138</v>
      </c>
      <c r="N28" s="7" t="n">
        <f aca="false">COUNTIFS(TestCases!$U$2:$U$328,$A28,TestCases!$Y$2:$Y$328,"Approve")</f>
        <v>1</v>
      </c>
      <c r="O28" s="7" t="n">
        <f aca="false">COUNTIFS(TestCases!$U$2:$U$328,$A28,TestCases!$Y$2:$Y$328,"Draft")</f>
        <v>0</v>
      </c>
      <c r="P28" s="7" t="n">
        <f aca="false">COUNTIFS(TestCases!$U$2:$U$328,$A28,TestCases!$Y$2:$Y$328,"Reject")</f>
        <v>0</v>
      </c>
    </row>
    <row r="29" customFormat="false" ht="23.25" hidden="false" customHeight="true" outlineLevel="0" collapsed="false">
      <c r="A29" s="7" t="s">
        <v>878</v>
      </c>
      <c r="B29" s="7" t="s">
        <v>3914</v>
      </c>
      <c r="C29" s="7" t="s">
        <v>868</v>
      </c>
      <c r="D29" s="6" t="s">
        <v>3915</v>
      </c>
      <c r="E29" s="7" t="s">
        <v>39</v>
      </c>
      <c r="F29" s="7" t="s">
        <v>101</v>
      </c>
      <c r="G29" s="7" t="s">
        <v>69</v>
      </c>
      <c r="H29" s="7" t="str">
        <f aca="false">IF(COUNTIFS(TestCases!$U$2:$U$328,$A29,TestCases!$Y$2:$Y$328,"&lt;&gt;Reject")&gt;0,"Yes","No")</f>
        <v>Yes</v>
      </c>
      <c r="I29" s="6" t="s">
        <v>3513</v>
      </c>
      <c r="J29" s="7" t="s">
        <v>9</v>
      </c>
      <c r="K29" s="6" t="s">
        <v>3916</v>
      </c>
      <c r="L29" s="6" t="s">
        <v>3917</v>
      </c>
      <c r="M29" s="6" t="s">
        <v>3918</v>
      </c>
      <c r="N29" s="7" t="n">
        <f aca="false">COUNTIFS(TestCases!$U$2:$U$328,$A29,TestCases!$Y$2:$Y$328,"Approve")</f>
        <v>1</v>
      </c>
      <c r="O29" s="7" t="n">
        <f aca="false">COUNTIFS(TestCases!$U$2:$U$328,$A29,TestCases!$Y$2:$Y$328,"Draft")</f>
        <v>3</v>
      </c>
      <c r="P29" s="7" t="n">
        <f aca="false">COUNTIFS(TestCases!$U$2:$U$328,$A29,TestCases!$Y$2:$Y$328,"Reject")</f>
        <v>0</v>
      </c>
    </row>
    <row r="30" customFormat="false" ht="23.25" hidden="false" customHeight="true" outlineLevel="0" collapsed="false">
      <c r="A30" s="7" t="s">
        <v>912</v>
      </c>
      <c r="B30" s="7" t="s">
        <v>3919</v>
      </c>
      <c r="C30" s="7" t="s">
        <v>903</v>
      </c>
      <c r="D30" s="6" t="s">
        <v>3920</v>
      </c>
      <c r="E30" s="7" t="s">
        <v>39</v>
      </c>
      <c r="F30" s="7" t="s">
        <v>101</v>
      </c>
      <c r="G30" s="7" t="s">
        <v>69</v>
      </c>
      <c r="H30" s="7" t="str">
        <f aca="false">IF(COUNTIFS(TestCases!$U$2:$U$328,$A30,TestCases!$Y$2:$Y$328,"&lt;&gt;Reject")&gt;0,"Yes","No")</f>
        <v>Yes</v>
      </c>
      <c r="I30" s="6" t="s">
        <v>913</v>
      </c>
      <c r="J30" s="7" t="s">
        <v>9</v>
      </c>
      <c r="K30" s="6" t="s">
        <v>3921</v>
      </c>
      <c r="L30" s="6" t="s">
        <v>3922</v>
      </c>
      <c r="M30" s="6" t="s">
        <v>3923</v>
      </c>
      <c r="N30" s="7" t="n">
        <f aca="false">COUNTIFS(TestCases!$U$2:$U$328,$A30,TestCases!$Y$2:$Y$328,"Approve")</f>
        <v>0</v>
      </c>
      <c r="O30" s="7" t="n">
        <f aca="false">COUNTIFS(TestCases!$U$2:$U$328,$A30,TestCases!$Y$2:$Y$328,"Draft")</f>
        <v>2</v>
      </c>
      <c r="P30" s="7" t="n">
        <f aca="false">COUNTIFS(TestCases!$U$2:$U$328,$A30,TestCases!$Y$2:$Y$328,"Reject")</f>
        <v>0</v>
      </c>
    </row>
    <row r="31" customFormat="false" ht="23.25" hidden="false" customHeight="true" outlineLevel="0" collapsed="false">
      <c r="A31" s="7" t="s">
        <v>932</v>
      </c>
      <c r="B31" s="7" t="s">
        <v>3924</v>
      </c>
      <c r="C31" s="7" t="s">
        <v>923</v>
      </c>
      <c r="D31" s="6" t="s">
        <v>3925</v>
      </c>
      <c r="E31" s="7" t="s">
        <v>39</v>
      </c>
      <c r="F31" s="7" t="s">
        <v>101</v>
      </c>
      <c r="G31" s="7" t="s">
        <v>69</v>
      </c>
      <c r="H31" s="7" t="str">
        <f aca="false">IF(COUNTIFS(TestCases!$U$2:$U$328,$A31,TestCases!$Y$2:$Y$328,"&lt;&gt;Reject")&gt;0,"Yes","No")</f>
        <v>Yes</v>
      </c>
      <c r="I31" s="6" t="s">
        <v>933</v>
      </c>
      <c r="J31" s="7" t="s">
        <v>9</v>
      </c>
      <c r="K31" s="6" t="s">
        <v>3926</v>
      </c>
      <c r="L31" s="6" t="s">
        <v>3927</v>
      </c>
      <c r="M31" s="6" t="s">
        <v>138</v>
      </c>
      <c r="N31" s="7" t="n">
        <f aca="false">COUNTIFS(TestCases!$U$2:$U$328,$A31,TestCases!$Y$2:$Y$328,"Approve")</f>
        <v>0</v>
      </c>
      <c r="O31" s="7" t="n">
        <f aca="false">COUNTIFS(TestCases!$U$2:$U$328,$A31,TestCases!$Y$2:$Y$328,"Draft")</f>
        <v>2</v>
      </c>
      <c r="P31" s="7" t="n">
        <f aca="false">COUNTIFS(TestCases!$U$2:$U$328,$A31,TestCases!$Y$2:$Y$328,"Reject")</f>
        <v>0</v>
      </c>
    </row>
    <row r="32" customFormat="false" ht="23.25" hidden="false" customHeight="true" outlineLevel="0" collapsed="false">
      <c r="A32" s="7" t="s">
        <v>953</v>
      </c>
      <c r="B32" s="7" t="s">
        <v>3928</v>
      </c>
      <c r="C32" s="7" t="s">
        <v>943</v>
      </c>
      <c r="D32" s="6" t="s">
        <v>3929</v>
      </c>
      <c r="E32" s="7" t="s">
        <v>39</v>
      </c>
      <c r="F32" s="7" t="s">
        <v>101</v>
      </c>
      <c r="G32" s="7" t="s">
        <v>68</v>
      </c>
      <c r="H32" s="7" t="str">
        <f aca="false">IF(COUNTIFS(TestCases!$U$2:$U$328,$A32,TestCases!$Y$2:$Y$328,"&lt;&gt;Reject")&gt;0,"Yes","No")</f>
        <v>Yes</v>
      </c>
      <c r="I32" s="6" t="s">
        <v>138</v>
      </c>
      <c r="J32" s="7" t="s">
        <v>7</v>
      </c>
      <c r="K32" s="6" t="s">
        <v>3807</v>
      </c>
      <c r="L32" s="6" t="s">
        <v>942</v>
      </c>
      <c r="M32" s="6" t="s">
        <v>3930</v>
      </c>
      <c r="N32" s="7" t="n">
        <f aca="false">COUNTIFS(TestCases!$U$2:$U$328,$A32,TestCases!$Y$2:$Y$328,"Approve")</f>
        <v>1</v>
      </c>
      <c r="O32" s="7" t="n">
        <f aca="false">COUNTIFS(TestCases!$U$2:$U$328,$A32,TestCases!$Y$2:$Y$328,"Draft")</f>
        <v>0</v>
      </c>
      <c r="P32" s="7" t="n">
        <f aca="false">COUNTIFS(TestCases!$U$2:$U$328,$A32,TestCases!$Y$2:$Y$328,"Reject")</f>
        <v>0</v>
      </c>
    </row>
    <row r="33" customFormat="false" ht="23.25" hidden="false" customHeight="true" outlineLevel="0" collapsed="false">
      <c r="A33" s="7" t="s">
        <v>965</v>
      </c>
      <c r="B33" s="7" t="s">
        <v>3931</v>
      </c>
      <c r="C33" s="7" t="s">
        <v>956</v>
      </c>
      <c r="D33" s="6" t="s">
        <v>3932</v>
      </c>
      <c r="E33" s="7" t="s">
        <v>39</v>
      </c>
      <c r="F33" s="7" t="s">
        <v>101</v>
      </c>
      <c r="G33" s="7" t="s">
        <v>69</v>
      </c>
      <c r="H33" s="7" t="str">
        <f aca="false">IF(COUNTIFS(TestCases!$U$2:$U$328,$A33,TestCases!$Y$2:$Y$328,"&lt;&gt;Reject")&gt;0,"Yes","No")</f>
        <v>Yes</v>
      </c>
      <c r="I33" s="6" t="s">
        <v>966</v>
      </c>
      <c r="J33" s="7" t="s">
        <v>9</v>
      </c>
      <c r="K33" s="6" t="s">
        <v>3933</v>
      </c>
      <c r="L33" s="6" t="s">
        <v>955</v>
      </c>
      <c r="M33" s="6" t="s">
        <v>138</v>
      </c>
      <c r="N33" s="7" t="n">
        <f aca="false">COUNTIFS(TestCases!$U$2:$U$328,$A33,TestCases!$Y$2:$Y$328,"Approve")</f>
        <v>0</v>
      </c>
      <c r="O33" s="7" t="n">
        <f aca="false">COUNTIFS(TestCases!$U$2:$U$328,$A33,TestCases!$Y$2:$Y$328,"Draft")</f>
        <v>1</v>
      </c>
      <c r="P33" s="7" t="n">
        <f aca="false">COUNTIFS(TestCases!$U$2:$U$328,$A33,TestCases!$Y$2:$Y$328,"Reject")</f>
        <v>0</v>
      </c>
    </row>
    <row r="34" customFormat="false" ht="23.25" hidden="false" customHeight="true" outlineLevel="0" collapsed="false">
      <c r="A34" s="7" t="s">
        <v>978</v>
      </c>
      <c r="B34" s="7" t="s">
        <v>3934</v>
      </c>
      <c r="C34" s="7" t="s">
        <v>969</v>
      </c>
      <c r="D34" s="6" t="s">
        <v>3935</v>
      </c>
      <c r="E34" s="7" t="s">
        <v>39</v>
      </c>
      <c r="F34" s="7" t="s">
        <v>101</v>
      </c>
      <c r="G34" s="7" t="s">
        <v>69</v>
      </c>
      <c r="H34" s="7" t="str">
        <f aca="false">IF(COUNTIFS(TestCases!$U$2:$U$328,$A34,TestCases!$Y$2:$Y$328,"&lt;&gt;Reject")&gt;0,"Yes","No")</f>
        <v>Yes</v>
      </c>
      <c r="I34" s="6" t="s">
        <v>933</v>
      </c>
      <c r="J34" s="7" t="s">
        <v>9</v>
      </c>
      <c r="K34" s="6" t="s">
        <v>3926</v>
      </c>
      <c r="L34" s="6" t="s">
        <v>968</v>
      </c>
      <c r="M34" s="6" t="s">
        <v>138</v>
      </c>
      <c r="N34" s="7" t="n">
        <f aca="false">COUNTIFS(TestCases!$U$2:$U$328,$A34,TestCases!$Y$2:$Y$328,"Approve")</f>
        <v>0</v>
      </c>
      <c r="O34" s="7" t="n">
        <f aca="false">COUNTIFS(TestCases!$U$2:$U$328,$A34,TestCases!$Y$2:$Y$328,"Draft")</f>
        <v>1</v>
      </c>
      <c r="P34" s="7" t="n">
        <f aca="false">COUNTIFS(TestCases!$U$2:$U$328,$A34,TestCases!$Y$2:$Y$328,"Reject")</f>
        <v>0</v>
      </c>
    </row>
    <row r="35" customFormat="false" ht="23.25" hidden="false" customHeight="true" outlineLevel="0" collapsed="false">
      <c r="A35" s="7" t="s">
        <v>991</v>
      </c>
      <c r="B35" s="7" t="s">
        <v>3936</v>
      </c>
      <c r="C35" s="7" t="s">
        <v>981</v>
      </c>
      <c r="D35" s="6" t="s">
        <v>3937</v>
      </c>
      <c r="E35" s="7" t="s">
        <v>38</v>
      </c>
      <c r="F35" s="7" t="s">
        <v>99</v>
      </c>
      <c r="G35" s="7" t="s">
        <v>69</v>
      </c>
      <c r="H35" s="7" t="str">
        <f aca="false">IF(COUNTIFS(TestCases!$U$2:$U$328,$A35,TestCases!$Y$2:$Y$328,"&lt;&gt;Reject")&gt;0,"Yes","No")</f>
        <v>Yes</v>
      </c>
      <c r="I35" s="6" t="s">
        <v>992</v>
      </c>
      <c r="J35" s="7" t="s">
        <v>9</v>
      </c>
      <c r="K35" s="6" t="s">
        <v>3938</v>
      </c>
      <c r="L35" s="6" t="s">
        <v>3939</v>
      </c>
      <c r="M35" s="6" t="s">
        <v>138</v>
      </c>
      <c r="N35" s="7" t="n">
        <f aca="false">COUNTIFS(TestCases!$U$2:$U$328,$A35,TestCases!$Y$2:$Y$328,"Approve")</f>
        <v>1</v>
      </c>
      <c r="O35" s="7" t="n">
        <f aca="false">COUNTIFS(TestCases!$U$2:$U$328,$A35,TestCases!$Y$2:$Y$328,"Draft")</f>
        <v>1</v>
      </c>
      <c r="P35" s="7" t="n">
        <f aca="false">COUNTIFS(TestCases!$U$2:$U$328,$A35,TestCases!$Y$2:$Y$328,"Reject")</f>
        <v>0</v>
      </c>
    </row>
    <row r="36" customFormat="false" ht="15" hidden="false" customHeight="true" outlineLevel="0" collapsed="false">
      <c r="A36" s="7" t="s">
        <v>1011</v>
      </c>
      <c r="B36" s="7" t="s">
        <v>3940</v>
      </c>
      <c r="C36" s="7" t="s">
        <v>981</v>
      </c>
      <c r="D36" s="6" t="s">
        <v>3941</v>
      </c>
      <c r="E36" s="7" t="s">
        <v>39</v>
      </c>
      <c r="F36" s="7" t="s">
        <v>99</v>
      </c>
      <c r="G36" s="7" t="s">
        <v>68</v>
      </c>
      <c r="H36" s="7" t="str">
        <f aca="false">IF(COUNTIFS(TestCases!$U$2:$U$328,$A36,TestCases!$Y$2:$Y$328,"&lt;&gt;Reject")&gt;0,"Yes","No")</f>
        <v>Yes</v>
      </c>
      <c r="I36" s="6" t="s">
        <v>138</v>
      </c>
      <c r="J36" s="7" t="s">
        <v>7</v>
      </c>
      <c r="K36" s="6" t="s">
        <v>3807</v>
      </c>
      <c r="L36" s="6" t="s">
        <v>1002</v>
      </c>
      <c r="M36" s="6" t="s">
        <v>138</v>
      </c>
      <c r="N36" s="7" t="n">
        <f aca="false">COUNTIFS(TestCases!$U$2:$U$328,$A36,TestCases!$Y$2:$Y$328,"Approve")</f>
        <v>1</v>
      </c>
      <c r="O36" s="7" t="n">
        <f aca="false">COUNTIFS(TestCases!$U$2:$U$328,$A36,TestCases!$Y$2:$Y$328,"Draft")</f>
        <v>0</v>
      </c>
      <c r="P36" s="7" t="n">
        <f aca="false">COUNTIFS(TestCases!$U$2:$U$328,$A36,TestCases!$Y$2:$Y$328,"Reject")</f>
        <v>0</v>
      </c>
    </row>
    <row r="37" customFormat="false" ht="15" hidden="false" customHeight="true" outlineLevel="0" collapsed="false">
      <c r="A37" s="7" t="s">
        <v>1024</v>
      </c>
      <c r="B37" s="7" t="s">
        <v>3942</v>
      </c>
      <c r="C37" s="7" t="s">
        <v>1014</v>
      </c>
      <c r="D37" s="6" t="s">
        <v>3943</v>
      </c>
      <c r="E37" s="7" t="s">
        <v>39</v>
      </c>
      <c r="F37" s="7" t="s">
        <v>99</v>
      </c>
      <c r="G37" s="7" t="s">
        <v>68</v>
      </c>
      <c r="H37" s="7" t="str">
        <f aca="false">IF(COUNTIFS(TestCases!$U$2:$U$328,$A37,TestCases!$Y$2:$Y$328,"&lt;&gt;Reject")&gt;0,"Yes","No")</f>
        <v>Yes</v>
      </c>
      <c r="I37" s="6" t="s">
        <v>138</v>
      </c>
      <c r="J37" s="7" t="s">
        <v>7</v>
      </c>
      <c r="K37" s="6" t="s">
        <v>3807</v>
      </c>
      <c r="L37" s="6" t="s">
        <v>1013</v>
      </c>
      <c r="M37" s="6" t="s">
        <v>138</v>
      </c>
      <c r="N37" s="7" t="n">
        <f aca="false">COUNTIFS(TestCases!$U$2:$U$328,$A37,TestCases!$Y$2:$Y$328,"Approve")</f>
        <v>1</v>
      </c>
      <c r="O37" s="7" t="n">
        <f aca="false">COUNTIFS(TestCases!$U$2:$U$328,$A37,TestCases!$Y$2:$Y$328,"Draft")</f>
        <v>0</v>
      </c>
      <c r="P37" s="7" t="n">
        <f aca="false">COUNTIFS(TestCases!$U$2:$U$328,$A37,TestCases!$Y$2:$Y$328,"Reject")</f>
        <v>0</v>
      </c>
    </row>
    <row r="38" customFormat="false" ht="23.25" hidden="false" customHeight="true" outlineLevel="0" collapsed="false">
      <c r="A38" s="7" t="s">
        <v>1037</v>
      </c>
      <c r="B38" s="7" t="s">
        <v>3944</v>
      </c>
      <c r="C38" s="7" t="s">
        <v>1027</v>
      </c>
      <c r="D38" s="6" t="s">
        <v>3945</v>
      </c>
      <c r="E38" s="7" t="s">
        <v>39</v>
      </c>
      <c r="F38" s="7" t="s">
        <v>99</v>
      </c>
      <c r="G38" s="7" t="s">
        <v>69</v>
      </c>
      <c r="H38" s="7" t="str">
        <f aca="false">IF(COUNTIFS(TestCases!$U$2:$U$328,$A38,TestCases!$Y$2:$Y$328,"&lt;&gt;Reject")&gt;0,"Yes","No")</f>
        <v>Yes</v>
      </c>
      <c r="I38" s="6" t="s">
        <v>879</v>
      </c>
      <c r="J38" s="7" t="s">
        <v>9</v>
      </c>
      <c r="K38" s="6" t="s">
        <v>3946</v>
      </c>
      <c r="L38" s="6" t="s">
        <v>1026</v>
      </c>
      <c r="M38" s="6" t="s">
        <v>138</v>
      </c>
      <c r="N38" s="7" t="n">
        <f aca="false">COUNTIFS(TestCases!$U$2:$U$328,$A38,TestCases!$Y$2:$Y$328,"Approve")</f>
        <v>0</v>
      </c>
      <c r="O38" s="7" t="n">
        <f aca="false">COUNTIFS(TestCases!$U$2:$U$328,$A38,TestCases!$Y$2:$Y$328,"Draft")</f>
        <v>1</v>
      </c>
      <c r="P38" s="7" t="n">
        <f aca="false">COUNTIFS(TestCases!$U$2:$U$328,$A38,TestCases!$Y$2:$Y$328,"Reject")</f>
        <v>0</v>
      </c>
    </row>
    <row r="39" customFormat="false" ht="23.25" hidden="false" customHeight="true" outlineLevel="0" collapsed="false">
      <c r="A39" s="7" t="s">
        <v>1050</v>
      </c>
      <c r="B39" s="7" t="s">
        <v>3947</v>
      </c>
      <c r="C39" s="7" t="s">
        <v>1040</v>
      </c>
      <c r="D39" s="6" t="s">
        <v>3948</v>
      </c>
      <c r="E39" s="7" t="s">
        <v>38</v>
      </c>
      <c r="F39" s="7" t="s">
        <v>99</v>
      </c>
      <c r="G39" s="7" t="s">
        <v>69</v>
      </c>
      <c r="H39" s="7" t="str">
        <f aca="false">IF(COUNTIFS(TestCases!$U$2:$U$328,$A39,TestCases!$Y$2:$Y$328,"&lt;&gt;Reject")&gt;0,"Yes","No")</f>
        <v>Yes</v>
      </c>
      <c r="I39" s="6" t="s">
        <v>1051</v>
      </c>
      <c r="J39" s="7" t="s">
        <v>9</v>
      </c>
      <c r="K39" s="6" t="s">
        <v>3949</v>
      </c>
      <c r="L39" s="6" t="s">
        <v>1039</v>
      </c>
      <c r="M39" s="6" t="s">
        <v>138</v>
      </c>
      <c r="N39" s="7" t="n">
        <f aca="false">COUNTIFS(TestCases!$U$2:$U$328,$A39,TestCases!$Y$2:$Y$328,"Approve")</f>
        <v>0</v>
      </c>
      <c r="O39" s="7" t="n">
        <f aca="false">COUNTIFS(TestCases!$U$2:$U$328,$A39,TestCases!$Y$2:$Y$328,"Draft")</f>
        <v>1</v>
      </c>
      <c r="P39" s="7" t="n">
        <f aca="false">COUNTIFS(TestCases!$U$2:$U$328,$A39,TestCases!$Y$2:$Y$328,"Reject")</f>
        <v>0</v>
      </c>
    </row>
    <row r="40" customFormat="false" ht="23.25" hidden="false" customHeight="true" outlineLevel="0" collapsed="false">
      <c r="A40" s="7" t="s">
        <v>1064</v>
      </c>
      <c r="B40" s="7" t="s">
        <v>3950</v>
      </c>
      <c r="C40" s="7" t="s">
        <v>1054</v>
      </c>
      <c r="D40" s="6" t="s">
        <v>3951</v>
      </c>
      <c r="E40" s="7" t="s">
        <v>38</v>
      </c>
      <c r="F40" s="7" t="s">
        <v>99</v>
      </c>
      <c r="G40" s="7" t="s">
        <v>68</v>
      </c>
      <c r="H40" s="7" t="str">
        <f aca="false">IF(COUNTIFS(TestCases!$U$2:$U$328,$A40,TestCases!$Y$2:$Y$328,"&lt;&gt;Reject")&gt;0,"Yes","No")</f>
        <v>Yes</v>
      </c>
      <c r="I40" s="6" t="s">
        <v>138</v>
      </c>
      <c r="J40" s="7" t="s">
        <v>7</v>
      </c>
      <c r="K40" s="6" t="s">
        <v>3807</v>
      </c>
      <c r="L40" s="6" t="s">
        <v>1053</v>
      </c>
      <c r="M40" s="6" t="s">
        <v>138</v>
      </c>
      <c r="N40" s="7" t="n">
        <f aca="false">COUNTIFS(TestCases!$U$2:$U$328,$A40,TestCases!$Y$2:$Y$328,"Approve")</f>
        <v>1</v>
      </c>
      <c r="O40" s="7" t="n">
        <f aca="false">COUNTIFS(TestCases!$U$2:$U$328,$A40,TestCases!$Y$2:$Y$328,"Draft")</f>
        <v>0</v>
      </c>
      <c r="P40" s="7" t="n">
        <f aca="false">COUNTIFS(TestCases!$U$2:$U$328,$A40,TestCases!$Y$2:$Y$328,"Reject")</f>
        <v>0</v>
      </c>
    </row>
    <row r="41" customFormat="false" ht="23.25" hidden="false" customHeight="true" outlineLevel="0" collapsed="false">
      <c r="A41" s="7" t="s">
        <v>1077</v>
      </c>
      <c r="B41" s="7" t="s">
        <v>3952</v>
      </c>
      <c r="C41" s="7" t="s">
        <v>1067</v>
      </c>
      <c r="D41" s="6" t="s">
        <v>3953</v>
      </c>
      <c r="E41" s="7" t="s">
        <v>38</v>
      </c>
      <c r="F41" s="7" t="s">
        <v>99</v>
      </c>
      <c r="G41" s="7" t="s">
        <v>69</v>
      </c>
      <c r="H41" s="7" t="str">
        <f aca="false">IF(COUNTIFS(TestCases!$U$2:$U$328,$A41,TestCases!$Y$2:$Y$328,"&lt;&gt;Reject")&gt;0,"Yes","No")</f>
        <v>Yes</v>
      </c>
      <c r="I41" s="6" t="s">
        <v>1078</v>
      </c>
      <c r="J41" s="7" t="s">
        <v>9</v>
      </c>
      <c r="K41" s="6" t="s">
        <v>3954</v>
      </c>
      <c r="L41" s="6" t="s">
        <v>1066</v>
      </c>
      <c r="M41" s="6" t="s">
        <v>3955</v>
      </c>
      <c r="N41" s="7" t="n">
        <f aca="false">COUNTIFS(TestCases!$U$2:$U$328,$A41,TestCases!$Y$2:$Y$328,"Approve")</f>
        <v>0</v>
      </c>
      <c r="O41" s="7" t="n">
        <f aca="false">COUNTIFS(TestCases!$U$2:$U$328,$A41,TestCases!$Y$2:$Y$328,"Draft")</f>
        <v>1</v>
      </c>
      <c r="P41" s="7" t="n">
        <f aca="false">COUNTIFS(TestCases!$U$2:$U$328,$A41,TestCases!$Y$2:$Y$328,"Reject")</f>
        <v>0</v>
      </c>
    </row>
    <row r="42" customFormat="false" ht="23.25" hidden="false" customHeight="true" outlineLevel="0" collapsed="false">
      <c r="A42" s="7" t="s">
        <v>1091</v>
      </c>
      <c r="B42" s="7" t="s">
        <v>3956</v>
      </c>
      <c r="C42" s="7" t="s">
        <v>1081</v>
      </c>
      <c r="D42" s="6" t="s">
        <v>3957</v>
      </c>
      <c r="E42" s="7" t="s">
        <v>38</v>
      </c>
      <c r="F42" s="7" t="s">
        <v>99</v>
      </c>
      <c r="G42" s="7" t="s">
        <v>69</v>
      </c>
      <c r="H42" s="7" t="str">
        <f aca="false">IF(COUNTIFS(TestCases!$U$2:$U$328,$A42,TestCases!$Y$2:$Y$328,"&lt;&gt;Reject")&gt;0,"Yes","No")</f>
        <v>Yes</v>
      </c>
      <c r="I42" s="6" t="s">
        <v>1092</v>
      </c>
      <c r="J42" s="7" t="s">
        <v>9</v>
      </c>
      <c r="K42" s="6" t="s">
        <v>3958</v>
      </c>
      <c r="L42" s="6" t="s">
        <v>3959</v>
      </c>
      <c r="M42" s="6" t="s">
        <v>3960</v>
      </c>
      <c r="N42" s="7" t="n">
        <f aca="false">COUNTIFS(TestCases!$U$2:$U$328,$A42,TestCases!$Y$2:$Y$328,"Approve")</f>
        <v>0</v>
      </c>
      <c r="O42" s="7" t="n">
        <f aca="false">COUNTIFS(TestCases!$U$2:$U$328,$A42,TestCases!$Y$2:$Y$328,"Draft")</f>
        <v>3</v>
      </c>
      <c r="P42" s="7" t="n">
        <f aca="false">COUNTIFS(TestCases!$U$2:$U$328,$A42,TestCases!$Y$2:$Y$328,"Reject")</f>
        <v>0</v>
      </c>
    </row>
    <row r="43" customFormat="false" ht="34.5" hidden="false" customHeight="true" outlineLevel="0" collapsed="false">
      <c r="A43" s="7" t="s">
        <v>1120</v>
      </c>
      <c r="B43" s="7" t="s">
        <v>3961</v>
      </c>
      <c r="C43" s="7" t="s">
        <v>1110</v>
      </c>
      <c r="D43" s="6" t="s">
        <v>3962</v>
      </c>
      <c r="E43" s="7" t="s">
        <v>38</v>
      </c>
      <c r="F43" s="7" t="s">
        <v>100</v>
      </c>
      <c r="G43" s="7" t="s">
        <v>69</v>
      </c>
      <c r="H43" s="7" t="str">
        <f aca="false">IF(COUNTIFS(TestCases!$U$2:$U$328,$A43,TestCases!$Y$2:$Y$328,"&lt;&gt;Reject")&gt;0,"Yes","No")</f>
        <v>Yes</v>
      </c>
      <c r="I43" s="6" t="s">
        <v>1121</v>
      </c>
      <c r="J43" s="7" t="s">
        <v>9</v>
      </c>
      <c r="K43" s="6" t="s">
        <v>3963</v>
      </c>
      <c r="L43" s="6" t="s">
        <v>3964</v>
      </c>
      <c r="M43" s="6" t="s">
        <v>138</v>
      </c>
      <c r="N43" s="7" t="n">
        <f aca="false">COUNTIFS(TestCases!$U$2:$U$328,$A43,TestCases!$Y$2:$Y$328,"Approve")</f>
        <v>1</v>
      </c>
      <c r="O43" s="7" t="n">
        <f aca="false">COUNTIFS(TestCases!$U$2:$U$328,$A43,TestCases!$Y$2:$Y$328,"Draft")</f>
        <v>2</v>
      </c>
      <c r="P43" s="7" t="n">
        <f aca="false">COUNTIFS(TestCases!$U$2:$U$328,$A43,TestCases!$Y$2:$Y$328,"Reject")</f>
        <v>0</v>
      </c>
    </row>
    <row r="44" customFormat="false" ht="15" hidden="false" customHeight="true" outlineLevel="0" collapsed="false">
      <c r="A44" s="7" t="s">
        <v>1149</v>
      </c>
      <c r="B44" s="7" t="s">
        <v>3965</v>
      </c>
      <c r="C44" s="7" t="s">
        <v>1139</v>
      </c>
      <c r="D44" s="6" t="s">
        <v>3966</v>
      </c>
      <c r="E44" s="7" t="s">
        <v>38</v>
      </c>
      <c r="F44" s="7" t="s">
        <v>99</v>
      </c>
      <c r="G44" s="7" t="s">
        <v>68</v>
      </c>
      <c r="H44" s="7" t="str">
        <f aca="false">IF(COUNTIFS(TestCases!$U$2:$U$328,$A44,TestCases!$Y$2:$Y$328,"&lt;&gt;Reject")&gt;0,"Yes","No")</f>
        <v>Yes</v>
      </c>
      <c r="I44" s="6" t="s">
        <v>138</v>
      </c>
      <c r="J44" s="7" t="s">
        <v>7</v>
      </c>
      <c r="K44" s="6" t="s">
        <v>3807</v>
      </c>
      <c r="L44" s="6" t="s">
        <v>1138</v>
      </c>
      <c r="M44" s="6" t="s">
        <v>138</v>
      </c>
      <c r="N44" s="7" t="n">
        <f aca="false">COUNTIFS(TestCases!$U$2:$U$328,$A44,TestCases!$Y$2:$Y$328,"Approve")</f>
        <v>1</v>
      </c>
      <c r="O44" s="7" t="n">
        <f aca="false">COUNTIFS(TestCases!$U$2:$U$328,$A44,TestCases!$Y$2:$Y$328,"Draft")</f>
        <v>0</v>
      </c>
      <c r="P44" s="7" t="n">
        <f aca="false">COUNTIFS(TestCases!$U$2:$U$328,$A44,TestCases!$Y$2:$Y$328,"Reject")</f>
        <v>0</v>
      </c>
    </row>
    <row r="45" customFormat="false" ht="15" hidden="false" customHeight="true" outlineLevel="0" collapsed="false">
      <c r="A45" s="7" t="s">
        <v>1161</v>
      </c>
      <c r="B45" s="7" t="s">
        <v>3967</v>
      </c>
      <c r="C45" s="7" t="s">
        <v>1152</v>
      </c>
      <c r="D45" s="6" t="s">
        <v>3968</v>
      </c>
      <c r="E45" s="7" t="s">
        <v>38</v>
      </c>
      <c r="F45" s="7" t="s">
        <v>99</v>
      </c>
      <c r="G45" s="7" t="s">
        <v>68</v>
      </c>
      <c r="H45" s="7" t="str">
        <f aca="false">IF(COUNTIFS(TestCases!$U$2:$U$328,$A45,TestCases!$Y$2:$Y$328,"&lt;&gt;Reject")&gt;0,"Yes","No")</f>
        <v>Yes</v>
      </c>
      <c r="I45" s="6" t="s">
        <v>138</v>
      </c>
      <c r="J45" s="7" t="s">
        <v>7</v>
      </c>
      <c r="K45" s="6" t="s">
        <v>3807</v>
      </c>
      <c r="L45" s="6" t="s">
        <v>1151</v>
      </c>
      <c r="M45" s="6" t="s">
        <v>138</v>
      </c>
      <c r="N45" s="7" t="n">
        <f aca="false">COUNTIFS(TestCases!$U$2:$U$328,$A45,TestCases!$Y$2:$Y$328,"Approve")</f>
        <v>1</v>
      </c>
      <c r="O45" s="7" t="n">
        <f aca="false">COUNTIFS(TestCases!$U$2:$U$328,$A45,TestCases!$Y$2:$Y$328,"Draft")</f>
        <v>0</v>
      </c>
      <c r="P45" s="7" t="n">
        <f aca="false">COUNTIFS(TestCases!$U$2:$U$328,$A45,TestCases!$Y$2:$Y$328,"Reject")</f>
        <v>0</v>
      </c>
    </row>
    <row r="46" customFormat="false" ht="23.25" hidden="false" customHeight="true" outlineLevel="0" collapsed="false">
      <c r="A46" s="7" t="s">
        <v>1173</v>
      </c>
      <c r="B46" s="7" t="s">
        <v>3969</v>
      </c>
      <c r="C46" s="7" t="s">
        <v>1164</v>
      </c>
      <c r="D46" s="6" t="s">
        <v>3970</v>
      </c>
      <c r="E46" s="7" t="s">
        <v>40</v>
      </c>
      <c r="F46" s="7" t="s">
        <v>100</v>
      </c>
      <c r="G46" s="7" t="s">
        <v>69</v>
      </c>
      <c r="H46" s="7" t="str">
        <f aca="false">IF(COUNTIFS(TestCases!$U$2:$U$328,$A46,TestCases!$Y$2:$Y$328,"&lt;&gt;Reject")&gt;0,"Yes","No")</f>
        <v>Yes</v>
      </c>
      <c r="I46" s="6" t="s">
        <v>643</v>
      </c>
      <c r="J46" s="7" t="s">
        <v>9</v>
      </c>
      <c r="K46" s="6" t="s">
        <v>3971</v>
      </c>
      <c r="L46" s="6" t="s">
        <v>3972</v>
      </c>
      <c r="M46" s="6" t="s">
        <v>3973</v>
      </c>
      <c r="N46" s="7" t="n">
        <f aca="false">COUNTIFS(TestCases!$U$2:$U$328,$A46,TestCases!$Y$2:$Y$328,"Approve")</f>
        <v>2</v>
      </c>
      <c r="O46" s="7" t="n">
        <f aca="false">COUNTIFS(TestCases!$U$2:$U$328,$A46,TestCases!$Y$2:$Y$328,"Draft")</f>
        <v>1</v>
      </c>
      <c r="P46" s="7" t="n">
        <f aca="false">COUNTIFS(TestCases!$U$2:$U$328,$A46,TestCases!$Y$2:$Y$328,"Reject")</f>
        <v>0</v>
      </c>
    </row>
    <row r="47" customFormat="false" ht="23.25" hidden="false" customHeight="true" outlineLevel="0" collapsed="false">
      <c r="A47" s="7" t="s">
        <v>1198</v>
      </c>
      <c r="B47" s="7" t="s">
        <v>3974</v>
      </c>
      <c r="C47" s="7" t="s">
        <v>1189</v>
      </c>
      <c r="D47" s="6" t="s">
        <v>3975</v>
      </c>
      <c r="E47" s="7" t="s">
        <v>38</v>
      </c>
      <c r="F47" s="7" t="s">
        <v>99</v>
      </c>
      <c r="G47" s="7" t="s">
        <v>68</v>
      </c>
      <c r="H47" s="7" t="str">
        <f aca="false">IF(COUNTIFS(TestCases!$U$2:$U$328,$A47,TestCases!$Y$2:$Y$328,"&lt;&gt;Reject")&gt;0,"Yes","No")</f>
        <v>Yes</v>
      </c>
      <c r="I47" s="6" t="s">
        <v>138</v>
      </c>
      <c r="J47" s="7" t="s">
        <v>7</v>
      </c>
      <c r="K47" s="6" t="s">
        <v>3807</v>
      </c>
      <c r="L47" s="6" t="s">
        <v>1188</v>
      </c>
      <c r="M47" s="6" t="s">
        <v>138</v>
      </c>
      <c r="N47" s="7" t="n">
        <f aca="false">COUNTIFS(TestCases!$U$2:$U$328,$A47,TestCases!$Y$2:$Y$328,"Approve")</f>
        <v>1</v>
      </c>
      <c r="O47" s="7" t="n">
        <f aca="false">COUNTIFS(TestCases!$U$2:$U$328,$A47,TestCases!$Y$2:$Y$328,"Draft")</f>
        <v>0</v>
      </c>
      <c r="P47" s="7" t="n">
        <f aca="false">COUNTIFS(TestCases!$U$2:$U$328,$A47,TestCases!$Y$2:$Y$328,"Reject")</f>
        <v>0</v>
      </c>
    </row>
    <row r="48" customFormat="false" ht="23.25" hidden="false" customHeight="true" outlineLevel="0" collapsed="false">
      <c r="A48" s="7" t="s">
        <v>1211</v>
      </c>
      <c r="B48" s="7" t="s">
        <v>3976</v>
      </c>
      <c r="C48" s="7" t="s">
        <v>1201</v>
      </c>
      <c r="D48" s="6" t="s">
        <v>3977</v>
      </c>
      <c r="E48" s="7" t="s">
        <v>38</v>
      </c>
      <c r="F48" s="7" t="s">
        <v>99</v>
      </c>
      <c r="G48" s="7" t="s">
        <v>69</v>
      </c>
      <c r="H48" s="7" t="str">
        <f aca="false">IF(COUNTIFS(TestCases!$U$2:$U$328,$A48,TestCases!$Y$2:$Y$328,"&lt;&gt;Reject")&gt;0,"Yes","No")</f>
        <v>Yes</v>
      </c>
      <c r="I48" s="6" t="s">
        <v>1212</v>
      </c>
      <c r="J48" s="7" t="s">
        <v>9</v>
      </c>
      <c r="K48" s="6" t="s">
        <v>3978</v>
      </c>
      <c r="L48" s="6" t="s">
        <v>3979</v>
      </c>
      <c r="M48" s="6" t="s">
        <v>3980</v>
      </c>
      <c r="N48" s="7" t="n">
        <f aca="false">COUNTIFS(TestCases!$U$2:$U$328,$A48,TestCases!$Y$2:$Y$328,"Approve")</f>
        <v>0</v>
      </c>
      <c r="O48" s="7" t="n">
        <f aca="false">COUNTIFS(TestCases!$U$2:$U$328,$A48,TestCases!$Y$2:$Y$328,"Draft")</f>
        <v>2</v>
      </c>
      <c r="P48" s="7" t="n">
        <f aca="false">COUNTIFS(TestCases!$U$2:$U$328,$A48,TestCases!$Y$2:$Y$328,"Reject")</f>
        <v>0</v>
      </c>
    </row>
    <row r="49" customFormat="false" ht="23.25" hidden="false" customHeight="true" outlineLevel="0" collapsed="false">
      <c r="A49" s="7" t="s">
        <v>1232</v>
      </c>
      <c r="B49" s="7" t="s">
        <v>3981</v>
      </c>
      <c r="C49" s="7" t="s">
        <v>1222</v>
      </c>
      <c r="D49" s="6" t="s">
        <v>3982</v>
      </c>
      <c r="E49" s="7" t="s">
        <v>38</v>
      </c>
      <c r="F49" s="7" t="s">
        <v>99</v>
      </c>
      <c r="G49" s="7" t="s">
        <v>69</v>
      </c>
      <c r="H49" s="7" t="str">
        <f aca="false">IF(COUNTIFS(TestCases!$U$2:$U$328,$A49,TestCases!$Y$2:$Y$328,"&lt;&gt;Reject")&gt;0,"Yes","No")</f>
        <v>Yes</v>
      </c>
      <c r="I49" s="6" t="s">
        <v>1233</v>
      </c>
      <c r="J49" s="7" t="s">
        <v>9</v>
      </c>
      <c r="K49" s="6" t="s">
        <v>3983</v>
      </c>
      <c r="L49" s="6" t="s">
        <v>1221</v>
      </c>
      <c r="M49" s="6" t="s">
        <v>3984</v>
      </c>
      <c r="N49" s="7" t="n">
        <f aca="false">COUNTIFS(TestCases!$U$2:$U$328,$A49,TestCases!$Y$2:$Y$328,"Approve")</f>
        <v>0</v>
      </c>
      <c r="O49" s="7" t="n">
        <f aca="false">COUNTIFS(TestCases!$U$2:$U$328,$A49,TestCases!$Y$2:$Y$328,"Draft")</f>
        <v>1</v>
      </c>
      <c r="P49" s="7" t="n">
        <f aca="false">COUNTIFS(TestCases!$U$2:$U$328,$A49,TestCases!$Y$2:$Y$328,"Reject")</f>
        <v>0</v>
      </c>
    </row>
    <row r="50" customFormat="false" ht="23.25" hidden="false" customHeight="true" outlineLevel="0" collapsed="false">
      <c r="A50" s="7" t="s">
        <v>1246</v>
      </c>
      <c r="B50" s="7" t="s">
        <v>3985</v>
      </c>
      <c r="C50" s="7" t="s">
        <v>1236</v>
      </c>
      <c r="D50" s="6" t="s">
        <v>3986</v>
      </c>
      <c r="E50" s="7" t="s">
        <v>38</v>
      </c>
      <c r="F50" s="7" t="s">
        <v>99</v>
      </c>
      <c r="G50" s="7" t="s">
        <v>69</v>
      </c>
      <c r="H50" s="7" t="str">
        <f aca="false">IF(COUNTIFS(TestCases!$U$2:$U$328,$A50,TestCases!$Y$2:$Y$328,"&lt;&gt;Reject")&gt;0,"Yes","No")</f>
        <v>Yes</v>
      </c>
      <c r="I50" s="6" t="s">
        <v>1247</v>
      </c>
      <c r="J50" s="7" t="s">
        <v>9</v>
      </c>
      <c r="K50" s="6" t="s">
        <v>3987</v>
      </c>
      <c r="L50" s="6" t="s">
        <v>1235</v>
      </c>
      <c r="M50" s="6" t="s">
        <v>138</v>
      </c>
      <c r="N50" s="7" t="n">
        <f aca="false">COUNTIFS(TestCases!$U$2:$U$328,$A50,TestCases!$Y$2:$Y$328,"Approve")</f>
        <v>0</v>
      </c>
      <c r="O50" s="7" t="n">
        <f aca="false">COUNTIFS(TestCases!$U$2:$U$328,$A50,TestCases!$Y$2:$Y$328,"Draft")</f>
        <v>1</v>
      </c>
      <c r="P50" s="7" t="n">
        <f aca="false">COUNTIFS(TestCases!$U$2:$U$328,$A50,TestCases!$Y$2:$Y$328,"Reject")</f>
        <v>0</v>
      </c>
    </row>
    <row r="51" customFormat="false" ht="23.25" hidden="false" customHeight="true" outlineLevel="0" collapsed="false">
      <c r="A51" s="7" t="s">
        <v>1260</v>
      </c>
      <c r="B51" s="7" t="s">
        <v>3988</v>
      </c>
      <c r="C51" s="7" t="s">
        <v>1250</v>
      </c>
      <c r="D51" s="6" t="s">
        <v>3989</v>
      </c>
      <c r="E51" s="7" t="s">
        <v>40</v>
      </c>
      <c r="F51" s="7" t="s">
        <v>101</v>
      </c>
      <c r="G51" s="7" t="s">
        <v>69</v>
      </c>
      <c r="H51" s="7" t="str">
        <f aca="false">IF(COUNTIFS(TestCases!$U$2:$U$328,$A51,TestCases!$Y$2:$Y$328,"&lt;&gt;Reject")&gt;0,"Yes","No")</f>
        <v>Yes</v>
      </c>
      <c r="I51" s="6" t="s">
        <v>513</v>
      </c>
      <c r="J51" s="7" t="s">
        <v>9</v>
      </c>
      <c r="K51" s="6" t="s">
        <v>3990</v>
      </c>
      <c r="L51" s="6" t="s">
        <v>3991</v>
      </c>
      <c r="M51" s="6" t="s">
        <v>138</v>
      </c>
      <c r="N51" s="7" t="n">
        <f aca="false">COUNTIFS(TestCases!$U$2:$U$328,$A51,TestCases!$Y$2:$Y$328,"Approve")</f>
        <v>0</v>
      </c>
      <c r="O51" s="7" t="n">
        <f aca="false">COUNTIFS(TestCases!$U$2:$U$328,$A51,TestCases!$Y$2:$Y$328,"Draft")</f>
        <v>2</v>
      </c>
      <c r="P51" s="7" t="n">
        <f aca="false">COUNTIFS(TestCases!$U$2:$U$328,$A51,TestCases!$Y$2:$Y$328,"Reject")</f>
        <v>0</v>
      </c>
    </row>
    <row r="52" customFormat="false" ht="23.25" hidden="false" customHeight="true" outlineLevel="0" collapsed="false">
      <c r="A52" s="7" t="s">
        <v>1280</v>
      </c>
      <c r="B52" s="7" t="s">
        <v>3992</v>
      </c>
      <c r="C52" s="7" t="s">
        <v>1271</v>
      </c>
      <c r="D52" s="6" t="s">
        <v>3993</v>
      </c>
      <c r="E52" s="7" t="s">
        <v>38</v>
      </c>
      <c r="F52" s="7" t="s">
        <v>101</v>
      </c>
      <c r="G52" s="7" t="s">
        <v>69</v>
      </c>
      <c r="H52" s="7" t="str">
        <f aca="false">IF(COUNTIFS(TestCases!$U$2:$U$328,$A52,TestCases!$Y$2:$Y$328,"&lt;&gt;Reject")&gt;0,"Yes","No")</f>
        <v>Yes</v>
      </c>
      <c r="I52" s="6" t="s">
        <v>966</v>
      </c>
      <c r="J52" s="7" t="s">
        <v>9</v>
      </c>
      <c r="K52" s="6" t="s">
        <v>3933</v>
      </c>
      <c r="L52" s="6" t="s">
        <v>3994</v>
      </c>
      <c r="M52" s="6" t="s">
        <v>138</v>
      </c>
      <c r="N52" s="7" t="n">
        <f aca="false">COUNTIFS(TestCases!$U$2:$U$328,$A52,TestCases!$Y$2:$Y$328,"Approve")</f>
        <v>0</v>
      </c>
      <c r="O52" s="7" t="n">
        <f aca="false">COUNTIFS(TestCases!$U$2:$U$328,$A52,TestCases!$Y$2:$Y$328,"Draft")</f>
        <v>2</v>
      </c>
      <c r="P52" s="7" t="n">
        <f aca="false">COUNTIFS(TestCases!$U$2:$U$328,$A52,TestCases!$Y$2:$Y$328,"Reject")</f>
        <v>0</v>
      </c>
    </row>
    <row r="53" customFormat="false" ht="23.25" hidden="false" customHeight="true" outlineLevel="0" collapsed="false">
      <c r="A53" s="7" t="s">
        <v>1301</v>
      </c>
      <c r="B53" s="7" t="s">
        <v>3995</v>
      </c>
      <c r="C53" s="7" t="s">
        <v>1291</v>
      </c>
      <c r="D53" s="6" t="s">
        <v>3996</v>
      </c>
      <c r="E53" s="7" t="s">
        <v>38</v>
      </c>
      <c r="F53" s="7" t="s">
        <v>99</v>
      </c>
      <c r="G53" s="7" t="s">
        <v>68</v>
      </c>
      <c r="H53" s="7" t="str">
        <f aca="false">IF(COUNTIFS(TestCases!$U$2:$U$328,$A53,TestCases!$Y$2:$Y$328,"&lt;&gt;Reject")&gt;0,"Yes","No")</f>
        <v>Yes</v>
      </c>
      <c r="I53" s="6" t="s">
        <v>1310</v>
      </c>
      <c r="J53" s="7" t="s">
        <v>7</v>
      </c>
      <c r="K53" s="6" t="s">
        <v>3807</v>
      </c>
      <c r="L53" s="6" t="s">
        <v>3997</v>
      </c>
      <c r="M53" s="6" t="s">
        <v>138</v>
      </c>
      <c r="N53" s="7" t="n">
        <f aca="false">COUNTIFS(TestCases!$U$2:$U$328,$A53,TestCases!$Y$2:$Y$328,"Approve")</f>
        <v>1</v>
      </c>
      <c r="O53" s="7" t="n">
        <f aca="false">COUNTIFS(TestCases!$U$2:$U$328,$A53,TestCases!$Y$2:$Y$328,"Draft")</f>
        <v>1</v>
      </c>
      <c r="P53" s="7" t="n">
        <f aca="false">COUNTIFS(TestCases!$U$2:$U$328,$A53,TestCases!$Y$2:$Y$328,"Reject")</f>
        <v>0</v>
      </c>
    </row>
    <row r="54" customFormat="false" ht="23.25" hidden="false" customHeight="true" outlineLevel="0" collapsed="false">
      <c r="A54" s="7" t="s">
        <v>1322</v>
      </c>
      <c r="B54" s="7" t="s">
        <v>3998</v>
      </c>
      <c r="C54" s="7" t="s">
        <v>1313</v>
      </c>
      <c r="D54" s="6" t="s">
        <v>3999</v>
      </c>
      <c r="E54" s="7" t="s">
        <v>38</v>
      </c>
      <c r="F54" s="7" t="s">
        <v>99</v>
      </c>
      <c r="G54" s="7" t="s">
        <v>69</v>
      </c>
      <c r="H54" s="7" t="str">
        <f aca="false">IF(COUNTIFS(TestCases!$U$2:$U$328,$A54,TestCases!$Y$2:$Y$328,"&lt;&gt;Reject")&gt;0,"Yes","No")</f>
        <v>Yes</v>
      </c>
      <c r="I54" s="6" t="s">
        <v>1323</v>
      </c>
      <c r="J54" s="7" t="s">
        <v>9</v>
      </c>
      <c r="K54" s="6" t="s">
        <v>4000</v>
      </c>
      <c r="L54" s="6" t="s">
        <v>4001</v>
      </c>
      <c r="M54" s="6" t="s">
        <v>4002</v>
      </c>
      <c r="N54" s="7" t="n">
        <f aca="false">COUNTIFS(TestCases!$U$2:$U$328,$A54,TestCases!$Y$2:$Y$328,"Approve")</f>
        <v>0</v>
      </c>
      <c r="O54" s="7" t="n">
        <f aca="false">COUNTIFS(TestCases!$U$2:$U$328,$A54,TestCases!$Y$2:$Y$328,"Draft")</f>
        <v>3</v>
      </c>
      <c r="P54" s="7" t="n">
        <f aca="false">COUNTIFS(TestCases!$U$2:$U$328,$A54,TestCases!$Y$2:$Y$328,"Reject")</f>
        <v>0</v>
      </c>
    </row>
    <row r="55" customFormat="false" ht="15" hidden="false" customHeight="true" outlineLevel="0" collapsed="false">
      <c r="A55" s="7" t="s">
        <v>1349</v>
      </c>
      <c r="B55" s="7" t="s">
        <v>4003</v>
      </c>
      <c r="C55" s="7" t="s">
        <v>1340</v>
      </c>
      <c r="D55" s="6" t="s">
        <v>4004</v>
      </c>
      <c r="E55" s="7" t="s">
        <v>38</v>
      </c>
      <c r="F55" s="7" t="s">
        <v>99</v>
      </c>
      <c r="G55" s="7" t="s">
        <v>68</v>
      </c>
      <c r="H55" s="7" t="str">
        <f aca="false">IF(COUNTIFS(TestCases!$U$2:$U$328,$A55,TestCases!$Y$2:$Y$328,"&lt;&gt;Reject")&gt;0,"Yes","No")</f>
        <v>Yes</v>
      </c>
      <c r="I55" s="6" t="s">
        <v>138</v>
      </c>
      <c r="J55" s="7" t="s">
        <v>7</v>
      </c>
      <c r="K55" s="6" t="s">
        <v>3807</v>
      </c>
      <c r="L55" s="6" t="s">
        <v>1339</v>
      </c>
      <c r="M55" s="6" t="s">
        <v>138</v>
      </c>
      <c r="N55" s="7" t="n">
        <f aca="false">COUNTIFS(TestCases!$U$2:$U$328,$A55,TestCases!$Y$2:$Y$328,"Approve")</f>
        <v>1</v>
      </c>
      <c r="O55" s="7" t="n">
        <f aca="false">COUNTIFS(TestCases!$U$2:$U$328,$A55,TestCases!$Y$2:$Y$328,"Draft")</f>
        <v>0</v>
      </c>
      <c r="P55" s="7" t="n">
        <f aca="false">COUNTIFS(TestCases!$U$2:$U$328,$A55,TestCases!$Y$2:$Y$328,"Reject")</f>
        <v>0</v>
      </c>
    </row>
    <row r="56" customFormat="false" ht="15" hidden="false" customHeight="true" outlineLevel="0" collapsed="false">
      <c r="A56" s="7" t="s">
        <v>1362</v>
      </c>
      <c r="B56" s="7" t="s">
        <v>4005</v>
      </c>
      <c r="C56" s="7" t="s">
        <v>1352</v>
      </c>
      <c r="D56" s="6" t="s">
        <v>4006</v>
      </c>
      <c r="E56" s="7" t="s">
        <v>38</v>
      </c>
      <c r="F56" s="7" t="s">
        <v>99</v>
      </c>
      <c r="G56" s="7" t="s">
        <v>68</v>
      </c>
      <c r="H56" s="7" t="str">
        <f aca="false">IF(COUNTIFS(TestCases!$U$2:$U$328,$A56,TestCases!$Y$2:$Y$328,"&lt;&gt;Reject")&gt;0,"Yes","No")</f>
        <v>Yes</v>
      </c>
      <c r="I56" s="6" t="s">
        <v>138</v>
      </c>
      <c r="J56" s="7" t="s">
        <v>7</v>
      </c>
      <c r="K56" s="6" t="s">
        <v>3807</v>
      </c>
      <c r="L56" s="6" t="s">
        <v>1351</v>
      </c>
      <c r="M56" s="6" t="s">
        <v>138</v>
      </c>
      <c r="N56" s="7" t="n">
        <f aca="false">COUNTIFS(TestCases!$U$2:$U$328,$A56,TestCases!$Y$2:$Y$328,"Approve")</f>
        <v>1</v>
      </c>
      <c r="O56" s="7" t="n">
        <f aca="false">COUNTIFS(TestCases!$U$2:$U$328,$A56,TestCases!$Y$2:$Y$328,"Draft")</f>
        <v>0</v>
      </c>
      <c r="P56" s="7" t="n">
        <f aca="false">COUNTIFS(TestCases!$U$2:$U$328,$A56,TestCases!$Y$2:$Y$328,"Reject")</f>
        <v>0</v>
      </c>
    </row>
    <row r="57" customFormat="false" ht="23.25" hidden="false" customHeight="true" outlineLevel="0" collapsed="false">
      <c r="A57" s="7" t="s">
        <v>1375</v>
      </c>
      <c r="B57" s="7" t="s">
        <v>4007</v>
      </c>
      <c r="C57" s="7" t="s">
        <v>1365</v>
      </c>
      <c r="D57" s="6" t="s">
        <v>4008</v>
      </c>
      <c r="E57" s="7" t="s">
        <v>38</v>
      </c>
      <c r="F57" s="7" t="s">
        <v>99</v>
      </c>
      <c r="G57" s="7" t="s">
        <v>69</v>
      </c>
      <c r="H57" s="7" t="str">
        <f aca="false">IF(COUNTIFS(TestCases!$U$2:$U$328,$A57,TestCases!$Y$2:$Y$328,"&lt;&gt;Reject")&gt;0,"Yes","No")</f>
        <v>Yes</v>
      </c>
      <c r="I57" s="6" t="s">
        <v>3570</v>
      </c>
      <c r="J57" s="7" t="s">
        <v>9</v>
      </c>
      <c r="K57" s="6" t="s">
        <v>4009</v>
      </c>
      <c r="L57" s="6" t="s">
        <v>4010</v>
      </c>
      <c r="M57" s="6" t="s">
        <v>4011</v>
      </c>
      <c r="N57" s="7" t="n">
        <f aca="false">COUNTIFS(TestCases!$U$2:$U$328,$A57,TestCases!$Y$2:$Y$328,"Approve")</f>
        <v>0</v>
      </c>
      <c r="O57" s="7" t="n">
        <f aca="false">COUNTIFS(TestCases!$U$2:$U$328,$A57,TestCases!$Y$2:$Y$328,"Draft")</f>
        <v>2</v>
      </c>
      <c r="P57" s="7" t="n">
        <f aca="false">COUNTIFS(TestCases!$U$2:$U$328,$A57,TestCases!$Y$2:$Y$328,"Reject")</f>
        <v>0</v>
      </c>
    </row>
    <row r="58" customFormat="false" ht="23.25" hidden="false" customHeight="true" outlineLevel="0" collapsed="false">
      <c r="A58" s="7" t="s">
        <v>1396</v>
      </c>
      <c r="B58" s="7" t="s">
        <v>4012</v>
      </c>
      <c r="C58" s="7" t="s">
        <v>1387</v>
      </c>
      <c r="D58" s="6" t="s">
        <v>4013</v>
      </c>
      <c r="E58" s="7" t="s">
        <v>38</v>
      </c>
      <c r="F58" s="7" t="s">
        <v>99</v>
      </c>
      <c r="G58" s="7" t="s">
        <v>69</v>
      </c>
      <c r="H58" s="7" t="str">
        <f aca="false">IF(COUNTIFS(TestCases!$U$2:$U$328,$A58,TestCases!$Y$2:$Y$328,"&lt;&gt;Reject")&gt;0,"Yes","No")</f>
        <v>Yes</v>
      </c>
      <c r="I58" s="6" t="s">
        <v>1397</v>
      </c>
      <c r="J58" s="7" t="s">
        <v>9</v>
      </c>
      <c r="K58" s="6" t="s">
        <v>4014</v>
      </c>
      <c r="L58" s="6" t="s">
        <v>4015</v>
      </c>
      <c r="M58" s="6" t="s">
        <v>138</v>
      </c>
      <c r="N58" s="7" t="n">
        <f aca="false">COUNTIFS(TestCases!$U$2:$U$328,$A58,TestCases!$Y$2:$Y$328,"Approve")</f>
        <v>1</v>
      </c>
      <c r="O58" s="7" t="n">
        <f aca="false">COUNTIFS(TestCases!$U$2:$U$328,$A58,TestCases!$Y$2:$Y$328,"Draft")</f>
        <v>1</v>
      </c>
      <c r="P58" s="7" t="n">
        <f aca="false">COUNTIFS(TestCases!$U$2:$U$328,$A58,TestCases!$Y$2:$Y$328,"Reject")</f>
        <v>0</v>
      </c>
    </row>
    <row r="59" customFormat="false" ht="23.25" hidden="false" customHeight="true" outlineLevel="0" collapsed="false">
      <c r="A59" s="7" t="s">
        <v>1417</v>
      </c>
      <c r="B59" s="7" t="s">
        <v>4016</v>
      </c>
      <c r="C59" s="7" t="s">
        <v>1407</v>
      </c>
      <c r="D59" s="6" t="s">
        <v>4017</v>
      </c>
      <c r="E59" s="7" t="s">
        <v>38</v>
      </c>
      <c r="F59" s="7" t="s">
        <v>99</v>
      </c>
      <c r="G59" s="7" t="s">
        <v>69</v>
      </c>
      <c r="H59" s="7" t="str">
        <f aca="false">IF(COUNTIFS(TestCases!$U$2:$U$328,$A59,TestCases!$Y$2:$Y$328,"&lt;&gt;Reject")&gt;0,"Yes","No")</f>
        <v>Yes</v>
      </c>
      <c r="I59" s="6" t="s">
        <v>1418</v>
      </c>
      <c r="J59" s="7" t="s">
        <v>9</v>
      </c>
      <c r="K59" s="6" t="s">
        <v>4018</v>
      </c>
      <c r="L59" s="6" t="s">
        <v>4019</v>
      </c>
      <c r="M59" s="6" t="s">
        <v>4020</v>
      </c>
      <c r="N59" s="7" t="n">
        <f aca="false">COUNTIFS(TestCases!$U$2:$U$328,$A59,TestCases!$Y$2:$Y$328,"Approve")</f>
        <v>1</v>
      </c>
      <c r="O59" s="7" t="n">
        <f aca="false">COUNTIFS(TestCases!$U$2:$U$328,$A59,TestCases!$Y$2:$Y$328,"Draft")</f>
        <v>1</v>
      </c>
      <c r="P59" s="7" t="n">
        <f aca="false">COUNTIFS(TestCases!$U$2:$U$328,$A59,TestCases!$Y$2:$Y$328,"Reject")</f>
        <v>0</v>
      </c>
    </row>
    <row r="60" customFormat="false" ht="15" hidden="false" customHeight="true" outlineLevel="0" collapsed="false">
      <c r="A60" s="7" t="s">
        <v>1439</v>
      </c>
      <c r="B60" s="7" t="s">
        <v>4021</v>
      </c>
      <c r="C60" s="7" t="s">
        <v>1429</v>
      </c>
      <c r="D60" s="6" t="s">
        <v>4022</v>
      </c>
      <c r="E60" s="7" t="s">
        <v>38</v>
      </c>
      <c r="F60" s="7" t="s">
        <v>99</v>
      </c>
      <c r="G60" s="7" t="s">
        <v>68</v>
      </c>
      <c r="H60" s="7" t="str">
        <f aca="false">IF(COUNTIFS(TestCases!$U$2:$U$328,$A60,TestCases!$Y$2:$Y$328,"&lt;&gt;Reject")&gt;0,"Yes","No")</f>
        <v>Yes</v>
      </c>
      <c r="I60" s="6" t="s">
        <v>138</v>
      </c>
      <c r="J60" s="7" t="s">
        <v>7</v>
      </c>
      <c r="K60" s="6" t="s">
        <v>3807</v>
      </c>
      <c r="L60" s="6" t="s">
        <v>4023</v>
      </c>
      <c r="M60" s="6" t="s">
        <v>138</v>
      </c>
      <c r="N60" s="7" t="n">
        <f aca="false">COUNTIFS(TestCases!$U$2:$U$328,$A60,TestCases!$Y$2:$Y$328,"Approve")</f>
        <v>2</v>
      </c>
      <c r="O60" s="7" t="n">
        <f aca="false">COUNTIFS(TestCases!$U$2:$U$328,$A60,TestCases!$Y$2:$Y$328,"Draft")</f>
        <v>0</v>
      </c>
      <c r="P60" s="7" t="n">
        <f aca="false">COUNTIFS(TestCases!$U$2:$U$328,$A60,TestCases!$Y$2:$Y$328,"Reject")</f>
        <v>0</v>
      </c>
    </row>
    <row r="61" customFormat="false" ht="23.25" hidden="false" customHeight="true" outlineLevel="0" collapsed="false">
      <c r="A61" s="7" t="s">
        <v>1459</v>
      </c>
      <c r="B61" s="7" t="s">
        <v>4024</v>
      </c>
      <c r="C61" s="7" t="s">
        <v>1449</v>
      </c>
      <c r="D61" s="6" t="s">
        <v>4025</v>
      </c>
      <c r="E61" s="7" t="s">
        <v>40</v>
      </c>
      <c r="F61" s="7" t="s">
        <v>99</v>
      </c>
      <c r="G61" s="7" t="s">
        <v>68</v>
      </c>
      <c r="H61" s="7" t="str">
        <f aca="false">IF(COUNTIFS(TestCases!$U$2:$U$328,$A61,TestCases!$Y$2:$Y$328,"&lt;&gt;Reject")&gt;0,"Yes","No")</f>
        <v>Yes</v>
      </c>
      <c r="I61" s="6" t="s">
        <v>1474</v>
      </c>
      <c r="J61" s="7" t="s">
        <v>7</v>
      </c>
      <c r="K61" s="6" t="s">
        <v>3807</v>
      </c>
      <c r="L61" s="6" t="s">
        <v>4026</v>
      </c>
      <c r="M61" s="6" t="s">
        <v>138</v>
      </c>
      <c r="N61" s="7" t="n">
        <f aca="false">COUNTIFS(TestCases!$U$2:$U$328,$A61,TestCases!$Y$2:$Y$328,"Approve")</f>
        <v>2</v>
      </c>
      <c r="O61" s="7" t="n">
        <f aca="false">COUNTIFS(TestCases!$U$2:$U$328,$A61,TestCases!$Y$2:$Y$328,"Draft")</f>
        <v>1</v>
      </c>
      <c r="P61" s="7" t="n">
        <f aca="false">COUNTIFS(TestCases!$U$2:$U$328,$A61,TestCases!$Y$2:$Y$328,"Reject")</f>
        <v>0</v>
      </c>
    </row>
    <row r="62" customFormat="false" ht="23.25" hidden="false" customHeight="true" outlineLevel="0" collapsed="false">
      <c r="A62" s="7" t="s">
        <v>1487</v>
      </c>
      <c r="B62" s="7" t="s">
        <v>4027</v>
      </c>
      <c r="C62" s="7" t="s">
        <v>1477</v>
      </c>
      <c r="D62" s="6" t="s">
        <v>4028</v>
      </c>
      <c r="E62" s="7" t="s">
        <v>38</v>
      </c>
      <c r="F62" s="7" t="s">
        <v>99</v>
      </c>
      <c r="G62" s="7" t="s">
        <v>69</v>
      </c>
      <c r="H62" s="7" t="str">
        <f aca="false">IF(COUNTIFS(TestCases!$U$2:$U$328,$A62,TestCases!$Y$2:$Y$328,"&lt;&gt;Reject")&gt;0,"Yes","No")</f>
        <v>Yes</v>
      </c>
      <c r="I62" s="6" t="s">
        <v>1488</v>
      </c>
      <c r="J62" s="7" t="s">
        <v>9</v>
      </c>
      <c r="K62" s="6" t="s">
        <v>4029</v>
      </c>
      <c r="L62" s="6" t="s">
        <v>4030</v>
      </c>
      <c r="M62" s="6" t="s">
        <v>138</v>
      </c>
      <c r="N62" s="7" t="n">
        <f aca="false">COUNTIFS(TestCases!$U$2:$U$328,$A62,TestCases!$Y$2:$Y$328,"Approve")</f>
        <v>1</v>
      </c>
      <c r="O62" s="7" t="n">
        <f aca="false">COUNTIFS(TestCases!$U$2:$U$328,$A62,TestCases!$Y$2:$Y$328,"Draft")</f>
        <v>1</v>
      </c>
      <c r="P62" s="7" t="n">
        <f aca="false">COUNTIFS(TestCases!$U$2:$U$328,$A62,TestCases!$Y$2:$Y$328,"Reject")</f>
        <v>0</v>
      </c>
    </row>
    <row r="63" customFormat="false" ht="15" hidden="false" customHeight="true" outlineLevel="0" collapsed="false">
      <c r="A63" s="7" t="s">
        <v>1507</v>
      </c>
      <c r="B63" s="7" t="s">
        <v>4031</v>
      </c>
      <c r="C63" s="7" t="s">
        <v>1498</v>
      </c>
      <c r="D63" s="6" t="s">
        <v>4032</v>
      </c>
      <c r="E63" s="7" t="s">
        <v>38</v>
      </c>
      <c r="F63" s="7" t="s">
        <v>100</v>
      </c>
      <c r="G63" s="7" t="s">
        <v>69</v>
      </c>
      <c r="H63" s="7" t="str">
        <f aca="false">IF(COUNTIFS(TestCases!$U$2:$U$328,$A63,TestCases!$Y$2:$Y$328,"&lt;&gt;Reject")&gt;0,"Yes","No")</f>
        <v>Yes</v>
      </c>
      <c r="I63" s="6" t="s">
        <v>879</v>
      </c>
      <c r="J63" s="7" t="s">
        <v>9</v>
      </c>
      <c r="K63" s="6" t="s">
        <v>3946</v>
      </c>
      <c r="L63" s="6" t="s">
        <v>4033</v>
      </c>
      <c r="M63" s="6" t="s">
        <v>138</v>
      </c>
      <c r="N63" s="7" t="n">
        <f aca="false">COUNTIFS(TestCases!$U$2:$U$328,$A63,TestCases!$Y$2:$Y$328,"Approve")</f>
        <v>0</v>
      </c>
      <c r="O63" s="7" t="n">
        <f aca="false">COUNTIFS(TestCases!$U$2:$U$328,$A63,TestCases!$Y$2:$Y$328,"Draft")</f>
        <v>2</v>
      </c>
      <c r="P63" s="7" t="n">
        <f aca="false">COUNTIFS(TestCases!$U$2:$U$328,$A63,TestCases!$Y$2:$Y$328,"Reject")</f>
        <v>0</v>
      </c>
    </row>
    <row r="64" customFormat="false" ht="23.25" hidden="false" customHeight="true" outlineLevel="0" collapsed="false">
      <c r="A64" s="7" t="s">
        <v>1527</v>
      </c>
      <c r="B64" s="7" t="s">
        <v>4034</v>
      </c>
      <c r="C64" s="7" t="s">
        <v>1518</v>
      </c>
      <c r="D64" s="6" t="s">
        <v>4035</v>
      </c>
      <c r="E64" s="7" t="s">
        <v>38</v>
      </c>
      <c r="F64" s="7" t="s">
        <v>100</v>
      </c>
      <c r="G64" s="7" t="s">
        <v>69</v>
      </c>
      <c r="H64" s="7" t="str">
        <f aca="false">IF(COUNTIFS(TestCases!$U$2:$U$328,$A64,TestCases!$Y$2:$Y$328,"&lt;&gt;Reject")&gt;0,"Yes","No")</f>
        <v>Yes</v>
      </c>
      <c r="I64" s="6" t="s">
        <v>1528</v>
      </c>
      <c r="J64" s="7" t="s">
        <v>9</v>
      </c>
      <c r="K64" s="6" t="s">
        <v>4036</v>
      </c>
      <c r="L64" s="6" t="s">
        <v>4037</v>
      </c>
      <c r="M64" s="6" t="s">
        <v>4038</v>
      </c>
      <c r="N64" s="7" t="n">
        <f aca="false">COUNTIFS(TestCases!$U$2:$U$328,$A64,TestCases!$Y$2:$Y$328,"Approve")</f>
        <v>0</v>
      </c>
      <c r="O64" s="7" t="n">
        <f aca="false">COUNTIFS(TestCases!$U$2:$U$328,$A64,TestCases!$Y$2:$Y$328,"Draft")</f>
        <v>3</v>
      </c>
      <c r="P64" s="7" t="n">
        <f aca="false">COUNTIFS(TestCases!$U$2:$U$328,$A64,TestCases!$Y$2:$Y$328,"Reject")</f>
        <v>0</v>
      </c>
    </row>
    <row r="65" customFormat="false" ht="23.25" hidden="false" customHeight="true" outlineLevel="0" collapsed="false">
      <c r="A65" s="7" t="s">
        <v>1556</v>
      </c>
      <c r="B65" s="7" t="s">
        <v>4039</v>
      </c>
      <c r="C65" s="7" t="s">
        <v>1546</v>
      </c>
      <c r="D65" s="6" t="s">
        <v>4040</v>
      </c>
      <c r="E65" s="7" t="s">
        <v>40</v>
      </c>
      <c r="F65" s="7" t="s">
        <v>100</v>
      </c>
      <c r="G65" s="7" t="s">
        <v>68</v>
      </c>
      <c r="H65" s="7" t="str">
        <f aca="false">IF(COUNTIFS(TestCases!$U$2:$U$328,$A65,TestCases!$Y$2:$Y$328,"&lt;&gt;Reject")&gt;0,"Yes","No")</f>
        <v>Yes</v>
      </c>
      <c r="I65" s="6" t="s">
        <v>357</v>
      </c>
      <c r="J65" s="7" t="s">
        <v>7</v>
      </c>
      <c r="K65" s="6" t="s">
        <v>3807</v>
      </c>
      <c r="L65" s="6" t="s">
        <v>4041</v>
      </c>
      <c r="M65" s="6" t="s">
        <v>4042</v>
      </c>
      <c r="N65" s="7" t="n">
        <f aca="false">COUNTIFS(TestCases!$U$2:$U$328,$A65,TestCases!$Y$2:$Y$328,"Approve")</f>
        <v>0</v>
      </c>
      <c r="O65" s="7" t="n">
        <f aca="false">COUNTIFS(TestCases!$U$2:$U$328,$A65,TestCases!$Y$2:$Y$328,"Draft")</f>
        <v>2</v>
      </c>
      <c r="P65" s="7" t="n">
        <f aca="false">COUNTIFS(TestCases!$U$2:$U$328,$A65,TestCases!$Y$2:$Y$328,"Reject")</f>
        <v>0</v>
      </c>
    </row>
    <row r="66" customFormat="false" ht="23.25" hidden="false" customHeight="true" outlineLevel="0" collapsed="false">
      <c r="A66" s="7" t="s">
        <v>1576</v>
      </c>
      <c r="B66" s="7" t="s">
        <v>4043</v>
      </c>
      <c r="C66" s="7" t="s">
        <v>1566</v>
      </c>
      <c r="D66" s="6" t="s">
        <v>4044</v>
      </c>
      <c r="E66" s="7" t="s">
        <v>38</v>
      </c>
      <c r="F66" s="7" t="s">
        <v>100</v>
      </c>
      <c r="G66" s="7" t="s">
        <v>69</v>
      </c>
      <c r="H66" s="7" t="str">
        <f aca="false">IF(COUNTIFS(TestCases!$U$2:$U$328,$A66,TestCases!$Y$2:$Y$328,"&lt;&gt;Reject")&gt;0,"Yes","No")</f>
        <v>Yes</v>
      </c>
      <c r="I66" s="6" t="s">
        <v>1577</v>
      </c>
      <c r="J66" s="7" t="s">
        <v>9</v>
      </c>
      <c r="K66" s="6" t="s">
        <v>4045</v>
      </c>
      <c r="L66" s="6" t="s">
        <v>4046</v>
      </c>
      <c r="M66" s="6" t="s">
        <v>4047</v>
      </c>
      <c r="N66" s="7" t="n">
        <f aca="false">COUNTIFS(TestCases!$U$2:$U$328,$A66,TestCases!$Y$2:$Y$328,"Approve")</f>
        <v>1</v>
      </c>
      <c r="O66" s="7" t="n">
        <f aca="false">COUNTIFS(TestCases!$U$2:$U$328,$A66,TestCases!$Y$2:$Y$328,"Draft")</f>
        <v>2</v>
      </c>
      <c r="P66" s="7" t="n">
        <f aca="false">COUNTIFS(TestCases!$U$2:$U$328,$A66,TestCases!$Y$2:$Y$328,"Reject")</f>
        <v>0</v>
      </c>
    </row>
    <row r="67" customFormat="false" ht="23.25" hidden="false" customHeight="true" outlineLevel="0" collapsed="false">
      <c r="A67" s="7" t="s">
        <v>1605</v>
      </c>
      <c r="B67" s="7" t="s">
        <v>4048</v>
      </c>
      <c r="C67" s="7" t="s">
        <v>1595</v>
      </c>
      <c r="D67" s="6" t="s">
        <v>4049</v>
      </c>
      <c r="E67" s="7" t="s">
        <v>38</v>
      </c>
      <c r="F67" s="7" t="s">
        <v>99</v>
      </c>
      <c r="G67" s="7" t="s">
        <v>68</v>
      </c>
      <c r="H67" s="7" t="str">
        <f aca="false">IF(COUNTIFS(TestCases!$U$2:$U$328,$A67,TestCases!$Y$2:$Y$328,"&lt;&gt;Reject")&gt;0,"Yes","No")</f>
        <v>Yes</v>
      </c>
      <c r="I67" s="6" t="s">
        <v>138</v>
      </c>
      <c r="J67" s="7" t="s">
        <v>7</v>
      </c>
      <c r="K67" s="6" t="s">
        <v>3807</v>
      </c>
      <c r="L67" s="6" t="s">
        <v>1594</v>
      </c>
      <c r="M67" s="6" t="s">
        <v>138</v>
      </c>
      <c r="N67" s="7" t="n">
        <f aca="false">COUNTIFS(TestCases!$U$2:$U$328,$A67,TestCases!$Y$2:$Y$328,"Approve")</f>
        <v>1</v>
      </c>
      <c r="O67" s="7" t="n">
        <f aca="false">COUNTIFS(TestCases!$U$2:$U$328,$A67,TestCases!$Y$2:$Y$328,"Draft")</f>
        <v>0</v>
      </c>
      <c r="P67" s="7" t="n">
        <f aca="false">COUNTIFS(TestCases!$U$2:$U$328,$A67,TestCases!$Y$2:$Y$328,"Reject")</f>
        <v>0</v>
      </c>
    </row>
    <row r="68" customFormat="false" ht="15" hidden="false" customHeight="true" outlineLevel="0" collapsed="false">
      <c r="A68" s="7" t="s">
        <v>1618</v>
      </c>
      <c r="B68" s="7" t="s">
        <v>4050</v>
      </c>
      <c r="C68" s="7" t="s">
        <v>1608</v>
      </c>
      <c r="D68" s="6" t="s">
        <v>4051</v>
      </c>
      <c r="E68" s="7" t="s">
        <v>40</v>
      </c>
      <c r="F68" s="7" t="s">
        <v>100</v>
      </c>
      <c r="G68" s="7" t="s">
        <v>68</v>
      </c>
      <c r="H68" s="7" t="str">
        <f aca="false">IF(COUNTIFS(TestCases!$U$2:$U$328,$A68,TestCases!$Y$2:$Y$328,"&lt;&gt;Reject")&gt;0,"Yes","No")</f>
        <v>Yes</v>
      </c>
      <c r="I68" s="6" t="s">
        <v>700</v>
      </c>
      <c r="J68" s="7" t="s">
        <v>7</v>
      </c>
      <c r="K68" s="6" t="s">
        <v>3807</v>
      </c>
      <c r="L68" s="6" t="s">
        <v>4052</v>
      </c>
      <c r="M68" s="6" t="s">
        <v>4053</v>
      </c>
      <c r="N68" s="7" t="n">
        <f aca="false">COUNTIFS(TestCases!$U$2:$U$328,$A68,TestCases!$Y$2:$Y$328,"Approve")</f>
        <v>1</v>
      </c>
      <c r="O68" s="7" t="n">
        <f aca="false">COUNTIFS(TestCases!$U$2:$U$328,$A68,TestCases!$Y$2:$Y$328,"Draft")</f>
        <v>1</v>
      </c>
      <c r="P68" s="7" t="n">
        <f aca="false">COUNTIFS(TestCases!$U$2:$U$328,$A68,TestCases!$Y$2:$Y$328,"Reject")</f>
        <v>0</v>
      </c>
    </row>
    <row r="69" customFormat="false" ht="15" hidden="false" customHeight="true" outlineLevel="0" collapsed="false">
      <c r="A69" s="7" t="s">
        <v>1637</v>
      </c>
      <c r="B69" s="7" t="s">
        <v>4054</v>
      </c>
      <c r="C69" s="7" t="s">
        <v>1628</v>
      </c>
      <c r="D69" s="6" t="s">
        <v>4055</v>
      </c>
      <c r="E69" s="7" t="s">
        <v>40</v>
      </c>
      <c r="F69" s="7" t="s">
        <v>101</v>
      </c>
      <c r="G69" s="7" t="s">
        <v>69</v>
      </c>
      <c r="H69" s="7" t="str">
        <f aca="false">IF(COUNTIFS(TestCases!$U$2:$U$328,$A69,TestCases!$Y$2:$Y$328,"&lt;&gt;Reject")&gt;0,"Yes","No")</f>
        <v>Yes</v>
      </c>
      <c r="I69" s="6" t="s">
        <v>1638</v>
      </c>
      <c r="J69" s="7" t="s">
        <v>9</v>
      </c>
      <c r="K69" s="6" t="s">
        <v>4056</v>
      </c>
      <c r="L69" s="6" t="s">
        <v>4057</v>
      </c>
      <c r="M69" s="6" t="s">
        <v>4058</v>
      </c>
      <c r="N69" s="7" t="n">
        <f aca="false">COUNTIFS(TestCases!$U$2:$U$328,$A69,TestCases!$Y$2:$Y$328,"Approve")</f>
        <v>0</v>
      </c>
      <c r="O69" s="7" t="n">
        <f aca="false">COUNTIFS(TestCases!$U$2:$U$328,$A69,TestCases!$Y$2:$Y$328,"Draft")</f>
        <v>2</v>
      </c>
      <c r="P69" s="7" t="n">
        <f aca="false">COUNTIFS(TestCases!$U$2:$U$328,$A69,TestCases!$Y$2:$Y$328,"Reject")</f>
        <v>0</v>
      </c>
    </row>
    <row r="70" customFormat="false" ht="23.25" hidden="false" customHeight="true" outlineLevel="0" collapsed="false">
      <c r="A70" s="7" t="s">
        <v>1658</v>
      </c>
      <c r="B70" s="7" t="s">
        <v>4059</v>
      </c>
      <c r="C70" s="7" t="s">
        <v>1648</v>
      </c>
      <c r="D70" s="6" t="s">
        <v>4060</v>
      </c>
      <c r="E70" s="7" t="s">
        <v>40</v>
      </c>
      <c r="F70" s="7" t="s">
        <v>99</v>
      </c>
      <c r="G70" s="7" t="s">
        <v>68</v>
      </c>
      <c r="H70" s="7" t="str">
        <f aca="false">IF(COUNTIFS(TestCases!$U$2:$U$328,$A70,TestCases!$Y$2:$Y$328,"&lt;&gt;Reject")&gt;0,"Yes","No")</f>
        <v>Yes</v>
      </c>
      <c r="I70" s="6" t="s">
        <v>3597</v>
      </c>
      <c r="J70" s="7" t="s">
        <v>7</v>
      </c>
      <c r="K70" s="6" t="s">
        <v>3807</v>
      </c>
      <c r="L70" s="6" t="s">
        <v>4061</v>
      </c>
      <c r="M70" s="6" t="s">
        <v>4062</v>
      </c>
      <c r="N70" s="7" t="n">
        <f aca="false">COUNTIFS(TestCases!$U$2:$U$328,$A70,TestCases!$Y$2:$Y$328,"Approve")</f>
        <v>2</v>
      </c>
      <c r="O70" s="7" t="n">
        <f aca="false">COUNTIFS(TestCases!$U$2:$U$328,$A70,TestCases!$Y$2:$Y$328,"Draft")</f>
        <v>0</v>
      </c>
      <c r="P70" s="7" t="n">
        <f aca="false">COUNTIFS(TestCases!$U$2:$U$328,$A70,TestCases!$Y$2:$Y$328,"Reject")</f>
        <v>0</v>
      </c>
    </row>
    <row r="71" customFormat="false" ht="23.25" hidden="false" customHeight="true" outlineLevel="0" collapsed="false">
      <c r="A71" s="7" t="s">
        <v>1679</v>
      </c>
      <c r="B71" s="7" t="s">
        <v>4063</v>
      </c>
      <c r="C71" s="7" t="s">
        <v>1669</v>
      </c>
      <c r="D71" s="6" t="s">
        <v>4064</v>
      </c>
      <c r="E71" s="7" t="s">
        <v>40</v>
      </c>
      <c r="F71" s="7" t="s">
        <v>101</v>
      </c>
      <c r="G71" s="7" t="s">
        <v>69</v>
      </c>
      <c r="H71" s="7" t="str">
        <f aca="false">IF(COUNTIFS(TestCases!$U$2:$U$328,$A71,TestCases!$Y$2:$Y$328,"&lt;&gt;Reject")&gt;0,"Yes","No")</f>
        <v>Yes</v>
      </c>
      <c r="I71" s="6" t="s">
        <v>528</v>
      </c>
      <c r="J71" s="7" t="s">
        <v>9</v>
      </c>
      <c r="K71" s="6" t="s">
        <v>4065</v>
      </c>
      <c r="L71" s="6" t="s">
        <v>4066</v>
      </c>
      <c r="M71" s="6" t="s">
        <v>4067</v>
      </c>
      <c r="N71" s="7" t="n">
        <f aca="false">COUNTIFS(TestCases!$U$2:$U$328,$A71,TestCases!$Y$2:$Y$328,"Approve")</f>
        <v>0</v>
      </c>
      <c r="O71" s="7" t="n">
        <f aca="false">COUNTIFS(TestCases!$U$2:$U$328,$A71,TestCases!$Y$2:$Y$328,"Draft")</f>
        <v>2</v>
      </c>
      <c r="P71" s="7" t="n">
        <f aca="false">COUNTIFS(TestCases!$U$2:$U$328,$A71,TestCases!$Y$2:$Y$328,"Reject")</f>
        <v>0</v>
      </c>
    </row>
    <row r="72" customFormat="false" ht="34.5" hidden="false" customHeight="true" outlineLevel="0" collapsed="false">
      <c r="A72" s="7" t="s">
        <v>1699</v>
      </c>
      <c r="B72" s="7" t="s">
        <v>4068</v>
      </c>
      <c r="C72" s="7" t="s">
        <v>1690</v>
      </c>
      <c r="D72" s="6" t="s">
        <v>4069</v>
      </c>
      <c r="E72" s="7" t="s">
        <v>38</v>
      </c>
      <c r="F72" s="7" t="s">
        <v>469</v>
      </c>
      <c r="G72" s="7" t="s">
        <v>69</v>
      </c>
      <c r="H72" s="7" t="str">
        <f aca="false">IF(COUNTIFS(TestCases!$U$2:$U$328,$A72,TestCases!$Y$2:$Y$328,"&lt;&gt;Reject")&gt;0,"Yes","No")</f>
        <v>Yes</v>
      </c>
      <c r="I72" s="6" t="s">
        <v>1474</v>
      </c>
      <c r="J72" s="7" t="s">
        <v>9</v>
      </c>
      <c r="K72" s="6" t="s">
        <v>4070</v>
      </c>
      <c r="L72" s="6" t="s">
        <v>4071</v>
      </c>
      <c r="M72" s="6" t="s">
        <v>138</v>
      </c>
      <c r="N72" s="7" t="n">
        <f aca="false">COUNTIFS(TestCases!$U$2:$U$328,$A72,TestCases!$Y$2:$Y$328,"Approve")</f>
        <v>0</v>
      </c>
      <c r="O72" s="7" t="n">
        <f aca="false">COUNTIFS(TestCases!$U$2:$U$328,$A72,TestCases!$Y$2:$Y$328,"Draft")</f>
        <v>2</v>
      </c>
      <c r="P72" s="7" t="n">
        <f aca="false">COUNTIFS(TestCases!$U$2:$U$328,$A72,TestCases!$Y$2:$Y$328,"Reject")</f>
        <v>0</v>
      </c>
    </row>
    <row r="73" customFormat="false" ht="23.25" hidden="false" customHeight="true" outlineLevel="0" collapsed="false">
      <c r="A73" s="7" t="s">
        <v>1719</v>
      </c>
      <c r="B73" s="7" t="s">
        <v>4072</v>
      </c>
      <c r="C73" s="7" t="s">
        <v>1709</v>
      </c>
      <c r="D73" s="6" t="s">
        <v>4073</v>
      </c>
      <c r="E73" s="7" t="s">
        <v>38</v>
      </c>
      <c r="F73" s="7" t="s">
        <v>100</v>
      </c>
      <c r="G73" s="7" t="s">
        <v>69</v>
      </c>
      <c r="H73" s="7" t="str">
        <f aca="false">IF(COUNTIFS(TestCases!$U$2:$U$328,$A73,TestCases!$Y$2:$Y$328,"&lt;&gt;Reject")&gt;0,"Yes","No")</f>
        <v>Yes</v>
      </c>
      <c r="I73" s="6" t="s">
        <v>1720</v>
      </c>
      <c r="J73" s="7" t="s">
        <v>9</v>
      </c>
      <c r="K73" s="6" t="s">
        <v>4074</v>
      </c>
      <c r="L73" s="6" t="s">
        <v>4075</v>
      </c>
      <c r="M73" s="6" t="s">
        <v>4076</v>
      </c>
      <c r="N73" s="7" t="n">
        <f aca="false">COUNTIFS(TestCases!$U$2:$U$328,$A73,TestCases!$Y$2:$Y$328,"Approve")</f>
        <v>1</v>
      </c>
      <c r="O73" s="7" t="n">
        <f aca="false">COUNTIFS(TestCases!$U$2:$U$328,$A73,TestCases!$Y$2:$Y$328,"Draft")</f>
        <v>1</v>
      </c>
      <c r="P73" s="7" t="n">
        <f aca="false">COUNTIFS(TestCases!$U$2:$U$328,$A73,TestCases!$Y$2:$Y$328,"Reject")</f>
        <v>0</v>
      </c>
    </row>
    <row r="74" customFormat="false" ht="23.25" hidden="false" customHeight="true" outlineLevel="0" collapsed="false">
      <c r="A74" s="7" t="s">
        <v>1741</v>
      </c>
      <c r="B74" s="7" t="s">
        <v>4077</v>
      </c>
      <c r="C74" s="7" t="s">
        <v>1731</v>
      </c>
      <c r="D74" s="6" t="s">
        <v>4078</v>
      </c>
      <c r="E74" s="7" t="s">
        <v>38</v>
      </c>
      <c r="F74" s="7" t="s">
        <v>100</v>
      </c>
      <c r="G74" s="7" t="s">
        <v>69</v>
      </c>
      <c r="H74" s="7" t="str">
        <f aca="false">IF(COUNTIFS(TestCases!$U$2:$U$328,$A74,TestCases!$Y$2:$Y$328,"&lt;&gt;Reject")&gt;0,"Yes","No")</f>
        <v>Yes</v>
      </c>
      <c r="I74" s="6" t="s">
        <v>1474</v>
      </c>
      <c r="J74" s="7" t="s">
        <v>9</v>
      </c>
      <c r="K74" s="6" t="s">
        <v>4070</v>
      </c>
      <c r="L74" s="6" t="s">
        <v>1730</v>
      </c>
      <c r="M74" s="6" t="s">
        <v>138</v>
      </c>
      <c r="N74" s="7" t="n">
        <f aca="false">COUNTIFS(TestCases!$U$2:$U$328,$A74,TestCases!$Y$2:$Y$328,"Approve")</f>
        <v>0</v>
      </c>
      <c r="O74" s="7" t="n">
        <f aca="false">COUNTIFS(TestCases!$U$2:$U$328,$A74,TestCases!$Y$2:$Y$328,"Draft")</f>
        <v>1</v>
      </c>
      <c r="P74" s="7" t="n">
        <f aca="false">COUNTIFS(TestCases!$U$2:$U$328,$A74,TestCases!$Y$2:$Y$328,"Reject")</f>
        <v>0</v>
      </c>
    </row>
    <row r="75" customFormat="false" ht="23.25" hidden="false" customHeight="true" outlineLevel="0" collapsed="false">
      <c r="A75" s="7" t="s">
        <v>1754</v>
      </c>
      <c r="B75" s="7" t="s">
        <v>4079</v>
      </c>
      <c r="C75" s="7" t="s">
        <v>1744</v>
      </c>
      <c r="D75" s="6" t="s">
        <v>4080</v>
      </c>
      <c r="E75" s="7" t="s">
        <v>38</v>
      </c>
      <c r="F75" s="7" t="s">
        <v>100</v>
      </c>
      <c r="G75" s="7" t="s">
        <v>68</v>
      </c>
      <c r="H75" s="7" t="str">
        <f aca="false">IF(COUNTIFS(TestCases!$U$2:$U$328,$A75,TestCases!$Y$2:$Y$328,"&lt;&gt;Reject")&gt;0,"Yes","No")</f>
        <v>Yes</v>
      </c>
      <c r="I75" s="6" t="s">
        <v>138</v>
      </c>
      <c r="J75" s="7" t="s">
        <v>7</v>
      </c>
      <c r="K75" s="6" t="s">
        <v>3807</v>
      </c>
      <c r="L75" s="6" t="s">
        <v>4081</v>
      </c>
      <c r="M75" s="6" t="s">
        <v>138</v>
      </c>
      <c r="N75" s="7" t="n">
        <f aca="false">COUNTIFS(TestCases!$U$2:$U$328,$A75,TestCases!$Y$2:$Y$328,"Approve")</f>
        <v>2</v>
      </c>
      <c r="O75" s="7" t="n">
        <f aca="false">COUNTIFS(TestCases!$U$2:$U$328,$A75,TestCases!$Y$2:$Y$328,"Draft")</f>
        <v>0</v>
      </c>
      <c r="P75" s="7" t="n">
        <f aca="false">COUNTIFS(TestCases!$U$2:$U$328,$A75,TestCases!$Y$2:$Y$328,"Reject")</f>
        <v>0</v>
      </c>
    </row>
    <row r="76" customFormat="false" ht="23.25" hidden="false" customHeight="true" outlineLevel="0" collapsed="false">
      <c r="A76" s="7" t="s">
        <v>1773</v>
      </c>
      <c r="B76" s="7" t="s">
        <v>4082</v>
      </c>
      <c r="C76" s="7" t="s">
        <v>1764</v>
      </c>
      <c r="D76" s="6" t="s">
        <v>4083</v>
      </c>
      <c r="E76" s="7" t="s">
        <v>38</v>
      </c>
      <c r="F76" s="7" t="s">
        <v>100</v>
      </c>
      <c r="G76" s="7" t="s">
        <v>69</v>
      </c>
      <c r="H76" s="7" t="str">
        <f aca="false">IF(COUNTIFS(TestCases!$U$2:$U$328,$A76,TestCases!$Y$2:$Y$328,"&lt;&gt;Reject")&gt;0,"Yes","No")</f>
        <v>Yes</v>
      </c>
      <c r="I76" s="6" t="s">
        <v>1774</v>
      </c>
      <c r="J76" s="7" t="s">
        <v>9</v>
      </c>
      <c r="K76" s="6" t="s">
        <v>4084</v>
      </c>
      <c r="L76" s="6" t="s">
        <v>4085</v>
      </c>
      <c r="M76" s="6" t="s">
        <v>138</v>
      </c>
      <c r="N76" s="7" t="n">
        <f aca="false">COUNTIFS(TestCases!$U$2:$U$328,$A76,TestCases!$Y$2:$Y$328,"Approve")</f>
        <v>0</v>
      </c>
      <c r="O76" s="7" t="n">
        <f aca="false">COUNTIFS(TestCases!$U$2:$U$328,$A76,TestCases!$Y$2:$Y$328,"Draft")</f>
        <v>2</v>
      </c>
      <c r="P76" s="7" t="n">
        <f aca="false">COUNTIFS(TestCases!$U$2:$U$328,$A76,TestCases!$Y$2:$Y$328,"Reject")</f>
        <v>0</v>
      </c>
    </row>
    <row r="77" customFormat="false" ht="23.25" hidden="false" customHeight="true" outlineLevel="0" collapsed="false">
      <c r="A77" s="7" t="s">
        <v>1793</v>
      </c>
      <c r="B77" s="7" t="s">
        <v>4086</v>
      </c>
      <c r="C77" s="7" t="s">
        <v>1784</v>
      </c>
      <c r="D77" s="6" t="s">
        <v>4087</v>
      </c>
      <c r="E77" s="7" t="s">
        <v>38</v>
      </c>
      <c r="F77" s="7" t="s">
        <v>100</v>
      </c>
      <c r="G77" s="7" t="s">
        <v>68</v>
      </c>
      <c r="H77" s="7" t="str">
        <f aca="false">IF(COUNTIFS(TestCases!$U$2:$U$328,$A77,TestCases!$Y$2:$Y$328,"&lt;&gt;Reject")&gt;0,"Yes","No")</f>
        <v>Yes</v>
      </c>
      <c r="I77" s="6" t="s">
        <v>138</v>
      </c>
      <c r="J77" s="7" t="s">
        <v>7</v>
      </c>
      <c r="K77" s="6" t="s">
        <v>3807</v>
      </c>
      <c r="L77" s="6" t="s">
        <v>1783</v>
      </c>
      <c r="M77" s="6" t="s">
        <v>138</v>
      </c>
      <c r="N77" s="7" t="n">
        <f aca="false">COUNTIFS(TestCases!$U$2:$U$328,$A77,TestCases!$Y$2:$Y$328,"Approve")</f>
        <v>1</v>
      </c>
      <c r="O77" s="7" t="n">
        <f aca="false">COUNTIFS(TestCases!$U$2:$U$328,$A77,TestCases!$Y$2:$Y$328,"Draft")</f>
        <v>0</v>
      </c>
      <c r="P77" s="7" t="n">
        <f aca="false">COUNTIFS(TestCases!$U$2:$U$328,$A77,TestCases!$Y$2:$Y$328,"Reject")</f>
        <v>0</v>
      </c>
    </row>
    <row r="78" customFormat="false" ht="23.25" hidden="false" customHeight="true" outlineLevel="0" collapsed="false">
      <c r="A78" s="7" t="s">
        <v>1806</v>
      </c>
      <c r="B78" s="7" t="s">
        <v>4088</v>
      </c>
      <c r="C78" s="7" t="s">
        <v>1796</v>
      </c>
      <c r="D78" s="6" t="s">
        <v>4089</v>
      </c>
      <c r="E78" s="7" t="s">
        <v>38</v>
      </c>
      <c r="F78" s="7" t="s">
        <v>100</v>
      </c>
      <c r="G78" s="7" t="s">
        <v>69</v>
      </c>
      <c r="H78" s="7" t="str">
        <f aca="false">IF(COUNTIFS(TestCases!$U$2:$U$328,$A78,TestCases!$Y$2:$Y$328,"&lt;&gt;Reject")&gt;0,"Yes","No")</f>
        <v>Yes</v>
      </c>
      <c r="I78" s="6" t="s">
        <v>1397</v>
      </c>
      <c r="J78" s="7" t="s">
        <v>9</v>
      </c>
      <c r="K78" s="6" t="s">
        <v>4014</v>
      </c>
      <c r="L78" s="6" t="s">
        <v>1795</v>
      </c>
      <c r="M78" s="6" t="s">
        <v>138</v>
      </c>
      <c r="N78" s="7" t="n">
        <f aca="false">COUNTIFS(TestCases!$U$2:$U$328,$A78,TestCases!$Y$2:$Y$328,"Approve")</f>
        <v>0</v>
      </c>
      <c r="O78" s="7" t="n">
        <f aca="false">COUNTIFS(TestCases!$U$2:$U$328,$A78,TestCases!$Y$2:$Y$328,"Draft")</f>
        <v>1</v>
      </c>
      <c r="P78" s="7" t="n">
        <f aca="false">COUNTIFS(TestCases!$U$2:$U$328,$A78,TestCases!$Y$2:$Y$328,"Reject")</f>
        <v>0</v>
      </c>
    </row>
    <row r="79" customFormat="false" ht="23.25" hidden="false" customHeight="true" outlineLevel="0" collapsed="false">
      <c r="A79" s="7" t="s">
        <v>1818</v>
      </c>
      <c r="B79" s="7" t="s">
        <v>4090</v>
      </c>
      <c r="C79" s="7" t="s">
        <v>1809</v>
      </c>
      <c r="D79" s="6" t="s">
        <v>4091</v>
      </c>
      <c r="E79" s="7" t="s">
        <v>38</v>
      </c>
      <c r="F79" s="7" t="s">
        <v>100</v>
      </c>
      <c r="G79" s="7" t="s">
        <v>68</v>
      </c>
      <c r="H79" s="7" t="str">
        <f aca="false">IF(COUNTIFS(TestCases!$U$2:$U$328,$A79,TestCases!$Y$2:$Y$328,"&lt;&gt;Reject")&gt;0,"Yes","No")</f>
        <v>Yes</v>
      </c>
      <c r="I79" s="6" t="s">
        <v>138</v>
      </c>
      <c r="J79" s="7" t="s">
        <v>7</v>
      </c>
      <c r="K79" s="6" t="s">
        <v>3807</v>
      </c>
      <c r="L79" s="6" t="s">
        <v>1808</v>
      </c>
      <c r="M79" s="6" t="s">
        <v>4092</v>
      </c>
      <c r="N79" s="7" t="n">
        <f aca="false">COUNTIFS(TestCases!$U$2:$U$328,$A79,TestCases!$Y$2:$Y$328,"Approve")</f>
        <v>1</v>
      </c>
      <c r="O79" s="7" t="n">
        <f aca="false">COUNTIFS(TestCases!$U$2:$U$328,$A79,TestCases!$Y$2:$Y$328,"Draft")</f>
        <v>0</v>
      </c>
      <c r="P79" s="7" t="n">
        <f aca="false">COUNTIFS(TestCases!$U$2:$U$328,$A79,TestCases!$Y$2:$Y$328,"Reject")</f>
        <v>0</v>
      </c>
    </row>
    <row r="80" customFormat="false" ht="15" hidden="false" customHeight="true" outlineLevel="0" collapsed="false">
      <c r="A80" s="7" t="s">
        <v>1830</v>
      </c>
      <c r="B80" s="7" t="s">
        <v>4093</v>
      </c>
      <c r="C80" s="7" t="s">
        <v>1821</v>
      </c>
      <c r="D80" s="6" t="s">
        <v>4094</v>
      </c>
      <c r="E80" s="7" t="s">
        <v>38</v>
      </c>
      <c r="F80" s="7" t="s">
        <v>100</v>
      </c>
      <c r="G80" s="7" t="s">
        <v>68</v>
      </c>
      <c r="H80" s="7" t="str">
        <f aca="false">IF(COUNTIFS(TestCases!$U$2:$U$328,$A80,TestCases!$Y$2:$Y$328,"&lt;&gt;Reject")&gt;0,"Yes","No")</f>
        <v>Yes</v>
      </c>
      <c r="I80" s="6" t="s">
        <v>138</v>
      </c>
      <c r="J80" s="7" t="s">
        <v>7</v>
      </c>
      <c r="K80" s="6" t="s">
        <v>3807</v>
      </c>
      <c r="L80" s="6" t="s">
        <v>1820</v>
      </c>
      <c r="M80" s="6" t="s">
        <v>138</v>
      </c>
      <c r="N80" s="7" t="n">
        <f aca="false">COUNTIFS(TestCases!$U$2:$U$328,$A80,TestCases!$Y$2:$Y$328,"Approve")</f>
        <v>1</v>
      </c>
      <c r="O80" s="7" t="n">
        <f aca="false">COUNTIFS(TestCases!$U$2:$U$328,$A80,TestCases!$Y$2:$Y$328,"Draft")</f>
        <v>0</v>
      </c>
      <c r="P80" s="7" t="n">
        <f aca="false">COUNTIFS(TestCases!$U$2:$U$328,$A80,TestCases!$Y$2:$Y$328,"Reject")</f>
        <v>0</v>
      </c>
    </row>
    <row r="81" customFormat="false" ht="23.25" hidden="false" customHeight="true" outlineLevel="0" collapsed="false">
      <c r="A81" s="7" t="s">
        <v>1842</v>
      </c>
      <c r="B81" s="7" t="s">
        <v>4095</v>
      </c>
      <c r="C81" s="7" t="s">
        <v>1833</v>
      </c>
      <c r="D81" s="6" t="s">
        <v>4096</v>
      </c>
      <c r="E81" s="7" t="s">
        <v>38</v>
      </c>
      <c r="F81" s="7" t="s">
        <v>100</v>
      </c>
      <c r="G81" s="7" t="s">
        <v>69</v>
      </c>
      <c r="H81" s="7" t="str">
        <f aca="false">IF(COUNTIFS(TestCases!$U$2:$U$328,$A81,TestCases!$Y$2:$Y$328,"&lt;&gt;Reject")&gt;0,"Yes","No")</f>
        <v>Yes</v>
      </c>
      <c r="I81" s="6" t="s">
        <v>1488</v>
      </c>
      <c r="J81" s="7" t="s">
        <v>9</v>
      </c>
      <c r="K81" s="6" t="s">
        <v>4029</v>
      </c>
      <c r="L81" s="6" t="s">
        <v>1832</v>
      </c>
      <c r="M81" s="6" t="s">
        <v>138</v>
      </c>
      <c r="N81" s="7" t="n">
        <f aca="false">COUNTIFS(TestCases!$U$2:$U$328,$A81,TestCases!$Y$2:$Y$328,"Approve")</f>
        <v>0</v>
      </c>
      <c r="O81" s="7" t="n">
        <f aca="false">COUNTIFS(TestCases!$U$2:$U$328,$A81,TestCases!$Y$2:$Y$328,"Draft")</f>
        <v>1</v>
      </c>
      <c r="P81" s="7" t="n">
        <f aca="false">COUNTIFS(TestCases!$U$2:$U$328,$A81,TestCases!$Y$2:$Y$328,"Reject")</f>
        <v>0</v>
      </c>
    </row>
    <row r="82" customFormat="false" ht="23.25" hidden="false" customHeight="true" outlineLevel="0" collapsed="false">
      <c r="A82" s="7" t="s">
        <v>1854</v>
      </c>
      <c r="B82" s="7" t="s">
        <v>4097</v>
      </c>
      <c r="C82" s="7" t="s">
        <v>1845</v>
      </c>
      <c r="D82" s="6" t="s">
        <v>4098</v>
      </c>
      <c r="E82" s="7" t="s">
        <v>38</v>
      </c>
      <c r="F82" s="7" t="s">
        <v>100</v>
      </c>
      <c r="G82" s="7" t="s">
        <v>69</v>
      </c>
      <c r="H82" s="7" t="str">
        <f aca="false">IF(COUNTIFS(TestCases!$U$2:$U$328,$A82,TestCases!$Y$2:$Y$328,"&lt;&gt;Reject")&gt;0,"Yes","No")</f>
        <v>Yes</v>
      </c>
      <c r="I82" s="6" t="s">
        <v>879</v>
      </c>
      <c r="J82" s="7" t="s">
        <v>9</v>
      </c>
      <c r="K82" s="6" t="s">
        <v>3946</v>
      </c>
      <c r="L82" s="6" t="s">
        <v>1844</v>
      </c>
      <c r="M82" s="6" t="s">
        <v>138</v>
      </c>
      <c r="N82" s="7" t="n">
        <f aca="false">COUNTIFS(TestCases!$U$2:$U$328,$A82,TestCases!$Y$2:$Y$328,"Approve")</f>
        <v>0</v>
      </c>
      <c r="O82" s="7" t="n">
        <f aca="false">COUNTIFS(TestCases!$U$2:$U$328,$A82,TestCases!$Y$2:$Y$328,"Draft")</f>
        <v>1</v>
      </c>
      <c r="P82" s="7" t="n">
        <f aca="false">COUNTIFS(TestCases!$U$2:$U$328,$A82,TestCases!$Y$2:$Y$328,"Reject")</f>
        <v>0</v>
      </c>
    </row>
    <row r="83" customFormat="false" ht="23.25" hidden="false" customHeight="true" outlineLevel="0" collapsed="false">
      <c r="A83" s="7" t="s">
        <v>1864</v>
      </c>
      <c r="B83" s="7" t="s">
        <v>4099</v>
      </c>
      <c r="C83" s="7" t="s">
        <v>1857</v>
      </c>
      <c r="D83" s="6" t="s">
        <v>4100</v>
      </c>
      <c r="E83" s="7" t="s">
        <v>38</v>
      </c>
      <c r="F83" s="7" t="s">
        <v>100</v>
      </c>
      <c r="G83" s="7" t="s">
        <v>69</v>
      </c>
      <c r="H83" s="7" t="str">
        <f aca="false">IF(COUNTIFS(TestCases!$U$2:$U$328,$A83,TestCases!$Y$2:$Y$328,"&lt;&gt;Reject")&gt;0,"Yes","No")</f>
        <v>Yes</v>
      </c>
      <c r="I83" s="6" t="s">
        <v>1774</v>
      </c>
      <c r="J83" s="7" t="s">
        <v>9</v>
      </c>
      <c r="K83" s="6" t="s">
        <v>4084</v>
      </c>
      <c r="L83" s="6" t="s">
        <v>1856</v>
      </c>
      <c r="M83" s="6" t="s">
        <v>138</v>
      </c>
      <c r="N83" s="7" t="n">
        <f aca="false">COUNTIFS(TestCases!$U$2:$U$328,$A83,TestCases!$Y$2:$Y$328,"Approve")</f>
        <v>0</v>
      </c>
      <c r="O83" s="7" t="n">
        <f aca="false">COUNTIFS(TestCases!$U$2:$U$328,$A83,TestCases!$Y$2:$Y$328,"Draft")</f>
        <v>1</v>
      </c>
      <c r="P83" s="7" t="n">
        <f aca="false">COUNTIFS(TestCases!$U$2:$U$328,$A83,TestCases!$Y$2:$Y$328,"Reject")</f>
        <v>0</v>
      </c>
    </row>
    <row r="84" customFormat="false" ht="15" hidden="false" customHeight="true" outlineLevel="0" collapsed="false">
      <c r="A84" s="7" t="s">
        <v>1876</v>
      </c>
      <c r="B84" s="7" t="s">
        <v>4101</v>
      </c>
      <c r="C84" s="7" t="s">
        <v>1867</v>
      </c>
      <c r="D84" s="6" t="s">
        <v>4102</v>
      </c>
      <c r="E84" s="7" t="s">
        <v>38</v>
      </c>
      <c r="F84" s="7" t="s">
        <v>100</v>
      </c>
      <c r="G84" s="7" t="s">
        <v>68</v>
      </c>
      <c r="H84" s="7" t="str">
        <f aca="false">IF(COUNTIFS(TestCases!$U$2:$U$328,$A84,TestCases!$Y$2:$Y$328,"&lt;&gt;Reject")&gt;0,"Yes","No")</f>
        <v>Yes</v>
      </c>
      <c r="I84" s="6" t="s">
        <v>138</v>
      </c>
      <c r="J84" s="7" t="s">
        <v>7</v>
      </c>
      <c r="K84" s="6" t="s">
        <v>3807</v>
      </c>
      <c r="L84" s="6" t="s">
        <v>1866</v>
      </c>
      <c r="M84" s="6" t="s">
        <v>138</v>
      </c>
      <c r="N84" s="7" t="n">
        <f aca="false">COUNTIFS(TestCases!$U$2:$U$328,$A84,TestCases!$Y$2:$Y$328,"Approve")</f>
        <v>1</v>
      </c>
      <c r="O84" s="7" t="n">
        <f aca="false">COUNTIFS(TestCases!$U$2:$U$328,$A84,TestCases!$Y$2:$Y$328,"Draft")</f>
        <v>0</v>
      </c>
      <c r="P84" s="7" t="n">
        <f aca="false">COUNTIFS(TestCases!$U$2:$U$328,$A84,TestCases!$Y$2:$Y$328,"Reject")</f>
        <v>0</v>
      </c>
    </row>
    <row r="85" customFormat="false" ht="23.25" hidden="false" customHeight="true" outlineLevel="0" collapsed="false">
      <c r="A85" s="7" t="s">
        <v>1889</v>
      </c>
      <c r="B85" s="7" t="s">
        <v>4103</v>
      </c>
      <c r="C85" s="7" t="s">
        <v>1879</v>
      </c>
      <c r="D85" s="6" t="s">
        <v>4104</v>
      </c>
      <c r="E85" s="7" t="s">
        <v>40</v>
      </c>
      <c r="F85" s="7" t="s">
        <v>100</v>
      </c>
      <c r="G85" s="7" t="s">
        <v>69</v>
      </c>
      <c r="H85" s="7" t="str">
        <f aca="false">IF(COUNTIFS(TestCases!$U$2:$U$328,$A85,TestCases!$Y$2:$Y$328,"&lt;&gt;Reject")&gt;0,"Yes","No")</f>
        <v>Yes</v>
      </c>
      <c r="I85" s="6" t="s">
        <v>3628</v>
      </c>
      <c r="J85" s="7" t="s">
        <v>9</v>
      </c>
      <c r="K85" s="6" t="s">
        <v>4105</v>
      </c>
      <c r="L85" s="6" t="s">
        <v>4106</v>
      </c>
      <c r="M85" s="6" t="s">
        <v>138</v>
      </c>
      <c r="N85" s="7" t="n">
        <f aca="false">COUNTIFS(TestCases!$U$2:$U$328,$A85,TestCases!$Y$2:$Y$328,"Approve")</f>
        <v>0</v>
      </c>
      <c r="O85" s="7" t="n">
        <f aca="false">COUNTIFS(TestCases!$U$2:$U$328,$A85,TestCases!$Y$2:$Y$328,"Draft")</f>
        <v>2</v>
      </c>
      <c r="P85" s="7" t="n">
        <f aca="false">COUNTIFS(TestCases!$U$2:$U$328,$A85,TestCases!$Y$2:$Y$328,"Reject")</f>
        <v>0</v>
      </c>
    </row>
    <row r="86" customFormat="false" ht="23.25" hidden="false" customHeight="true" outlineLevel="0" collapsed="false">
      <c r="A86" s="7" t="s">
        <v>1907</v>
      </c>
      <c r="B86" s="7" t="s">
        <v>4107</v>
      </c>
      <c r="C86" s="7" t="s">
        <v>1900</v>
      </c>
      <c r="D86" s="6" t="s">
        <v>4108</v>
      </c>
      <c r="E86" s="7" t="s">
        <v>38</v>
      </c>
      <c r="F86" s="7" t="s">
        <v>100</v>
      </c>
      <c r="G86" s="7" t="s">
        <v>69</v>
      </c>
      <c r="H86" s="7" t="str">
        <f aca="false">IF(COUNTIFS(TestCases!$U$2:$U$328,$A86,TestCases!$Y$2:$Y$328,"&lt;&gt;Reject")&gt;0,"Yes","No")</f>
        <v>Yes</v>
      </c>
      <c r="I86" s="6" t="s">
        <v>1488</v>
      </c>
      <c r="J86" s="7" t="s">
        <v>9</v>
      </c>
      <c r="K86" s="6" t="s">
        <v>4029</v>
      </c>
      <c r="L86" s="6" t="s">
        <v>1899</v>
      </c>
      <c r="M86" s="6" t="s">
        <v>138</v>
      </c>
      <c r="N86" s="7" t="n">
        <f aca="false">COUNTIFS(TestCases!$U$2:$U$328,$A86,TestCases!$Y$2:$Y$328,"Approve")</f>
        <v>0</v>
      </c>
      <c r="O86" s="7" t="n">
        <f aca="false">COUNTIFS(TestCases!$U$2:$U$328,$A86,TestCases!$Y$2:$Y$328,"Draft")</f>
        <v>1</v>
      </c>
      <c r="P86" s="7" t="n">
        <f aca="false">COUNTIFS(TestCases!$U$2:$U$328,$A86,TestCases!$Y$2:$Y$328,"Reject")</f>
        <v>0</v>
      </c>
    </row>
    <row r="87" customFormat="false" ht="23.25" hidden="false" customHeight="true" outlineLevel="0" collapsed="false">
      <c r="A87" s="7" t="s">
        <v>1920</v>
      </c>
      <c r="B87" s="7" t="s">
        <v>4109</v>
      </c>
      <c r="C87" s="7" t="s">
        <v>1910</v>
      </c>
      <c r="D87" s="6" t="s">
        <v>4110</v>
      </c>
      <c r="E87" s="7" t="s">
        <v>38</v>
      </c>
      <c r="F87" s="7" t="s">
        <v>100</v>
      </c>
      <c r="G87" s="7" t="s">
        <v>69</v>
      </c>
      <c r="H87" s="7" t="str">
        <f aca="false">IF(COUNTIFS(TestCases!$U$2:$U$328,$A87,TestCases!$Y$2:$Y$328,"&lt;&gt;Reject")&gt;0,"Yes","No")</f>
        <v>Yes</v>
      </c>
      <c r="I87" s="6" t="s">
        <v>1921</v>
      </c>
      <c r="J87" s="7" t="s">
        <v>9</v>
      </c>
      <c r="K87" s="6" t="s">
        <v>4111</v>
      </c>
      <c r="L87" s="6" t="s">
        <v>1909</v>
      </c>
      <c r="M87" s="6" t="s">
        <v>138</v>
      </c>
      <c r="N87" s="7" t="n">
        <f aca="false">COUNTIFS(TestCases!$U$2:$U$328,$A87,TestCases!$Y$2:$Y$328,"Approve")</f>
        <v>0</v>
      </c>
      <c r="O87" s="7" t="n">
        <f aca="false">COUNTIFS(TestCases!$U$2:$U$328,$A87,TestCases!$Y$2:$Y$328,"Draft")</f>
        <v>1</v>
      </c>
      <c r="P87" s="7" t="n">
        <f aca="false">COUNTIFS(TestCases!$U$2:$U$328,$A87,TestCases!$Y$2:$Y$328,"Reject")</f>
        <v>0</v>
      </c>
    </row>
    <row r="88" customFormat="false" ht="23.25" hidden="false" customHeight="true" outlineLevel="0" collapsed="false">
      <c r="A88" s="7" t="s">
        <v>1934</v>
      </c>
      <c r="B88" s="7" t="s">
        <v>4112</v>
      </c>
      <c r="C88" s="7" t="s">
        <v>1924</v>
      </c>
      <c r="D88" s="6" t="s">
        <v>4113</v>
      </c>
      <c r="E88" s="7" t="s">
        <v>38</v>
      </c>
      <c r="F88" s="7" t="s">
        <v>100</v>
      </c>
      <c r="G88" s="7" t="s">
        <v>69</v>
      </c>
      <c r="H88" s="7" t="str">
        <f aca="false">IF(COUNTIFS(TestCases!$U$2:$U$328,$A88,TestCases!$Y$2:$Y$328,"&lt;&gt;Reject")&gt;0,"Yes","No")</f>
        <v>Yes</v>
      </c>
      <c r="I88" s="6" t="s">
        <v>1935</v>
      </c>
      <c r="J88" s="7" t="s">
        <v>9</v>
      </c>
      <c r="K88" s="6" t="s">
        <v>4114</v>
      </c>
      <c r="L88" s="6" t="s">
        <v>1923</v>
      </c>
      <c r="M88" s="6" t="s">
        <v>138</v>
      </c>
      <c r="N88" s="7" t="n">
        <f aca="false">COUNTIFS(TestCases!$U$2:$U$328,$A88,TestCases!$Y$2:$Y$328,"Approve")</f>
        <v>0</v>
      </c>
      <c r="O88" s="7" t="n">
        <f aca="false">COUNTIFS(TestCases!$U$2:$U$328,$A88,TestCases!$Y$2:$Y$328,"Draft")</f>
        <v>1</v>
      </c>
      <c r="P88" s="7" t="n">
        <f aca="false">COUNTIFS(TestCases!$U$2:$U$328,$A88,TestCases!$Y$2:$Y$328,"Reject")</f>
        <v>0</v>
      </c>
    </row>
    <row r="89" customFormat="false" ht="23.25" hidden="false" customHeight="true" outlineLevel="0" collapsed="false">
      <c r="A89" s="7" t="s">
        <v>1947</v>
      </c>
      <c r="B89" s="7" t="s">
        <v>4115</v>
      </c>
      <c r="C89" s="7" t="s">
        <v>1938</v>
      </c>
      <c r="D89" s="6" t="s">
        <v>4116</v>
      </c>
      <c r="E89" s="7" t="s">
        <v>38</v>
      </c>
      <c r="F89" s="7" t="s">
        <v>100</v>
      </c>
      <c r="G89" s="7" t="s">
        <v>69</v>
      </c>
      <c r="H89" s="7" t="str">
        <f aca="false">IF(COUNTIFS(TestCases!$U$2:$U$328,$A89,TestCases!$Y$2:$Y$328,"&lt;&gt;Reject")&gt;0,"Yes","No")</f>
        <v>Yes</v>
      </c>
      <c r="I89" s="6" t="s">
        <v>1935</v>
      </c>
      <c r="J89" s="7" t="s">
        <v>9</v>
      </c>
      <c r="K89" s="6" t="s">
        <v>4114</v>
      </c>
      <c r="L89" s="6" t="s">
        <v>1937</v>
      </c>
      <c r="M89" s="6" t="s">
        <v>138</v>
      </c>
      <c r="N89" s="7" t="n">
        <f aca="false">COUNTIFS(TestCases!$U$2:$U$328,$A89,TestCases!$Y$2:$Y$328,"Approve")</f>
        <v>0</v>
      </c>
      <c r="O89" s="7" t="n">
        <f aca="false">COUNTIFS(TestCases!$U$2:$U$328,$A89,TestCases!$Y$2:$Y$328,"Draft")</f>
        <v>1</v>
      </c>
      <c r="P89" s="7" t="n">
        <f aca="false">COUNTIFS(TestCases!$U$2:$U$328,$A89,TestCases!$Y$2:$Y$328,"Reject")</f>
        <v>0</v>
      </c>
    </row>
    <row r="90" customFormat="false" ht="23.25" hidden="false" customHeight="true" outlineLevel="0" collapsed="false">
      <c r="A90" s="7" t="s">
        <v>1960</v>
      </c>
      <c r="B90" s="7" t="s">
        <v>4117</v>
      </c>
      <c r="C90" s="7" t="s">
        <v>1950</v>
      </c>
      <c r="D90" s="6" t="s">
        <v>4118</v>
      </c>
      <c r="E90" s="7" t="s">
        <v>38</v>
      </c>
      <c r="F90" s="7" t="s">
        <v>100</v>
      </c>
      <c r="G90" s="7" t="s">
        <v>70</v>
      </c>
      <c r="H90" s="7" t="str">
        <f aca="false">IF(COUNTIFS(TestCases!$U$2:$U$328,$A90,TestCases!$Y$2:$Y$328,"&lt;&gt;Reject")&gt;0,"Yes","No")</f>
        <v>Yes</v>
      </c>
      <c r="I90" s="6" t="s">
        <v>3638</v>
      </c>
      <c r="J90" s="7" t="s">
        <v>9</v>
      </c>
      <c r="K90" s="6" t="s">
        <v>4119</v>
      </c>
      <c r="L90" s="6" t="s">
        <v>4120</v>
      </c>
      <c r="M90" s="6" t="s">
        <v>4121</v>
      </c>
      <c r="N90" s="7" t="n">
        <f aca="false">COUNTIFS(TestCases!$U$2:$U$328,$A90,TestCases!$Y$2:$Y$328,"Approve")</f>
        <v>0</v>
      </c>
      <c r="O90" s="7" t="n">
        <f aca="false">COUNTIFS(TestCases!$U$2:$U$328,$A90,TestCases!$Y$2:$Y$328,"Draft")</f>
        <v>2</v>
      </c>
      <c r="P90" s="7" t="n">
        <f aca="false">COUNTIFS(TestCases!$U$2:$U$328,$A90,TestCases!$Y$2:$Y$328,"Reject")</f>
        <v>0</v>
      </c>
    </row>
    <row r="91" customFormat="false" ht="23.25" hidden="false" customHeight="true" outlineLevel="0" collapsed="false">
      <c r="A91" s="7" t="s">
        <v>1982</v>
      </c>
      <c r="B91" s="7" t="s">
        <v>4122</v>
      </c>
      <c r="C91" s="7" t="s">
        <v>1972</v>
      </c>
      <c r="D91" s="6" t="s">
        <v>4123</v>
      </c>
      <c r="E91" s="7" t="s">
        <v>38</v>
      </c>
      <c r="F91" s="7" t="s">
        <v>100</v>
      </c>
      <c r="G91" s="7" t="s">
        <v>69</v>
      </c>
      <c r="H91" s="7" t="str">
        <f aca="false">IF(COUNTIFS(TestCases!$U$2:$U$328,$A91,TestCases!$Y$2:$Y$328,"&lt;&gt;Reject")&gt;0,"Yes","No")</f>
        <v>Yes</v>
      </c>
      <c r="I91" s="6" t="s">
        <v>1983</v>
      </c>
      <c r="J91" s="7" t="s">
        <v>9</v>
      </c>
      <c r="K91" s="6" t="s">
        <v>4124</v>
      </c>
      <c r="L91" s="6" t="s">
        <v>1971</v>
      </c>
      <c r="M91" s="6" t="s">
        <v>138</v>
      </c>
      <c r="N91" s="7" t="n">
        <f aca="false">COUNTIFS(TestCases!$U$2:$U$328,$A91,TestCases!$Y$2:$Y$328,"Approve")</f>
        <v>0</v>
      </c>
      <c r="O91" s="7" t="n">
        <f aca="false">COUNTIFS(TestCases!$U$2:$U$328,$A91,TestCases!$Y$2:$Y$328,"Draft")</f>
        <v>1</v>
      </c>
      <c r="P91" s="7" t="n">
        <f aca="false">COUNTIFS(TestCases!$U$2:$U$328,$A91,TestCases!$Y$2:$Y$328,"Reject")</f>
        <v>0</v>
      </c>
    </row>
    <row r="92" customFormat="false" ht="23.25" hidden="false" customHeight="true" outlineLevel="0" collapsed="false">
      <c r="A92" s="7" t="s">
        <v>1995</v>
      </c>
      <c r="B92" s="7" t="s">
        <v>4125</v>
      </c>
      <c r="C92" s="7" t="s">
        <v>1986</v>
      </c>
      <c r="D92" s="6" t="s">
        <v>4126</v>
      </c>
      <c r="E92" s="7" t="s">
        <v>38</v>
      </c>
      <c r="F92" s="7" t="s">
        <v>100</v>
      </c>
      <c r="G92" s="7" t="s">
        <v>69</v>
      </c>
      <c r="H92" s="7" t="str">
        <f aca="false">IF(COUNTIFS(TestCases!$U$2:$U$328,$A92,TestCases!$Y$2:$Y$328,"&lt;&gt;Reject")&gt;0,"Yes","No")</f>
        <v>Yes</v>
      </c>
      <c r="I92" s="6" t="s">
        <v>3643</v>
      </c>
      <c r="J92" s="7" t="s">
        <v>9</v>
      </c>
      <c r="K92" s="6" t="s">
        <v>4127</v>
      </c>
      <c r="L92" s="6" t="s">
        <v>4128</v>
      </c>
      <c r="M92" s="6" t="s">
        <v>4129</v>
      </c>
      <c r="N92" s="7" t="n">
        <f aca="false">COUNTIFS(TestCases!$U$2:$U$328,$A92,TestCases!$Y$2:$Y$328,"Approve")</f>
        <v>1</v>
      </c>
      <c r="O92" s="7" t="n">
        <f aca="false">COUNTIFS(TestCases!$U$2:$U$328,$A92,TestCases!$Y$2:$Y$328,"Draft")</f>
        <v>2</v>
      </c>
      <c r="P92" s="7" t="n">
        <f aca="false">COUNTIFS(TestCases!$U$2:$U$328,$A92,TestCases!$Y$2:$Y$328,"Reject")</f>
        <v>0</v>
      </c>
    </row>
    <row r="93" customFormat="false" ht="23.25" hidden="false" customHeight="true" outlineLevel="0" collapsed="false">
      <c r="A93" s="7" t="s">
        <v>2023</v>
      </c>
      <c r="B93" s="7" t="s">
        <v>4130</v>
      </c>
      <c r="C93" s="7" t="s">
        <v>2013</v>
      </c>
      <c r="D93" s="6" t="s">
        <v>4131</v>
      </c>
      <c r="E93" s="7" t="s">
        <v>38</v>
      </c>
      <c r="F93" s="7" t="s">
        <v>100</v>
      </c>
      <c r="G93" s="7" t="s">
        <v>69</v>
      </c>
      <c r="H93" s="7" t="str">
        <f aca="false">IF(COUNTIFS(TestCases!$U$2:$U$328,$A93,TestCases!$Y$2:$Y$328,"&lt;&gt;Reject")&gt;0,"Yes","No")</f>
        <v>Yes</v>
      </c>
      <c r="I93" s="6" t="s">
        <v>2024</v>
      </c>
      <c r="J93" s="7" t="s">
        <v>9</v>
      </c>
      <c r="K93" s="6" t="s">
        <v>4132</v>
      </c>
      <c r="L93" s="6" t="s">
        <v>2012</v>
      </c>
      <c r="M93" s="6" t="s">
        <v>138</v>
      </c>
      <c r="N93" s="7" t="n">
        <f aca="false">COUNTIFS(TestCases!$U$2:$U$328,$A93,TestCases!$Y$2:$Y$328,"Approve")</f>
        <v>0</v>
      </c>
      <c r="O93" s="7" t="n">
        <f aca="false">COUNTIFS(TestCases!$U$2:$U$328,$A93,TestCases!$Y$2:$Y$328,"Draft")</f>
        <v>1</v>
      </c>
      <c r="P93" s="7" t="n">
        <f aca="false">COUNTIFS(TestCases!$U$2:$U$328,$A93,TestCases!$Y$2:$Y$328,"Reject")</f>
        <v>0</v>
      </c>
    </row>
    <row r="94" customFormat="false" ht="23.25" hidden="false" customHeight="true" outlineLevel="0" collapsed="false">
      <c r="A94" s="7" t="s">
        <v>2037</v>
      </c>
      <c r="B94" s="7" t="s">
        <v>4133</v>
      </c>
      <c r="C94" s="7" t="s">
        <v>2027</v>
      </c>
      <c r="D94" s="6" t="s">
        <v>4134</v>
      </c>
      <c r="E94" s="7" t="s">
        <v>38</v>
      </c>
      <c r="F94" s="7" t="s">
        <v>100</v>
      </c>
      <c r="G94" s="7" t="s">
        <v>69</v>
      </c>
      <c r="H94" s="7" t="str">
        <f aca="false">IF(COUNTIFS(TestCases!$U$2:$U$328,$A94,TestCases!$Y$2:$Y$328,"&lt;&gt;Reject")&gt;0,"Yes","No")</f>
        <v>Yes</v>
      </c>
      <c r="I94" s="6" t="s">
        <v>2054</v>
      </c>
      <c r="J94" s="7" t="s">
        <v>9</v>
      </c>
      <c r="K94" s="6" t="s">
        <v>4135</v>
      </c>
      <c r="L94" s="6" t="s">
        <v>4136</v>
      </c>
      <c r="M94" s="6" t="s">
        <v>4137</v>
      </c>
      <c r="N94" s="7" t="n">
        <f aca="false">COUNTIFS(TestCases!$U$2:$U$328,$A94,TestCases!$Y$2:$Y$328,"Approve")</f>
        <v>0</v>
      </c>
      <c r="O94" s="7" t="n">
        <f aca="false">COUNTIFS(TestCases!$U$2:$U$328,$A94,TestCases!$Y$2:$Y$328,"Draft")</f>
        <v>4</v>
      </c>
      <c r="P94" s="7" t="n">
        <f aca="false">COUNTIFS(TestCases!$U$2:$U$328,$A94,TestCases!$Y$2:$Y$328,"Reject")</f>
        <v>0</v>
      </c>
    </row>
    <row r="95" customFormat="false" ht="23.25" hidden="false" customHeight="true" outlineLevel="0" collapsed="false">
      <c r="A95" s="7" t="s">
        <v>2075</v>
      </c>
      <c r="B95" s="7" t="s">
        <v>4138</v>
      </c>
      <c r="C95" s="7" t="s">
        <v>2065</v>
      </c>
      <c r="D95" s="6" t="s">
        <v>4139</v>
      </c>
      <c r="E95" s="7" t="s">
        <v>38</v>
      </c>
      <c r="F95" s="7" t="s">
        <v>100</v>
      </c>
      <c r="G95" s="7" t="s">
        <v>68</v>
      </c>
      <c r="H95" s="7" t="str">
        <f aca="false">IF(COUNTIFS(TestCases!$U$2:$U$328,$A95,TestCases!$Y$2:$Y$328,"&lt;&gt;Reject")&gt;0,"Yes","No")</f>
        <v>Yes</v>
      </c>
      <c r="I95" s="6" t="s">
        <v>138</v>
      </c>
      <c r="J95" s="7" t="s">
        <v>7</v>
      </c>
      <c r="K95" s="6" t="s">
        <v>3807</v>
      </c>
      <c r="L95" s="6" t="s">
        <v>4140</v>
      </c>
      <c r="M95" s="6" t="s">
        <v>138</v>
      </c>
      <c r="N95" s="7" t="n">
        <f aca="false">COUNTIFS(TestCases!$U$2:$U$328,$A95,TestCases!$Y$2:$Y$328,"Approve")</f>
        <v>2</v>
      </c>
      <c r="O95" s="7" t="n">
        <f aca="false">COUNTIFS(TestCases!$U$2:$U$328,$A95,TestCases!$Y$2:$Y$328,"Draft")</f>
        <v>0</v>
      </c>
      <c r="P95" s="7" t="n">
        <f aca="false">COUNTIFS(TestCases!$U$2:$U$328,$A95,TestCases!$Y$2:$Y$328,"Reject")</f>
        <v>0</v>
      </c>
    </row>
    <row r="96" customFormat="false" ht="23.25" hidden="false" customHeight="true" outlineLevel="0" collapsed="false">
      <c r="A96" s="7" t="s">
        <v>2096</v>
      </c>
      <c r="B96" s="7" t="s">
        <v>4141</v>
      </c>
      <c r="C96" s="7" t="s">
        <v>2086</v>
      </c>
      <c r="D96" s="6" t="s">
        <v>4142</v>
      </c>
      <c r="E96" s="7" t="s">
        <v>38</v>
      </c>
      <c r="F96" s="7" t="s">
        <v>100</v>
      </c>
      <c r="G96" s="7" t="s">
        <v>68</v>
      </c>
      <c r="H96" s="7" t="str">
        <f aca="false">IF(COUNTIFS(TestCases!$U$2:$U$328,$A96,TestCases!$Y$2:$Y$328,"&lt;&gt;Reject")&gt;0,"Yes","No")</f>
        <v>Yes</v>
      </c>
      <c r="I96" s="6" t="s">
        <v>138</v>
      </c>
      <c r="J96" s="7" t="s">
        <v>7</v>
      </c>
      <c r="K96" s="6" t="s">
        <v>3807</v>
      </c>
      <c r="L96" s="6" t="s">
        <v>4143</v>
      </c>
      <c r="M96" s="6" t="s">
        <v>4144</v>
      </c>
      <c r="N96" s="7" t="n">
        <f aca="false">COUNTIFS(TestCases!$U$2:$U$328,$A96,TestCases!$Y$2:$Y$328,"Approve")</f>
        <v>2</v>
      </c>
      <c r="O96" s="7" t="n">
        <f aca="false">COUNTIFS(TestCases!$U$2:$U$328,$A96,TestCases!$Y$2:$Y$328,"Draft")</f>
        <v>0</v>
      </c>
      <c r="P96" s="7" t="n">
        <f aca="false">COUNTIFS(TestCases!$U$2:$U$328,$A96,TestCases!$Y$2:$Y$328,"Reject")</f>
        <v>0</v>
      </c>
    </row>
    <row r="97" customFormat="false" ht="23.25" hidden="false" customHeight="true" outlineLevel="0" collapsed="false">
      <c r="A97" s="7" t="s">
        <v>2115</v>
      </c>
      <c r="B97" s="7" t="s">
        <v>4145</v>
      </c>
      <c r="C97" s="7" t="s">
        <v>2105</v>
      </c>
      <c r="D97" s="6" t="s">
        <v>4146</v>
      </c>
      <c r="E97" s="7" t="s">
        <v>38</v>
      </c>
      <c r="F97" s="7" t="s">
        <v>100</v>
      </c>
      <c r="G97" s="7" t="s">
        <v>69</v>
      </c>
      <c r="H97" s="7" t="str">
        <f aca="false">IF(COUNTIFS(TestCases!$U$2:$U$328,$A97,TestCases!$Y$2:$Y$328,"&lt;&gt;Reject")&gt;0,"Yes","No")</f>
        <v>Yes</v>
      </c>
      <c r="I97" s="6" t="s">
        <v>2116</v>
      </c>
      <c r="J97" s="7" t="s">
        <v>9</v>
      </c>
      <c r="K97" s="6" t="s">
        <v>4147</v>
      </c>
      <c r="L97" s="6" t="s">
        <v>4148</v>
      </c>
      <c r="M97" s="6" t="s">
        <v>138</v>
      </c>
      <c r="N97" s="7" t="n">
        <f aca="false">COUNTIFS(TestCases!$U$2:$U$328,$A97,TestCases!$Y$2:$Y$328,"Approve")</f>
        <v>1</v>
      </c>
      <c r="O97" s="7" t="n">
        <f aca="false">COUNTIFS(TestCases!$U$2:$U$328,$A97,TestCases!$Y$2:$Y$328,"Draft")</f>
        <v>2</v>
      </c>
      <c r="P97" s="7" t="n">
        <f aca="false">COUNTIFS(TestCases!$U$2:$U$328,$A97,TestCases!$Y$2:$Y$328,"Reject")</f>
        <v>0</v>
      </c>
    </row>
    <row r="98" customFormat="false" ht="23.25" hidden="false" customHeight="true" outlineLevel="0" collapsed="false">
      <c r="A98" s="7" t="s">
        <v>2143</v>
      </c>
      <c r="B98" s="7" t="s">
        <v>4149</v>
      </c>
      <c r="C98" s="7" t="s">
        <v>2134</v>
      </c>
      <c r="D98" s="6" t="s">
        <v>4150</v>
      </c>
      <c r="E98" s="7" t="s">
        <v>38</v>
      </c>
      <c r="F98" s="7" t="s">
        <v>100</v>
      </c>
      <c r="G98" s="7" t="s">
        <v>69</v>
      </c>
      <c r="H98" s="7" t="str">
        <f aca="false">IF(COUNTIFS(TestCases!$U$2:$U$328,$A98,TestCases!$Y$2:$Y$328,"&lt;&gt;Reject")&gt;0,"Yes","No")</f>
        <v>Yes</v>
      </c>
      <c r="I98" s="6" t="s">
        <v>2116</v>
      </c>
      <c r="J98" s="7" t="s">
        <v>9</v>
      </c>
      <c r="K98" s="6" t="s">
        <v>4147</v>
      </c>
      <c r="L98" s="6" t="s">
        <v>4151</v>
      </c>
      <c r="M98" s="6" t="s">
        <v>138</v>
      </c>
      <c r="N98" s="7" t="n">
        <f aca="false">COUNTIFS(TestCases!$U$2:$U$328,$A98,TestCases!$Y$2:$Y$328,"Approve")</f>
        <v>0</v>
      </c>
      <c r="O98" s="7" t="n">
        <f aca="false">COUNTIFS(TestCases!$U$2:$U$328,$A98,TestCases!$Y$2:$Y$328,"Draft")</f>
        <v>2</v>
      </c>
      <c r="P98" s="7" t="n">
        <f aca="false">COUNTIFS(TestCases!$U$2:$U$328,$A98,TestCases!$Y$2:$Y$328,"Reject")</f>
        <v>0</v>
      </c>
    </row>
    <row r="99" customFormat="false" ht="23.25" hidden="false" customHeight="true" outlineLevel="0" collapsed="false">
      <c r="A99" s="7" t="s">
        <v>2160</v>
      </c>
      <c r="B99" s="7" t="s">
        <v>4152</v>
      </c>
      <c r="C99" s="7" t="s">
        <v>2152</v>
      </c>
      <c r="D99" s="6" t="s">
        <v>4153</v>
      </c>
      <c r="E99" s="7" t="s">
        <v>38</v>
      </c>
      <c r="F99" s="7" t="s">
        <v>100</v>
      </c>
      <c r="G99" s="7" t="s">
        <v>69</v>
      </c>
      <c r="H99" s="7" t="str">
        <f aca="false">IF(COUNTIFS(TestCases!$U$2:$U$328,$A99,TestCases!$Y$2:$Y$328,"&lt;&gt;Reject")&gt;0,"Yes","No")</f>
        <v>Yes</v>
      </c>
      <c r="I99" s="6" t="s">
        <v>2116</v>
      </c>
      <c r="J99" s="7" t="s">
        <v>9</v>
      </c>
      <c r="K99" s="6" t="s">
        <v>4147</v>
      </c>
      <c r="L99" s="6" t="s">
        <v>4154</v>
      </c>
      <c r="M99" s="6" t="s">
        <v>138</v>
      </c>
      <c r="N99" s="7" t="n">
        <f aca="false">COUNTIFS(TestCases!$U$2:$U$328,$A99,TestCases!$Y$2:$Y$328,"Approve")</f>
        <v>0</v>
      </c>
      <c r="O99" s="7" t="n">
        <f aca="false">COUNTIFS(TestCases!$U$2:$U$328,$A99,TestCases!$Y$2:$Y$328,"Draft")</f>
        <v>2</v>
      </c>
      <c r="P99" s="7" t="n">
        <f aca="false">COUNTIFS(TestCases!$U$2:$U$328,$A99,TestCases!$Y$2:$Y$328,"Reject")</f>
        <v>0</v>
      </c>
    </row>
    <row r="100" customFormat="false" ht="23.25" hidden="false" customHeight="true" outlineLevel="0" collapsed="false">
      <c r="A100" s="7" t="s">
        <v>2179</v>
      </c>
      <c r="B100" s="7" t="s">
        <v>4155</v>
      </c>
      <c r="C100" s="7" t="s">
        <v>2169</v>
      </c>
      <c r="D100" s="6" t="s">
        <v>4156</v>
      </c>
      <c r="E100" s="7" t="s">
        <v>38</v>
      </c>
      <c r="F100" s="7" t="s">
        <v>101</v>
      </c>
      <c r="G100" s="7" t="s">
        <v>69</v>
      </c>
      <c r="H100" s="7" t="str">
        <f aca="false">IF(COUNTIFS(TestCases!$U$2:$U$328,$A100,TestCases!$Y$2:$Y$328,"&lt;&gt;Reject")&gt;0,"Yes","No")</f>
        <v>Yes</v>
      </c>
      <c r="I100" s="6" t="s">
        <v>2180</v>
      </c>
      <c r="J100" s="7" t="s">
        <v>9</v>
      </c>
      <c r="K100" s="6" t="s">
        <v>4157</v>
      </c>
      <c r="L100" s="6" t="s">
        <v>4158</v>
      </c>
      <c r="M100" s="6" t="s">
        <v>138</v>
      </c>
      <c r="N100" s="7" t="n">
        <f aca="false">COUNTIFS(TestCases!$U$2:$U$328,$A100,TestCases!$Y$2:$Y$328,"Approve")</f>
        <v>0</v>
      </c>
      <c r="O100" s="7" t="n">
        <f aca="false">COUNTIFS(TestCases!$U$2:$U$328,$A100,TestCases!$Y$2:$Y$328,"Draft")</f>
        <v>2</v>
      </c>
      <c r="P100" s="7" t="n">
        <f aca="false">COUNTIFS(TestCases!$U$2:$U$328,$A100,TestCases!$Y$2:$Y$328,"Reject")</f>
        <v>0</v>
      </c>
    </row>
    <row r="101" customFormat="false" ht="23.25" hidden="false" customHeight="true" outlineLevel="0" collapsed="false">
      <c r="A101" s="7" t="s">
        <v>2200</v>
      </c>
      <c r="B101" s="7" t="s">
        <v>4159</v>
      </c>
      <c r="C101" s="7" t="s">
        <v>2191</v>
      </c>
      <c r="D101" s="6" t="s">
        <v>4160</v>
      </c>
      <c r="E101" s="7" t="s">
        <v>38</v>
      </c>
      <c r="F101" s="7" t="s">
        <v>101</v>
      </c>
      <c r="G101" s="7" t="s">
        <v>69</v>
      </c>
      <c r="H101" s="7" t="str">
        <f aca="false">IF(COUNTIFS(TestCases!$U$2:$U$328,$A101,TestCases!$Y$2:$Y$328,"&lt;&gt;Reject")&gt;0,"Yes","No")</f>
        <v>Yes</v>
      </c>
      <c r="I101" s="6" t="s">
        <v>2180</v>
      </c>
      <c r="J101" s="7" t="s">
        <v>9</v>
      </c>
      <c r="K101" s="6" t="s">
        <v>4157</v>
      </c>
      <c r="L101" s="6" t="s">
        <v>4161</v>
      </c>
      <c r="M101" s="6" t="s">
        <v>138</v>
      </c>
      <c r="N101" s="7" t="n">
        <f aca="false">COUNTIFS(TestCases!$U$2:$U$328,$A101,TestCases!$Y$2:$Y$328,"Approve")</f>
        <v>0</v>
      </c>
      <c r="O101" s="7" t="n">
        <f aca="false">COUNTIFS(TestCases!$U$2:$U$328,$A101,TestCases!$Y$2:$Y$328,"Draft")</f>
        <v>2</v>
      </c>
      <c r="P101" s="7" t="n">
        <f aca="false">COUNTIFS(TestCases!$U$2:$U$328,$A101,TestCases!$Y$2:$Y$328,"Reject")</f>
        <v>0</v>
      </c>
    </row>
    <row r="102" customFormat="false" ht="23.25" hidden="false" customHeight="true" outlineLevel="0" collapsed="false">
      <c r="A102" s="7" t="s">
        <v>2219</v>
      </c>
      <c r="B102" s="7" t="s">
        <v>4162</v>
      </c>
      <c r="C102" s="7" t="s">
        <v>2210</v>
      </c>
      <c r="D102" s="6" t="s">
        <v>4163</v>
      </c>
      <c r="E102" s="7" t="s">
        <v>38</v>
      </c>
      <c r="F102" s="7" t="s">
        <v>101</v>
      </c>
      <c r="G102" s="7" t="s">
        <v>69</v>
      </c>
      <c r="H102" s="7" t="str">
        <f aca="false">IF(COUNTIFS(TestCases!$U$2:$U$328,$A102,TestCases!$Y$2:$Y$328,"&lt;&gt;Reject")&gt;0,"Yes","No")</f>
        <v>Yes</v>
      </c>
      <c r="I102" s="6" t="s">
        <v>2180</v>
      </c>
      <c r="J102" s="7" t="s">
        <v>9</v>
      </c>
      <c r="K102" s="6" t="s">
        <v>4157</v>
      </c>
      <c r="L102" s="6" t="s">
        <v>2209</v>
      </c>
      <c r="M102" s="6" t="s">
        <v>138</v>
      </c>
      <c r="N102" s="7" t="n">
        <f aca="false">COUNTIFS(TestCases!$U$2:$U$328,$A102,TestCases!$Y$2:$Y$328,"Approve")</f>
        <v>0</v>
      </c>
      <c r="O102" s="7" t="n">
        <f aca="false">COUNTIFS(TestCases!$U$2:$U$328,$A102,TestCases!$Y$2:$Y$328,"Draft")</f>
        <v>1</v>
      </c>
      <c r="P102" s="7" t="n">
        <f aca="false">COUNTIFS(TestCases!$U$2:$U$328,$A102,TestCases!$Y$2:$Y$328,"Reject")</f>
        <v>0</v>
      </c>
    </row>
    <row r="103" customFormat="false" ht="23.25" hidden="false" customHeight="true" outlineLevel="0" collapsed="false">
      <c r="A103" s="7" t="s">
        <v>2232</v>
      </c>
      <c r="B103" s="7" t="s">
        <v>4164</v>
      </c>
      <c r="C103" s="7" t="s">
        <v>2222</v>
      </c>
      <c r="D103" s="6" t="s">
        <v>4165</v>
      </c>
      <c r="E103" s="7" t="s">
        <v>38</v>
      </c>
      <c r="F103" s="7" t="s">
        <v>101</v>
      </c>
      <c r="G103" s="7" t="s">
        <v>69</v>
      </c>
      <c r="H103" s="7" t="str">
        <f aca="false">IF(COUNTIFS(TestCases!$U$2:$U$328,$A103,TestCases!$Y$2:$Y$328,"&lt;&gt;Reject")&gt;0,"Yes","No")</f>
        <v>Yes</v>
      </c>
      <c r="I103" s="6" t="s">
        <v>2180</v>
      </c>
      <c r="J103" s="7" t="s">
        <v>9</v>
      </c>
      <c r="K103" s="6" t="s">
        <v>4157</v>
      </c>
      <c r="L103" s="6" t="s">
        <v>2221</v>
      </c>
      <c r="M103" s="6" t="s">
        <v>138</v>
      </c>
      <c r="N103" s="7" t="n">
        <f aca="false">COUNTIFS(TestCases!$U$2:$U$328,$A103,TestCases!$Y$2:$Y$328,"Approve")</f>
        <v>0</v>
      </c>
      <c r="O103" s="7" t="n">
        <f aca="false">COUNTIFS(TestCases!$U$2:$U$328,$A103,TestCases!$Y$2:$Y$328,"Draft")</f>
        <v>1</v>
      </c>
      <c r="P103" s="7" t="n">
        <f aca="false">COUNTIFS(TestCases!$U$2:$U$328,$A103,TestCases!$Y$2:$Y$328,"Reject")</f>
        <v>0</v>
      </c>
    </row>
    <row r="104" customFormat="false" ht="23.25" hidden="false" customHeight="true" outlineLevel="0" collapsed="false">
      <c r="A104" s="7" t="s">
        <v>2241</v>
      </c>
      <c r="B104" s="7" t="s">
        <v>4166</v>
      </c>
      <c r="C104" s="7" t="s">
        <v>2235</v>
      </c>
      <c r="D104" s="6" t="s">
        <v>4167</v>
      </c>
      <c r="E104" s="7" t="s">
        <v>38</v>
      </c>
      <c r="F104" s="7" t="s">
        <v>36</v>
      </c>
      <c r="G104" s="7" t="s">
        <v>71</v>
      </c>
      <c r="H104" s="7" t="str">
        <f aca="false">IF(COUNTIFS(TestCases!$U$2:$U$328,$A104,TestCases!$Y$2:$Y$328,"&lt;&gt;Reject")&gt;0,"Yes","No")</f>
        <v>No</v>
      </c>
      <c r="I104" s="6" t="s">
        <v>3668</v>
      </c>
      <c r="J104" s="7" t="s">
        <v>11</v>
      </c>
      <c r="K104" s="6" t="s">
        <v>4168</v>
      </c>
      <c r="L104" s="6" t="s">
        <v>2234</v>
      </c>
      <c r="M104" s="6" t="s">
        <v>138</v>
      </c>
      <c r="N104" s="7" t="n">
        <f aca="false">COUNTIFS(TestCases!$U$2:$U$328,$A104,TestCases!$Y$2:$Y$328,"Approve")</f>
        <v>0</v>
      </c>
      <c r="O104" s="7" t="n">
        <f aca="false">COUNTIFS(TestCases!$U$2:$U$328,$A104,TestCases!$Y$2:$Y$328,"Draft")</f>
        <v>0</v>
      </c>
      <c r="P104" s="7" t="n">
        <f aca="false">COUNTIFS(TestCases!$U$2:$U$328,$A104,TestCases!$Y$2:$Y$328,"Reject")</f>
        <v>1</v>
      </c>
    </row>
    <row r="105" customFormat="false" ht="23.25" hidden="false" customHeight="true" outlineLevel="0" collapsed="false">
      <c r="A105" s="7" t="s">
        <v>2254</v>
      </c>
      <c r="B105" s="7" t="s">
        <v>4169</v>
      </c>
      <c r="C105" s="7" t="s">
        <v>2244</v>
      </c>
      <c r="D105" s="6" t="s">
        <v>4170</v>
      </c>
      <c r="E105" s="7" t="s">
        <v>38</v>
      </c>
      <c r="F105" s="7" t="s">
        <v>100</v>
      </c>
      <c r="G105" s="7" t="s">
        <v>69</v>
      </c>
      <c r="H105" s="7" t="str">
        <f aca="false">IF(COUNTIFS(TestCases!$U$2:$U$328,$A105,TestCases!$Y$2:$Y$328,"&lt;&gt;Reject")&gt;0,"Yes","No")</f>
        <v>Yes</v>
      </c>
      <c r="I105" s="6" t="s">
        <v>3488</v>
      </c>
      <c r="J105" s="7" t="s">
        <v>9</v>
      </c>
      <c r="K105" s="6" t="s">
        <v>3871</v>
      </c>
      <c r="L105" s="6" t="s">
        <v>4171</v>
      </c>
      <c r="M105" s="6" t="s">
        <v>4172</v>
      </c>
      <c r="N105" s="7" t="n">
        <f aca="false">COUNTIFS(TestCases!$U$2:$U$328,$A105,TestCases!$Y$2:$Y$328,"Approve")</f>
        <v>0</v>
      </c>
      <c r="O105" s="7" t="n">
        <f aca="false">COUNTIFS(TestCases!$U$2:$U$328,$A105,TestCases!$Y$2:$Y$328,"Draft")</f>
        <v>2</v>
      </c>
      <c r="P105" s="7" t="n">
        <f aca="false">COUNTIFS(TestCases!$U$2:$U$328,$A105,TestCases!$Y$2:$Y$328,"Reject")</f>
        <v>0</v>
      </c>
    </row>
    <row r="106" customFormat="false" ht="23.25" hidden="false" customHeight="true" outlineLevel="0" collapsed="false">
      <c r="A106" s="7" t="s">
        <v>2275</v>
      </c>
      <c r="B106" s="7" t="s">
        <v>4173</v>
      </c>
      <c r="C106" s="7" t="s">
        <v>2265</v>
      </c>
      <c r="D106" s="6" t="s">
        <v>4174</v>
      </c>
      <c r="E106" s="7" t="s">
        <v>38</v>
      </c>
      <c r="F106" s="7" t="s">
        <v>101</v>
      </c>
      <c r="G106" s="7" t="s">
        <v>69</v>
      </c>
      <c r="H106" s="7" t="str">
        <f aca="false">IF(COUNTIFS(TestCases!$U$2:$U$328,$A106,TestCases!$Y$2:$Y$328,"&lt;&gt;Reject")&gt;0,"Yes","No")</f>
        <v>Yes</v>
      </c>
      <c r="I106" s="6" t="s">
        <v>2276</v>
      </c>
      <c r="J106" s="7" t="s">
        <v>9</v>
      </c>
      <c r="K106" s="6" t="s">
        <v>4175</v>
      </c>
      <c r="L106" s="6" t="s">
        <v>4176</v>
      </c>
      <c r="M106" s="6" t="s">
        <v>4177</v>
      </c>
      <c r="N106" s="7" t="n">
        <f aca="false">COUNTIFS(TestCases!$U$2:$U$328,$A106,TestCases!$Y$2:$Y$328,"Approve")</f>
        <v>0</v>
      </c>
      <c r="O106" s="7" t="n">
        <f aca="false">COUNTIFS(TestCases!$U$2:$U$328,$A106,TestCases!$Y$2:$Y$328,"Draft")</f>
        <v>4</v>
      </c>
      <c r="P106" s="7" t="n">
        <f aca="false">COUNTIFS(TestCases!$U$2:$U$328,$A106,TestCases!$Y$2:$Y$328,"Reject")</f>
        <v>0</v>
      </c>
    </row>
    <row r="107" customFormat="false" ht="23.25" hidden="false" customHeight="true" outlineLevel="0" collapsed="false">
      <c r="A107" s="7" t="s">
        <v>2313</v>
      </c>
      <c r="B107" s="7" t="s">
        <v>4178</v>
      </c>
      <c r="C107" s="7" t="s">
        <v>2303</v>
      </c>
      <c r="D107" s="6" t="s">
        <v>4179</v>
      </c>
      <c r="E107" s="7" t="s">
        <v>38</v>
      </c>
      <c r="F107" s="7" t="s">
        <v>101</v>
      </c>
      <c r="G107" s="7" t="s">
        <v>69</v>
      </c>
      <c r="H107" s="7" t="str">
        <f aca="false">IF(COUNTIFS(TestCases!$U$2:$U$328,$A107,TestCases!$Y$2:$Y$328,"&lt;&gt;Reject")&gt;0,"Yes","No")</f>
        <v>Yes</v>
      </c>
      <c r="I107" s="6" t="s">
        <v>3675</v>
      </c>
      <c r="J107" s="7" t="s">
        <v>9</v>
      </c>
      <c r="K107" s="6" t="s">
        <v>4180</v>
      </c>
      <c r="L107" s="6" t="s">
        <v>4181</v>
      </c>
      <c r="M107" s="6" t="s">
        <v>138</v>
      </c>
      <c r="N107" s="7" t="n">
        <f aca="false">COUNTIFS(TestCases!$U$2:$U$328,$A107,TestCases!$Y$2:$Y$328,"Approve")</f>
        <v>0</v>
      </c>
      <c r="O107" s="7" t="n">
        <f aca="false">COUNTIFS(TestCases!$U$2:$U$328,$A107,TestCases!$Y$2:$Y$328,"Draft")</f>
        <v>2</v>
      </c>
      <c r="P107" s="7" t="n">
        <f aca="false">COUNTIFS(TestCases!$U$2:$U$328,$A107,TestCases!$Y$2:$Y$328,"Reject")</f>
        <v>0</v>
      </c>
    </row>
    <row r="108" customFormat="false" ht="23.25" hidden="false" customHeight="true" outlineLevel="0" collapsed="false">
      <c r="A108" s="7" t="s">
        <v>2333</v>
      </c>
      <c r="B108" s="7" t="s">
        <v>4182</v>
      </c>
      <c r="C108" s="7" t="s">
        <v>2324</v>
      </c>
      <c r="D108" s="6" t="s">
        <v>4183</v>
      </c>
      <c r="E108" s="7" t="s">
        <v>40</v>
      </c>
      <c r="F108" s="7" t="s">
        <v>101</v>
      </c>
      <c r="G108" s="7" t="s">
        <v>70</v>
      </c>
      <c r="H108" s="7" t="str">
        <f aca="false">IF(COUNTIFS(TestCases!$U$2:$U$328,$A108,TestCases!$Y$2:$Y$328,"&lt;&gt;Reject")&gt;0,"Yes","No")</f>
        <v>Yes</v>
      </c>
      <c r="I108" s="6" t="s">
        <v>3678</v>
      </c>
      <c r="J108" s="7" t="s">
        <v>9</v>
      </c>
      <c r="K108" s="6" t="s">
        <v>4184</v>
      </c>
      <c r="L108" s="6" t="s">
        <v>4185</v>
      </c>
      <c r="M108" s="6" t="s">
        <v>4186</v>
      </c>
      <c r="N108" s="7" t="n">
        <f aca="false">COUNTIFS(TestCases!$U$2:$U$328,$A108,TestCases!$Y$2:$Y$328,"Approve")</f>
        <v>2</v>
      </c>
      <c r="O108" s="7" t="n">
        <f aca="false">COUNTIFS(TestCases!$U$2:$U$328,$A108,TestCases!$Y$2:$Y$328,"Draft")</f>
        <v>2</v>
      </c>
      <c r="P108" s="7" t="n">
        <f aca="false">COUNTIFS(TestCases!$U$2:$U$328,$A108,TestCases!$Y$2:$Y$328,"Reject")</f>
        <v>0</v>
      </c>
    </row>
    <row r="109" customFormat="false" ht="23.25" hidden="false" customHeight="true" outlineLevel="0" collapsed="false">
      <c r="A109" s="7" t="s">
        <v>2369</v>
      </c>
      <c r="B109" s="7" t="s">
        <v>4187</v>
      </c>
      <c r="C109" s="7" t="s">
        <v>2360</v>
      </c>
      <c r="D109" s="6" t="s">
        <v>4188</v>
      </c>
      <c r="E109" s="7" t="s">
        <v>38</v>
      </c>
      <c r="F109" s="7" t="s">
        <v>101</v>
      </c>
      <c r="G109" s="7" t="s">
        <v>69</v>
      </c>
      <c r="H109" s="7" t="str">
        <f aca="false">IF(COUNTIFS(TestCases!$U$2:$U$328,$A109,TestCases!$Y$2:$Y$328,"&lt;&gt;Reject")&gt;0,"Yes","No")</f>
        <v>Yes</v>
      </c>
      <c r="I109" s="6" t="s">
        <v>2370</v>
      </c>
      <c r="J109" s="7" t="s">
        <v>9</v>
      </c>
      <c r="K109" s="6" t="s">
        <v>4189</v>
      </c>
      <c r="L109" s="6" t="s">
        <v>2359</v>
      </c>
      <c r="M109" s="6" t="s">
        <v>138</v>
      </c>
      <c r="N109" s="7" t="n">
        <f aca="false">COUNTIFS(TestCases!$U$2:$U$328,$A109,TestCases!$Y$2:$Y$328,"Approve")</f>
        <v>0</v>
      </c>
      <c r="O109" s="7" t="n">
        <f aca="false">COUNTIFS(TestCases!$U$2:$U$328,$A109,TestCases!$Y$2:$Y$328,"Draft")</f>
        <v>1</v>
      </c>
      <c r="P109" s="7" t="n">
        <f aca="false">COUNTIFS(TestCases!$U$2:$U$328,$A109,TestCases!$Y$2:$Y$328,"Reject")</f>
        <v>0</v>
      </c>
    </row>
    <row r="110" customFormat="false" ht="23.25" hidden="false" customHeight="true" outlineLevel="0" collapsed="false">
      <c r="A110" s="7" t="s">
        <v>2381</v>
      </c>
      <c r="B110" s="7" t="s">
        <v>4190</v>
      </c>
      <c r="C110" s="7" t="s">
        <v>2373</v>
      </c>
      <c r="D110" s="6" t="s">
        <v>4191</v>
      </c>
      <c r="E110" s="7" t="s">
        <v>38</v>
      </c>
      <c r="F110" s="7" t="s">
        <v>101</v>
      </c>
      <c r="G110" s="7" t="s">
        <v>68</v>
      </c>
      <c r="H110" s="7" t="str">
        <f aca="false">IF(COUNTIFS(TestCases!$U$2:$U$328,$A110,TestCases!$Y$2:$Y$328,"&lt;&gt;Reject")&gt;0,"Yes","No")</f>
        <v>Yes</v>
      </c>
      <c r="I110" s="6" t="s">
        <v>138</v>
      </c>
      <c r="J110" s="7" t="s">
        <v>7</v>
      </c>
      <c r="K110" s="6" t="s">
        <v>3807</v>
      </c>
      <c r="L110" s="6" t="s">
        <v>4192</v>
      </c>
      <c r="M110" s="6" t="s">
        <v>138</v>
      </c>
      <c r="N110" s="7" t="n">
        <f aca="false">COUNTIFS(TestCases!$U$2:$U$328,$A110,TestCases!$Y$2:$Y$328,"Approve")</f>
        <v>2</v>
      </c>
      <c r="O110" s="7" t="n">
        <f aca="false">COUNTIFS(TestCases!$U$2:$U$328,$A110,TestCases!$Y$2:$Y$328,"Draft")</f>
        <v>0</v>
      </c>
      <c r="P110" s="7" t="n">
        <f aca="false">COUNTIFS(TestCases!$U$2:$U$328,$A110,TestCases!$Y$2:$Y$328,"Reject")</f>
        <v>0</v>
      </c>
    </row>
    <row r="111" customFormat="false" ht="23.25" hidden="false" customHeight="true" outlineLevel="0" collapsed="false">
      <c r="A111" s="7" t="s">
        <v>2401</v>
      </c>
      <c r="B111" s="7" t="s">
        <v>4193</v>
      </c>
      <c r="C111" s="7" t="s">
        <v>2391</v>
      </c>
      <c r="D111" s="6" t="s">
        <v>4194</v>
      </c>
      <c r="E111" s="7" t="s">
        <v>40</v>
      </c>
      <c r="F111" s="7" t="s">
        <v>517</v>
      </c>
      <c r="G111" s="7" t="s">
        <v>69</v>
      </c>
      <c r="H111" s="7" t="str">
        <f aca="false">IF(COUNTIFS(TestCases!$U$2:$U$328,$A111,TestCases!$Y$2:$Y$328,"&lt;&gt;Reject")&gt;0,"Yes","No")</f>
        <v>Yes</v>
      </c>
      <c r="I111" s="6" t="s">
        <v>2402</v>
      </c>
      <c r="J111" s="7" t="s">
        <v>9</v>
      </c>
      <c r="K111" s="6" t="s">
        <v>4195</v>
      </c>
      <c r="L111" s="6" t="s">
        <v>4196</v>
      </c>
      <c r="M111" s="6" t="s">
        <v>4197</v>
      </c>
      <c r="N111" s="7" t="n">
        <f aca="false">COUNTIFS(TestCases!$U$2:$U$328,$A111,TestCases!$Y$2:$Y$328,"Approve")</f>
        <v>0</v>
      </c>
      <c r="O111" s="7" t="n">
        <f aca="false">COUNTIFS(TestCases!$U$2:$U$328,$A111,TestCases!$Y$2:$Y$328,"Draft")</f>
        <v>3</v>
      </c>
      <c r="P111" s="7" t="n">
        <f aca="false">COUNTIFS(TestCases!$U$2:$U$328,$A111,TestCases!$Y$2:$Y$328,"Reject")</f>
        <v>0</v>
      </c>
    </row>
    <row r="112" customFormat="false" ht="23.25" hidden="false" customHeight="true" outlineLevel="0" collapsed="false">
      <c r="A112" s="7" t="s">
        <v>2431</v>
      </c>
      <c r="B112" s="7" t="s">
        <v>4198</v>
      </c>
      <c r="C112" s="7" t="s">
        <v>2421</v>
      </c>
      <c r="D112" s="6" t="s">
        <v>4199</v>
      </c>
      <c r="E112" s="7" t="s">
        <v>40</v>
      </c>
      <c r="F112" s="7" t="s">
        <v>517</v>
      </c>
      <c r="G112" s="7" t="s">
        <v>69</v>
      </c>
      <c r="H112" s="7" t="str">
        <f aca="false">IF(COUNTIFS(TestCases!$U$2:$U$328,$A112,TestCases!$Y$2:$Y$328,"&lt;&gt;Reject")&gt;0,"Yes","No")</f>
        <v>Yes</v>
      </c>
      <c r="I112" s="6" t="s">
        <v>2402</v>
      </c>
      <c r="J112" s="7" t="s">
        <v>9</v>
      </c>
      <c r="K112" s="6" t="s">
        <v>4195</v>
      </c>
      <c r="L112" s="6" t="s">
        <v>4200</v>
      </c>
      <c r="M112" s="6" t="s">
        <v>4201</v>
      </c>
      <c r="N112" s="7" t="n">
        <f aca="false">COUNTIFS(TestCases!$U$2:$U$328,$A112,TestCases!$Y$2:$Y$328,"Approve")</f>
        <v>1</v>
      </c>
      <c r="O112" s="7" t="n">
        <f aca="false">COUNTIFS(TestCases!$U$2:$U$328,$A112,TestCases!$Y$2:$Y$328,"Draft")</f>
        <v>3</v>
      </c>
      <c r="P112" s="7" t="n">
        <f aca="false">COUNTIFS(TestCases!$U$2:$U$328,$A112,TestCases!$Y$2:$Y$328,"Reject")</f>
        <v>0</v>
      </c>
    </row>
    <row r="113" customFormat="false" ht="23.25" hidden="false" customHeight="true" outlineLevel="0" collapsed="false">
      <c r="A113" s="7" t="s">
        <v>2466</v>
      </c>
      <c r="B113" s="7" t="s">
        <v>4202</v>
      </c>
      <c r="C113" s="7" t="s">
        <v>2456</v>
      </c>
      <c r="D113" s="6" t="s">
        <v>4203</v>
      </c>
      <c r="E113" s="7" t="s">
        <v>40</v>
      </c>
      <c r="F113" s="7" t="s">
        <v>100</v>
      </c>
      <c r="G113" s="7" t="s">
        <v>69</v>
      </c>
      <c r="H113" s="7" t="str">
        <f aca="false">IF(COUNTIFS(TestCases!$U$2:$U$328,$A113,TestCases!$Y$2:$Y$328,"&lt;&gt;Reject")&gt;0,"Yes","No")</f>
        <v>Yes</v>
      </c>
      <c r="I113" s="6" t="s">
        <v>3689</v>
      </c>
      <c r="J113" s="7" t="s">
        <v>9</v>
      </c>
      <c r="K113" s="6" t="s">
        <v>4204</v>
      </c>
      <c r="L113" s="6" t="s">
        <v>4205</v>
      </c>
      <c r="M113" s="6" t="s">
        <v>4206</v>
      </c>
      <c r="N113" s="7" t="n">
        <f aca="false">COUNTIFS(TestCases!$U$2:$U$328,$A113,TestCases!$Y$2:$Y$328,"Approve")</f>
        <v>0</v>
      </c>
      <c r="O113" s="7" t="n">
        <f aca="false">COUNTIFS(TestCases!$U$2:$U$328,$A113,TestCases!$Y$2:$Y$328,"Draft")</f>
        <v>2</v>
      </c>
      <c r="P113" s="7" t="n">
        <f aca="false">COUNTIFS(TestCases!$U$2:$U$328,$A113,TestCases!$Y$2:$Y$328,"Reject")</f>
        <v>0</v>
      </c>
    </row>
    <row r="114" customFormat="false" ht="23.25" hidden="false" customHeight="true" outlineLevel="0" collapsed="false">
      <c r="A114" s="7" t="s">
        <v>2486</v>
      </c>
      <c r="B114" s="7" t="s">
        <v>4207</v>
      </c>
      <c r="C114" s="7" t="s">
        <v>2477</v>
      </c>
      <c r="D114" s="6" t="s">
        <v>4208</v>
      </c>
      <c r="E114" s="7" t="s">
        <v>40</v>
      </c>
      <c r="F114" s="7" t="s">
        <v>100</v>
      </c>
      <c r="G114" s="7" t="s">
        <v>68</v>
      </c>
      <c r="H114" s="7" t="str">
        <f aca="false">IF(COUNTIFS(TestCases!$U$2:$U$328,$A114,TestCases!$Y$2:$Y$328,"&lt;&gt;Reject")&gt;0,"Yes","No")</f>
        <v>Yes</v>
      </c>
      <c r="I114" s="6" t="s">
        <v>357</v>
      </c>
      <c r="J114" s="7" t="s">
        <v>7</v>
      </c>
      <c r="K114" s="6" t="s">
        <v>3807</v>
      </c>
      <c r="L114" s="6" t="s">
        <v>4209</v>
      </c>
      <c r="M114" s="6" t="s">
        <v>138</v>
      </c>
      <c r="N114" s="7" t="n">
        <f aca="false">COUNTIFS(TestCases!$U$2:$U$328,$A114,TestCases!$Y$2:$Y$328,"Approve")</f>
        <v>0</v>
      </c>
      <c r="O114" s="7" t="n">
        <f aca="false">COUNTIFS(TestCases!$U$2:$U$328,$A114,TestCases!$Y$2:$Y$328,"Draft")</f>
        <v>2</v>
      </c>
      <c r="P114" s="7" t="n">
        <f aca="false">COUNTIFS(TestCases!$U$2:$U$328,$A114,TestCases!$Y$2:$Y$328,"Reject")</f>
        <v>0</v>
      </c>
    </row>
    <row r="115" customFormat="false" ht="23.25" hidden="false" customHeight="true" outlineLevel="0" collapsed="false">
      <c r="A115" s="7" t="s">
        <v>2506</v>
      </c>
      <c r="B115" s="7" t="s">
        <v>4210</v>
      </c>
      <c r="C115" s="7" t="s">
        <v>2496</v>
      </c>
      <c r="D115" s="6" t="s">
        <v>4211</v>
      </c>
      <c r="E115" s="7" t="s">
        <v>40</v>
      </c>
      <c r="F115" s="7" t="s">
        <v>100</v>
      </c>
      <c r="G115" s="7" t="s">
        <v>69</v>
      </c>
      <c r="H115" s="7" t="str">
        <f aca="false">IF(COUNTIFS(TestCases!$U$2:$U$328,$A115,TestCases!$Y$2:$Y$328,"&lt;&gt;Reject")&gt;0,"Yes","No")</f>
        <v>Yes</v>
      </c>
      <c r="I115" s="6" t="s">
        <v>3694</v>
      </c>
      <c r="J115" s="7" t="s">
        <v>9</v>
      </c>
      <c r="K115" s="6" t="s">
        <v>4212</v>
      </c>
      <c r="L115" s="6" t="s">
        <v>4213</v>
      </c>
      <c r="M115" s="6" t="s">
        <v>4214</v>
      </c>
      <c r="N115" s="7" t="n">
        <f aca="false">COUNTIFS(TestCases!$U$2:$U$328,$A115,TestCases!$Y$2:$Y$328,"Approve")</f>
        <v>1</v>
      </c>
      <c r="O115" s="7" t="n">
        <f aca="false">COUNTIFS(TestCases!$U$2:$U$328,$A115,TestCases!$Y$2:$Y$328,"Draft")</f>
        <v>2</v>
      </c>
      <c r="P115" s="7" t="n">
        <f aca="false">COUNTIFS(TestCases!$U$2:$U$328,$A115,TestCases!$Y$2:$Y$328,"Reject")</f>
        <v>0</v>
      </c>
    </row>
    <row r="116" customFormat="false" ht="23.25" hidden="false" customHeight="true" outlineLevel="0" collapsed="false">
      <c r="A116" s="7" t="s">
        <v>2534</v>
      </c>
      <c r="B116" s="7" t="s">
        <v>4215</v>
      </c>
      <c r="C116" s="7" t="s">
        <v>2524</v>
      </c>
      <c r="D116" s="6" t="s">
        <v>4216</v>
      </c>
      <c r="E116" s="7" t="s">
        <v>40</v>
      </c>
      <c r="F116" s="7" t="s">
        <v>100</v>
      </c>
      <c r="G116" s="7" t="s">
        <v>69</v>
      </c>
      <c r="H116" s="7" t="str">
        <f aca="false">IF(COUNTIFS(TestCases!$U$2:$U$328,$A116,TestCases!$Y$2:$Y$328,"&lt;&gt;Reject")&gt;0,"Yes","No")</f>
        <v>Yes</v>
      </c>
      <c r="I116" s="6" t="s">
        <v>248</v>
      </c>
      <c r="J116" s="7" t="s">
        <v>9</v>
      </c>
      <c r="K116" s="6" t="s">
        <v>3826</v>
      </c>
      <c r="L116" s="6" t="s">
        <v>4217</v>
      </c>
      <c r="M116" s="6" t="s">
        <v>4218</v>
      </c>
      <c r="N116" s="7" t="n">
        <f aca="false">COUNTIFS(TestCases!$U$2:$U$328,$A116,TestCases!$Y$2:$Y$328,"Approve")</f>
        <v>0</v>
      </c>
      <c r="O116" s="7" t="n">
        <f aca="false">COUNTIFS(TestCases!$U$2:$U$328,$A116,TestCases!$Y$2:$Y$328,"Draft")</f>
        <v>2</v>
      </c>
      <c r="P116" s="7" t="n">
        <f aca="false">COUNTIFS(TestCases!$U$2:$U$328,$A116,TestCases!$Y$2:$Y$328,"Reject")</f>
        <v>0</v>
      </c>
    </row>
    <row r="117" customFormat="false" ht="34.5" hidden="false" customHeight="true" outlineLevel="0" collapsed="false">
      <c r="A117" s="7" t="s">
        <v>2555</v>
      </c>
      <c r="B117" s="7" t="s">
        <v>4219</v>
      </c>
      <c r="C117" s="7" t="s">
        <v>2545</v>
      </c>
      <c r="D117" s="6" t="s">
        <v>4220</v>
      </c>
      <c r="E117" s="7" t="s">
        <v>40</v>
      </c>
      <c r="F117" s="7" t="s">
        <v>100</v>
      </c>
      <c r="G117" s="7" t="s">
        <v>69</v>
      </c>
      <c r="H117" s="7" t="str">
        <f aca="false">IF(COUNTIFS(TestCases!$U$2:$U$328,$A117,TestCases!$Y$2:$Y$328,"&lt;&gt;Reject")&gt;0,"Yes","No")</f>
        <v>Yes</v>
      </c>
      <c r="I117" s="6" t="s">
        <v>2556</v>
      </c>
      <c r="J117" s="7" t="s">
        <v>9</v>
      </c>
      <c r="K117" s="6" t="s">
        <v>4221</v>
      </c>
      <c r="L117" s="6" t="s">
        <v>4222</v>
      </c>
      <c r="M117" s="6" t="s">
        <v>4223</v>
      </c>
      <c r="N117" s="7" t="n">
        <f aca="false">COUNTIFS(TestCases!$U$2:$U$328,$A117,TestCases!$Y$2:$Y$328,"Approve")</f>
        <v>0</v>
      </c>
      <c r="O117" s="7" t="n">
        <f aca="false">COUNTIFS(TestCases!$U$2:$U$328,$A117,TestCases!$Y$2:$Y$328,"Draft")</f>
        <v>3</v>
      </c>
      <c r="P117" s="7" t="n">
        <f aca="false">COUNTIFS(TestCases!$U$2:$U$328,$A117,TestCases!$Y$2:$Y$328,"Reject")</f>
        <v>0</v>
      </c>
    </row>
    <row r="118" customFormat="false" ht="34.5" hidden="false" customHeight="true" outlineLevel="0" collapsed="false">
      <c r="A118" s="7" t="s">
        <v>2581</v>
      </c>
      <c r="B118" s="7" t="s">
        <v>4224</v>
      </c>
      <c r="C118" s="7" t="s">
        <v>2572</v>
      </c>
      <c r="D118" s="6" t="s">
        <v>4225</v>
      </c>
      <c r="E118" s="7" t="s">
        <v>40</v>
      </c>
      <c r="F118" s="7" t="s">
        <v>100</v>
      </c>
      <c r="G118" s="7" t="s">
        <v>69</v>
      </c>
      <c r="H118" s="7" t="str">
        <f aca="false">IF(COUNTIFS(TestCases!$U$2:$U$328,$A118,TestCases!$Y$2:$Y$328,"&lt;&gt;Reject")&gt;0,"Yes","No")</f>
        <v>Yes</v>
      </c>
      <c r="I118" s="6" t="s">
        <v>3701</v>
      </c>
      <c r="J118" s="7" t="s">
        <v>9</v>
      </c>
      <c r="K118" s="6" t="s">
        <v>4226</v>
      </c>
      <c r="L118" s="6" t="s">
        <v>4227</v>
      </c>
      <c r="M118" s="6" t="s">
        <v>4228</v>
      </c>
      <c r="N118" s="7" t="n">
        <f aca="false">COUNTIFS(TestCases!$U$2:$U$328,$A118,TestCases!$Y$2:$Y$328,"Approve")</f>
        <v>3</v>
      </c>
      <c r="O118" s="7" t="n">
        <f aca="false">COUNTIFS(TestCases!$U$2:$U$328,$A118,TestCases!$Y$2:$Y$328,"Draft")</f>
        <v>3</v>
      </c>
      <c r="P118" s="7" t="n">
        <f aca="false">COUNTIFS(TestCases!$U$2:$U$328,$A118,TestCases!$Y$2:$Y$328,"Reject")</f>
        <v>0</v>
      </c>
    </row>
    <row r="119" customFormat="false" ht="23.25" hidden="false" customHeight="true" outlineLevel="0" collapsed="false">
      <c r="A119" s="7" t="s">
        <v>2631</v>
      </c>
      <c r="B119" s="7" t="s">
        <v>4229</v>
      </c>
      <c r="C119" s="7" t="s">
        <v>2622</v>
      </c>
      <c r="D119" s="6" t="s">
        <v>4230</v>
      </c>
      <c r="E119" s="7" t="s">
        <v>39</v>
      </c>
      <c r="F119" s="7" t="s">
        <v>101</v>
      </c>
      <c r="G119" s="7" t="s">
        <v>69</v>
      </c>
      <c r="H119" s="7" t="str">
        <f aca="false">IF(COUNTIFS(TestCases!$U$2:$U$328,$A119,TestCases!$Y$2:$Y$328,"&lt;&gt;Reject")&gt;0,"Yes","No")</f>
        <v>Yes</v>
      </c>
      <c r="I119" s="6" t="s">
        <v>2632</v>
      </c>
      <c r="J119" s="7" t="s">
        <v>9</v>
      </c>
      <c r="K119" s="6" t="s">
        <v>4231</v>
      </c>
      <c r="L119" s="6" t="s">
        <v>4232</v>
      </c>
      <c r="M119" s="6" t="s">
        <v>138</v>
      </c>
      <c r="N119" s="7" t="n">
        <f aca="false">COUNTIFS(TestCases!$U$2:$U$328,$A119,TestCases!$Y$2:$Y$328,"Approve")</f>
        <v>0</v>
      </c>
      <c r="O119" s="7" t="n">
        <f aca="false">COUNTIFS(TestCases!$U$2:$U$328,$A119,TestCases!$Y$2:$Y$328,"Draft")</f>
        <v>2</v>
      </c>
      <c r="P119" s="7" t="n">
        <f aca="false">COUNTIFS(TestCases!$U$2:$U$328,$A119,TestCases!$Y$2:$Y$328,"Reject")</f>
        <v>0</v>
      </c>
    </row>
    <row r="120" customFormat="false" ht="23.25" hidden="false" customHeight="true" outlineLevel="0" collapsed="false">
      <c r="A120" s="7" t="s">
        <v>2651</v>
      </c>
      <c r="B120" s="7" t="s">
        <v>4233</v>
      </c>
      <c r="C120" s="7" t="s">
        <v>2642</v>
      </c>
      <c r="D120" s="6" t="s">
        <v>4234</v>
      </c>
      <c r="E120" s="7" t="s">
        <v>39</v>
      </c>
      <c r="F120" s="7" t="s">
        <v>101</v>
      </c>
      <c r="G120" s="7" t="s">
        <v>69</v>
      </c>
      <c r="H120" s="7" t="str">
        <f aca="false">IF(COUNTIFS(TestCases!$U$2:$U$328,$A120,TestCases!$Y$2:$Y$328,"&lt;&gt;Reject")&gt;0,"Yes","No")</f>
        <v>Yes</v>
      </c>
      <c r="I120" s="6" t="s">
        <v>3706</v>
      </c>
      <c r="J120" s="7" t="s">
        <v>9</v>
      </c>
      <c r="K120" s="6" t="s">
        <v>4235</v>
      </c>
      <c r="L120" s="6" t="s">
        <v>2641</v>
      </c>
      <c r="M120" s="6" t="s">
        <v>138</v>
      </c>
      <c r="N120" s="7" t="n">
        <f aca="false">COUNTIFS(TestCases!$U$2:$U$328,$A120,TestCases!$Y$2:$Y$328,"Approve")</f>
        <v>0</v>
      </c>
      <c r="O120" s="7" t="n">
        <f aca="false">COUNTIFS(TestCases!$U$2:$U$328,$A120,TestCases!$Y$2:$Y$328,"Draft")</f>
        <v>1</v>
      </c>
      <c r="P120" s="7" t="n">
        <f aca="false">COUNTIFS(TestCases!$U$2:$U$328,$A120,TestCases!$Y$2:$Y$328,"Reject")</f>
        <v>0</v>
      </c>
    </row>
    <row r="121" customFormat="false" ht="23.25" hidden="false" customHeight="true" outlineLevel="0" collapsed="false">
      <c r="A121" s="7" t="s">
        <v>2664</v>
      </c>
      <c r="B121" s="7" t="s">
        <v>4236</v>
      </c>
      <c r="C121" s="7" t="s">
        <v>2654</v>
      </c>
      <c r="D121" s="6" t="s">
        <v>4237</v>
      </c>
      <c r="E121" s="7" t="s">
        <v>39</v>
      </c>
      <c r="F121" s="7" t="s">
        <v>101</v>
      </c>
      <c r="G121" s="7" t="s">
        <v>69</v>
      </c>
      <c r="H121" s="7" t="str">
        <f aca="false">IF(COUNTIFS(TestCases!$U$2:$U$328,$A121,TestCases!$Y$2:$Y$328,"&lt;&gt;Reject")&gt;0,"Yes","No")</f>
        <v>Yes</v>
      </c>
      <c r="I121" s="6" t="s">
        <v>913</v>
      </c>
      <c r="J121" s="7" t="s">
        <v>9</v>
      </c>
      <c r="K121" s="6" t="s">
        <v>3921</v>
      </c>
      <c r="L121" s="6" t="s">
        <v>4238</v>
      </c>
      <c r="M121" s="6" t="s">
        <v>4239</v>
      </c>
      <c r="N121" s="7" t="n">
        <f aca="false">COUNTIFS(TestCases!$U$2:$U$328,$A121,TestCases!$Y$2:$Y$328,"Approve")</f>
        <v>0</v>
      </c>
      <c r="O121" s="7" t="n">
        <f aca="false">COUNTIFS(TestCases!$U$2:$U$328,$A121,TestCases!$Y$2:$Y$328,"Draft")</f>
        <v>2</v>
      </c>
      <c r="P121" s="7" t="n">
        <f aca="false">COUNTIFS(TestCases!$U$2:$U$328,$A121,TestCases!$Y$2:$Y$328,"Reject")</f>
        <v>0</v>
      </c>
    </row>
    <row r="122" customFormat="false" ht="23.25" hidden="false" customHeight="true" outlineLevel="0" collapsed="false">
      <c r="A122" s="7" t="s">
        <v>2685</v>
      </c>
      <c r="B122" s="7" t="s">
        <v>4240</v>
      </c>
      <c r="C122" s="7" t="s">
        <v>2675</v>
      </c>
      <c r="D122" s="6" t="s">
        <v>4241</v>
      </c>
      <c r="E122" s="7" t="s">
        <v>39</v>
      </c>
      <c r="F122" s="7" t="s">
        <v>101</v>
      </c>
      <c r="G122" s="7" t="s">
        <v>69</v>
      </c>
      <c r="H122" s="7" t="str">
        <f aca="false">IF(COUNTIFS(TestCases!$U$2:$U$328,$A122,TestCases!$Y$2:$Y$328,"&lt;&gt;Reject")&gt;0,"Yes","No")</f>
        <v>Yes</v>
      </c>
      <c r="I122" s="6" t="s">
        <v>913</v>
      </c>
      <c r="J122" s="7" t="s">
        <v>9</v>
      </c>
      <c r="K122" s="6" t="s">
        <v>3921</v>
      </c>
      <c r="L122" s="6" t="s">
        <v>4242</v>
      </c>
      <c r="M122" s="6" t="s">
        <v>4243</v>
      </c>
      <c r="N122" s="7" t="n">
        <f aca="false">COUNTIFS(TestCases!$U$2:$U$328,$A122,TestCases!$Y$2:$Y$328,"Approve")</f>
        <v>0</v>
      </c>
      <c r="O122" s="7" t="n">
        <f aca="false">COUNTIFS(TestCases!$U$2:$U$328,$A122,TestCases!$Y$2:$Y$328,"Draft")</f>
        <v>2</v>
      </c>
      <c r="P122" s="7" t="n">
        <f aca="false">COUNTIFS(TestCases!$U$2:$U$328,$A122,TestCases!$Y$2:$Y$328,"Reject")</f>
        <v>0</v>
      </c>
    </row>
    <row r="123" customFormat="false" ht="23.25" hidden="false" customHeight="true" outlineLevel="0" collapsed="false">
      <c r="A123" s="7" t="s">
        <v>2706</v>
      </c>
      <c r="B123" s="7" t="s">
        <v>4244</v>
      </c>
      <c r="C123" s="7" t="s">
        <v>2696</v>
      </c>
      <c r="D123" s="6" t="s">
        <v>4245</v>
      </c>
      <c r="E123" s="7" t="s">
        <v>39</v>
      </c>
      <c r="F123" s="7" t="s">
        <v>101</v>
      </c>
      <c r="G123" s="7" t="s">
        <v>68</v>
      </c>
      <c r="H123" s="7" t="str">
        <f aca="false">IF(COUNTIFS(TestCases!$U$2:$U$328,$A123,TestCases!$Y$2:$Y$328,"&lt;&gt;Reject")&gt;0,"Yes","No")</f>
        <v>Yes</v>
      </c>
      <c r="I123" s="6" t="s">
        <v>138</v>
      </c>
      <c r="J123" s="7" t="s">
        <v>7</v>
      </c>
      <c r="K123" s="6" t="s">
        <v>3807</v>
      </c>
      <c r="L123" s="6" t="s">
        <v>2695</v>
      </c>
      <c r="M123" s="6" t="s">
        <v>4246</v>
      </c>
      <c r="N123" s="7" t="n">
        <f aca="false">COUNTIFS(TestCases!$U$2:$U$328,$A123,TestCases!$Y$2:$Y$328,"Approve")</f>
        <v>1</v>
      </c>
      <c r="O123" s="7" t="n">
        <f aca="false">COUNTIFS(TestCases!$U$2:$U$328,$A123,TestCases!$Y$2:$Y$328,"Draft")</f>
        <v>0</v>
      </c>
      <c r="P123" s="7" t="n">
        <f aca="false">COUNTIFS(TestCases!$U$2:$U$328,$A123,TestCases!$Y$2:$Y$328,"Reject")</f>
        <v>0</v>
      </c>
    </row>
    <row r="124" customFormat="false" ht="23.25" hidden="false" customHeight="true" outlineLevel="0" collapsed="false">
      <c r="A124" s="7" t="s">
        <v>2719</v>
      </c>
      <c r="B124" s="7" t="s">
        <v>4247</v>
      </c>
      <c r="C124" s="7" t="s">
        <v>2709</v>
      </c>
      <c r="D124" s="6" t="s">
        <v>4248</v>
      </c>
      <c r="E124" s="7" t="s">
        <v>39</v>
      </c>
      <c r="F124" s="7" t="s">
        <v>101</v>
      </c>
      <c r="G124" s="7" t="s">
        <v>69</v>
      </c>
      <c r="H124" s="7" t="str">
        <f aca="false">IF(COUNTIFS(TestCases!$U$2:$U$328,$A124,TestCases!$Y$2:$Y$328,"&lt;&gt;Reject")&gt;0,"Yes","No")</f>
        <v>Yes</v>
      </c>
      <c r="I124" s="6" t="s">
        <v>3715</v>
      </c>
      <c r="J124" s="7" t="s">
        <v>9</v>
      </c>
      <c r="K124" s="6" t="s">
        <v>4249</v>
      </c>
      <c r="L124" s="6" t="s">
        <v>4250</v>
      </c>
      <c r="M124" s="6" t="s">
        <v>138</v>
      </c>
      <c r="N124" s="7" t="n">
        <f aca="false">COUNTIFS(TestCases!$U$2:$U$328,$A124,TestCases!$Y$2:$Y$328,"Approve")</f>
        <v>0</v>
      </c>
      <c r="O124" s="7" t="n">
        <f aca="false">COUNTIFS(TestCases!$U$2:$U$328,$A124,TestCases!$Y$2:$Y$328,"Draft")</f>
        <v>2</v>
      </c>
      <c r="P124" s="7" t="n">
        <f aca="false">COUNTIFS(TestCases!$U$2:$U$328,$A124,TestCases!$Y$2:$Y$328,"Reject")</f>
        <v>0</v>
      </c>
    </row>
    <row r="125" customFormat="false" ht="34.5" hidden="false" customHeight="true" outlineLevel="0" collapsed="false">
      <c r="A125" s="7" t="s">
        <v>2738</v>
      </c>
      <c r="B125" s="7" t="s">
        <v>4251</v>
      </c>
      <c r="C125" s="7" t="s">
        <v>2729</v>
      </c>
      <c r="D125" s="6" t="s">
        <v>4252</v>
      </c>
      <c r="E125" s="7" t="s">
        <v>39</v>
      </c>
      <c r="F125" s="7" t="s">
        <v>101</v>
      </c>
      <c r="G125" s="7" t="s">
        <v>68</v>
      </c>
      <c r="H125" s="7" t="str">
        <f aca="false">IF(COUNTIFS(TestCases!$U$2:$U$328,$A125,TestCases!$Y$2:$Y$328,"&lt;&gt;Reject")&gt;0,"Yes","No")</f>
        <v>Yes</v>
      </c>
      <c r="I125" s="6" t="s">
        <v>138</v>
      </c>
      <c r="J125" s="7" t="s">
        <v>7</v>
      </c>
      <c r="K125" s="6" t="s">
        <v>3807</v>
      </c>
      <c r="L125" s="6" t="s">
        <v>2728</v>
      </c>
      <c r="M125" s="6" t="s">
        <v>138</v>
      </c>
      <c r="N125" s="7" t="n">
        <f aca="false">COUNTIFS(TestCases!$U$2:$U$328,$A125,TestCases!$Y$2:$Y$328,"Approve")</f>
        <v>1</v>
      </c>
      <c r="O125" s="7" t="n">
        <f aca="false">COUNTIFS(TestCases!$U$2:$U$328,$A125,TestCases!$Y$2:$Y$328,"Draft")</f>
        <v>0</v>
      </c>
      <c r="P125" s="7" t="n">
        <f aca="false">COUNTIFS(TestCases!$U$2:$U$328,$A125,TestCases!$Y$2:$Y$328,"Reject")</f>
        <v>0</v>
      </c>
    </row>
    <row r="126" customFormat="false" ht="23.25" hidden="false" customHeight="true" outlineLevel="0" collapsed="false">
      <c r="A126" s="7" t="s">
        <v>2751</v>
      </c>
      <c r="B126" s="7" t="s">
        <v>4253</v>
      </c>
      <c r="C126" s="7" t="s">
        <v>2741</v>
      </c>
      <c r="D126" s="6" t="s">
        <v>4254</v>
      </c>
      <c r="E126" s="7" t="s">
        <v>39</v>
      </c>
      <c r="F126" s="7" t="s">
        <v>101</v>
      </c>
      <c r="G126" s="7" t="s">
        <v>68</v>
      </c>
      <c r="H126" s="7" t="str">
        <f aca="false">IF(COUNTIFS(TestCases!$U$2:$U$328,$A126,TestCases!$Y$2:$Y$328,"&lt;&gt;Reject")&gt;0,"Yes","No")</f>
        <v>Yes</v>
      </c>
      <c r="I126" s="6" t="s">
        <v>138</v>
      </c>
      <c r="J126" s="7" t="s">
        <v>7</v>
      </c>
      <c r="K126" s="6" t="s">
        <v>3807</v>
      </c>
      <c r="L126" s="6" t="s">
        <v>4255</v>
      </c>
      <c r="M126" s="6" t="s">
        <v>4256</v>
      </c>
      <c r="N126" s="7" t="n">
        <f aca="false">COUNTIFS(TestCases!$U$2:$U$328,$A126,TestCases!$Y$2:$Y$328,"Approve")</f>
        <v>3</v>
      </c>
      <c r="O126" s="7" t="n">
        <f aca="false">COUNTIFS(TestCases!$U$2:$U$328,$A126,TestCases!$Y$2:$Y$328,"Draft")</f>
        <v>0</v>
      </c>
      <c r="P126" s="7" t="n">
        <f aca="false">COUNTIFS(TestCases!$U$2:$U$328,$A126,TestCases!$Y$2:$Y$328,"Reject")</f>
        <v>0</v>
      </c>
    </row>
    <row r="127" customFormat="false" ht="15" hidden="false" customHeight="true" outlineLevel="0" collapsed="false">
      <c r="A127" s="7" t="s">
        <v>2776</v>
      </c>
      <c r="B127" s="7" t="s">
        <v>4257</v>
      </c>
      <c r="C127" s="7" t="s">
        <v>2767</v>
      </c>
      <c r="D127" s="6" t="s">
        <v>4258</v>
      </c>
      <c r="E127" s="7" t="s">
        <v>39</v>
      </c>
      <c r="F127" s="7" t="s">
        <v>101</v>
      </c>
      <c r="G127" s="7" t="s">
        <v>68</v>
      </c>
      <c r="H127" s="7" t="str">
        <f aca="false">IF(COUNTIFS(TestCases!$U$2:$U$328,$A127,TestCases!$Y$2:$Y$328,"&lt;&gt;Reject")&gt;0,"Yes","No")</f>
        <v>Yes</v>
      </c>
      <c r="I127" s="6" t="s">
        <v>138</v>
      </c>
      <c r="J127" s="7" t="s">
        <v>7</v>
      </c>
      <c r="K127" s="6" t="s">
        <v>3807</v>
      </c>
      <c r="L127" s="6" t="s">
        <v>2766</v>
      </c>
      <c r="M127" s="6" t="s">
        <v>138</v>
      </c>
      <c r="N127" s="7" t="n">
        <f aca="false">COUNTIFS(TestCases!$U$2:$U$328,$A127,TestCases!$Y$2:$Y$328,"Approve")</f>
        <v>1</v>
      </c>
      <c r="O127" s="7" t="n">
        <f aca="false">COUNTIFS(TestCases!$U$2:$U$328,$A127,TestCases!$Y$2:$Y$328,"Draft")</f>
        <v>0</v>
      </c>
      <c r="P127" s="7" t="n">
        <f aca="false">COUNTIFS(TestCases!$U$2:$U$328,$A127,TestCases!$Y$2:$Y$328,"Reject")</f>
        <v>0</v>
      </c>
    </row>
    <row r="128" customFormat="false" ht="23.25" hidden="false" customHeight="true" outlineLevel="0" collapsed="false">
      <c r="A128" s="7" t="s">
        <v>2789</v>
      </c>
      <c r="B128" s="7" t="s">
        <v>4259</v>
      </c>
      <c r="C128" s="7" t="s">
        <v>2779</v>
      </c>
      <c r="D128" s="6" t="s">
        <v>4260</v>
      </c>
      <c r="E128" s="7" t="s">
        <v>39</v>
      </c>
      <c r="F128" s="7" t="s">
        <v>101</v>
      </c>
      <c r="G128" s="7" t="s">
        <v>68</v>
      </c>
      <c r="H128" s="7" t="str">
        <f aca="false">IF(COUNTIFS(TestCases!$U$2:$U$328,$A128,TestCases!$Y$2:$Y$328,"&lt;&gt;Reject")&gt;0,"Yes","No")</f>
        <v>Yes</v>
      </c>
      <c r="I128" s="6" t="s">
        <v>138</v>
      </c>
      <c r="J128" s="7" t="s">
        <v>7</v>
      </c>
      <c r="K128" s="6" t="s">
        <v>3807</v>
      </c>
      <c r="L128" s="6" t="s">
        <v>2778</v>
      </c>
      <c r="M128" s="6" t="s">
        <v>138</v>
      </c>
      <c r="N128" s="7" t="n">
        <f aca="false">COUNTIFS(TestCases!$U$2:$U$328,$A128,TestCases!$Y$2:$Y$328,"Approve")</f>
        <v>1</v>
      </c>
      <c r="O128" s="7" t="n">
        <f aca="false">COUNTIFS(TestCases!$U$2:$U$328,$A128,TestCases!$Y$2:$Y$328,"Draft")</f>
        <v>0</v>
      </c>
      <c r="P128" s="7" t="n">
        <f aca="false">COUNTIFS(TestCases!$U$2:$U$328,$A128,TestCases!$Y$2:$Y$328,"Reject")</f>
        <v>0</v>
      </c>
    </row>
    <row r="129" customFormat="false" ht="23.25" hidden="false" customHeight="true" outlineLevel="0" collapsed="false">
      <c r="A129" s="7" t="s">
        <v>2802</v>
      </c>
      <c r="B129" s="7" t="s">
        <v>4261</v>
      </c>
      <c r="C129" s="7" t="s">
        <v>2792</v>
      </c>
      <c r="D129" s="6" t="s">
        <v>4262</v>
      </c>
      <c r="E129" s="7" t="s">
        <v>39</v>
      </c>
      <c r="F129" s="7" t="s">
        <v>101</v>
      </c>
      <c r="G129" s="7" t="s">
        <v>69</v>
      </c>
      <c r="H129" s="7" t="str">
        <f aca="false">IF(COUNTIFS(TestCases!$U$2:$U$328,$A129,TestCases!$Y$2:$Y$328,"&lt;&gt;Reject")&gt;0,"Yes","No")</f>
        <v>Yes</v>
      </c>
      <c r="I129" s="6" t="s">
        <v>2811</v>
      </c>
      <c r="J129" s="7" t="s">
        <v>9</v>
      </c>
      <c r="K129" s="6" t="s">
        <v>4263</v>
      </c>
      <c r="L129" s="6" t="s">
        <v>4264</v>
      </c>
      <c r="M129" s="6" t="s">
        <v>4265</v>
      </c>
      <c r="N129" s="7" t="n">
        <f aca="false">COUNTIFS(TestCases!$U$2:$U$328,$A129,TestCases!$Y$2:$Y$328,"Approve")</f>
        <v>1</v>
      </c>
      <c r="O129" s="7" t="n">
        <f aca="false">COUNTIFS(TestCases!$U$2:$U$328,$A129,TestCases!$Y$2:$Y$328,"Draft")</f>
        <v>2</v>
      </c>
      <c r="P129" s="7" t="n">
        <f aca="false">COUNTIFS(TestCases!$U$2:$U$328,$A129,TestCases!$Y$2:$Y$328,"Reject")</f>
        <v>0</v>
      </c>
    </row>
    <row r="130" customFormat="false" ht="23.25" hidden="false" customHeight="true" outlineLevel="0" collapsed="false">
      <c r="A130" s="7" t="s">
        <v>2831</v>
      </c>
      <c r="B130" s="7" t="s">
        <v>4266</v>
      </c>
      <c r="C130" s="7" t="s">
        <v>2821</v>
      </c>
      <c r="D130" s="6" t="s">
        <v>4267</v>
      </c>
      <c r="E130" s="7" t="s">
        <v>39</v>
      </c>
      <c r="F130" s="7" t="s">
        <v>101</v>
      </c>
      <c r="G130" s="7" t="s">
        <v>69</v>
      </c>
      <c r="H130" s="7" t="str">
        <f aca="false">IF(COUNTIFS(TestCases!$U$2:$U$328,$A130,TestCases!$Y$2:$Y$328,"&lt;&gt;Reject")&gt;0,"Yes","No")</f>
        <v>Yes</v>
      </c>
      <c r="I130" s="6" t="s">
        <v>2832</v>
      </c>
      <c r="J130" s="7" t="s">
        <v>9</v>
      </c>
      <c r="K130" s="6" t="s">
        <v>4268</v>
      </c>
      <c r="L130" s="6" t="s">
        <v>4269</v>
      </c>
      <c r="M130" s="6" t="s">
        <v>138</v>
      </c>
      <c r="N130" s="7" t="n">
        <f aca="false">COUNTIFS(TestCases!$U$2:$U$328,$A130,TestCases!$Y$2:$Y$328,"Approve")</f>
        <v>0</v>
      </c>
      <c r="O130" s="7" t="n">
        <f aca="false">COUNTIFS(TestCases!$U$2:$U$328,$A130,TestCases!$Y$2:$Y$328,"Draft")</f>
        <v>2</v>
      </c>
      <c r="P130" s="7" t="n">
        <f aca="false">COUNTIFS(TestCases!$U$2:$U$328,$A130,TestCases!$Y$2:$Y$328,"Reject")</f>
        <v>0</v>
      </c>
    </row>
    <row r="131" customFormat="false" ht="15" hidden="false" customHeight="true" outlineLevel="0" collapsed="false">
      <c r="A131" s="7" t="s">
        <v>2854</v>
      </c>
      <c r="B131" s="7" t="s">
        <v>4270</v>
      </c>
      <c r="C131" s="7" t="s">
        <v>2844</v>
      </c>
      <c r="D131" s="6" t="s">
        <v>4271</v>
      </c>
      <c r="E131" s="7" t="s">
        <v>39</v>
      </c>
      <c r="F131" s="7" t="s">
        <v>101</v>
      </c>
      <c r="G131" s="7" t="s">
        <v>68</v>
      </c>
      <c r="H131" s="7" t="str">
        <f aca="false">IF(COUNTIFS(TestCases!$U$2:$U$328,$A131,TestCases!$Y$2:$Y$328,"&lt;&gt;Reject")&gt;0,"Yes","No")</f>
        <v>Yes</v>
      </c>
      <c r="I131" s="6" t="s">
        <v>138</v>
      </c>
      <c r="J131" s="7" t="s">
        <v>7</v>
      </c>
      <c r="K131" s="6" t="s">
        <v>3807</v>
      </c>
      <c r="L131" s="6" t="s">
        <v>2843</v>
      </c>
      <c r="M131" s="6" t="s">
        <v>138</v>
      </c>
      <c r="N131" s="7" t="n">
        <f aca="false">COUNTIFS(TestCases!$U$2:$U$328,$A131,TestCases!$Y$2:$Y$328,"Approve")</f>
        <v>1</v>
      </c>
      <c r="O131" s="7" t="n">
        <f aca="false">COUNTIFS(TestCases!$U$2:$U$328,$A131,TestCases!$Y$2:$Y$328,"Draft")</f>
        <v>0</v>
      </c>
      <c r="P131" s="7" t="n">
        <f aca="false">COUNTIFS(TestCases!$U$2:$U$328,$A131,TestCases!$Y$2:$Y$328,"Reject")</f>
        <v>0</v>
      </c>
    </row>
    <row r="132" customFormat="false" ht="15" hidden="false" customHeight="true" outlineLevel="0" collapsed="false">
      <c r="A132" s="7" t="s">
        <v>2867</v>
      </c>
      <c r="B132" s="7" t="s">
        <v>4272</v>
      </c>
      <c r="C132" s="7" t="s">
        <v>2857</v>
      </c>
      <c r="D132" s="6" t="s">
        <v>4273</v>
      </c>
      <c r="E132" s="7" t="s">
        <v>39</v>
      </c>
      <c r="F132" s="7" t="s">
        <v>101</v>
      </c>
      <c r="G132" s="7" t="s">
        <v>68</v>
      </c>
      <c r="H132" s="7" t="str">
        <f aca="false">IF(COUNTIFS(TestCases!$U$2:$U$328,$A132,TestCases!$Y$2:$Y$328,"&lt;&gt;Reject")&gt;0,"Yes","No")</f>
        <v>Yes</v>
      </c>
      <c r="I132" s="6" t="s">
        <v>138</v>
      </c>
      <c r="J132" s="7" t="s">
        <v>7</v>
      </c>
      <c r="K132" s="6" t="s">
        <v>3807</v>
      </c>
      <c r="L132" s="6" t="s">
        <v>2856</v>
      </c>
      <c r="M132" s="6" t="s">
        <v>138</v>
      </c>
      <c r="N132" s="7" t="n">
        <f aca="false">COUNTIFS(TestCases!$U$2:$U$328,$A132,TestCases!$Y$2:$Y$328,"Approve")</f>
        <v>1</v>
      </c>
      <c r="O132" s="7" t="n">
        <f aca="false">COUNTIFS(TestCases!$U$2:$U$328,$A132,TestCases!$Y$2:$Y$328,"Draft")</f>
        <v>0</v>
      </c>
      <c r="P132" s="7" t="n">
        <f aca="false">COUNTIFS(TestCases!$U$2:$U$328,$A132,TestCases!$Y$2:$Y$328,"Reject")</f>
        <v>0</v>
      </c>
    </row>
    <row r="133" customFormat="false" ht="23.25" hidden="false" customHeight="true" outlineLevel="0" collapsed="false">
      <c r="A133" s="7" t="s">
        <v>2879</v>
      </c>
      <c r="B133" s="7" t="s">
        <v>4274</v>
      </c>
      <c r="C133" s="7" t="s">
        <v>2870</v>
      </c>
      <c r="D133" s="6" t="s">
        <v>4275</v>
      </c>
      <c r="E133" s="7" t="s">
        <v>39</v>
      </c>
      <c r="F133" s="7" t="s">
        <v>101</v>
      </c>
      <c r="G133" s="7" t="s">
        <v>69</v>
      </c>
      <c r="H133" s="7" t="str">
        <f aca="false">IF(COUNTIFS(TestCases!$U$2:$U$328,$A133,TestCases!$Y$2:$Y$328,"&lt;&gt;Reject")&gt;0,"Yes","No")</f>
        <v>Yes</v>
      </c>
      <c r="I133" s="6" t="s">
        <v>3488</v>
      </c>
      <c r="J133" s="7" t="s">
        <v>9</v>
      </c>
      <c r="K133" s="6" t="s">
        <v>3871</v>
      </c>
      <c r="L133" s="6" t="s">
        <v>4276</v>
      </c>
      <c r="M133" s="6" t="s">
        <v>4277</v>
      </c>
      <c r="N133" s="7" t="n">
        <f aca="false">COUNTIFS(TestCases!$U$2:$U$328,$A133,TestCases!$Y$2:$Y$328,"Approve")</f>
        <v>0</v>
      </c>
      <c r="O133" s="7" t="n">
        <f aca="false">COUNTIFS(TestCases!$U$2:$U$328,$A133,TestCases!$Y$2:$Y$328,"Draft")</f>
        <v>2</v>
      </c>
      <c r="P133" s="7" t="n">
        <f aca="false">COUNTIFS(TestCases!$U$2:$U$328,$A133,TestCases!$Y$2:$Y$328,"Reject")</f>
        <v>0</v>
      </c>
    </row>
    <row r="134" customFormat="false" ht="23.25" hidden="false" customHeight="true" outlineLevel="0" collapsed="false">
      <c r="A134" s="7" t="s">
        <v>2898</v>
      </c>
      <c r="B134" s="7" t="s">
        <v>4278</v>
      </c>
      <c r="C134" s="7" t="s">
        <v>2888</v>
      </c>
      <c r="D134" s="6" t="s">
        <v>4279</v>
      </c>
      <c r="E134" s="7" t="s">
        <v>39</v>
      </c>
      <c r="F134" s="7" t="s">
        <v>101</v>
      </c>
      <c r="G134" s="7" t="s">
        <v>69</v>
      </c>
      <c r="H134" s="7" t="str">
        <f aca="false">IF(COUNTIFS(TestCases!$U$2:$U$328,$A134,TestCases!$Y$2:$Y$328,"&lt;&gt;Reject")&gt;0,"Yes","No")</f>
        <v>Yes</v>
      </c>
      <c r="I134" s="6" t="s">
        <v>2811</v>
      </c>
      <c r="J134" s="7" t="s">
        <v>9</v>
      </c>
      <c r="K134" s="6" t="s">
        <v>4263</v>
      </c>
      <c r="L134" s="6" t="s">
        <v>4280</v>
      </c>
      <c r="M134" s="6" t="s">
        <v>138</v>
      </c>
      <c r="N134" s="7" t="n">
        <f aca="false">COUNTIFS(TestCases!$U$2:$U$328,$A134,TestCases!$Y$2:$Y$328,"Approve")</f>
        <v>0</v>
      </c>
      <c r="O134" s="7" t="n">
        <f aca="false">COUNTIFS(TestCases!$U$2:$U$328,$A134,TestCases!$Y$2:$Y$328,"Draft")</f>
        <v>3</v>
      </c>
      <c r="P134" s="7" t="n">
        <f aca="false">COUNTIFS(TestCases!$U$2:$U$328,$A134,TestCases!$Y$2:$Y$328,"Reject")</f>
        <v>0</v>
      </c>
    </row>
    <row r="135" customFormat="false" ht="23.25" hidden="false" customHeight="true" outlineLevel="0" collapsed="false">
      <c r="A135" s="7" t="s">
        <v>2923</v>
      </c>
      <c r="B135" s="7" t="s">
        <v>4281</v>
      </c>
      <c r="C135" s="7" t="s">
        <v>2913</v>
      </c>
      <c r="D135" s="6" t="s">
        <v>4282</v>
      </c>
      <c r="E135" s="7" t="s">
        <v>39</v>
      </c>
      <c r="F135" s="7" t="s">
        <v>101</v>
      </c>
      <c r="G135" s="7" t="s">
        <v>69</v>
      </c>
      <c r="H135" s="7" t="str">
        <f aca="false">IF(COUNTIFS(TestCases!$U$2:$U$328,$A135,TestCases!$Y$2:$Y$328,"&lt;&gt;Reject")&gt;0,"Yes","No")</f>
        <v>Yes</v>
      </c>
      <c r="I135" s="6" t="s">
        <v>2924</v>
      </c>
      <c r="J135" s="7" t="s">
        <v>9</v>
      </c>
      <c r="K135" s="6" t="s">
        <v>4283</v>
      </c>
      <c r="L135" s="6" t="s">
        <v>2912</v>
      </c>
      <c r="M135" s="6" t="s">
        <v>138</v>
      </c>
      <c r="N135" s="7" t="n">
        <f aca="false">COUNTIFS(TestCases!$U$2:$U$328,$A135,TestCases!$Y$2:$Y$328,"Approve")</f>
        <v>0</v>
      </c>
      <c r="O135" s="7" t="n">
        <f aca="false">COUNTIFS(TestCases!$U$2:$U$328,$A135,TestCases!$Y$2:$Y$328,"Draft")</f>
        <v>1</v>
      </c>
      <c r="P135" s="7" t="n">
        <f aca="false">COUNTIFS(TestCases!$U$2:$U$328,$A135,TestCases!$Y$2:$Y$328,"Reject")</f>
        <v>0</v>
      </c>
    </row>
    <row r="136" customFormat="false" ht="23.25" hidden="false" customHeight="true" outlineLevel="0" collapsed="false">
      <c r="A136" s="7" t="s">
        <v>2936</v>
      </c>
      <c r="B136" s="7" t="s">
        <v>4284</v>
      </c>
      <c r="C136" s="7" t="s">
        <v>2927</v>
      </c>
      <c r="D136" s="6" t="s">
        <v>4285</v>
      </c>
      <c r="E136" s="7" t="s">
        <v>39</v>
      </c>
      <c r="F136" s="7" t="s">
        <v>101</v>
      </c>
      <c r="G136" s="7" t="s">
        <v>68</v>
      </c>
      <c r="H136" s="7" t="str">
        <f aca="false">IF(COUNTIFS(TestCases!$U$2:$U$328,$A136,TestCases!$Y$2:$Y$328,"&lt;&gt;Reject")&gt;0,"Yes","No")</f>
        <v>Yes</v>
      </c>
      <c r="I136" s="6" t="s">
        <v>138</v>
      </c>
      <c r="J136" s="7" t="s">
        <v>7</v>
      </c>
      <c r="K136" s="6" t="s">
        <v>3807</v>
      </c>
      <c r="L136" s="6" t="s">
        <v>4286</v>
      </c>
      <c r="M136" s="6" t="s">
        <v>4287</v>
      </c>
      <c r="N136" s="7" t="n">
        <f aca="false">COUNTIFS(TestCases!$U$2:$U$328,$A136,TestCases!$Y$2:$Y$328,"Approve")</f>
        <v>3</v>
      </c>
      <c r="O136" s="7" t="n">
        <f aca="false">COUNTIFS(TestCases!$U$2:$U$328,$A136,TestCases!$Y$2:$Y$328,"Draft")</f>
        <v>0</v>
      </c>
      <c r="P136" s="7" t="n">
        <f aca="false">COUNTIFS(TestCases!$U$2:$U$328,$A136,TestCases!$Y$2:$Y$328,"Reject")</f>
        <v>0</v>
      </c>
    </row>
    <row r="137" customFormat="false" ht="23.25" hidden="false" customHeight="true" outlineLevel="0" collapsed="false">
      <c r="A137" s="7" t="s">
        <v>2963</v>
      </c>
      <c r="B137" s="7" t="s">
        <v>4288</v>
      </c>
      <c r="C137" s="7" t="s">
        <v>2953</v>
      </c>
      <c r="D137" s="6" t="s">
        <v>4289</v>
      </c>
      <c r="E137" s="7" t="s">
        <v>39</v>
      </c>
      <c r="F137" s="7" t="s">
        <v>101</v>
      </c>
      <c r="G137" s="7" t="s">
        <v>68</v>
      </c>
      <c r="H137" s="7" t="str">
        <f aca="false">IF(COUNTIFS(TestCases!$U$2:$U$328,$A137,TestCases!$Y$2:$Y$328,"&lt;&gt;Reject")&gt;0,"Yes","No")</f>
        <v>Yes</v>
      </c>
      <c r="I137" s="6" t="s">
        <v>138</v>
      </c>
      <c r="J137" s="7" t="s">
        <v>7</v>
      </c>
      <c r="K137" s="6" t="s">
        <v>3807</v>
      </c>
      <c r="L137" s="6" t="s">
        <v>2952</v>
      </c>
      <c r="M137" s="6" t="s">
        <v>138</v>
      </c>
      <c r="N137" s="7" t="n">
        <f aca="false">COUNTIFS(TestCases!$U$2:$U$328,$A137,TestCases!$Y$2:$Y$328,"Approve")</f>
        <v>1</v>
      </c>
      <c r="O137" s="7" t="n">
        <f aca="false">COUNTIFS(TestCases!$U$2:$U$328,$A137,TestCases!$Y$2:$Y$328,"Draft")</f>
        <v>0</v>
      </c>
      <c r="P137" s="7" t="n">
        <f aca="false">COUNTIFS(TestCases!$U$2:$U$328,$A137,TestCases!$Y$2:$Y$328,"Reject")</f>
        <v>0</v>
      </c>
    </row>
    <row r="138" customFormat="false" ht="23.25" hidden="false" customHeight="true" outlineLevel="0" collapsed="false">
      <c r="A138" s="7" t="s">
        <v>2975</v>
      </c>
      <c r="B138" s="7" t="s">
        <v>4290</v>
      </c>
      <c r="C138" s="7" t="s">
        <v>2966</v>
      </c>
      <c r="D138" s="6" t="s">
        <v>4291</v>
      </c>
      <c r="E138" s="7" t="s">
        <v>39</v>
      </c>
      <c r="F138" s="7" t="s">
        <v>101</v>
      </c>
      <c r="G138" s="7" t="s">
        <v>68</v>
      </c>
      <c r="H138" s="7" t="str">
        <f aca="false">IF(COUNTIFS(TestCases!$U$2:$U$328,$A138,TestCases!$Y$2:$Y$328,"&lt;&gt;Reject")&gt;0,"Yes","No")</f>
        <v>Yes</v>
      </c>
      <c r="I138" s="6" t="s">
        <v>138</v>
      </c>
      <c r="J138" s="7" t="s">
        <v>7</v>
      </c>
      <c r="K138" s="6" t="s">
        <v>3807</v>
      </c>
      <c r="L138" s="6" t="s">
        <v>2965</v>
      </c>
      <c r="M138" s="6" t="s">
        <v>138</v>
      </c>
      <c r="N138" s="7" t="n">
        <f aca="false">COUNTIFS(TestCases!$U$2:$U$328,$A138,TestCases!$Y$2:$Y$328,"Approve")</f>
        <v>1</v>
      </c>
      <c r="O138" s="7" t="n">
        <f aca="false">COUNTIFS(TestCases!$U$2:$U$328,$A138,TestCases!$Y$2:$Y$328,"Draft")</f>
        <v>0</v>
      </c>
      <c r="P138" s="7" t="n">
        <f aca="false">COUNTIFS(TestCases!$U$2:$U$328,$A138,TestCases!$Y$2:$Y$328,"Reject")</f>
        <v>0</v>
      </c>
    </row>
    <row r="139" customFormat="false" ht="34.5" hidden="false" customHeight="true" outlineLevel="0" collapsed="false">
      <c r="A139" s="7" t="s">
        <v>2987</v>
      </c>
      <c r="B139" s="7" t="s">
        <v>4292</v>
      </c>
      <c r="C139" s="7" t="s">
        <v>2978</v>
      </c>
      <c r="D139" s="6" t="s">
        <v>4293</v>
      </c>
      <c r="E139" s="7" t="s">
        <v>39</v>
      </c>
      <c r="F139" s="7" t="s">
        <v>99</v>
      </c>
      <c r="G139" s="7" t="s">
        <v>69</v>
      </c>
      <c r="H139" s="7" t="str">
        <f aca="false">IF(COUNTIFS(TestCases!$U$2:$U$328,$A139,TestCases!$Y$2:$Y$328,"&lt;&gt;Reject")&gt;0,"Yes","No")</f>
        <v>Yes</v>
      </c>
      <c r="I139" s="6" t="s">
        <v>2924</v>
      </c>
      <c r="J139" s="7" t="s">
        <v>9</v>
      </c>
      <c r="K139" s="6" t="s">
        <v>4283</v>
      </c>
      <c r="L139" s="6" t="s">
        <v>2977</v>
      </c>
      <c r="M139" s="6" t="s">
        <v>138</v>
      </c>
      <c r="N139" s="7" t="n">
        <f aca="false">COUNTIFS(TestCases!$U$2:$U$328,$A139,TestCases!$Y$2:$Y$328,"Approve")</f>
        <v>0</v>
      </c>
      <c r="O139" s="7" t="n">
        <f aca="false">COUNTIFS(TestCases!$U$2:$U$328,$A139,TestCases!$Y$2:$Y$328,"Draft")</f>
        <v>1</v>
      </c>
      <c r="P139" s="7" t="n">
        <f aca="false">COUNTIFS(TestCases!$U$2:$U$328,$A139,TestCases!$Y$2:$Y$328,"Reject")</f>
        <v>0</v>
      </c>
    </row>
    <row r="140" customFormat="false" ht="23.25" hidden="false" customHeight="true" outlineLevel="0" collapsed="false">
      <c r="A140" s="7" t="s">
        <v>2999</v>
      </c>
      <c r="B140" s="7" t="s">
        <v>4294</v>
      </c>
      <c r="C140" s="7" t="s">
        <v>2990</v>
      </c>
      <c r="D140" s="6" t="s">
        <v>4295</v>
      </c>
      <c r="E140" s="7" t="s">
        <v>39</v>
      </c>
      <c r="F140" s="7" t="s">
        <v>101</v>
      </c>
      <c r="G140" s="7" t="s">
        <v>68</v>
      </c>
      <c r="H140" s="7" t="str">
        <f aca="false">IF(COUNTIFS(TestCases!$U$2:$U$328,$A140,TestCases!$Y$2:$Y$328,"&lt;&gt;Reject")&gt;0,"Yes","No")</f>
        <v>Yes</v>
      </c>
      <c r="I140" s="6" t="s">
        <v>138</v>
      </c>
      <c r="J140" s="7" t="s">
        <v>7</v>
      </c>
      <c r="K140" s="6" t="s">
        <v>3807</v>
      </c>
      <c r="L140" s="6" t="s">
        <v>4296</v>
      </c>
      <c r="M140" s="6" t="s">
        <v>138</v>
      </c>
      <c r="N140" s="7" t="n">
        <f aca="false">COUNTIFS(TestCases!$U$2:$U$328,$A140,TestCases!$Y$2:$Y$328,"Approve")</f>
        <v>2</v>
      </c>
      <c r="O140" s="7" t="n">
        <f aca="false">COUNTIFS(TestCases!$U$2:$U$328,$A140,TestCases!$Y$2:$Y$328,"Draft")</f>
        <v>0</v>
      </c>
      <c r="P140" s="7" t="n">
        <f aca="false">COUNTIFS(TestCases!$U$2:$U$328,$A140,TestCases!$Y$2:$Y$328,"Reject")</f>
        <v>0</v>
      </c>
    </row>
    <row r="141" customFormat="false" ht="23.25" hidden="false" customHeight="true" outlineLevel="0" collapsed="false">
      <c r="A141" s="7" t="s">
        <v>3018</v>
      </c>
      <c r="B141" s="7" t="s">
        <v>4297</v>
      </c>
      <c r="C141" s="7" t="s">
        <v>3008</v>
      </c>
      <c r="D141" s="6" t="s">
        <v>4298</v>
      </c>
      <c r="E141" s="7" t="s">
        <v>39</v>
      </c>
      <c r="F141" s="7" t="s">
        <v>101</v>
      </c>
      <c r="G141" s="7" t="s">
        <v>68</v>
      </c>
      <c r="H141" s="7" t="str">
        <f aca="false">IF(COUNTIFS(TestCases!$U$2:$U$328,$A141,TestCases!$Y$2:$Y$328,"&lt;&gt;Reject")&gt;0,"Yes","No")</f>
        <v>Yes</v>
      </c>
      <c r="I141" s="6" t="s">
        <v>138</v>
      </c>
      <c r="J141" s="7" t="s">
        <v>7</v>
      </c>
      <c r="K141" s="6" t="s">
        <v>3807</v>
      </c>
      <c r="L141" s="6" t="s">
        <v>3007</v>
      </c>
      <c r="M141" s="6" t="s">
        <v>138</v>
      </c>
      <c r="N141" s="7" t="n">
        <f aca="false">COUNTIFS(TestCases!$U$2:$U$328,$A141,TestCases!$Y$2:$Y$328,"Approve")</f>
        <v>1</v>
      </c>
      <c r="O141" s="7" t="n">
        <f aca="false">COUNTIFS(TestCases!$U$2:$U$328,$A141,TestCases!$Y$2:$Y$328,"Draft")</f>
        <v>0</v>
      </c>
      <c r="P141" s="7" t="n">
        <f aca="false">COUNTIFS(TestCases!$U$2:$U$328,$A141,TestCases!$Y$2:$Y$328,"Reject")</f>
        <v>0</v>
      </c>
    </row>
    <row r="142" customFormat="false" ht="23.25" hidden="false" customHeight="true" outlineLevel="0" collapsed="false">
      <c r="A142" s="7" t="s">
        <v>3030</v>
      </c>
      <c r="B142" s="7" t="s">
        <v>4299</v>
      </c>
      <c r="C142" s="7" t="s">
        <v>3021</v>
      </c>
      <c r="D142" s="6" t="s">
        <v>4300</v>
      </c>
      <c r="E142" s="7" t="s">
        <v>39</v>
      </c>
      <c r="F142" s="7" t="s">
        <v>101</v>
      </c>
      <c r="G142" s="7" t="s">
        <v>69</v>
      </c>
      <c r="H142" s="7" t="str">
        <f aca="false">IF(COUNTIFS(TestCases!$U$2:$U$328,$A142,TestCases!$Y$2:$Y$328,"&lt;&gt;Reject")&gt;0,"Yes","No")</f>
        <v>Yes</v>
      </c>
      <c r="I142" s="6" t="s">
        <v>933</v>
      </c>
      <c r="J142" s="7" t="s">
        <v>9</v>
      </c>
      <c r="K142" s="6" t="s">
        <v>3926</v>
      </c>
      <c r="L142" s="6" t="s">
        <v>4301</v>
      </c>
      <c r="M142" s="6" t="s">
        <v>138</v>
      </c>
      <c r="N142" s="7" t="n">
        <f aca="false">COUNTIFS(TestCases!$U$2:$U$328,$A142,TestCases!$Y$2:$Y$328,"Approve")</f>
        <v>0</v>
      </c>
      <c r="O142" s="7" t="n">
        <f aca="false">COUNTIFS(TestCases!$U$2:$U$328,$A142,TestCases!$Y$2:$Y$328,"Draft")</f>
        <v>2</v>
      </c>
      <c r="P142" s="7" t="n">
        <f aca="false">COUNTIFS(TestCases!$U$2:$U$328,$A142,TestCases!$Y$2:$Y$328,"Reject")</f>
        <v>0</v>
      </c>
    </row>
    <row r="143" customFormat="false" ht="23.25" hidden="false" customHeight="true" outlineLevel="0" collapsed="false">
      <c r="A143" s="7" t="s">
        <v>3048</v>
      </c>
      <c r="B143" s="7" t="s">
        <v>4302</v>
      </c>
      <c r="C143" s="7" t="s">
        <v>3039</v>
      </c>
      <c r="D143" s="6" t="s">
        <v>4303</v>
      </c>
      <c r="E143" s="7" t="s">
        <v>39</v>
      </c>
      <c r="F143" s="7" t="s">
        <v>101</v>
      </c>
      <c r="G143" s="7" t="s">
        <v>69</v>
      </c>
      <c r="H143" s="7" t="str">
        <f aca="false">IF(COUNTIFS(TestCases!$U$2:$U$328,$A143,TestCases!$Y$2:$Y$328,"&lt;&gt;Reject")&gt;0,"Yes","No")</f>
        <v>Yes</v>
      </c>
      <c r="I143" s="6" t="s">
        <v>933</v>
      </c>
      <c r="J143" s="7" t="s">
        <v>9</v>
      </c>
      <c r="K143" s="6" t="s">
        <v>3926</v>
      </c>
      <c r="L143" s="6" t="s">
        <v>4304</v>
      </c>
      <c r="M143" s="6" t="s">
        <v>138</v>
      </c>
      <c r="N143" s="7" t="n">
        <f aca="false">COUNTIFS(TestCases!$U$2:$U$328,$A143,TestCases!$Y$2:$Y$328,"Approve")</f>
        <v>0</v>
      </c>
      <c r="O143" s="7" t="n">
        <f aca="false">COUNTIFS(TestCases!$U$2:$U$328,$A143,TestCases!$Y$2:$Y$328,"Draft")</f>
        <v>2</v>
      </c>
      <c r="P143" s="7" t="n">
        <f aca="false">COUNTIFS(TestCases!$U$2:$U$328,$A143,TestCases!$Y$2:$Y$328,"Reject")</f>
        <v>0</v>
      </c>
    </row>
    <row r="144" customFormat="false" ht="23.25" hidden="false" customHeight="true" outlineLevel="0" collapsed="false">
      <c r="A144" s="7" t="s">
        <v>3067</v>
      </c>
      <c r="B144" s="7" t="s">
        <v>4305</v>
      </c>
      <c r="C144" s="7" t="s">
        <v>3059</v>
      </c>
      <c r="D144" s="6" t="s">
        <v>4306</v>
      </c>
      <c r="E144" s="7" t="s">
        <v>39</v>
      </c>
      <c r="F144" s="7" t="s">
        <v>101</v>
      </c>
      <c r="G144" s="7" t="s">
        <v>69</v>
      </c>
      <c r="H144" s="7" t="str">
        <f aca="false">IF(COUNTIFS(TestCases!$U$2:$U$328,$A144,TestCases!$Y$2:$Y$328,"&lt;&gt;Reject")&gt;0,"Yes","No")</f>
        <v>Yes</v>
      </c>
      <c r="I144" s="6" t="s">
        <v>2924</v>
      </c>
      <c r="J144" s="7" t="s">
        <v>9</v>
      </c>
      <c r="K144" s="6" t="s">
        <v>4283</v>
      </c>
      <c r="L144" s="6" t="s">
        <v>4307</v>
      </c>
      <c r="M144" s="6" t="s">
        <v>138</v>
      </c>
      <c r="N144" s="7" t="n">
        <f aca="false">COUNTIFS(TestCases!$U$2:$U$328,$A144,TestCases!$Y$2:$Y$328,"Approve")</f>
        <v>0</v>
      </c>
      <c r="O144" s="7" t="n">
        <f aca="false">COUNTIFS(TestCases!$U$2:$U$328,$A144,TestCases!$Y$2:$Y$328,"Draft")</f>
        <v>2</v>
      </c>
      <c r="P144" s="7" t="n">
        <f aca="false">COUNTIFS(TestCases!$U$2:$U$328,$A144,TestCases!$Y$2:$Y$328,"Reject")</f>
        <v>0</v>
      </c>
    </row>
    <row r="145" customFormat="false" ht="23.25" hidden="false" customHeight="true" outlineLevel="0" collapsed="false">
      <c r="A145" s="7" t="s">
        <v>3087</v>
      </c>
      <c r="B145" s="7" t="s">
        <v>4308</v>
      </c>
      <c r="C145" s="7" t="s">
        <v>3077</v>
      </c>
      <c r="D145" s="6" t="s">
        <v>4309</v>
      </c>
      <c r="E145" s="7" t="s">
        <v>40</v>
      </c>
      <c r="F145" s="7" t="s">
        <v>100</v>
      </c>
      <c r="G145" s="7" t="s">
        <v>69</v>
      </c>
      <c r="H145" s="7" t="str">
        <f aca="false">IF(COUNTIFS(TestCases!$U$2:$U$328,$A145,TestCases!$Y$2:$Y$328,"&lt;&gt;Reject")&gt;0,"Yes","No")</f>
        <v>Yes</v>
      </c>
      <c r="I145" s="6" t="s">
        <v>3096</v>
      </c>
      <c r="J145" s="7" t="s">
        <v>9</v>
      </c>
      <c r="K145" s="6" t="s">
        <v>4310</v>
      </c>
      <c r="L145" s="6" t="s">
        <v>4311</v>
      </c>
      <c r="M145" s="6" t="s">
        <v>4312</v>
      </c>
      <c r="N145" s="7" t="n">
        <f aca="false">COUNTIFS(TestCases!$U$2:$U$328,$A145,TestCases!$Y$2:$Y$328,"Approve")</f>
        <v>0</v>
      </c>
      <c r="O145" s="7" t="n">
        <f aca="false">COUNTIFS(TestCases!$U$2:$U$328,$A145,TestCases!$Y$2:$Y$328,"Draft")</f>
        <v>3</v>
      </c>
      <c r="P145" s="7" t="n">
        <f aca="false">COUNTIFS(TestCases!$U$2:$U$328,$A145,TestCases!$Y$2:$Y$328,"Reject")</f>
        <v>0</v>
      </c>
    </row>
    <row r="146" customFormat="false" ht="23.25" hidden="false" customHeight="true" outlineLevel="0" collapsed="false">
      <c r="A146" s="7" t="s">
        <v>3117</v>
      </c>
      <c r="B146" s="7" t="s">
        <v>4313</v>
      </c>
      <c r="C146" s="7" t="s">
        <v>3107</v>
      </c>
      <c r="D146" s="6" t="s">
        <v>4314</v>
      </c>
      <c r="E146" s="7" t="s">
        <v>40</v>
      </c>
      <c r="F146" s="7" t="s">
        <v>101</v>
      </c>
      <c r="G146" s="7" t="s">
        <v>69</v>
      </c>
      <c r="H146" s="7" t="str">
        <f aca="false">IF(COUNTIFS(TestCases!$U$2:$U$328,$A146,TestCases!$Y$2:$Y$328,"&lt;&gt;Reject")&gt;0,"Yes","No")</f>
        <v>Yes</v>
      </c>
      <c r="I146" s="6" t="s">
        <v>3118</v>
      </c>
      <c r="J146" s="7" t="s">
        <v>9</v>
      </c>
      <c r="K146" s="6" t="s">
        <v>4315</v>
      </c>
      <c r="L146" s="6" t="s">
        <v>4316</v>
      </c>
      <c r="M146" s="6" t="s">
        <v>4317</v>
      </c>
      <c r="N146" s="7" t="n">
        <f aca="false">COUNTIFS(TestCases!$U$2:$U$328,$A146,TestCases!$Y$2:$Y$328,"Approve")</f>
        <v>0</v>
      </c>
      <c r="O146" s="7" t="n">
        <f aca="false">COUNTIFS(TestCases!$U$2:$U$328,$A146,TestCases!$Y$2:$Y$328,"Draft")</f>
        <v>2</v>
      </c>
      <c r="P146" s="7" t="n">
        <f aca="false">COUNTIFS(TestCases!$U$2:$U$328,$A146,TestCases!$Y$2:$Y$328,"Reject")</f>
        <v>0</v>
      </c>
    </row>
    <row r="147" customFormat="false" ht="23.25" hidden="false" customHeight="true" outlineLevel="0" collapsed="false">
      <c r="A147" s="7" t="s">
        <v>3139</v>
      </c>
      <c r="B147" s="7" t="s">
        <v>4318</v>
      </c>
      <c r="C147" s="7" t="s">
        <v>3129</v>
      </c>
      <c r="D147" s="6" t="s">
        <v>4319</v>
      </c>
      <c r="E147" s="7" t="s">
        <v>40</v>
      </c>
      <c r="F147" s="7" t="s">
        <v>101</v>
      </c>
      <c r="G147" s="7" t="s">
        <v>69</v>
      </c>
      <c r="H147" s="7" t="str">
        <f aca="false">IF(COUNTIFS(TestCases!$U$2:$U$328,$A147,TestCases!$Y$2:$Y$328,"&lt;&gt;Reject")&gt;0,"Yes","No")</f>
        <v>Yes</v>
      </c>
      <c r="I147" s="6" t="s">
        <v>513</v>
      </c>
      <c r="J147" s="7" t="s">
        <v>9</v>
      </c>
      <c r="K147" s="6" t="s">
        <v>3990</v>
      </c>
      <c r="L147" s="6" t="s">
        <v>4320</v>
      </c>
      <c r="M147" s="6" t="s">
        <v>4321</v>
      </c>
      <c r="N147" s="7" t="n">
        <f aca="false">COUNTIFS(TestCases!$U$2:$U$328,$A147,TestCases!$Y$2:$Y$328,"Approve")</f>
        <v>1</v>
      </c>
      <c r="O147" s="7" t="n">
        <f aca="false">COUNTIFS(TestCases!$U$2:$U$328,$A147,TestCases!$Y$2:$Y$328,"Draft")</f>
        <v>2</v>
      </c>
      <c r="P147" s="7" t="n">
        <f aca="false">COUNTIFS(TestCases!$U$2:$U$328,$A147,TestCases!$Y$2:$Y$328,"Reject")</f>
        <v>0</v>
      </c>
    </row>
    <row r="148" customFormat="false" ht="15" hidden="false" customHeight="true" outlineLevel="0" collapsed="false">
      <c r="A148" s="7" t="s">
        <v>3166</v>
      </c>
      <c r="B148" s="7" t="s">
        <v>4322</v>
      </c>
      <c r="C148" s="7" t="s">
        <v>3157</v>
      </c>
      <c r="D148" s="6" t="s">
        <v>4323</v>
      </c>
      <c r="E148" s="7" t="s">
        <v>40</v>
      </c>
      <c r="F148" s="7" t="s">
        <v>101</v>
      </c>
      <c r="G148" s="7" t="s">
        <v>68</v>
      </c>
      <c r="H148" s="7" t="str">
        <f aca="false">IF(COUNTIFS(TestCases!$U$2:$U$328,$A148,TestCases!$Y$2:$Y$328,"&lt;&gt;Reject")&gt;0,"Yes","No")</f>
        <v>Yes</v>
      </c>
      <c r="I148" s="6" t="s">
        <v>138</v>
      </c>
      <c r="J148" s="7" t="s">
        <v>7</v>
      </c>
      <c r="K148" s="6" t="s">
        <v>3807</v>
      </c>
      <c r="L148" s="6" t="s">
        <v>4324</v>
      </c>
      <c r="M148" s="6" t="s">
        <v>138</v>
      </c>
      <c r="N148" s="7" t="n">
        <f aca="false">COUNTIFS(TestCases!$U$2:$U$328,$A148,TestCases!$Y$2:$Y$328,"Approve")</f>
        <v>2</v>
      </c>
      <c r="O148" s="7" t="n">
        <f aca="false">COUNTIFS(TestCases!$U$2:$U$328,$A148,TestCases!$Y$2:$Y$328,"Draft")</f>
        <v>0</v>
      </c>
      <c r="P148" s="7" t="n">
        <f aca="false">COUNTIFS(TestCases!$U$2:$U$328,$A148,TestCases!$Y$2:$Y$328,"Reject")</f>
        <v>0</v>
      </c>
    </row>
    <row r="149" customFormat="false" ht="23.25" hidden="false" customHeight="true" outlineLevel="0" collapsed="false">
      <c r="A149" s="7" t="s">
        <v>3185</v>
      </c>
      <c r="B149" s="7" t="s">
        <v>4325</v>
      </c>
      <c r="C149" s="7" t="s">
        <v>3175</v>
      </c>
      <c r="D149" s="6" t="s">
        <v>4326</v>
      </c>
      <c r="E149" s="7" t="s">
        <v>40</v>
      </c>
      <c r="F149" s="7" t="s">
        <v>101</v>
      </c>
      <c r="G149" s="7" t="s">
        <v>69</v>
      </c>
      <c r="H149" s="7" t="str">
        <f aca="false">IF(COUNTIFS(TestCases!$U$2:$U$328,$A149,TestCases!$Y$2:$Y$328,"&lt;&gt;Reject")&gt;0,"Yes","No")</f>
        <v>Yes</v>
      </c>
      <c r="I149" s="6" t="s">
        <v>1638</v>
      </c>
      <c r="J149" s="7" t="s">
        <v>9</v>
      </c>
      <c r="K149" s="6" t="s">
        <v>4056</v>
      </c>
      <c r="L149" s="6" t="s">
        <v>4327</v>
      </c>
      <c r="M149" s="6" t="s">
        <v>4328</v>
      </c>
      <c r="N149" s="7" t="n">
        <f aca="false">COUNTIFS(TestCases!$U$2:$U$328,$A149,TestCases!$Y$2:$Y$328,"Approve")</f>
        <v>0</v>
      </c>
      <c r="O149" s="7" t="n">
        <f aca="false">COUNTIFS(TestCases!$U$2:$U$328,$A149,TestCases!$Y$2:$Y$328,"Draft")</f>
        <v>2</v>
      </c>
      <c r="P149" s="7" t="n">
        <f aca="false">COUNTIFS(TestCases!$U$2:$U$328,$A149,TestCases!$Y$2:$Y$328,"Reject")</f>
        <v>0</v>
      </c>
    </row>
    <row r="150" customFormat="false" ht="15" hidden="false" customHeight="true" outlineLevel="0" collapsed="false">
      <c r="A150" s="7" t="s">
        <v>3204</v>
      </c>
      <c r="B150" s="7" t="s">
        <v>4329</v>
      </c>
      <c r="C150" s="7" t="s">
        <v>3195</v>
      </c>
      <c r="D150" s="6" t="s">
        <v>4330</v>
      </c>
      <c r="E150" s="7" t="s">
        <v>40</v>
      </c>
      <c r="F150" s="7" t="s">
        <v>101</v>
      </c>
      <c r="G150" s="7" t="s">
        <v>68</v>
      </c>
      <c r="H150" s="7" t="str">
        <f aca="false">IF(COUNTIFS(TestCases!$U$2:$U$328,$A150,TestCases!$Y$2:$Y$328,"&lt;&gt;Reject")&gt;0,"Yes","No")</f>
        <v>Yes</v>
      </c>
      <c r="I150" s="6" t="s">
        <v>1638</v>
      </c>
      <c r="J150" s="7" t="s">
        <v>7</v>
      </c>
      <c r="K150" s="6" t="s">
        <v>3807</v>
      </c>
      <c r="L150" s="6" t="s">
        <v>3194</v>
      </c>
      <c r="M150" s="6" t="s">
        <v>138</v>
      </c>
      <c r="N150" s="7" t="n">
        <f aca="false">COUNTIFS(TestCases!$U$2:$U$328,$A150,TestCases!$Y$2:$Y$328,"Approve")</f>
        <v>0</v>
      </c>
      <c r="O150" s="7" t="n">
        <f aca="false">COUNTIFS(TestCases!$U$2:$U$328,$A150,TestCases!$Y$2:$Y$328,"Draft")</f>
        <v>1</v>
      </c>
      <c r="P150" s="7" t="n">
        <f aca="false">COUNTIFS(TestCases!$U$2:$U$328,$A150,TestCases!$Y$2:$Y$328,"Reject")</f>
        <v>0</v>
      </c>
    </row>
    <row r="151" customFormat="false" ht="23.25" hidden="false" customHeight="true" outlineLevel="0" collapsed="false">
      <c r="A151" s="7" t="s">
        <v>3217</v>
      </c>
      <c r="B151" s="7" t="s">
        <v>4331</v>
      </c>
      <c r="C151" s="7" t="s">
        <v>3207</v>
      </c>
      <c r="D151" s="6" t="s">
        <v>4332</v>
      </c>
      <c r="E151" s="7" t="s">
        <v>40</v>
      </c>
      <c r="F151" s="7" t="s">
        <v>101</v>
      </c>
      <c r="G151" s="7" t="s">
        <v>69</v>
      </c>
      <c r="H151" s="7" t="str">
        <f aca="false">IF(COUNTIFS(TestCases!$U$2:$U$328,$A151,TestCases!$Y$2:$Y$328,"&lt;&gt;Reject")&gt;0,"Yes","No")</f>
        <v>Yes</v>
      </c>
      <c r="I151" s="6" t="s">
        <v>1638</v>
      </c>
      <c r="J151" s="7" t="s">
        <v>9</v>
      </c>
      <c r="K151" s="6" t="s">
        <v>4056</v>
      </c>
      <c r="L151" s="6" t="s">
        <v>4333</v>
      </c>
      <c r="M151" s="6" t="s">
        <v>4334</v>
      </c>
      <c r="N151" s="7" t="n">
        <f aca="false">COUNTIFS(TestCases!$U$2:$U$328,$A151,TestCases!$Y$2:$Y$328,"Approve")</f>
        <v>0</v>
      </c>
      <c r="O151" s="7" t="n">
        <f aca="false">COUNTIFS(TestCases!$U$2:$U$328,$A151,TestCases!$Y$2:$Y$328,"Draft")</f>
        <v>3</v>
      </c>
      <c r="P151" s="7" t="n">
        <f aca="false">COUNTIFS(TestCases!$U$2:$U$328,$A151,TestCases!$Y$2:$Y$328,"Reject")</f>
        <v>0</v>
      </c>
    </row>
    <row r="152" customFormat="false" ht="15" hidden="false" customHeight="true" outlineLevel="0" collapsed="false">
      <c r="A152" s="7" t="s">
        <v>3244</v>
      </c>
      <c r="B152" s="7" t="s">
        <v>4335</v>
      </c>
      <c r="C152" s="7" t="s">
        <v>3234</v>
      </c>
      <c r="D152" s="6" t="s">
        <v>4336</v>
      </c>
      <c r="E152" s="7" t="s">
        <v>40</v>
      </c>
      <c r="F152" s="7" t="s">
        <v>346</v>
      </c>
      <c r="G152" s="7" t="s">
        <v>69</v>
      </c>
      <c r="H152" s="7" t="str">
        <f aca="false">IF(COUNTIFS(TestCases!$U$2:$U$328,$A152,TestCases!$Y$2:$Y$328,"&lt;&gt;Reject")&gt;0,"Yes","No")</f>
        <v>Yes</v>
      </c>
      <c r="I152" s="6" t="s">
        <v>3597</v>
      </c>
      <c r="J152" s="7" t="s">
        <v>9</v>
      </c>
      <c r="K152" s="6" t="s">
        <v>4337</v>
      </c>
      <c r="L152" s="6" t="s">
        <v>4338</v>
      </c>
      <c r="M152" s="6" t="s">
        <v>138</v>
      </c>
      <c r="N152" s="7" t="n">
        <f aca="false">COUNTIFS(TestCases!$U$2:$U$328,$A152,TestCases!$Y$2:$Y$328,"Approve")</f>
        <v>0</v>
      </c>
      <c r="O152" s="7" t="n">
        <f aca="false">COUNTIFS(TestCases!$U$2:$U$328,$A152,TestCases!$Y$2:$Y$328,"Draft")</f>
        <v>2</v>
      </c>
      <c r="P152" s="7" t="n">
        <f aca="false">COUNTIFS(TestCases!$U$2:$U$328,$A152,TestCases!$Y$2:$Y$328,"Reject")</f>
        <v>0</v>
      </c>
    </row>
    <row r="153" customFormat="false" ht="23.25" hidden="false" customHeight="true" outlineLevel="0" collapsed="false">
      <c r="A153" s="7" t="s">
        <v>3263</v>
      </c>
      <c r="B153" s="7" t="s">
        <v>4339</v>
      </c>
      <c r="C153" s="7" t="s">
        <v>3254</v>
      </c>
      <c r="D153" s="6" t="s">
        <v>4340</v>
      </c>
      <c r="E153" s="7" t="s">
        <v>40</v>
      </c>
      <c r="F153" s="7" t="s">
        <v>346</v>
      </c>
      <c r="G153" s="7" t="s">
        <v>69</v>
      </c>
      <c r="H153" s="7" t="str">
        <f aca="false">IF(COUNTIFS(TestCases!$U$2:$U$328,$A153,TestCases!$Y$2:$Y$328,"&lt;&gt;Reject")&gt;0,"Yes","No")</f>
        <v>Yes</v>
      </c>
      <c r="I153" s="6" t="s">
        <v>3597</v>
      </c>
      <c r="J153" s="7" t="s">
        <v>9</v>
      </c>
      <c r="K153" s="6" t="s">
        <v>4337</v>
      </c>
      <c r="L153" s="6" t="s">
        <v>4341</v>
      </c>
      <c r="M153" s="6" t="s">
        <v>4342</v>
      </c>
      <c r="N153" s="7" t="n">
        <f aca="false">COUNTIFS(TestCases!$U$2:$U$328,$A153,TestCases!$Y$2:$Y$328,"Approve")</f>
        <v>0</v>
      </c>
      <c r="O153" s="7" t="n">
        <f aca="false">COUNTIFS(TestCases!$U$2:$U$328,$A153,TestCases!$Y$2:$Y$328,"Draft")</f>
        <v>3</v>
      </c>
      <c r="P153" s="7" t="n">
        <f aca="false">COUNTIFS(TestCases!$U$2:$U$328,$A153,TestCases!$Y$2:$Y$328,"Reject")</f>
        <v>0</v>
      </c>
    </row>
    <row r="154" customFormat="false" ht="15" hidden="false" customHeight="true" outlineLevel="0" collapsed="false">
      <c r="A154" s="7" t="s">
        <v>3286</v>
      </c>
      <c r="B154" s="7" t="s">
        <v>4343</v>
      </c>
      <c r="C154" s="7" t="s">
        <v>3254</v>
      </c>
      <c r="D154" s="6" t="s">
        <v>4344</v>
      </c>
      <c r="E154" s="7" t="s">
        <v>38</v>
      </c>
      <c r="F154" s="7" t="s">
        <v>346</v>
      </c>
      <c r="G154" s="7" t="s">
        <v>69</v>
      </c>
      <c r="H154" s="7" t="str">
        <f aca="false">IF(COUNTIFS(TestCases!$U$2:$U$328,$A154,TestCases!$Y$2:$Y$328,"&lt;&gt;Reject")&gt;0,"Yes","No")</f>
        <v>Yes</v>
      </c>
      <c r="I154" s="6" t="s">
        <v>3597</v>
      </c>
      <c r="J154" s="7" t="s">
        <v>9</v>
      </c>
      <c r="K154" s="6" t="s">
        <v>4337</v>
      </c>
      <c r="L154" s="6" t="s">
        <v>3277</v>
      </c>
      <c r="M154" s="6" t="s">
        <v>138</v>
      </c>
      <c r="N154" s="7" t="n">
        <f aca="false">COUNTIFS(TestCases!$U$2:$U$328,$A154,TestCases!$Y$2:$Y$328,"Approve")</f>
        <v>0</v>
      </c>
      <c r="O154" s="7" t="n">
        <f aca="false">COUNTIFS(TestCases!$U$2:$U$328,$A154,TestCases!$Y$2:$Y$328,"Draft")</f>
        <v>1</v>
      </c>
      <c r="P154" s="7" t="n">
        <f aca="false">COUNTIFS(TestCases!$U$2:$U$328,$A154,TestCases!$Y$2:$Y$328,"Reject")</f>
        <v>0</v>
      </c>
    </row>
    <row r="155" customFormat="false" ht="23.25" hidden="false" customHeight="true" outlineLevel="0" collapsed="false">
      <c r="A155" s="7" t="s">
        <v>3297</v>
      </c>
      <c r="B155" s="7" t="s">
        <v>4345</v>
      </c>
      <c r="C155" s="7" t="s">
        <v>3254</v>
      </c>
      <c r="D155" s="6" t="s">
        <v>4346</v>
      </c>
      <c r="E155" s="7" t="s">
        <v>39</v>
      </c>
      <c r="F155" s="7" t="s">
        <v>346</v>
      </c>
      <c r="G155" s="7" t="s">
        <v>69</v>
      </c>
      <c r="H155" s="7" t="str">
        <f aca="false">IF(COUNTIFS(TestCases!$U$2:$U$328,$A155,TestCases!$Y$2:$Y$328,"&lt;&gt;Reject")&gt;0,"Yes","No")</f>
        <v>Yes</v>
      </c>
      <c r="I155" s="6" t="s">
        <v>3778</v>
      </c>
      <c r="J155" s="7" t="s">
        <v>9</v>
      </c>
      <c r="K155" s="6" t="s">
        <v>4347</v>
      </c>
      <c r="L155" s="6" t="s">
        <v>4348</v>
      </c>
      <c r="M155" s="6" t="s">
        <v>138</v>
      </c>
      <c r="N155" s="7" t="n">
        <f aca="false">COUNTIFS(TestCases!$U$2:$U$328,$A155,TestCases!$Y$2:$Y$328,"Approve")</f>
        <v>0</v>
      </c>
      <c r="O155" s="7" t="n">
        <f aca="false">COUNTIFS(TestCases!$U$2:$U$328,$A155,TestCases!$Y$2:$Y$328,"Draft")</f>
        <v>2</v>
      </c>
      <c r="P155" s="7" t="n">
        <f aca="false">COUNTIFS(TestCases!$U$2:$U$328,$A155,TestCases!$Y$2:$Y$328,"Reject")</f>
        <v>1</v>
      </c>
    </row>
    <row r="156" customFormat="false" ht="15" hidden="false" customHeight="true" outlineLevel="0" collapsed="false">
      <c r="A156" s="7" t="s">
        <v>3320</v>
      </c>
      <c r="B156" s="7" t="s">
        <v>4349</v>
      </c>
      <c r="C156" s="7" t="s">
        <v>3311</v>
      </c>
      <c r="D156" s="6" t="s">
        <v>4350</v>
      </c>
      <c r="E156" s="7" t="s">
        <v>38</v>
      </c>
      <c r="F156" s="7" t="s">
        <v>99</v>
      </c>
      <c r="G156" s="7" t="s">
        <v>69</v>
      </c>
      <c r="H156" s="7" t="str">
        <f aca="false">IF(COUNTIFS(TestCases!$U$2:$U$328,$A156,TestCases!$Y$2:$Y$328,"&lt;&gt;Reject")&gt;0,"Yes","No")</f>
        <v>Yes</v>
      </c>
      <c r="I156" s="6" t="s">
        <v>3597</v>
      </c>
      <c r="J156" s="7" t="s">
        <v>9</v>
      </c>
      <c r="K156" s="6" t="s">
        <v>4337</v>
      </c>
      <c r="L156" s="6" t="s">
        <v>3310</v>
      </c>
      <c r="M156" s="6" t="s">
        <v>138</v>
      </c>
      <c r="N156" s="7" t="n">
        <f aca="false">COUNTIFS(TestCases!$U$2:$U$328,$A156,TestCases!$Y$2:$Y$328,"Approve")</f>
        <v>0</v>
      </c>
      <c r="O156" s="7" t="n">
        <f aca="false">COUNTIFS(TestCases!$U$2:$U$328,$A156,TestCases!$Y$2:$Y$328,"Draft")</f>
        <v>1</v>
      </c>
      <c r="P156" s="7" t="n">
        <f aca="false">COUNTIFS(TestCases!$U$2:$U$328,$A156,TestCases!$Y$2:$Y$328,"Reject")</f>
        <v>0</v>
      </c>
    </row>
    <row r="157" customFormat="false" ht="15" hidden="false" customHeight="true" outlineLevel="0" collapsed="false">
      <c r="A157" s="7" t="s">
        <v>3332</v>
      </c>
      <c r="B157" s="7" t="s">
        <v>4351</v>
      </c>
      <c r="C157" s="7" t="s">
        <v>3323</v>
      </c>
      <c r="D157" s="6" t="s">
        <v>4352</v>
      </c>
      <c r="E157" s="7" t="s">
        <v>38</v>
      </c>
      <c r="F157" s="7" t="s">
        <v>99</v>
      </c>
      <c r="G157" s="7" t="s">
        <v>69</v>
      </c>
      <c r="H157" s="7" t="str">
        <f aca="false">IF(COUNTIFS(TestCases!$U$2:$U$328,$A157,TestCases!$Y$2:$Y$328,"&lt;&gt;Reject")&gt;0,"Yes","No")</f>
        <v>Yes</v>
      </c>
      <c r="I157" s="6" t="s">
        <v>3597</v>
      </c>
      <c r="J157" s="7" t="s">
        <v>9</v>
      </c>
      <c r="K157" s="6" t="s">
        <v>4337</v>
      </c>
      <c r="L157" s="6" t="s">
        <v>3322</v>
      </c>
      <c r="M157" s="6" t="s">
        <v>138</v>
      </c>
      <c r="N157" s="7" t="n">
        <f aca="false">COUNTIFS(TestCases!$U$2:$U$328,$A157,TestCases!$Y$2:$Y$328,"Approve")</f>
        <v>0</v>
      </c>
      <c r="O157" s="7" t="n">
        <f aca="false">COUNTIFS(TestCases!$U$2:$U$328,$A157,TestCases!$Y$2:$Y$328,"Draft")</f>
        <v>1</v>
      </c>
      <c r="P157" s="7" t="n">
        <f aca="false">COUNTIFS(TestCases!$U$2:$U$328,$A157,TestCases!$Y$2:$Y$328,"Reject")</f>
        <v>0</v>
      </c>
    </row>
    <row r="158" customFormat="false" ht="23.25" hidden="false" customHeight="true" outlineLevel="0" collapsed="false">
      <c r="A158" s="7" t="s">
        <v>3344</v>
      </c>
      <c r="B158" s="7" t="s">
        <v>4353</v>
      </c>
      <c r="C158" s="7" t="s">
        <v>3335</v>
      </c>
      <c r="D158" s="6" t="s">
        <v>4354</v>
      </c>
      <c r="E158" s="7" t="s">
        <v>40</v>
      </c>
      <c r="F158" s="7" t="s">
        <v>100</v>
      </c>
      <c r="G158" s="7" t="s">
        <v>69</v>
      </c>
      <c r="H158" s="7" t="str">
        <f aca="false">IF(COUNTIFS(TestCases!$U$2:$U$328,$A158,TestCases!$Y$2:$Y$328,"&lt;&gt;Reject")&gt;0,"Yes","No")</f>
        <v>Yes</v>
      </c>
      <c r="I158" s="6" t="s">
        <v>3628</v>
      </c>
      <c r="J158" s="7" t="s">
        <v>9</v>
      </c>
      <c r="K158" s="6" t="s">
        <v>4105</v>
      </c>
      <c r="L158" s="6" t="s">
        <v>4355</v>
      </c>
      <c r="M158" s="6" t="s">
        <v>4356</v>
      </c>
      <c r="N158" s="7" t="n">
        <f aca="false">COUNTIFS(TestCases!$U$2:$U$328,$A158,TestCases!$Y$2:$Y$328,"Approve")</f>
        <v>0</v>
      </c>
      <c r="O158" s="7" t="n">
        <f aca="false">COUNTIFS(TestCases!$U$2:$U$328,$A158,TestCases!$Y$2:$Y$328,"Draft")</f>
        <v>2</v>
      </c>
      <c r="P158" s="7" t="n">
        <f aca="false">COUNTIFS(TestCases!$U$2:$U$328,$A158,TestCases!$Y$2:$Y$328,"Reject")</f>
        <v>0</v>
      </c>
    </row>
    <row r="159" customFormat="false" ht="23.25" hidden="false" customHeight="true" outlineLevel="0" collapsed="false">
      <c r="A159" s="7" t="s">
        <v>3363</v>
      </c>
      <c r="B159" s="7" t="s">
        <v>4357</v>
      </c>
      <c r="C159" s="7" t="s">
        <v>3354</v>
      </c>
      <c r="D159" s="6" t="s">
        <v>4358</v>
      </c>
      <c r="E159" s="7" t="s">
        <v>40</v>
      </c>
      <c r="F159" s="7" t="s">
        <v>36</v>
      </c>
      <c r="G159" s="7" t="s">
        <v>69</v>
      </c>
      <c r="H159" s="7" t="str">
        <f aca="false">IF(COUNTIFS(TestCases!$U$2:$U$328,$A159,TestCases!$Y$2:$Y$328,"&lt;&gt;Reject")&gt;0,"Yes","No")</f>
        <v>Yes</v>
      </c>
      <c r="I159" s="6" t="s">
        <v>3364</v>
      </c>
      <c r="J159" s="7" t="s">
        <v>9</v>
      </c>
      <c r="K159" s="6" t="s">
        <v>4359</v>
      </c>
      <c r="L159" s="6" t="s">
        <v>4360</v>
      </c>
      <c r="M159" s="6" t="s">
        <v>138</v>
      </c>
      <c r="N159" s="7" t="n">
        <f aca="false">COUNTIFS(TestCases!$U$2:$U$328,$A159,TestCases!$Y$2:$Y$328,"Approve")</f>
        <v>0</v>
      </c>
      <c r="O159" s="7" t="n">
        <f aca="false">COUNTIFS(TestCases!$U$2:$U$328,$A159,TestCases!$Y$2:$Y$328,"Draft")</f>
        <v>2</v>
      </c>
      <c r="P159" s="7" t="n">
        <f aca="false">COUNTIFS(TestCases!$U$2:$U$328,$A159,TestCases!$Y$2:$Y$328,"Reject")</f>
        <v>0</v>
      </c>
    </row>
    <row r="160" customFormat="false" ht="23.25" hidden="false" customHeight="true" outlineLevel="0" collapsed="false">
      <c r="A160" s="7" t="s">
        <v>3383</v>
      </c>
      <c r="B160" s="7" t="s">
        <v>4361</v>
      </c>
      <c r="C160" s="7" t="s">
        <v>3374</v>
      </c>
      <c r="D160" s="6" t="s">
        <v>4362</v>
      </c>
      <c r="E160" s="7" t="s">
        <v>40</v>
      </c>
      <c r="F160" s="7" t="s">
        <v>36</v>
      </c>
      <c r="G160" s="7" t="s">
        <v>69</v>
      </c>
      <c r="H160" s="7" t="str">
        <f aca="false">IF(COUNTIFS(TestCases!$U$2:$U$328,$A160,TestCases!$Y$2:$Y$328,"&lt;&gt;Reject")&gt;0,"Yes","No")</f>
        <v>Yes</v>
      </c>
      <c r="I160" s="6" t="s">
        <v>3364</v>
      </c>
      <c r="J160" s="7" t="s">
        <v>9</v>
      </c>
      <c r="K160" s="6" t="s">
        <v>4359</v>
      </c>
      <c r="L160" s="6" t="s">
        <v>4363</v>
      </c>
      <c r="M160" s="6" t="s">
        <v>4364</v>
      </c>
      <c r="N160" s="7" t="n">
        <f aca="false">COUNTIFS(TestCases!$U$2:$U$328,$A160,TestCases!$Y$2:$Y$328,"Approve")</f>
        <v>0</v>
      </c>
      <c r="O160" s="7" t="n">
        <f aca="false">COUNTIFS(TestCases!$U$2:$U$328,$A160,TestCases!$Y$2:$Y$328,"Draft")</f>
        <v>2</v>
      </c>
      <c r="P160" s="7" t="n">
        <f aca="false">COUNTIFS(TestCases!$U$2:$U$328,$A160,TestCases!$Y$2:$Y$328,"Reject")</f>
        <v>0</v>
      </c>
    </row>
    <row r="161" customFormat="false" ht="23.25" hidden="false" customHeight="true" outlineLevel="0" collapsed="false">
      <c r="A161" s="7" t="s">
        <v>3404</v>
      </c>
      <c r="B161" s="7" t="s">
        <v>4365</v>
      </c>
      <c r="C161" s="7" t="s">
        <v>3394</v>
      </c>
      <c r="D161" s="6" t="s">
        <v>4366</v>
      </c>
      <c r="E161" s="7" t="s">
        <v>40</v>
      </c>
      <c r="F161" s="7" t="s">
        <v>100</v>
      </c>
      <c r="G161" s="7" t="s">
        <v>69</v>
      </c>
      <c r="H161" s="7" t="str">
        <f aca="false">IF(COUNTIFS(TestCases!$U$2:$U$328,$A161,TestCases!$Y$2:$Y$328,"&lt;&gt;Reject")&gt;0,"Yes","No")</f>
        <v>Yes</v>
      </c>
      <c r="I161" s="6" t="s">
        <v>3364</v>
      </c>
      <c r="J161" s="7" t="s">
        <v>9</v>
      </c>
      <c r="K161" s="6" t="s">
        <v>4359</v>
      </c>
      <c r="L161" s="6" t="s">
        <v>4367</v>
      </c>
      <c r="M161" s="6" t="s">
        <v>4368</v>
      </c>
      <c r="N161" s="7" t="n">
        <f aca="false">COUNTIFS(TestCases!$U$2:$U$328,$A161,TestCases!$Y$2:$Y$328,"Approve")</f>
        <v>0</v>
      </c>
      <c r="O161" s="7" t="n">
        <f aca="false">COUNTIFS(TestCases!$U$2:$U$328,$A161,TestCases!$Y$2:$Y$328,"Draft")</f>
        <v>2</v>
      </c>
      <c r="P161" s="7" t="n">
        <f aca="false">COUNTIFS(TestCases!$U$2:$U$328,$A161,TestCases!$Y$2:$Y$328,"Reject")</f>
        <v>0</v>
      </c>
    </row>
    <row r="162" customFormat="false" ht="23.25" hidden="false" customHeight="true" outlineLevel="0" collapsed="false">
      <c r="A162" s="7" t="s">
        <v>3424</v>
      </c>
      <c r="B162" s="7" t="s">
        <v>4369</v>
      </c>
      <c r="C162" s="7" t="s">
        <v>3414</v>
      </c>
      <c r="D162" s="6" t="s">
        <v>4370</v>
      </c>
      <c r="E162" s="7" t="s">
        <v>40</v>
      </c>
      <c r="F162" s="7" t="s">
        <v>101</v>
      </c>
      <c r="G162" s="7" t="s">
        <v>69</v>
      </c>
      <c r="H162" s="7" t="str">
        <f aca="false">IF(COUNTIFS(TestCases!$U$2:$U$328,$A162,TestCases!$Y$2:$Y$328,"&lt;&gt;Reject")&gt;0,"Yes","No")</f>
        <v>Yes</v>
      </c>
      <c r="I162" s="6" t="s">
        <v>3425</v>
      </c>
      <c r="J162" s="7" t="s">
        <v>9</v>
      </c>
      <c r="K162" s="6" t="s">
        <v>4371</v>
      </c>
      <c r="L162" s="6" t="s">
        <v>4372</v>
      </c>
      <c r="M162" s="6" t="s">
        <v>138</v>
      </c>
      <c r="N162" s="7" t="n">
        <f aca="false">COUNTIFS(TestCases!$U$2:$U$328,$A162,TestCases!$Y$2:$Y$328,"Approve")</f>
        <v>0</v>
      </c>
      <c r="O162" s="7" t="n">
        <f aca="false">COUNTIFS(TestCases!$U$2:$U$328,$A162,TestCases!$Y$2:$Y$328,"Draft")</f>
        <v>2</v>
      </c>
      <c r="P162" s="7" t="n">
        <f aca="false">COUNTIFS(TestCases!$U$2:$U$328,$A162,TestCases!$Y$2:$Y$328,"Reject")</f>
        <v>0</v>
      </c>
    </row>
    <row r="163" customFormat="false" ht="23.25" hidden="false" customHeight="true" outlineLevel="0" collapsed="false">
      <c r="A163" s="7" t="s">
        <v>3442</v>
      </c>
      <c r="B163" s="7" t="s">
        <v>4373</v>
      </c>
      <c r="C163" s="7" t="s">
        <v>3436</v>
      </c>
      <c r="D163" s="6" t="s">
        <v>4374</v>
      </c>
      <c r="E163" s="7" t="s">
        <v>40</v>
      </c>
      <c r="F163" s="7" t="s">
        <v>36</v>
      </c>
      <c r="G163" s="7" t="s">
        <v>71</v>
      </c>
      <c r="H163" s="7" t="str">
        <f aca="false">IF(COUNTIFS(TestCases!$U$2:$U$328,$A163,TestCases!$Y$2:$Y$328,"&lt;&gt;Reject")&gt;0,"Yes","No")</f>
        <v>No</v>
      </c>
      <c r="I163" s="6" t="s">
        <v>3795</v>
      </c>
      <c r="J163" s="7" t="s">
        <v>11</v>
      </c>
      <c r="K163" s="6" t="s">
        <v>4375</v>
      </c>
      <c r="L163" s="6" t="s">
        <v>3435</v>
      </c>
      <c r="M163" s="6" t="s">
        <v>138</v>
      </c>
      <c r="N163" s="7" t="n">
        <f aca="false">COUNTIFS(TestCases!$U$2:$U$328,$A163,TestCases!$Y$2:$Y$328,"Approve")</f>
        <v>0</v>
      </c>
      <c r="O163" s="7" t="n">
        <f aca="false">COUNTIFS(TestCases!$U$2:$U$328,$A163,TestCases!$Y$2:$Y$328,"Draft")</f>
        <v>0</v>
      </c>
      <c r="P163" s="7" t="n">
        <f aca="false">COUNTIFS(TestCases!$U$2:$U$328,$A163,TestCases!$Y$2:$Y$328,"Reject")</f>
        <v>1</v>
      </c>
    </row>
  </sheetData>
  <autoFilter ref="A1:P1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U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9"/>
    <col collapsed="false" customWidth="true" hidden="false" outlineLevel="0" max="4" min="4" style="1" width="10"/>
    <col collapsed="false" customWidth="true" hidden="false" outlineLevel="0" max="5" min="5" style="1" width="24"/>
    <col collapsed="false" customWidth="true" hidden="false" outlineLevel="0" max="6" min="6" style="1" width="16"/>
    <col collapsed="false" customWidth="true" hidden="false" outlineLevel="0" max="7" min="7" style="1" width="54"/>
    <col collapsed="false" customWidth="true" hidden="false" outlineLevel="0" max="8" min="8" style="1" width="14"/>
    <col collapsed="false" customWidth="true" hidden="false" outlineLevel="0" max="9" min="9" style="1" width="34"/>
    <col collapsed="false" customWidth="true" hidden="false" outlineLevel="0" max="10" min="10" style="1" width="48"/>
    <col collapsed="false" customWidth="true" hidden="false" outlineLevel="0" max="12" min="11" style="1" width="44"/>
    <col collapsed="false" customWidth="true" hidden="false" outlineLevel="0" max="13" min="13" style="1" width="40"/>
    <col collapsed="false" customWidth="true" hidden="false" outlineLevel="0" max="14" min="14" style="1" width="9"/>
    <col collapsed="false" customWidth="true" hidden="false" outlineLevel="0" max="15" min="15" style="1" width="10"/>
    <col collapsed="false" customWidth="true" hidden="false" outlineLevel="0" max="16" min="16" style="1" width="9"/>
    <col collapsed="false" customWidth="true" hidden="false" outlineLevel="0" max="17" min="17" style="1" width="10"/>
    <col collapsed="false" customWidth="true" hidden="false" outlineLevel="0" max="19" min="18" style="1" width="44"/>
    <col collapsed="false" customWidth="true" hidden="false" outlineLevel="0" max="20" min="20" style="1" width="11"/>
    <col collapsed="false" customWidth="true" hidden="false" outlineLevel="0" max="21" min="21" style="1" width="20"/>
  </cols>
  <sheetData>
    <row r="1" customFormat="false" ht="23.25" hidden="false" customHeight="true" outlineLevel="0" collapsed="false">
      <c r="A1" s="5" t="s">
        <v>4376</v>
      </c>
      <c r="B1" s="5" t="s">
        <v>32</v>
      </c>
      <c r="C1" s="5" t="s">
        <v>106</v>
      </c>
      <c r="D1" s="5" t="s">
        <v>4377</v>
      </c>
      <c r="E1" s="5" t="s">
        <v>4378</v>
      </c>
      <c r="F1" s="5" t="s">
        <v>4379</v>
      </c>
      <c r="G1" s="5" t="s">
        <v>4380</v>
      </c>
      <c r="H1" s="5" t="s">
        <v>4381</v>
      </c>
      <c r="I1" s="5" t="s">
        <v>4382</v>
      </c>
      <c r="J1" s="5" t="s">
        <v>4383</v>
      </c>
      <c r="K1" s="5" t="s">
        <v>115</v>
      </c>
      <c r="L1" s="5" t="s">
        <v>4384</v>
      </c>
      <c r="M1" s="5" t="s">
        <v>4385</v>
      </c>
      <c r="N1" s="5" t="s">
        <v>21</v>
      </c>
      <c r="O1" s="5" t="s">
        <v>82</v>
      </c>
      <c r="P1" s="5" t="s">
        <v>83</v>
      </c>
      <c r="Q1" s="5" t="s">
        <v>15</v>
      </c>
      <c r="R1" s="5" t="s">
        <v>4386</v>
      </c>
      <c r="S1" s="5" t="s">
        <v>3446</v>
      </c>
      <c r="T1" s="5" t="s">
        <v>3</v>
      </c>
      <c r="U1" s="5" t="s">
        <v>4387</v>
      </c>
    </row>
    <row r="2" customFormat="false" ht="57" hidden="false" customHeight="true" outlineLevel="0" collapsed="false">
      <c r="A2" s="7" t="s">
        <v>3809</v>
      </c>
      <c r="B2" s="7" t="s">
        <v>38</v>
      </c>
      <c r="C2" s="7" t="s">
        <v>99</v>
      </c>
      <c r="D2" s="7" t="s">
        <v>124</v>
      </c>
      <c r="E2" s="6" t="s">
        <v>4388</v>
      </c>
      <c r="F2" s="6" t="s">
        <v>123</v>
      </c>
      <c r="G2" s="6" t="s">
        <v>4389</v>
      </c>
      <c r="H2" s="6" t="s">
        <v>4390</v>
      </c>
      <c r="I2" s="6" t="s">
        <v>4391</v>
      </c>
      <c r="J2" s="6" t="s">
        <v>132</v>
      </c>
      <c r="K2" s="6" t="s">
        <v>133</v>
      </c>
      <c r="L2" s="6" t="s">
        <v>4392</v>
      </c>
      <c r="M2" s="6" t="s">
        <v>4393</v>
      </c>
      <c r="N2" s="16" t="n">
        <v>1</v>
      </c>
      <c r="O2" s="7" t="str">
        <f aca="false">IF(N2&lt;=2,"High","Low")</f>
        <v>High</v>
      </c>
      <c r="P2" s="15" t="s">
        <v>17</v>
      </c>
      <c r="Q2" s="7" t="str">
        <f aca="false">IF(O2="High",IF(P2="High","Critical","High"),IF(P2="High","Medium","Low"))</f>
        <v>Critical</v>
      </c>
      <c r="R2" s="6" t="s">
        <v>4394</v>
      </c>
      <c r="S2" s="6" t="s">
        <v>3450</v>
      </c>
      <c r="T2" s="7" t="s">
        <v>4395</v>
      </c>
      <c r="U2" s="6" t="str">
        <f aca="false">IF(N2=1,"Smoke",IF(N2=2,"Regression Core","Regression Extended"))</f>
        <v>Smoke</v>
      </c>
    </row>
    <row r="3" customFormat="false" ht="34.5" hidden="false" customHeight="true" outlineLevel="0" collapsed="false">
      <c r="A3" s="7" t="s">
        <v>3828</v>
      </c>
      <c r="B3" s="7" t="s">
        <v>40</v>
      </c>
      <c r="C3" s="7" t="s">
        <v>99</v>
      </c>
      <c r="D3" s="7" t="s">
        <v>237</v>
      </c>
      <c r="E3" s="6" t="s">
        <v>4396</v>
      </c>
      <c r="F3" s="6" t="s">
        <v>236</v>
      </c>
      <c r="G3" s="6" t="s">
        <v>4397</v>
      </c>
      <c r="H3" s="6" t="s">
        <v>4390</v>
      </c>
      <c r="I3" s="6" t="s">
        <v>4398</v>
      </c>
      <c r="J3" s="6" t="s">
        <v>244</v>
      </c>
      <c r="K3" s="6" t="s">
        <v>245</v>
      </c>
      <c r="L3" s="6" t="s">
        <v>4399</v>
      </c>
      <c r="M3" s="6" t="s">
        <v>4400</v>
      </c>
      <c r="N3" s="16" t="n">
        <v>1</v>
      </c>
      <c r="O3" s="7" t="str">
        <f aca="false">IF(N3&lt;=2,"High","Low")</f>
        <v>High</v>
      </c>
      <c r="P3" s="15" t="s">
        <v>17</v>
      </c>
      <c r="Q3" s="7" t="str">
        <f aca="false">IF(O3="High",IF(P3="High","Critical","High"),IF(P3="High","Medium","Low"))</f>
        <v>Critical</v>
      </c>
      <c r="R3" s="6" t="s">
        <v>4401</v>
      </c>
      <c r="S3" s="6" t="s">
        <v>3463</v>
      </c>
      <c r="T3" s="7" t="s">
        <v>4395</v>
      </c>
      <c r="U3" s="6" t="str">
        <f aca="false">IF(N3=1,"Smoke",IF(N3=2,"Regression Core","Regression Extended"))</f>
        <v>Smoke</v>
      </c>
    </row>
    <row r="4" customFormat="false" ht="45.75" hidden="false" customHeight="true" outlineLevel="0" collapsed="false">
      <c r="A4" s="7" t="s">
        <v>3833</v>
      </c>
      <c r="B4" s="7" t="s">
        <v>40</v>
      </c>
      <c r="C4" s="7" t="s">
        <v>100</v>
      </c>
      <c r="D4" s="7" t="s">
        <v>259</v>
      </c>
      <c r="E4" s="6" t="s">
        <v>4402</v>
      </c>
      <c r="F4" s="6" t="s">
        <v>295</v>
      </c>
      <c r="G4" s="6" t="s">
        <v>4403</v>
      </c>
      <c r="H4" s="6" t="s">
        <v>4390</v>
      </c>
      <c r="I4" s="6" t="s">
        <v>4404</v>
      </c>
      <c r="J4" s="6" t="s">
        <v>298</v>
      </c>
      <c r="K4" s="6" t="s">
        <v>299</v>
      </c>
      <c r="L4" s="6" t="s">
        <v>4405</v>
      </c>
      <c r="M4" s="6" t="s">
        <v>4406</v>
      </c>
      <c r="N4" s="16" t="n">
        <v>1</v>
      </c>
      <c r="O4" s="7" t="str">
        <f aca="false">IF(N4&lt;=2,"High","Low")</f>
        <v>High</v>
      </c>
      <c r="P4" s="15" t="s">
        <v>17</v>
      </c>
      <c r="Q4" s="7" t="str">
        <f aca="false">IF(O4="High",IF(P4="High","Critical","High"),IF(P4="High","Medium","Low"))</f>
        <v>Critical</v>
      </c>
      <c r="R4" s="6" t="s">
        <v>4407</v>
      </c>
      <c r="S4" s="6" t="s">
        <v>3465</v>
      </c>
      <c r="T4" s="7" t="s">
        <v>4395</v>
      </c>
      <c r="U4" s="6" t="str">
        <f aca="false">IF(N4=1,"Smoke",IF(N4=2,"Regression Core","Regression Extended"))</f>
        <v>Smoke</v>
      </c>
    </row>
    <row r="5" customFormat="false" ht="68.25" hidden="false" customHeight="true" outlineLevel="0" collapsed="false">
      <c r="A5" s="7" t="s">
        <v>4408</v>
      </c>
      <c r="B5" s="7" t="s">
        <v>40</v>
      </c>
      <c r="C5" s="7" t="s">
        <v>346</v>
      </c>
      <c r="D5" s="7" t="s">
        <v>345</v>
      </c>
      <c r="E5" s="6" t="s">
        <v>4402</v>
      </c>
      <c r="F5" s="6" t="s">
        <v>359</v>
      </c>
      <c r="G5" s="6" t="s">
        <v>4409</v>
      </c>
      <c r="H5" s="6" t="s">
        <v>4390</v>
      </c>
      <c r="I5" s="6" t="s">
        <v>4410</v>
      </c>
      <c r="J5" s="6" t="s">
        <v>364</v>
      </c>
      <c r="K5" s="6" t="s">
        <v>365</v>
      </c>
      <c r="L5" s="6" t="s">
        <v>4411</v>
      </c>
      <c r="M5" s="6" t="s">
        <v>4412</v>
      </c>
      <c r="N5" s="18" t="n">
        <v>2</v>
      </c>
      <c r="O5" s="7" t="str">
        <f aca="false">IF(N5&lt;=2,"High","Low")</f>
        <v>High</v>
      </c>
      <c r="P5" s="15" t="s">
        <v>17</v>
      </c>
      <c r="Q5" s="7" t="str">
        <f aca="false">IF(O5="High",IF(P5="High","Critical","High"),IF(P5="High","Medium","Low"))</f>
        <v>Critical</v>
      </c>
      <c r="R5" s="6" t="s">
        <v>4413</v>
      </c>
      <c r="S5" s="6" t="s">
        <v>3471</v>
      </c>
      <c r="T5" s="7" t="s">
        <v>4395</v>
      </c>
      <c r="U5" s="6" t="str">
        <f aca="false">IF(N5=1,"Smoke",IF(N5=2,"Regression Core","Regression Extended"))</f>
        <v>Regression Core</v>
      </c>
    </row>
    <row r="6" customFormat="false" ht="68.25" hidden="false" customHeight="true" outlineLevel="0" collapsed="false">
      <c r="A6" s="7" t="s">
        <v>4414</v>
      </c>
      <c r="B6" s="7" t="s">
        <v>40</v>
      </c>
      <c r="C6" s="7" t="s">
        <v>346</v>
      </c>
      <c r="D6" s="7" t="s">
        <v>345</v>
      </c>
      <c r="E6" s="6" t="s">
        <v>4402</v>
      </c>
      <c r="F6" s="6" t="s">
        <v>384</v>
      </c>
      <c r="G6" s="6" t="s">
        <v>4415</v>
      </c>
      <c r="H6" s="6" t="s">
        <v>4390</v>
      </c>
      <c r="I6" s="6" t="s">
        <v>4416</v>
      </c>
      <c r="J6" s="6" t="s">
        <v>389</v>
      </c>
      <c r="K6" s="6" t="s">
        <v>390</v>
      </c>
      <c r="L6" s="6" t="s">
        <v>4417</v>
      </c>
      <c r="M6" s="6" t="s">
        <v>4418</v>
      </c>
      <c r="N6" s="18" t="n">
        <v>2</v>
      </c>
      <c r="O6" s="7" t="str">
        <f aca="false">IF(N6&lt;=2,"High","Low")</f>
        <v>High</v>
      </c>
      <c r="P6" s="15" t="s">
        <v>17</v>
      </c>
      <c r="Q6" s="7" t="str">
        <f aca="false">IF(O6="High",IF(P6="High","Critical","High"),IF(P6="High","Medium","Low"))</f>
        <v>Critical</v>
      </c>
      <c r="R6" s="6" t="s">
        <v>4419</v>
      </c>
      <c r="S6" s="6" t="s">
        <v>3471</v>
      </c>
      <c r="T6" s="7" t="s">
        <v>4395</v>
      </c>
      <c r="U6" s="6" t="str">
        <f aca="false">IF(N6=1,"Smoke",IF(N6=2,"Regression Core","Regression Extended"))</f>
        <v>Regression Core</v>
      </c>
    </row>
    <row r="7" customFormat="false" ht="68.25" hidden="false" customHeight="true" outlineLevel="0" collapsed="false">
      <c r="A7" s="7" t="s">
        <v>3849</v>
      </c>
      <c r="B7" s="7" t="s">
        <v>40</v>
      </c>
      <c r="C7" s="7" t="s">
        <v>100</v>
      </c>
      <c r="D7" s="7" t="s">
        <v>401</v>
      </c>
      <c r="E7" s="6" t="s">
        <v>4402</v>
      </c>
      <c r="F7" s="6" t="s">
        <v>438</v>
      </c>
      <c r="G7" s="6" t="s">
        <v>4420</v>
      </c>
      <c r="H7" s="6" t="s">
        <v>4390</v>
      </c>
      <c r="I7" s="6" t="s">
        <v>4421</v>
      </c>
      <c r="J7" s="6" t="s">
        <v>443</v>
      </c>
      <c r="K7" s="6" t="s">
        <v>444</v>
      </c>
      <c r="L7" s="6" t="s">
        <v>4422</v>
      </c>
      <c r="M7" s="6" t="s">
        <v>4423</v>
      </c>
      <c r="N7" s="16" t="n">
        <v>1</v>
      </c>
      <c r="O7" s="7" t="str">
        <f aca="false">IF(N7&lt;=2,"High","Low")</f>
        <v>High</v>
      </c>
      <c r="P7" s="15" t="s">
        <v>17</v>
      </c>
      <c r="Q7" s="7" t="str">
        <f aca="false">IF(O7="High",IF(P7="High","Critical","High"),IF(P7="High","Medium","Low"))</f>
        <v>Critical</v>
      </c>
      <c r="R7" s="6" t="s">
        <v>4424</v>
      </c>
      <c r="S7" s="6" t="s">
        <v>3473</v>
      </c>
      <c r="T7" s="7" t="s">
        <v>4395</v>
      </c>
      <c r="U7" s="6" t="str">
        <f aca="false">IF(N7=1,"Smoke",IF(N7=2,"Regression Core","Regression Extended"))</f>
        <v>Smoke</v>
      </c>
    </row>
    <row r="8" customFormat="false" ht="68.25" hidden="false" customHeight="true" outlineLevel="0" collapsed="false">
      <c r="A8" s="7" t="s">
        <v>3858</v>
      </c>
      <c r="B8" s="7" t="s">
        <v>40</v>
      </c>
      <c r="C8" s="7" t="s">
        <v>469</v>
      </c>
      <c r="D8" s="7" t="s">
        <v>468</v>
      </c>
      <c r="E8" s="6" t="s">
        <v>4402</v>
      </c>
      <c r="F8" s="6" t="s">
        <v>498</v>
      </c>
      <c r="G8" s="6" t="s">
        <v>4425</v>
      </c>
      <c r="H8" s="6" t="s">
        <v>4390</v>
      </c>
      <c r="I8" s="6" t="s">
        <v>4426</v>
      </c>
      <c r="J8" s="6" t="s">
        <v>503</v>
      </c>
      <c r="K8" s="6" t="s">
        <v>504</v>
      </c>
      <c r="L8" s="6" t="s">
        <v>4427</v>
      </c>
      <c r="M8" s="6" t="s">
        <v>4428</v>
      </c>
      <c r="N8" s="18" t="n">
        <v>2</v>
      </c>
      <c r="O8" s="7" t="str">
        <f aca="false">IF(N8&lt;=2,"High","Low")</f>
        <v>High</v>
      </c>
      <c r="P8" s="15" t="s">
        <v>17</v>
      </c>
      <c r="Q8" s="7" t="str">
        <f aca="false">IF(O8="High",IF(P8="High","Critical","High"),IF(P8="High","Medium","Low"))</f>
        <v>Critical</v>
      </c>
      <c r="R8" s="6" t="s">
        <v>4429</v>
      </c>
      <c r="S8" s="6" t="s">
        <v>3478</v>
      </c>
      <c r="T8" s="7" t="s">
        <v>4395</v>
      </c>
      <c r="U8" s="6" t="str">
        <f aca="false">IF(N8=1,"Smoke",IF(N8=2,"Regression Core","Regression Extended"))</f>
        <v>Regression Core</v>
      </c>
    </row>
    <row r="9" customFormat="false" ht="68.25" hidden="false" customHeight="true" outlineLevel="0" collapsed="false">
      <c r="A9" s="7" t="s">
        <v>4430</v>
      </c>
      <c r="B9" s="7" t="s">
        <v>40</v>
      </c>
      <c r="C9" s="7" t="s">
        <v>517</v>
      </c>
      <c r="D9" s="7" t="s">
        <v>516</v>
      </c>
      <c r="E9" s="6" t="s">
        <v>4402</v>
      </c>
      <c r="F9" s="6" t="s">
        <v>515</v>
      </c>
      <c r="G9" s="6" t="s">
        <v>4431</v>
      </c>
      <c r="H9" s="6" t="s">
        <v>4390</v>
      </c>
      <c r="I9" s="6" t="s">
        <v>4432</v>
      </c>
      <c r="J9" s="6" t="s">
        <v>524</v>
      </c>
      <c r="K9" s="6" t="s">
        <v>525</v>
      </c>
      <c r="L9" s="6" t="s">
        <v>4433</v>
      </c>
      <c r="M9" s="6" t="s">
        <v>4434</v>
      </c>
      <c r="N9" s="16" t="n">
        <v>1</v>
      </c>
      <c r="O9" s="7" t="str">
        <f aca="false">IF(N9&lt;=2,"High","Low")</f>
        <v>High</v>
      </c>
      <c r="P9" s="15" t="s">
        <v>17</v>
      </c>
      <c r="Q9" s="7" t="str">
        <f aca="false">IF(O9="High",IF(P9="High","Critical","High"),IF(P9="High","Medium","Low"))</f>
        <v>Critical</v>
      </c>
      <c r="R9" s="6" t="s">
        <v>4435</v>
      </c>
      <c r="S9" s="6" t="s">
        <v>3481</v>
      </c>
      <c r="T9" s="7" t="s">
        <v>4395</v>
      </c>
      <c r="U9" s="6" t="str">
        <f aca="false">IF(N9=1,"Smoke",IF(N9=2,"Regression Core","Regression Extended"))</f>
        <v>Smoke</v>
      </c>
    </row>
    <row r="10" customFormat="false" ht="68.25" hidden="false" customHeight="true" outlineLevel="0" collapsed="false">
      <c r="A10" s="7" t="s">
        <v>4436</v>
      </c>
      <c r="B10" s="7" t="s">
        <v>40</v>
      </c>
      <c r="C10" s="7" t="s">
        <v>517</v>
      </c>
      <c r="D10" s="7" t="s">
        <v>516</v>
      </c>
      <c r="E10" s="6" t="s">
        <v>4402</v>
      </c>
      <c r="F10" s="6" t="s">
        <v>554</v>
      </c>
      <c r="G10" s="6" t="s">
        <v>4437</v>
      </c>
      <c r="H10" s="6" t="s">
        <v>4390</v>
      </c>
      <c r="I10" s="6" t="s">
        <v>4438</v>
      </c>
      <c r="J10" s="6" t="s">
        <v>559</v>
      </c>
      <c r="K10" s="6" t="s">
        <v>560</v>
      </c>
      <c r="L10" s="6" t="s">
        <v>4439</v>
      </c>
      <c r="M10" s="6" t="s">
        <v>4440</v>
      </c>
      <c r="N10" s="16" t="n">
        <v>1</v>
      </c>
      <c r="O10" s="7" t="str">
        <f aca="false">IF(N10&lt;=2,"High","Low")</f>
        <v>High</v>
      </c>
      <c r="P10" s="15" t="s">
        <v>17</v>
      </c>
      <c r="Q10" s="7" t="str">
        <f aca="false">IF(O10="High",IF(P10="High","Critical","High"),IF(P10="High","Medium","Low"))</f>
        <v>Critical</v>
      </c>
      <c r="R10" s="6" t="s">
        <v>4441</v>
      </c>
      <c r="S10" s="6" t="s">
        <v>3481</v>
      </c>
      <c r="T10" s="7" t="s">
        <v>4395</v>
      </c>
      <c r="U10" s="6" t="str">
        <f aca="false">IF(N10=1,"Smoke",IF(N10=2,"Regression Core","Regression Extended"))</f>
        <v>Smoke</v>
      </c>
    </row>
    <row r="11" customFormat="false" ht="45.75" hidden="false" customHeight="true" outlineLevel="0" collapsed="false">
      <c r="A11" s="7" t="s">
        <v>4442</v>
      </c>
      <c r="B11" s="7" t="s">
        <v>40</v>
      </c>
      <c r="C11" s="7" t="s">
        <v>100</v>
      </c>
      <c r="D11" s="7" t="s">
        <v>563</v>
      </c>
      <c r="E11" s="6" t="s">
        <v>4443</v>
      </c>
      <c r="F11" s="6" t="s">
        <v>576</v>
      </c>
      <c r="G11" s="6" t="s">
        <v>4444</v>
      </c>
      <c r="H11" s="6" t="s">
        <v>4390</v>
      </c>
      <c r="I11" s="6" t="s">
        <v>4445</v>
      </c>
      <c r="J11" s="6" t="s">
        <v>580</v>
      </c>
      <c r="K11" s="6" t="s">
        <v>581</v>
      </c>
      <c r="L11" s="6" t="s">
        <v>4446</v>
      </c>
      <c r="M11" s="6" t="s">
        <v>4447</v>
      </c>
      <c r="N11" s="16" t="n">
        <v>1</v>
      </c>
      <c r="O11" s="7" t="str">
        <f aca="false">IF(N11&lt;=2,"High","Low")</f>
        <v>High</v>
      </c>
      <c r="P11" s="15" t="s">
        <v>17</v>
      </c>
      <c r="Q11" s="7" t="str">
        <f aca="false">IF(O11="High",IF(P11="High","Critical","High"),IF(P11="High","Medium","Low"))</f>
        <v>Critical</v>
      </c>
      <c r="R11" s="6" t="s">
        <v>4448</v>
      </c>
      <c r="S11" s="6" t="s">
        <v>3484</v>
      </c>
      <c r="T11" s="7" t="s">
        <v>4395</v>
      </c>
      <c r="U11" s="6" t="str">
        <f aca="false">IF(N11=1,"Smoke",IF(N11=2,"Regression Core","Regression Extended"))</f>
        <v>Smoke</v>
      </c>
    </row>
    <row r="12" customFormat="false" ht="45.75" hidden="false" customHeight="true" outlineLevel="0" collapsed="false">
      <c r="A12" s="7" t="s">
        <v>4449</v>
      </c>
      <c r="B12" s="7" t="s">
        <v>40</v>
      </c>
      <c r="C12" s="7" t="s">
        <v>100</v>
      </c>
      <c r="D12" s="7" t="s">
        <v>563</v>
      </c>
      <c r="E12" s="6" t="s">
        <v>4443</v>
      </c>
      <c r="F12" s="6" t="s">
        <v>583</v>
      </c>
      <c r="G12" s="6" t="s">
        <v>4450</v>
      </c>
      <c r="H12" s="6" t="s">
        <v>4390</v>
      </c>
      <c r="I12" s="6" t="s">
        <v>4445</v>
      </c>
      <c r="J12" s="6" t="s">
        <v>587</v>
      </c>
      <c r="K12" s="6" t="s">
        <v>581</v>
      </c>
      <c r="L12" s="6" t="s">
        <v>4451</v>
      </c>
      <c r="M12" s="6" t="s">
        <v>4452</v>
      </c>
      <c r="N12" s="16" t="n">
        <v>1</v>
      </c>
      <c r="O12" s="7" t="str">
        <f aca="false">IF(N12&lt;=2,"High","Low")</f>
        <v>High</v>
      </c>
      <c r="P12" s="15" t="s">
        <v>17</v>
      </c>
      <c r="Q12" s="7" t="str">
        <f aca="false">IF(O12="High",IF(P12="High","Critical","High"),IF(P12="High","Medium","Low"))</f>
        <v>Critical</v>
      </c>
      <c r="R12" s="6" t="s">
        <v>4453</v>
      </c>
      <c r="S12" s="6" t="s">
        <v>3484</v>
      </c>
      <c r="T12" s="7" t="s">
        <v>4395</v>
      </c>
      <c r="U12" s="6" t="str">
        <f aca="false">IF(N12=1,"Smoke",IF(N12=2,"Regression Core","Regression Extended"))</f>
        <v>Smoke</v>
      </c>
    </row>
    <row r="13" customFormat="false" ht="57" hidden="false" customHeight="true" outlineLevel="0" collapsed="false">
      <c r="A13" s="7" t="s">
        <v>3873</v>
      </c>
      <c r="B13" s="7" t="s">
        <v>40</v>
      </c>
      <c r="C13" s="7" t="s">
        <v>100</v>
      </c>
      <c r="D13" s="7" t="s">
        <v>590</v>
      </c>
      <c r="E13" s="6" t="s">
        <v>4443</v>
      </c>
      <c r="F13" s="6" t="s">
        <v>589</v>
      </c>
      <c r="G13" s="6" t="s">
        <v>4454</v>
      </c>
      <c r="H13" s="6" t="s">
        <v>4390</v>
      </c>
      <c r="I13" s="6" t="s">
        <v>4455</v>
      </c>
      <c r="J13" s="6" t="s">
        <v>596</v>
      </c>
      <c r="K13" s="6" t="s">
        <v>597</v>
      </c>
      <c r="L13" s="6" t="s">
        <v>4456</v>
      </c>
      <c r="M13" s="6" t="s">
        <v>4457</v>
      </c>
      <c r="N13" s="16" t="n">
        <v>1</v>
      </c>
      <c r="O13" s="7" t="str">
        <f aca="false">IF(N13&lt;=2,"High","Low")</f>
        <v>High</v>
      </c>
      <c r="P13" s="15" t="s">
        <v>17</v>
      </c>
      <c r="Q13" s="7" t="str">
        <f aca="false">IF(O13="High",IF(P13="High","Critical","High"),IF(P13="High","Medium","Low"))</f>
        <v>Critical</v>
      </c>
      <c r="R13" s="6" t="s">
        <v>4458</v>
      </c>
      <c r="S13" s="6" t="s">
        <v>3487</v>
      </c>
      <c r="T13" s="7" t="s">
        <v>4395</v>
      </c>
      <c r="U13" s="6" t="str">
        <f aca="false">IF(N13=1,"Smoke",IF(N13=2,"Regression Core","Regression Extended"))</f>
        <v>Smoke</v>
      </c>
    </row>
    <row r="14" customFormat="false" ht="57" hidden="false" customHeight="true" outlineLevel="0" collapsed="false">
      <c r="A14" s="7" t="s">
        <v>4459</v>
      </c>
      <c r="B14" s="7" t="s">
        <v>40</v>
      </c>
      <c r="C14" s="7" t="s">
        <v>469</v>
      </c>
      <c r="D14" s="7" t="s">
        <v>619</v>
      </c>
      <c r="E14" s="6" t="s">
        <v>4396</v>
      </c>
      <c r="F14" s="6" t="s">
        <v>636</v>
      </c>
      <c r="G14" s="6" t="s">
        <v>4460</v>
      </c>
      <c r="H14" s="6" t="s">
        <v>4390</v>
      </c>
      <c r="I14" s="6" t="s">
        <v>4461</v>
      </c>
      <c r="J14" s="6" t="s">
        <v>641</v>
      </c>
      <c r="K14" s="6" t="s">
        <v>642</v>
      </c>
      <c r="L14" s="6" t="s">
        <v>4462</v>
      </c>
      <c r="M14" s="6" t="s">
        <v>4463</v>
      </c>
      <c r="N14" s="16" t="n">
        <v>1</v>
      </c>
      <c r="O14" s="7" t="str">
        <f aca="false">IF(N14&lt;=2,"High","Low")</f>
        <v>High</v>
      </c>
      <c r="P14" s="15" t="s">
        <v>17</v>
      </c>
      <c r="Q14" s="7" t="str">
        <f aca="false">IF(O14="High",IF(P14="High","Critical","High"),IF(P14="High","Medium","Low"))</f>
        <v>Critical</v>
      </c>
      <c r="R14" s="6" t="s">
        <v>4464</v>
      </c>
      <c r="S14" s="6" t="s">
        <v>3490</v>
      </c>
      <c r="T14" s="7" t="s">
        <v>4395</v>
      </c>
      <c r="U14" s="6" t="str">
        <f aca="false">IF(N14=1,"Smoke",IF(N14=2,"Regression Core","Regression Extended"))</f>
        <v>Smoke</v>
      </c>
    </row>
    <row r="15" customFormat="false" ht="57" hidden="false" customHeight="true" outlineLevel="0" collapsed="false">
      <c r="A15" s="7" t="s">
        <v>4465</v>
      </c>
      <c r="B15" s="7" t="s">
        <v>40</v>
      </c>
      <c r="C15" s="7" t="s">
        <v>469</v>
      </c>
      <c r="D15" s="7" t="s">
        <v>619</v>
      </c>
      <c r="E15" s="6" t="s">
        <v>4396</v>
      </c>
      <c r="F15" s="6" t="s">
        <v>618</v>
      </c>
      <c r="G15" s="6" t="s">
        <v>4466</v>
      </c>
      <c r="H15" s="6" t="s">
        <v>4390</v>
      </c>
      <c r="I15" s="6" t="s">
        <v>4467</v>
      </c>
      <c r="J15" s="6" t="s">
        <v>625</v>
      </c>
      <c r="K15" s="6" t="s">
        <v>626</v>
      </c>
      <c r="L15" s="6" t="s">
        <v>4468</v>
      </c>
      <c r="M15" s="6" t="s">
        <v>4469</v>
      </c>
      <c r="N15" s="19" t="n">
        <v>3</v>
      </c>
      <c r="O15" s="7" t="str">
        <f aca="false">IF(N15&lt;=2,"High","Low")</f>
        <v>Low</v>
      </c>
      <c r="P15" s="15" t="s">
        <v>17</v>
      </c>
      <c r="Q15" s="7" t="str">
        <f aca="false">IF(O15="High",IF(P15="High","Critical","High"),IF(P15="High","Medium","Low"))</f>
        <v>Medium</v>
      </c>
      <c r="R15" s="6" t="s">
        <v>4470</v>
      </c>
      <c r="S15" s="6" t="s">
        <v>3490</v>
      </c>
      <c r="T15" s="7" t="s">
        <v>4395</v>
      </c>
      <c r="U15" s="6" t="str">
        <f aca="false">IF(N15=1,"Smoke",IF(N15=2,"Regression Core","Regression Extended"))</f>
        <v>Regression Extended</v>
      </c>
    </row>
    <row r="16" customFormat="false" ht="68.25" hidden="false" customHeight="true" outlineLevel="0" collapsed="false">
      <c r="A16" s="7" t="s">
        <v>4471</v>
      </c>
      <c r="B16" s="7" t="s">
        <v>40</v>
      </c>
      <c r="C16" s="7" t="s">
        <v>36</v>
      </c>
      <c r="D16" s="7" t="s">
        <v>654</v>
      </c>
      <c r="E16" s="6" t="s">
        <v>4472</v>
      </c>
      <c r="F16" s="6" t="s">
        <v>653</v>
      </c>
      <c r="G16" s="6" t="s">
        <v>4473</v>
      </c>
      <c r="H16" s="6" t="s">
        <v>4390</v>
      </c>
      <c r="I16" s="6" t="s">
        <v>4474</v>
      </c>
      <c r="J16" s="6" t="s">
        <v>661</v>
      </c>
      <c r="K16" s="6" t="s">
        <v>662</v>
      </c>
      <c r="L16" s="6" t="s">
        <v>4475</v>
      </c>
      <c r="M16" s="6" t="s">
        <v>4476</v>
      </c>
      <c r="N16" s="16" t="n">
        <v>1</v>
      </c>
      <c r="O16" s="7" t="str">
        <f aca="false">IF(N16&lt;=2,"High","Low")</f>
        <v>High</v>
      </c>
      <c r="P16" s="15" t="s">
        <v>17</v>
      </c>
      <c r="Q16" s="7" t="str">
        <f aca="false">IF(O16="High",IF(P16="High","Critical","High"),IF(P16="High","Medium","Low"))</f>
        <v>Critical</v>
      </c>
      <c r="R16" s="6" t="s">
        <v>4477</v>
      </c>
      <c r="S16" s="6" t="s">
        <v>3492</v>
      </c>
      <c r="T16" s="7" t="s">
        <v>4395</v>
      </c>
      <c r="U16" s="6" t="str">
        <f aca="false">IF(N16=1,"Smoke",IF(N16=2,"Regression Core","Regression Extended"))</f>
        <v>Smoke</v>
      </c>
    </row>
    <row r="17" customFormat="false" ht="68.25" hidden="false" customHeight="true" outlineLevel="0" collapsed="false">
      <c r="A17" s="7" t="s">
        <v>4478</v>
      </c>
      <c r="B17" s="7" t="s">
        <v>40</v>
      </c>
      <c r="C17" s="7" t="s">
        <v>36</v>
      </c>
      <c r="D17" s="7" t="s">
        <v>654</v>
      </c>
      <c r="E17" s="6" t="s">
        <v>4472</v>
      </c>
      <c r="F17" s="6" t="s">
        <v>675</v>
      </c>
      <c r="G17" s="6" t="s">
        <v>4479</v>
      </c>
      <c r="H17" s="6" t="s">
        <v>4390</v>
      </c>
      <c r="I17" s="6" t="s">
        <v>4480</v>
      </c>
      <c r="J17" s="6" t="s">
        <v>680</v>
      </c>
      <c r="K17" s="6" t="s">
        <v>681</v>
      </c>
      <c r="L17" s="6" t="s">
        <v>4481</v>
      </c>
      <c r="M17" s="6" t="s">
        <v>4482</v>
      </c>
      <c r="N17" s="18" t="n">
        <v>2</v>
      </c>
      <c r="O17" s="7" t="str">
        <f aca="false">IF(N17&lt;=2,"High","Low")</f>
        <v>High</v>
      </c>
      <c r="P17" s="15" t="s">
        <v>19</v>
      </c>
      <c r="Q17" s="7" t="str">
        <f aca="false">IF(O17="High",IF(P17="High","Critical","High"),IF(P17="High","Medium","Low"))</f>
        <v>High</v>
      </c>
      <c r="R17" s="6" t="s">
        <v>4483</v>
      </c>
      <c r="S17" s="6" t="s">
        <v>3492</v>
      </c>
      <c r="T17" s="7" t="s">
        <v>4395</v>
      </c>
      <c r="U17" s="6" t="str">
        <f aca="false">IF(N17=1,"Smoke",IF(N17=2,"Regression Core","Regression Extended"))</f>
        <v>Regression Core</v>
      </c>
    </row>
    <row r="18" customFormat="false" ht="68.25" hidden="false" customHeight="true" outlineLevel="0" collapsed="false">
      <c r="A18" s="7" t="s">
        <v>3892</v>
      </c>
      <c r="B18" s="7" t="s">
        <v>40</v>
      </c>
      <c r="C18" s="7" t="s">
        <v>100</v>
      </c>
      <c r="D18" s="7" t="s">
        <v>710</v>
      </c>
      <c r="E18" s="6" t="s">
        <v>4402</v>
      </c>
      <c r="F18" s="6" t="s">
        <v>738</v>
      </c>
      <c r="G18" s="6" t="s">
        <v>4484</v>
      </c>
      <c r="H18" s="6" t="s">
        <v>4390</v>
      </c>
      <c r="I18" s="6" t="s">
        <v>4485</v>
      </c>
      <c r="J18" s="6" t="s">
        <v>743</v>
      </c>
      <c r="K18" s="6" t="s">
        <v>744</v>
      </c>
      <c r="L18" s="6" t="s">
        <v>4486</v>
      </c>
      <c r="M18" s="6" t="s">
        <v>4487</v>
      </c>
      <c r="N18" s="16" t="n">
        <v>1</v>
      </c>
      <c r="O18" s="7" t="str">
        <f aca="false">IF(N18&lt;=2,"High","Low")</f>
        <v>High</v>
      </c>
      <c r="P18" s="15" t="s">
        <v>17</v>
      </c>
      <c r="Q18" s="7" t="str">
        <f aca="false">IF(O18="High",IF(P18="High","Critical","High"),IF(P18="High","Medium","Low"))</f>
        <v>Critical</v>
      </c>
      <c r="R18" s="6" t="s">
        <v>4488</v>
      </c>
      <c r="S18" s="6" t="s">
        <v>3497</v>
      </c>
      <c r="T18" s="7" t="s">
        <v>4395</v>
      </c>
      <c r="U18" s="6" t="str">
        <f aca="false">IF(N18=1,"Smoke",IF(N18=2,"Regression Core","Regression Extended"))</f>
        <v>Smoke</v>
      </c>
    </row>
    <row r="19" customFormat="false" ht="68.25" hidden="false" customHeight="true" outlineLevel="0" collapsed="false">
      <c r="A19" s="7" t="s">
        <v>3900</v>
      </c>
      <c r="B19" s="7" t="s">
        <v>40</v>
      </c>
      <c r="C19" s="7" t="s">
        <v>469</v>
      </c>
      <c r="D19" s="7" t="s">
        <v>768</v>
      </c>
      <c r="E19" s="6" t="s">
        <v>4396</v>
      </c>
      <c r="F19" s="6" t="s">
        <v>780</v>
      </c>
      <c r="G19" s="6" t="s">
        <v>4489</v>
      </c>
      <c r="H19" s="6" t="s">
        <v>4390</v>
      </c>
      <c r="I19" s="6" t="s">
        <v>4490</v>
      </c>
      <c r="J19" s="6" t="s">
        <v>785</v>
      </c>
      <c r="K19" s="6" t="s">
        <v>786</v>
      </c>
      <c r="L19" s="6" t="s">
        <v>4491</v>
      </c>
      <c r="M19" s="6" t="s">
        <v>4492</v>
      </c>
      <c r="N19" s="16" t="n">
        <v>1</v>
      </c>
      <c r="O19" s="7" t="str">
        <f aca="false">IF(N19&lt;=2,"High","Low")</f>
        <v>High</v>
      </c>
      <c r="P19" s="15" t="s">
        <v>17</v>
      </c>
      <c r="Q19" s="7" t="str">
        <f aca="false">IF(O19="High",IF(P19="High","Critical","High"),IF(P19="High","Medium","Low"))</f>
        <v>Critical</v>
      </c>
      <c r="R19" s="6" t="s">
        <v>4493</v>
      </c>
      <c r="S19" s="6" t="s">
        <v>3502</v>
      </c>
      <c r="T19" s="7" t="s">
        <v>4395</v>
      </c>
      <c r="U19" s="6" t="str">
        <f aca="false">IF(N19=1,"Smoke",IF(N19=2,"Regression Core","Regression Extended"))</f>
        <v>Smoke</v>
      </c>
    </row>
    <row r="20" customFormat="false" ht="57" hidden="false" customHeight="true" outlineLevel="0" collapsed="false">
      <c r="A20" s="7" t="s">
        <v>3908</v>
      </c>
      <c r="B20" s="7" t="s">
        <v>39</v>
      </c>
      <c r="C20" s="7" t="s">
        <v>101</v>
      </c>
      <c r="D20" s="7" t="s">
        <v>820</v>
      </c>
      <c r="E20" s="6" t="s">
        <v>4443</v>
      </c>
      <c r="F20" s="6" t="s">
        <v>832</v>
      </c>
      <c r="G20" s="6" t="s">
        <v>4494</v>
      </c>
      <c r="H20" s="6" t="s">
        <v>4390</v>
      </c>
      <c r="I20" s="6" t="s">
        <v>4495</v>
      </c>
      <c r="J20" s="6" t="s">
        <v>837</v>
      </c>
      <c r="K20" s="6" t="s">
        <v>838</v>
      </c>
      <c r="L20" s="6" t="s">
        <v>4496</v>
      </c>
      <c r="M20" s="6" t="s">
        <v>4497</v>
      </c>
      <c r="N20" s="16" t="n">
        <v>1</v>
      </c>
      <c r="O20" s="7" t="str">
        <f aca="false">IF(N20&lt;=2,"High","Low")</f>
        <v>High</v>
      </c>
      <c r="P20" s="15" t="s">
        <v>17</v>
      </c>
      <c r="Q20" s="7" t="str">
        <f aca="false">IF(O20="High",IF(P20="High","Critical","High"),IF(P20="High","Medium","Low"))</f>
        <v>Critical</v>
      </c>
      <c r="R20" s="6" t="s">
        <v>4498</v>
      </c>
      <c r="S20" s="6" t="s">
        <v>3506</v>
      </c>
      <c r="T20" s="7" t="s">
        <v>4395</v>
      </c>
      <c r="U20" s="6" t="str">
        <f aca="false">IF(N20=1,"Smoke",IF(N20=2,"Regression Core","Regression Extended"))</f>
        <v>Smoke</v>
      </c>
    </row>
    <row r="21" customFormat="false" ht="68.25" hidden="false" customHeight="true" outlineLevel="0" collapsed="false">
      <c r="A21" s="7" t="s">
        <v>3918</v>
      </c>
      <c r="B21" s="7" t="s">
        <v>39</v>
      </c>
      <c r="C21" s="7" t="s">
        <v>101</v>
      </c>
      <c r="D21" s="7" t="s">
        <v>868</v>
      </c>
      <c r="E21" s="6" t="s">
        <v>138</v>
      </c>
      <c r="F21" s="6" t="s">
        <v>889</v>
      </c>
      <c r="G21" s="6" t="s">
        <v>4499</v>
      </c>
      <c r="H21" s="6" t="s">
        <v>4390</v>
      </c>
      <c r="I21" s="6" t="s">
        <v>4500</v>
      </c>
      <c r="J21" s="6" t="s">
        <v>893</v>
      </c>
      <c r="K21" s="6" t="s">
        <v>894</v>
      </c>
      <c r="L21" s="6" t="s">
        <v>4501</v>
      </c>
      <c r="M21" s="6" t="s">
        <v>4502</v>
      </c>
      <c r="N21" s="16" t="n">
        <v>1</v>
      </c>
      <c r="O21" s="7" t="str">
        <f aca="false">IF(N21&lt;=2,"High","Low")</f>
        <v>High</v>
      </c>
      <c r="P21" s="15" t="s">
        <v>17</v>
      </c>
      <c r="Q21" s="7" t="str">
        <f aca="false">IF(O21="High",IF(P21="High","Critical","High"),IF(P21="High","Medium","Low"))</f>
        <v>Critical</v>
      </c>
      <c r="R21" s="6" t="s">
        <v>4503</v>
      </c>
      <c r="S21" s="6" t="s">
        <v>3512</v>
      </c>
      <c r="T21" s="7" t="s">
        <v>4395</v>
      </c>
      <c r="U21" s="6" t="str">
        <f aca="false">IF(N21=1,"Smoke",IF(N21=2,"Regression Core","Regression Extended"))</f>
        <v>Smoke</v>
      </c>
    </row>
    <row r="22" customFormat="false" ht="68.25" hidden="false" customHeight="true" outlineLevel="0" collapsed="false">
      <c r="A22" s="7" t="s">
        <v>3923</v>
      </c>
      <c r="B22" s="7" t="s">
        <v>39</v>
      </c>
      <c r="C22" s="7" t="s">
        <v>101</v>
      </c>
      <c r="D22" s="7" t="s">
        <v>903</v>
      </c>
      <c r="E22" s="6" t="s">
        <v>4443</v>
      </c>
      <c r="F22" s="6" t="s">
        <v>915</v>
      </c>
      <c r="G22" s="6" t="s">
        <v>4504</v>
      </c>
      <c r="H22" s="6" t="s">
        <v>4390</v>
      </c>
      <c r="I22" s="6" t="s">
        <v>4505</v>
      </c>
      <c r="J22" s="6" t="s">
        <v>919</v>
      </c>
      <c r="K22" s="6" t="s">
        <v>920</v>
      </c>
      <c r="L22" s="6" t="s">
        <v>4506</v>
      </c>
      <c r="M22" s="6" t="s">
        <v>4507</v>
      </c>
      <c r="N22" s="16" t="n">
        <v>1</v>
      </c>
      <c r="O22" s="7" t="str">
        <f aca="false">IF(N22&lt;=2,"High","Low")</f>
        <v>High</v>
      </c>
      <c r="P22" s="15" t="s">
        <v>17</v>
      </c>
      <c r="Q22" s="7" t="str">
        <f aca="false">IF(O22="High",IF(P22="High","Critical","High"),IF(P22="High","Medium","Low"))</f>
        <v>Critical</v>
      </c>
      <c r="R22" s="6" t="s">
        <v>4508</v>
      </c>
      <c r="S22" s="6" t="s">
        <v>3515</v>
      </c>
      <c r="T22" s="7" t="s">
        <v>4395</v>
      </c>
      <c r="U22" s="6" t="str">
        <f aca="false">IF(N22=1,"Smoke",IF(N22=2,"Regression Core","Regression Extended"))</f>
        <v>Smoke</v>
      </c>
    </row>
    <row r="23" customFormat="false" ht="68.25" hidden="false" customHeight="true" outlineLevel="0" collapsed="false">
      <c r="A23" s="7" t="s">
        <v>3930</v>
      </c>
      <c r="B23" s="7" t="s">
        <v>39</v>
      </c>
      <c r="C23" s="7" t="s">
        <v>101</v>
      </c>
      <c r="D23" s="7" t="s">
        <v>943</v>
      </c>
      <c r="E23" s="6" t="s">
        <v>138</v>
      </c>
      <c r="F23" s="6" t="s">
        <v>942</v>
      </c>
      <c r="G23" s="6" t="s">
        <v>4509</v>
      </c>
      <c r="H23" s="6" t="s">
        <v>4390</v>
      </c>
      <c r="I23" s="6" t="s">
        <v>4510</v>
      </c>
      <c r="J23" s="6" t="s">
        <v>950</v>
      </c>
      <c r="K23" s="6" t="s">
        <v>951</v>
      </c>
      <c r="L23" s="6" t="s">
        <v>4511</v>
      </c>
      <c r="M23" s="6" t="s">
        <v>4512</v>
      </c>
      <c r="N23" s="21" t="n">
        <v>4</v>
      </c>
      <c r="O23" s="7" t="str">
        <f aca="false">IF(N23&lt;=2,"High","Low")</f>
        <v>Low</v>
      </c>
      <c r="P23" s="15" t="s">
        <v>19</v>
      </c>
      <c r="Q23" s="7" t="str">
        <f aca="false">IF(O23="High",IF(P23="High","Critical","High"),IF(P23="High","Medium","Low"))</f>
        <v>Low</v>
      </c>
      <c r="R23" s="6" t="s">
        <v>4513</v>
      </c>
      <c r="S23" s="6" t="s">
        <v>3519</v>
      </c>
      <c r="T23" s="7" t="s">
        <v>4395</v>
      </c>
      <c r="U23" s="6" t="str">
        <f aca="false">IF(N23=1,"Smoke",IF(N23=2,"Regression Core","Regression Extended"))</f>
        <v>Regression Extended</v>
      </c>
    </row>
    <row r="24" customFormat="false" ht="57" hidden="false" customHeight="true" outlineLevel="0" collapsed="false">
      <c r="A24" s="7" t="s">
        <v>3955</v>
      </c>
      <c r="B24" s="7" t="s">
        <v>38</v>
      </c>
      <c r="C24" s="7" t="s">
        <v>99</v>
      </c>
      <c r="D24" s="7" t="s">
        <v>1067</v>
      </c>
      <c r="E24" s="6" t="s">
        <v>138</v>
      </c>
      <c r="F24" s="6" t="s">
        <v>1066</v>
      </c>
      <c r="G24" s="6" t="s">
        <v>4514</v>
      </c>
      <c r="H24" s="6" t="s">
        <v>4390</v>
      </c>
      <c r="I24" s="6" t="s">
        <v>4515</v>
      </c>
      <c r="J24" s="6" t="s">
        <v>1074</v>
      </c>
      <c r="K24" s="6" t="s">
        <v>1075</v>
      </c>
      <c r="L24" s="6" t="s">
        <v>4516</v>
      </c>
      <c r="M24" s="6" t="s">
        <v>4517</v>
      </c>
      <c r="N24" s="18" t="n">
        <v>2</v>
      </c>
      <c r="O24" s="7" t="str">
        <f aca="false">IF(N24&lt;=2,"High","Low")</f>
        <v>High</v>
      </c>
      <c r="P24" s="15" t="s">
        <v>17</v>
      </c>
      <c r="Q24" s="7" t="str">
        <f aca="false">IF(O24="High",IF(P24="High","Critical","High"),IF(P24="High","Medium","Low"))</f>
        <v>Critical</v>
      </c>
      <c r="R24" s="6" t="s">
        <v>4518</v>
      </c>
      <c r="S24" s="6" t="s">
        <v>3537</v>
      </c>
      <c r="T24" s="7" t="s">
        <v>4395</v>
      </c>
      <c r="U24" s="6" t="str">
        <f aca="false">IF(N24=1,"Smoke",IF(N24=2,"Regression Core","Regression Extended"))</f>
        <v>Regression Core</v>
      </c>
    </row>
    <row r="25" customFormat="false" ht="68.25" hidden="false" customHeight="true" outlineLevel="0" collapsed="false">
      <c r="A25" s="7" t="s">
        <v>3960</v>
      </c>
      <c r="B25" s="7" t="s">
        <v>38</v>
      </c>
      <c r="C25" s="7" t="s">
        <v>99</v>
      </c>
      <c r="D25" s="7" t="s">
        <v>1081</v>
      </c>
      <c r="E25" s="6" t="s">
        <v>138</v>
      </c>
      <c r="F25" s="6" t="s">
        <v>1094</v>
      </c>
      <c r="G25" s="6" t="s">
        <v>4519</v>
      </c>
      <c r="H25" s="6" t="s">
        <v>4390</v>
      </c>
      <c r="I25" s="6" t="s">
        <v>4520</v>
      </c>
      <c r="J25" s="6" t="s">
        <v>1098</v>
      </c>
      <c r="K25" s="6" t="s">
        <v>1099</v>
      </c>
      <c r="L25" s="6" t="s">
        <v>4521</v>
      </c>
      <c r="M25" s="6" t="s">
        <v>4522</v>
      </c>
      <c r="N25" s="19" t="n">
        <v>3</v>
      </c>
      <c r="O25" s="7" t="str">
        <f aca="false">IF(N25&lt;=2,"High","Low")</f>
        <v>Low</v>
      </c>
      <c r="P25" s="15" t="s">
        <v>17</v>
      </c>
      <c r="Q25" s="7" t="str">
        <f aca="false">IF(O25="High",IF(P25="High","Critical","High"),IF(P25="High","Medium","Low"))</f>
        <v>Medium</v>
      </c>
      <c r="R25" s="6" t="s">
        <v>4523</v>
      </c>
      <c r="S25" s="6" t="s">
        <v>3539</v>
      </c>
      <c r="T25" s="7" t="s">
        <v>4395</v>
      </c>
      <c r="U25" s="6" t="str">
        <f aca="false">IF(N25=1,"Smoke",IF(N25=2,"Regression Core","Regression Extended"))</f>
        <v>Regression Extended</v>
      </c>
    </row>
    <row r="26" customFormat="false" ht="45.75" hidden="false" customHeight="true" outlineLevel="0" collapsed="false">
      <c r="A26" s="7" t="s">
        <v>3973</v>
      </c>
      <c r="B26" s="7" t="s">
        <v>40</v>
      </c>
      <c r="C26" s="7" t="s">
        <v>100</v>
      </c>
      <c r="D26" s="7" t="s">
        <v>1164</v>
      </c>
      <c r="E26" s="6" t="s">
        <v>4396</v>
      </c>
      <c r="F26" s="6" t="s">
        <v>1175</v>
      </c>
      <c r="G26" s="6" t="s">
        <v>4524</v>
      </c>
      <c r="H26" s="6" t="s">
        <v>4390</v>
      </c>
      <c r="I26" s="6" t="s">
        <v>4525</v>
      </c>
      <c r="J26" s="6" t="s">
        <v>1179</v>
      </c>
      <c r="K26" s="6" t="s">
        <v>1180</v>
      </c>
      <c r="L26" s="6" t="s">
        <v>4526</v>
      </c>
      <c r="M26" s="6" t="s">
        <v>4527</v>
      </c>
      <c r="N26" s="18" t="n">
        <v>2</v>
      </c>
      <c r="O26" s="7" t="str">
        <f aca="false">IF(N26&lt;=2,"High","Low")</f>
        <v>High</v>
      </c>
      <c r="P26" s="15" t="s">
        <v>17</v>
      </c>
      <c r="Q26" s="7" t="str">
        <f aca="false">IF(O26="High",IF(P26="High","Critical","High"),IF(P26="High","Medium","Low"))</f>
        <v>Critical</v>
      </c>
      <c r="R26" s="6" t="s">
        <v>4528</v>
      </c>
      <c r="S26" s="6" t="s">
        <v>3547</v>
      </c>
      <c r="T26" s="7" t="s">
        <v>4395</v>
      </c>
      <c r="U26" s="6" t="str">
        <f aca="false">IF(N26=1,"Smoke",IF(N26=2,"Regression Core","Regression Extended"))</f>
        <v>Regression Core</v>
      </c>
    </row>
    <row r="27" customFormat="false" ht="57" hidden="false" customHeight="true" outlineLevel="0" collapsed="false">
      <c r="A27" s="7" t="s">
        <v>3980</v>
      </c>
      <c r="B27" s="7" t="s">
        <v>38</v>
      </c>
      <c r="C27" s="7" t="s">
        <v>99</v>
      </c>
      <c r="D27" s="7" t="s">
        <v>1201</v>
      </c>
      <c r="E27" s="6" t="s">
        <v>4529</v>
      </c>
      <c r="F27" s="6" t="s">
        <v>1200</v>
      </c>
      <c r="G27" s="6" t="s">
        <v>4530</v>
      </c>
      <c r="H27" s="6" t="s">
        <v>4390</v>
      </c>
      <c r="I27" s="6" t="s">
        <v>4531</v>
      </c>
      <c r="J27" s="6" t="s">
        <v>1208</v>
      </c>
      <c r="K27" s="6" t="s">
        <v>1209</v>
      </c>
      <c r="L27" s="6" t="s">
        <v>4532</v>
      </c>
      <c r="M27" s="6" t="s">
        <v>4533</v>
      </c>
      <c r="N27" s="16" t="n">
        <v>1</v>
      </c>
      <c r="O27" s="7" t="str">
        <f aca="false">IF(N27&lt;=2,"High","Low")</f>
        <v>High</v>
      </c>
      <c r="P27" s="15" t="s">
        <v>17</v>
      </c>
      <c r="Q27" s="7" t="str">
        <f aca="false">IF(O27="High",IF(P27="High","Critical","High"),IF(P27="High","Medium","Low"))</f>
        <v>Critical</v>
      </c>
      <c r="R27" s="6" t="s">
        <v>4534</v>
      </c>
      <c r="S27" s="6" t="s">
        <v>3551</v>
      </c>
      <c r="T27" s="7" t="s">
        <v>4395</v>
      </c>
      <c r="U27" s="6" t="str">
        <f aca="false">IF(N27=1,"Smoke",IF(N27=2,"Regression Core","Regression Extended"))</f>
        <v>Smoke</v>
      </c>
    </row>
    <row r="28" customFormat="false" ht="57" hidden="false" customHeight="true" outlineLevel="0" collapsed="false">
      <c r="A28" s="7" t="s">
        <v>3984</v>
      </c>
      <c r="B28" s="7" t="s">
        <v>38</v>
      </c>
      <c r="C28" s="7" t="s">
        <v>99</v>
      </c>
      <c r="D28" s="7" t="s">
        <v>1222</v>
      </c>
      <c r="E28" s="6" t="s">
        <v>4529</v>
      </c>
      <c r="F28" s="6" t="s">
        <v>1221</v>
      </c>
      <c r="G28" s="6" t="s">
        <v>4535</v>
      </c>
      <c r="H28" s="6" t="s">
        <v>4390</v>
      </c>
      <c r="I28" s="6" t="s">
        <v>4536</v>
      </c>
      <c r="J28" s="6" t="s">
        <v>1229</v>
      </c>
      <c r="K28" s="6" t="s">
        <v>1230</v>
      </c>
      <c r="L28" s="6" t="s">
        <v>4537</v>
      </c>
      <c r="M28" s="6" t="s">
        <v>4538</v>
      </c>
      <c r="N28" s="18" t="n">
        <v>2</v>
      </c>
      <c r="O28" s="7" t="str">
        <f aca="false">IF(N28&lt;=2,"High","Low")</f>
        <v>High</v>
      </c>
      <c r="P28" s="15" t="s">
        <v>17</v>
      </c>
      <c r="Q28" s="7" t="str">
        <f aca="false">IF(O28="High",IF(P28="High","Critical","High"),IF(P28="High","Medium","Low"))</f>
        <v>Critical</v>
      </c>
      <c r="R28" s="6" t="s">
        <v>4539</v>
      </c>
      <c r="S28" s="6" t="s">
        <v>3553</v>
      </c>
      <c r="T28" s="7" t="s">
        <v>4395</v>
      </c>
      <c r="U28" s="6" t="str">
        <f aca="false">IF(N28=1,"Smoke",IF(N28=2,"Regression Core","Regression Extended"))</f>
        <v>Regression Core</v>
      </c>
    </row>
    <row r="29" customFormat="false" ht="68.25" hidden="false" customHeight="true" outlineLevel="0" collapsed="false">
      <c r="A29" s="7" t="s">
        <v>4002</v>
      </c>
      <c r="B29" s="7" t="s">
        <v>38</v>
      </c>
      <c r="C29" s="7" t="s">
        <v>99</v>
      </c>
      <c r="D29" s="7" t="s">
        <v>1313</v>
      </c>
      <c r="E29" s="6" t="s">
        <v>138</v>
      </c>
      <c r="F29" s="6" t="s">
        <v>1325</v>
      </c>
      <c r="G29" s="6" t="s">
        <v>4540</v>
      </c>
      <c r="H29" s="6" t="s">
        <v>4390</v>
      </c>
      <c r="I29" s="6" t="s">
        <v>4520</v>
      </c>
      <c r="J29" s="6" t="s">
        <v>1328</v>
      </c>
      <c r="K29" s="6" t="s">
        <v>1329</v>
      </c>
      <c r="L29" s="6" t="s">
        <v>4541</v>
      </c>
      <c r="M29" s="6" t="s">
        <v>4542</v>
      </c>
      <c r="N29" s="16" t="n">
        <v>1</v>
      </c>
      <c r="O29" s="7" t="str">
        <f aca="false">IF(N29&lt;=2,"High","Low")</f>
        <v>High</v>
      </c>
      <c r="P29" s="15" t="s">
        <v>17</v>
      </c>
      <c r="Q29" s="7" t="str">
        <f aca="false">IF(O29="High",IF(P29="High","Critical","High"),IF(P29="High","Medium","Low"))</f>
        <v>Critical</v>
      </c>
      <c r="R29" s="6" t="s">
        <v>4543</v>
      </c>
      <c r="S29" s="6" t="s">
        <v>3563</v>
      </c>
      <c r="T29" s="7" t="s">
        <v>4395</v>
      </c>
      <c r="U29" s="6" t="str">
        <f aca="false">IF(N29=1,"Smoke",IF(N29=2,"Regression Core","Regression Extended"))</f>
        <v>Smoke</v>
      </c>
    </row>
    <row r="30" customFormat="false" ht="34.5" hidden="false" customHeight="true" outlineLevel="0" collapsed="false">
      <c r="A30" s="7" t="s">
        <v>4011</v>
      </c>
      <c r="B30" s="7" t="s">
        <v>38</v>
      </c>
      <c r="C30" s="7" t="s">
        <v>99</v>
      </c>
      <c r="D30" s="7" t="s">
        <v>1365</v>
      </c>
      <c r="E30" s="6" t="s">
        <v>4388</v>
      </c>
      <c r="F30" s="6" t="s">
        <v>1364</v>
      </c>
      <c r="G30" s="6" t="s">
        <v>4544</v>
      </c>
      <c r="H30" s="6" t="s">
        <v>4390</v>
      </c>
      <c r="I30" s="6" t="s">
        <v>4545</v>
      </c>
      <c r="J30" s="6" t="s">
        <v>1372</v>
      </c>
      <c r="K30" s="6" t="s">
        <v>1373</v>
      </c>
      <c r="L30" s="6" t="s">
        <v>4546</v>
      </c>
      <c r="M30" s="6" t="s">
        <v>4547</v>
      </c>
      <c r="N30" s="19" t="n">
        <v>3</v>
      </c>
      <c r="O30" s="7" t="str">
        <f aca="false">IF(N30&lt;=2,"High","Low")</f>
        <v>Low</v>
      </c>
      <c r="P30" s="15" t="s">
        <v>17</v>
      </c>
      <c r="Q30" s="7" t="str">
        <f aca="false">IF(O30="High",IF(P30="High","Critical","High"),IF(P30="High","Medium","Low"))</f>
        <v>Medium</v>
      </c>
      <c r="R30" s="6" t="s">
        <v>4548</v>
      </c>
      <c r="S30" s="6" t="s">
        <v>3569</v>
      </c>
      <c r="T30" s="7" t="s">
        <v>4395</v>
      </c>
      <c r="U30" s="6" t="str">
        <f aca="false">IF(N30=1,"Smoke",IF(N30=2,"Regression Core","Regression Extended"))</f>
        <v>Regression Extended</v>
      </c>
    </row>
    <row r="31" customFormat="false" ht="45.75" hidden="false" customHeight="true" outlineLevel="0" collapsed="false">
      <c r="A31" s="7" t="s">
        <v>4020</v>
      </c>
      <c r="B31" s="7" t="s">
        <v>38</v>
      </c>
      <c r="C31" s="7" t="s">
        <v>99</v>
      </c>
      <c r="D31" s="7" t="s">
        <v>1407</v>
      </c>
      <c r="E31" s="6" t="s">
        <v>138</v>
      </c>
      <c r="F31" s="6" t="s">
        <v>1420</v>
      </c>
      <c r="G31" s="6" t="s">
        <v>4549</v>
      </c>
      <c r="H31" s="6" t="s">
        <v>4390</v>
      </c>
      <c r="I31" s="6" t="s">
        <v>4550</v>
      </c>
      <c r="J31" s="6" t="s">
        <v>1425</v>
      </c>
      <c r="K31" s="6" t="s">
        <v>1426</v>
      </c>
      <c r="L31" s="6" t="s">
        <v>4551</v>
      </c>
      <c r="M31" s="6" t="s">
        <v>4552</v>
      </c>
      <c r="N31" s="19" t="n">
        <v>3</v>
      </c>
      <c r="O31" s="7" t="str">
        <f aca="false">IF(N31&lt;=2,"High","Low")</f>
        <v>Low</v>
      </c>
      <c r="P31" s="15" t="s">
        <v>17</v>
      </c>
      <c r="Q31" s="7" t="str">
        <f aca="false">IF(O31="High",IF(P31="High","Critical","High"),IF(P31="High","Medium","Low"))</f>
        <v>Medium</v>
      </c>
      <c r="R31" s="6" t="s">
        <v>4553</v>
      </c>
      <c r="S31" s="6" t="s">
        <v>3574</v>
      </c>
      <c r="T31" s="7" t="s">
        <v>4395</v>
      </c>
      <c r="U31" s="6" t="str">
        <f aca="false">IF(N31=1,"Smoke",IF(N31=2,"Regression Core","Regression Extended"))</f>
        <v>Regression Extended</v>
      </c>
    </row>
    <row r="32" customFormat="false" ht="45.75" hidden="false" customHeight="true" outlineLevel="0" collapsed="false">
      <c r="A32" s="7" t="s">
        <v>4038</v>
      </c>
      <c r="B32" s="7" t="s">
        <v>38</v>
      </c>
      <c r="C32" s="7" t="s">
        <v>100</v>
      </c>
      <c r="D32" s="7" t="s">
        <v>1518</v>
      </c>
      <c r="E32" s="6" t="s">
        <v>4402</v>
      </c>
      <c r="F32" s="6" t="s">
        <v>1530</v>
      </c>
      <c r="G32" s="6" t="s">
        <v>4554</v>
      </c>
      <c r="H32" s="6" t="s">
        <v>4390</v>
      </c>
      <c r="I32" s="6" t="s">
        <v>4555</v>
      </c>
      <c r="J32" s="6" t="s">
        <v>1534</v>
      </c>
      <c r="K32" s="6" t="s">
        <v>1535</v>
      </c>
      <c r="L32" s="6" t="s">
        <v>4556</v>
      </c>
      <c r="M32" s="6" t="s">
        <v>4557</v>
      </c>
      <c r="N32" s="18" t="n">
        <v>2</v>
      </c>
      <c r="O32" s="7" t="str">
        <f aca="false">IF(N32&lt;=2,"High","Low")</f>
        <v>High</v>
      </c>
      <c r="P32" s="15" t="s">
        <v>17</v>
      </c>
      <c r="Q32" s="7" t="str">
        <f aca="false">IF(O32="High",IF(P32="High","Critical","High"),IF(P32="High","Medium","Low"))</f>
        <v>Critical</v>
      </c>
      <c r="R32" s="6" t="s">
        <v>4558</v>
      </c>
      <c r="S32" s="6" t="s">
        <v>3584</v>
      </c>
      <c r="T32" s="7" t="s">
        <v>4395</v>
      </c>
      <c r="U32" s="6" t="str">
        <f aca="false">IF(N32=1,"Smoke",IF(N32=2,"Regression Core","Regression Extended"))</f>
        <v>Regression Core</v>
      </c>
    </row>
    <row r="33" customFormat="false" ht="34.5" hidden="false" customHeight="true" outlineLevel="0" collapsed="false">
      <c r="A33" s="7" t="s">
        <v>4042</v>
      </c>
      <c r="B33" s="7" t="s">
        <v>40</v>
      </c>
      <c r="C33" s="7" t="s">
        <v>100</v>
      </c>
      <c r="D33" s="7" t="s">
        <v>1546</v>
      </c>
      <c r="E33" s="6" t="s">
        <v>4402</v>
      </c>
      <c r="F33" s="6" t="s">
        <v>1545</v>
      </c>
      <c r="G33" s="6" t="s">
        <v>4559</v>
      </c>
      <c r="H33" s="6" t="s">
        <v>4390</v>
      </c>
      <c r="I33" s="6" t="s">
        <v>4560</v>
      </c>
      <c r="J33" s="6" t="s">
        <v>1553</v>
      </c>
      <c r="K33" s="6" t="s">
        <v>1554</v>
      </c>
      <c r="L33" s="6" t="s">
        <v>4561</v>
      </c>
      <c r="M33" s="6" t="s">
        <v>4562</v>
      </c>
      <c r="N33" s="18" t="n">
        <v>2</v>
      </c>
      <c r="O33" s="7" t="str">
        <f aca="false">IF(N33&lt;=2,"High","Low")</f>
        <v>High</v>
      </c>
      <c r="P33" s="15" t="s">
        <v>17</v>
      </c>
      <c r="Q33" s="7" t="str">
        <f aca="false">IF(O33="High",IF(P33="High","Critical","High"),IF(P33="High","Medium","Low"))</f>
        <v>Critical</v>
      </c>
      <c r="R33" s="6" t="s">
        <v>4563</v>
      </c>
      <c r="S33" s="6" t="s">
        <v>3586</v>
      </c>
      <c r="T33" s="7" t="s">
        <v>4395</v>
      </c>
      <c r="U33" s="6" t="str">
        <f aca="false">IF(N33=1,"Smoke",IF(N33=2,"Regression Core","Regression Extended"))</f>
        <v>Regression Core</v>
      </c>
    </row>
    <row r="34" customFormat="false" ht="34.5" hidden="false" customHeight="true" outlineLevel="0" collapsed="false">
      <c r="A34" s="7" t="s">
        <v>4047</v>
      </c>
      <c r="B34" s="7" t="s">
        <v>38</v>
      </c>
      <c r="C34" s="7" t="s">
        <v>100</v>
      </c>
      <c r="D34" s="7" t="s">
        <v>1566</v>
      </c>
      <c r="E34" s="6" t="s">
        <v>4564</v>
      </c>
      <c r="F34" s="6" t="s">
        <v>1565</v>
      </c>
      <c r="G34" s="6" t="s">
        <v>4565</v>
      </c>
      <c r="H34" s="6" t="s">
        <v>4390</v>
      </c>
      <c r="I34" s="6" t="s">
        <v>4566</v>
      </c>
      <c r="J34" s="6" t="s">
        <v>1573</v>
      </c>
      <c r="K34" s="6" t="s">
        <v>1574</v>
      </c>
      <c r="L34" s="6" t="s">
        <v>4567</v>
      </c>
      <c r="M34" s="6" t="s">
        <v>4568</v>
      </c>
      <c r="N34" s="16" t="n">
        <v>1</v>
      </c>
      <c r="O34" s="7" t="str">
        <f aca="false">IF(N34&lt;=2,"High","Low")</f>
        <v>High</v>
      </c>
      <c r="P34" s="15" t="s">
        <v>17</v>
      </c>
      <c r="Q34" s="7" t="str">
        <f aca="false">IF(O34="High",IF(P34="High","Critical","High"),IF(P34="High","Medium","Low"))</f>
        <v>Critical</v>
      </c>
      <c r="R34" s="6" t="s">
        <v>4569</v>
      </c>
      <c r="S34" s="6" t="s">
        <v>3588</v>
      </c>
      <c r="T34" s="7" t="s">
        <v>4395</v>
      </c>
      <c r="U34" s="6" t="str">
        <f aca="false">IF(N34=1,"Smoke",IF(N34=2,"Regression Core","Regression Extended"))</f>
        <v>Smoke</v>
      </c>
    </row>
    <row r="35" customFormat="false" ht="57" hidden="false" customHeight="true" outlineLevel="0" collapsed="false">
      <c r="A35" s="7" t="s">
        <v>4053</v>
      </c>
      <c r="B35" s="7" t="s">
        <v>40</v>
      </c>
      <c r="C35" s="7" t="s">
        <v>100</v>
      </c>
      <c r="D35" s="7" t="s">
        <v>1608</v>
      </c>
      <c r="E35" s="6" t="s">
        <v>4402</v>
      </c>
      <c r="F35" s="6" t="s">
        <v>1607</v>
      </c>
      <c r="G35" s="6" t="s">
        <v>4570</v>
      </c>
      <c r="H35" s="6" t="s">
        <v>4390</v>
      </c>
      <c r="I35" s="6" t="s">
        <v>4571</v>
      </c>
      <c r="J35" s="6" t="s">
        <v>1615</v>
      </c>
      <c r="K35" s="6" t="s">
        <v>1616</v>
      </c>
      <c r="L35" s="6" t="s">
        <v>4572</v>
      </c>
      <c r="M35" s="6" t="s">
        <v>4573</v>
      </c>
      <c r="N35" s="19" t="n">
        <v>3</v>
      </c>
      <c r="O35" s="7" t="str">
        <f aca="false">IF(N35&lt;=2,"High","Low")</f>
        <v>Low</v>
      </c>
      <c r="P35" s="15" t="s">
        <v>17</v>
      </c>
      <c r="Q35" s="7" t="str">
        <f aca="false">IF(O35="High",IF(P35="High","Critical","High"),IF(P35="High","Medium","Low"))</f>
        <v>Medium</v>
      </c>
      <c r="R35" s="6" t="s">
        <v>4574</v>
      </c>
      <c r="S35" s="6" t="s">
        <v>3592</v>
      </c>
      <c r="T35" s="7" t="s">
        <v>4395</v>
      </c>
      <c r="U35" s="6" t="str">
        <f aca="false">IF(N35=1,"Smoke",IF(N35=2,"Regression Core","Regression Extended"))</f>
        <v>Regression Extended</v>
      </c>
    </row>
    <row r="36" customFormat="false" ht="34.5" hidden="false" customHeight="true" outlineLevel="0" collapsed="false">
      <c r="A36" s="7" t="s">
        <v>4058</v>
      </c>
      <c r="B36" s="7" t="s">
        <v>40</v>
      </c>
      <c r="C36" s="7" t="s">
        <v>101</v>
      </c>
      <c r="D36" s="7" t="s">
        <v>1628</v>
      </c>
      <c r="E36" s="6" t="s">
        <v>138</v>
      </c>
      <c r="F36" s="6" t="s">
        <v>1627</v>
      </c>
      <c r="G36" s="6" t="s">
        <v>4575</v>
      </c>
      <c r="H36" s="6" t="s">
        <v>4390</v>
      </c>
      <c r="I36" s="6" t="s">
        <v>4576</v>
      </c>
      <c r="J36" s="6" t="s">
        <v>1634</v>
      </c>
      <c r="K36" s="6" t="s">
        <v>1635</v>
      </c>
      <c r="L36" s="6" t="s">
        <v>4577</v>
      </c>
      <c r="M36" s="6" t="s">
        <v>4578</v>
      </c>
      <c r="N36" s="21" t="n">
        <v>4</v>
      </c>
      <c r="O36" s="7" t="str">
        <f aca="false">IF(N36&lt;=2,"High","Low")</f>
        <v>Low</v>
      </c>
      <c r="P36" s="15" t="s">
        <v>19</v>
      </c>
      <c r="Q36" s="7" t="str">
        <f aca="false">IF(O36="High",IF(P36="High","Critical","High"),IF(P36="High","Medium","Low"))</f>
        <v>Low</v>
      </c>
      <c r="R36" s="6" t="s">
        <v>4579</v>
      </c>
      <c r="S36" s="6" t="s">
        <v>3594</v>
      </c>
      <c r="T36" s="7" t="s">
        <v>4395</v>
      </c>
      <c r="U36" s="6" t="str">
        <f aca="false">IF(N36=1,"Smoke",IF(N36=2,"Regression Core","Regression Extended"))</f>
        <v>Regression Extended</v>
      </c>
    </row>
    <row r="37" customFormat="false" ht="34.5" hidden="false" customHeight="true" outlineLevel="0" collapsed="false">
      <c r="A37" s="7" t="s">
        <v>4062</v>
      </c>
      <c r="B37" s="7" t="s">
        <v>40</v>
      </c>
      <c r="C37" s="7" t="s">
        <v>99</v>
      </c>
      <c r="D37" s="7" t="s">
        <v>1648</v>
      </c>
      <c r="E37" s="6" t="s">
        <v>4402</v>
      </c>
      <c r="F37" s="6" t="s">
        <v>1647</v>
      </c>
      <c r="G37" s="6" t="s">
        <v>4580</v>
      </c>
      <c r="H37" s="6" t="s">
        <v>4390</v>
      </c>
      <c r="I37" s="6" t="s">
        <v>4581</v>
      </c>
      <c r="J37" s="6" t="s">
        <v>1655</v>
      </c>
      <c r="K37" s="6" t="s">
        <v>1656</v>
      </c>
      <c r="L37" s="6" t="s">
        <v>4582</v>
      </c>
      <c r="M37" s="6" t="s">
        <v>4583</v>
      </c>
      <c r="N37" s="18" t="n">
        <v>2</v>
      </c>
      <c r="O37" s="7" t="str">
        <f aca="false">IF(N37&lt;=2,"High","Low")</f>
        <v>High</v>
      </c>
      <c r="P37" s="15" t="s">
        <v>17</v>
      </c>
      <c r="Q37" s="7" t="str">
        <f aca="false">IF(O37="High",IF(P37="High","Critical","High"),IF(P37="High","Medium","Low"))</f>
        <v>Critical</v>
      </c>
      <c r="R37" s="6" t="s">
        <v>4584</v>
      </c>
      <c r="S37" s="6" t="s">
        <v>3596</v>
      </c>
      <c r="T37" s="7" t="s">
        <v>4395</v>
      </c>
      <c r="U37" s="6" t="str">
        <f aca="false">IF(N37=1,"Smoke",IF(N37=2,"Regression Core","Regression Extended"))</f>
        <v>Regression Core</v>
      </c>
    </row>
    <row r="38" customFormat="false" ht="34.5" hidden="false" customHeight="true" outlineLevel="0" collapsed="false">
      <c r="A38" s="7" t="s">
        <v>4067</v>
      </c>
      <c r="B38" s="7" t="s">
        <v>40</v>
      </c>
      <c r="C38" s="7" t="s">
        <v>101</v>
      </c>
      <c r="D38" s="7" t="s">
        <v>1669</v>
      </c>
      <c r="E38" s="6" t="s">
        <v>4402</v>
      </c>
      <c r="F38" s="6" t="s">
        <v>1681</v>
      </c>
      <c r="G38" s="6" t="s">
        <v>4585</v>
      </c>
      <c r="H38" s="6" t="s">
        <v>4390</v>
      </c>
      <c r="I38" s="6" t="s">
        <v>4586</v>
      </c>
      <c r="J38" s="6" t="s">
        <v>1686</v>
      </c>
      <c r="K38" s="6" t="s">
        <v>1687</v>
      </c>
      <c r="L38" s="6" t="s">
        <v>4587</v>
      </c>
      <c r="M38" s="6" t="s">
        <v>4588</v>
      </c>
      <c r="N38" s="18" t="n">
        <v>2</v>
      </c>
      <c r="O38" s="7" t="str">
        <f aca="false">IF(N38&lt;=2,"High","Low")</f>
        <v>High</v>
      </c>
      <c r="P38" s="15" t="s">
        <v>19</v>
      </c>
      <c r="Q38" s="7" t="str">
        <f aca="false">IF(O38="High",IF(P38="High","Critical","High"),IF(P38="High","Medium","Low"))</f>
        <v>High</v>
      </c>
      <c r="R38" s="6" t="s">
        <v>4589</v>
      </c>
      <c r="S38" s="6" t="s">
        <v>3599</v>
      </c>
      <c r="T38" s="7" t="s">
        <v>4395</v>
      </c>
      <c r="U38" s="6" t="str">
        <f aca="false">IF(N38=1,"Smoke",IF(N38=2,"Regression Core","Regression Extended"))</f>
        <v>Regression Core</v>
      </c>
    </row>
    <row r="39" customFormat="false" ht="68.25" hidden="false" customHeight="true" outlineLevel="0" collapsed="false">
      <c r="A39" s="7" t="s">
        <v>4076</v>
      </c>
      <c r="B39" s="7" t="s">
        <v>38</v>
      </c>
      <c r="C39" s="7" t="s">
        <v>100</v>
      </c>
      <c r="D39" s="7" t="s">
        <v>1709</v>
      </c>
      <c r="E39" s="6" t="s">
        <v>4472</v>
      </c>
      <c r="F39" s="6" t="s">
        <v>1708</v>
      </c>
      <c r="G39" s="6" t="s">
        <v>4590</v>
      </c>
      <c r="H39" s="6" t="s">
        <v>4390</v>
      </c>
      <c r="I39" s="6" t="s">
        <v>4591</v>
      </c>
      <c r="J39" s="6" t="s">
        <v>1716</v>
      </c>
      <c r="K39" s="6" t="s">
        <v>1717</v>
      </c>
      <c r="L39" s="6" t="s">
        <v>4592</v>
      </c>
      <c r="M39" s="6" t="s">
        <v>4593</v>
      </c>
      <c r="N39" s="16" t="n">
        <v>1</v>
      </c>
      <c r="O39" s="7" t="str">
        <f aca="false">IF(N39&lt;=2,"High","Low")</f>
        <v>High</v>
      </c>
      <c r="P39" s="15" t="s">
        <v>17</v>
      </c>
      <c r="Q39" s="7" t="str">
        <f aca="false">IF(O39="High",IF(P39="High","Critical","High"),IF(P39="High","Medium","Low"))</f>
        <v>Critical</v>
      </c>
      <c r="R39" s="6" t="s">
        <v>4594</v>
      </c>
      <c r="S39" s="6" t="s">
        <v>3603</v>
      </c>
      <c r="T39" s="7" t="s">
        <v>4395</v>
      </c>
      <c r="U39" s="6" t="str">
        <f aca="false">IF(N39=1,"Smoke",IF(N39=2,"Regression Core","Regression Extended"))</f>
        <v>Smoke</v>
      </c>
    </row>
    <row r="40" customFormat="false" ht="45.75" hidden="false" customHeight="true" outlineLevel="0" collapsed="false">
      <c r="A40" s="7" t="s">
        <v>4092</v>
      </c>
      <c r="B40" s="7" t="s">
        <v>38</v>
      </c>
      <c r="C40" s="7" t="s">
        <v>100</v>
      </c>
      <c r="D40" s="7" t="s">
        <v>1809</v>
      </c>
      <c r="E40" s="6" t="s">
        <v>138</v>
      </c>
      <c r="F40" s="6" t="s">
        <v>1808</v>
      </c>
      <c r="G40" s="6" t="s">
        <v>4595</v>
      </c>
      <c r="H40" s="6" t="s">
        <v>4390</v>
      </c>
      <c r="I40" s="6" t="s">
        <v>4596</v>
      </c>
      <c r="J40" s="6" t="s">
        <v>1815</v>
      </c>
      <c r="K40" s="6" t="s">
        <v>1816</v>
      </c>
      <c r="L40" s="6" t="s">
        <v>4597</v>
      </c>
      <c r="M40" s="6" t="s">
        <v>4598</v>
      </c>
      <c r="N40" s="21" t="n">
        <v>4</v>
      </c>
      <c r="O40" s="7" t="str">
        <f aca="false">IF(N40&lt;=2,"High","Low")</f>
        <v>Low</v>
      </c>
      <c r="P40" s="15" t="s">
        <v>17</v>
      </c>
      <c r="Q40" s="7" t="str">
        <f aca="false">IF(O40="High",IF(P40="High","Critical","High"),IF(P40="High","Medium","Low"))</f>
        <v>Medium</v>
      </c>
      <c r="R40" s="6" t="s">
        <v>4599</v>
      </c>
      <c r="S40" s="6" t="s">
        <v>3615</v>
      </c>
      <c r="T40" s="7" t="s">
        <v>4395</v>
      </c>
      <c r="U40" s="6" t="str">
        <f aca="false">IF(N40=1,"Smoke",IF(N40=2,"Regression Core","Regression Extended"))</f>
        <v>Regression Extended</v>
      </c>
    </row>
    <row r="41" customFormat="false" ht="34.5" hidden="false" customHeight="true" outlineLevel="0" collapsed="false">
      <c r="A41" s="7" t="s">
        <v>4121</v>
      </c>
      <c r="B41" s="7" t="s">
        <v>38</v>
      </c>
      <c r="C41" s="7" t="s">
        <v>100</v>
      </c>
      <c r="D41" s="7" t="s">
        <v>1950</v>
      </c>
      <c r="E41" s="6" t="s">
        <v>4529</v>
      </c>
      <c r="F41" s="6" t="s">
        <v>1949</v>
      </c>
      <c r="G41" s="6" t="s">
        <v>4600</v>
      </c>
      <c r="H41" s="6" t="s">
        <v>4390</v>
      </c>
      <c r="I41" s="6" t="s">
        <v>4601</v>
      </c>
      <c r="J41" s="6" t="s">
        <v>1957</v>
      </c>
      <c r="K41" s="6" t="s">
        <v>1958</v>
      </c>
      <c r="L41" s="6" t="s">
        <v>4602</v>
      </c>
      <c r="M41" s="6" t="s">
        <v>4603</v>
      </c>
      <c r="N41" s="16" t="n">
        <v>1</v>
      </c>
      <c r="O41" s="7" t="str">
        <f aca="false">IF(N41&lt;=2,"High","Low")</f>
        <v>High</v>
      </c>
      <c r="P41" s="15" t="s">
        <v>17</v>
      </c>
      <c r="Q41" s="7" t="str">
        <f aca="false">IF(O41="High",IF(P41="High","Critical","High"),IF(P41="High","Medium","Low"))</f>
        <v>Critical</v>
      </c>
      <c r="R41" s="6" t="s">
        <v>4604</v>
      </c>
      <c r="S41" s="6" t="s">
        <v>3637</v>
      </c>
      <c r="T41" s="7" t="s">
        <v>4395</v>
      </c>
      <c r="U41" s="6" t="str">
        <f aca="false">IF(N41=1,"Smoke",IF(N41=2,"Regression Core","Regression Extended"))</f>
        <v>Smoke</v>
      </c>
    </row>
    <row r="42" customFormat="false" ht="45.75" hidden="false" customHeight="true" outlineLevel="0" collapsed="false">
      <c r="A42" s="7" t="s">
        <v>4129</v>
      </c>
      <c r="B42" s="7" t="s">
        <v>38</v>
      </c>
      <c r="C42" s="7" t="s">
        <v>100</v>
      </c>
      <c r="D42" s="7" t="s">
        <v>1986</v>
      </c>
      <c r="E42" s="6" t="s">
        <v>4529</v>
      </c>
      <c r="F42" s="6" t="s">
        <v>1997</v>
      </c>
      <c r="G42" s="6" t="s">
        <v>4605</v>
      </c>
      <c r="H42" s="6" t="s">
        <v>4390</v>
      </c>
      <c r="I42" s="6" t="s">
        <v>4606</v>
      </c>
      <c r="J42" s="6" t="s">
        <v>2001</v>
      </c>
      <c r="K42" s="6" t="s">
        <v>2002</v>
      </c>
      <c r="L42" s="6" t="s">
        <v>4607</v>
      </c>
      <c r="M42" s="6" t="s">
        <v>4608</v>
      </c>
      <c r="N42" s="19" t="n">
        <v>3</v>
      </c>
      <c r="O42" s="7" t="str">
        <f aca="false">IF(N42&lt;=2,"High","Low")</f>
        <v>Low</v>
      </c>
      <c r="P42" s="15" t="s">
        <v>17</v>
      </c>
      <c r="Q42" s="7" t="str">
        <f aca="false">IF(O42="High",IF(P42="High","Critical","High"),IF(P42="High","Medium","Low"))</f>
        <v>Medium</v>
      </c>
      <c r="R42" s="6" t="s">
        <v>4609</v>
      </c>
      <c r="S42" s="6" t="s">
        <v>3642</v>
      </c>
      <c r="T42" s="7" t="s">
        <v>4395</v>
      </c>
      <c r="U42" s="6" t="str">
        <f aca="false">IF(N42=1,"Smoke",IF(N42=2,"Regression Core","Regression Extended"))</f>
        <v>Regression Extended</v>
      </c>
    </row>
    <row r="43" customFormat="false" ht="57" hidden="false" customHeight="true" outlineLevel="0" collapsed="false">
      <c r="A43" s="7" t="s">
        <v>4137</v>
      </c>
      <c r="B43" s="7" t="s">
        <v>38</v>
      </c>
      <c r="C43" s="7" t="s">
        <v>100</v>
      </c>
      <c r="D43" s="7" t="s">
        <v>2027</v>
      </c>
      <c r="E43" s="6" t="s">
        <v>4472</v>
      </c>
      <c r="F43" s="6" t="s">
        <v>2026</v>
      </c>
      <c r="G43" s="6" t="s">
        <v>4610</v>
      </c>
      <c r="H43" s="6" t="s">
        <v>4390</v>
      </c>
      <c r="I43" s="6" t="s">
        <v>4611</v>
      </c>
      <c r="J43" s="6" t="s">
        <v>2034</v>
      </c>
      <c r="K43" s="6" t="s">
        <v>2035</v>
      </c>
      <c r="L43" s="6" t="s">
        <v>4612</v>
      </c>
      <c r="M43" s="6" t="s">
        <v>4613</v>
      </c>
      <c r="N43" s="18" t="n">
        <v>2</v>
      </c>
      <c r="O43" s="7" t="str">
        <f aca="false">IF(N43&lt;=2,"High","Low")</f>
        <v>High</v>
      </c>
      <c r="P43" s="15" t="s">
        <v>17</v>
      </c>
      <c r="Q43" s="7" t="str">
        <f aca="false">IF(O43="High",IF(P43="High","Critical","High"),IF(P43="High","Medium","Low"))</f>
        <v>Critical</v>
      </c>
      <c r="R43" s="6" t="s">
        <v>4614</v>
      </c>
      <c r="S43" s="6" t="s">
        <v>3647</v>
      </c>
      <c r="T43" s="7" t="s">
        <v>4395</v>
      </c>
      <c r="U43" s="6" t="str">
        <f aca="false">IF(N43=1,"Smoke",IF(N43=2,"Regression Core","Regression Extended"))</f>
        <v>Regression Core</v>
      </c>
    </row>
    <row r="44" customFormat="false" ht="34.5" hidden="false" customHeight="true" outlineLevel="0" collapsed="false">
      <c r="A44" s="7" t="s">
        <v>4144</v>
      </c>
      <c r="B44" s="7" t="s">
        <v>38</v>
      </c>
      <c r="C44" s="7" t="s">
        <v>100</v>
      </c>
      <c r="D44" s="7" t="s">
        <v>2086</v>
      </c>
      <c r="E44" s="6" t="s">
        <v>4529</v>
      </c>
      <c r="F44" s="6" t="s">
        <v>2085</v>
      </c>
      <c r="G44" s="6" t="s">
        <v>4615</v>
      </c>
      <c r="H44" s="6" t="s">
        <v>4390</v>
      </c>
      <c r="I44" s="6" t="s">
        <v>4616</v>
      </c>
      <c r="J44" s="6" t="s">
        <v>2093</v>
      </c>
      <c r="K44" s="6" t="s">
        <v>2094</v>
      </c>
      <c r="L44" s="6" t="s">
        <v>4617</v>
      </c>
      <c r="M44" s="6" t="s">
        <v>4618</v>
      </c>
      <c r="N44" s="18" t="n">
        <v>2</v>
      </c>
      <c r="O44" s="7" t="str">
        <f aca="false">IF(N44&lt;=2,"High","Low")</f>
        <v>High</v>
      </c>
      <c r="P44" s="15" t="s">
        <v>17</v>
      </c>
      <c r="Q44" s="7" t="str">
        <f aca="false">IF(O44="High",IF(P44="High","Critical","High"),IF(P44="High","Medium","Low"))</f>
        <v>Critical</v>
      </c>
      <c r="R44" s="6" t="s">
        <v>4619</v>
      </c>
      <c r="S44" s="6" t="s">
        <v>3651</v>
      </c>
      <c r="T44" s="7" t="s">
        <v>4395</v>
      </c>
      <c r="U44" s="6" t="str">
        <f aca="false">IF(N44=1,"Smoke",IF(N44=2,"Regression Core","Regression Extended"))</f>
        <v>Regression Core</v>
      </c>
    </row>
    <row r="45" customFormat="false" ht="34.5" hidden="false" customHeight="true" outlineLevel="0" collapsed="false">
      <c r="A45" s="7" t="s">
        <v>4172</v>
      </c>
      <c r="B45" s="7" t="s">
        <v>38</v>
      </c>
      <c r="C45" s="7" t="s">
        <v>100</v>
      </c>
      <c r="D45" s="7" t="s">
        <v>2244</v>
      </c>
      <c r="E45" s="6" t="s">
        <v>138</v>
      </c>
      <c r="F45" s="6" t="s">
        <v>2243</v>
      </c>
      <c r="G45" s="6" t="s">
        <v>4620</v>
      </c>
      <c r="H45" s="6" t="s">
        <v>4390</v>
      </c>
      <c r="I45" s="6" t="s">
        <v>4621</v>
      </c>
      <c r="J45" s="6" t="s">
        <v>2251</v>
      </c>
      <c r="K45" s="6" t="s">
        <v>2252</v>
      </c>
      <c r="L45" s="6" t="s">
        <v>4622</v>
      </c>
      <c r="M45" s="6" t="s">
        <v>4623</v>
      </c>
      <c r="N45" s="16" t="n">
        <v>1</v>
      </c>
      <c r="O45" s="7" t="str">
        <f aca="false">IF(N45&lt;=2,"High","Low")</f>
        <v>High</v>
      </c>
      <c r="P45" s="15" t="s">
        <v>17</v>
      </c>
      <c r="Q45" s="7" t="str">
        <f aca="false">IF(O45="High",IF(P45="High","Critical","High"),IF(P45="High","Medium","Low"))</f>
        <v>Critical</v>
      </c>
      <c r="R45" s="6" t="s">
        <v>4624</v>
      </c>
      <c r="S45" s="6" t="s">
        <v>3670</v>
      </c>
      <c r="T45" s="7" t="s">
        <v>4395</v>
      </c>
      <c r="U45" s="6" t="str">
        <f aca="false">IF(N45=1,"Smoke",IF(N45=2,"Regression Core","Regression Extended"))</f>
        <v>Smoke</v>
      </c>
    </row>
    <row r="46" customFormat="false" ht="68.25" hidden="false" customHeight="true" outlineLevel="0" collapsed="false">
      <c r="A46" s="7" t="s">
        <v>4177</v>
      </c>
      <c r="B46" s="7" t="s">
        <v>38</v>
      </c>
      <c r="C46" s="7" t="s">
        <v>101</v>
      </c>
      <c r="D46" s="7" t="s">
        <v>2265</v>
      </c>
      <c r="E46" s="6" t="s">
        <v>4564</v>
      </c>
      <c r="F46" s="6" t="s">
        <v>2278</v>
      </c>
      <c r="G46" s="6" t="s">
        <v>4625</v>
      </c>
      <c r="H46" s="6" t="s">
        <v>4390</v>
      </c>
      <c r="I46" s="6" t="s">
        <v>4626</v>
      </c>
      <c r="J46" s="6" t="s">
        <v>2283</v>
      </c>
      <c r="K46" s="6" t="s">
        <v>2284</v>
      </c>
      <c r="L46" s="6" t="s">
        <v>4627</v>
      </c>
      <c r="M46" s="6" t="s">
        <v>4628</v>
      </c>
      <c r="N46" s="18" t="n">
        <v>2</v>
      </c>
      <c r="O46" s="7" t="str">
        <f aca="false">IF(N46&lt;=2,"High","Low")</f>
        <v>High</v>
      </c>
      <c r="P46" s="15" t="s">
        <v>19</v>
      </c>
      <c r="Q46" s="7" t="str">
        <f aca="false">IF(O46="High",IF(P46="High","Critical","High"),IF(P46="High","Medium","Low"))</f>
        <v>High</v>
      </c>
      <c r="R46" s="6" t="s">
        <v>4629</v>
      </c>
      <c r="S46" s="6" t="s">
        <v>3672</v>
      </c>
      <c r="T46" s="7" t="s">
        <v>4395</v>
      </c>
      <c r="U46" s="6" t="str">
        <f aca="false">IF(N46=1,"Smoke",IF(N46=2,"Regression Core","Regression Extended"))</f>
        <v>Regression Core</v>
      </c>
    </row>
    <row r="47" customFormat="false" ht="79.5" hidden="false" customHeight="true" outlineLevel="0" collapsed="false">
      <c r="A47" s="7" t="s">
        <v>4186</v>
      </c>
      <c r="B47" s="7" t="s">
        <v>40</v>
      </c>
      <c r="C47" s="7" t="s">
        <v>101</v>
      </c>
      <c r="D47" s="7" t="s">
        <v>2324</v>
      </c>
      <c r="E47" s="6" t="s">
        <v>4472</v>
      </c>
      <c r="F47" s="6" t="s">
        <v>2350</v>
      </c>
      <c r="G47" s="6" t="s">
        <v>4630</v>
      </c>
      <c r="H47" s="6" t="s">
        <v>4390</v>
      </c>
      <c r="I47" s="6" t="s">
        <v>4631</v>
      </c>
      <c r="J47" s="6" t="s">
        <v>2355</v>
      </c>
      <c r="K47" s="6" t="s">
        <v>2356</v>
      </c>
      <c r="L47" s="6" t="s">
        <v>4632</v>
      </c>
      <c r="M47" s="6" t="s">
        <v>4633</v>
      </c>
      <c r="N47" s="18" t="n">
        <v>2</v>
      </c>
      <c r="O47" s="7" t="str">
        <f aca="false">IF(N47&lt;=2,"High","Low")</f>
        <v>High</v>
      </c>
      <c r="P47" s="15" t="s">
        <v>19</v>
      </c>
      <c r="Q47" s="7" t="str">
        <f aca="false">IF(O47="High",IF(P47="High","Critical","High"),IF(P47="High","Medium","Low"))</f>
        <v>High</v>
      </c>
      <c r="R47" s="6" t="s">
        <v>4483</v>
      </c>
      <c r="S47" s="6" t="s">
        <v>3677</v>
      </c>
      <c r="T47" s="7" t="s">
        <v>4395</v>
      </c>
      <c r="U47" s="6" t="str">
        <f aca="false">IF(N47=1,"Smoke",IF(N47=2,"Regression Core","Regression Extended"))</f>
        <v>Regression Core</v>
      </c>
    </row>
    <row r="48" customFormat="false" ht="68.25" hidden="false" customHeight="true" outlineLevel="0" collapsed="false">
      <c r="A48" s="7" t="s">
        <v>4634</v>
      </c>
      <c r="B48" s="7" t="s">
        <v>40</v>
      </c>
      <c r="C48" s="7" t="s">
        <v>100</v>
      </c>
      <c r="D48" s="7" t="s">
        <v>2391</v>
      </c>
      <c r="E48" s="6" t="s">
        <v>4396</v>
      </c>
      <c r="F48" s="6" t="s">
        <v>2390</v>
      </c>
      <c r="G48" s="6" t="s">
        <v>4635</v>
      </c>
      <c r="H48" s="6" t="s">
        <v>4390</v>
      </c>
      <c r="I48" s="6" t="s">
        <v>4636</v>
      </c>
      <c r="J48" s="6" t="s">
        <v>2398</v>
      </c>
      <c r="K48" s="6" t="s">
        <v>2399</v>
      </c>
      <c r="L48" s="6" t="s">
        <v>4637</v>
      </c>
      <c r="M48" s="6" t="s">
        <v>4638</v>
      </c>
      <c r="N48" s="18" t="n">
        <v>2</v>
      </c>
      <c r="O48" s="7" t="str">
        <f aca="false">IF(N48&lt;=2,"High","Low")</f>
        <v>High</v>
      </c>
      <c r="P48" s="15" t="s">
        <v>17</v>
      </c>
      <c r="Q48" s="7" t="str">
        <f aca="false">IF(O48="High",IF(P48="High","Critical","High"),IF(P48="High","Medium","Low"))</f>
        <v>Critical</v>
      </c>
      <c r="R48" s="6" t="s">
        <v>4639</v>
      </c>
      <c r="S48" s="6" t="s">
        <v>3684</v>
      </c>
      <c r="T48" s="7" t="s">
        <v>4395</v>
      </c>
      <c r="U48" s="6" t="str">
        <f aca="false">IF(N48=1,"Smoke",IF(N48=2,"Regression Core","Regression Extended"))</f>
        <v>Regression Core</v>
      </c>
    </row>
    <row r="49" customFormat="false" ht="68.25" hidden="false" customHeight="true" outlineLevel="0" collapsed="false">
      <c r="A49" s="7" t="s">
        <v>4640</v>
      </c>
      <c r="B49" s="7" t="s">
        <v>40</v>
      </c>
      <c r="C49" s="7" t="s">
        <v>101</v>
      </c>
      <c r="D49" s="7" t="s">
        <v>2391</v>
      </c>
      <c r="E49" s="6" t="s">
        <v>4396</v>
      </c>
      <c r="F49" s="6" t="s">
        <v>2411</v>
      </c>
      <c r="G49" s="6" t="s">
        <v>4641</v>
      </c>
      <c r="H49" s="6" t="s">
        <v>4390</v>
      </c>
      <c r="I49" s="6" t="s">
        <v>4642</v>
      </c>
      <c r="J49" s="6" t="s">
        <v>2416</v>
      </c>
      <c r="K49" s="6" t="s">
        <v>2417</v>
      </c>
      <c r="L49" s="6" t="s">
        <v>4643</v>
      </c>
      <c r="M49" s="6" t="s">
        <v>4644</v>
      </c>
      <c r="N49" s="18" t="n">
        <v>2</v>
      </c>
      <c r="O49" s="7" t="str">
        <f aca="false">IF(N49&lt;=2,"High","Low")</f>
        <v>High</v>
      </c>
      <c r="P49" s="15" t="s">
        <v>19</v>
      </c>
      <c r="Q49" s="7" t="str">
        <f aca="false">IF(O49="High",IF(P49="High","Critical","High"),IF(P49="High","Medium","Low"))</f>
        <v>High</v>
      </c>
      <c r="R49" s="6" t="s">
        <v>4645</v>
      </c>
      <c r="S49" s="6" t="s">
        <v>3684</v>
      </c>
      <c r="T49" s="7" t="s">
        <v>4395</v>
      </c>
      <c r="U49" s="6" t="str">
        <f aca="false">IF(N49=1,"Smoke",IF(N49=2,"Regression Core","Regression Extended"))</f>
        <v>Regression Core</v>
      </c>
    </row>
    <row r="50" customFormat="false" ht="68.25" hidden="false" customHeight="true" outlineLevel="0" collapsed="false">
      <c r="A50" s="7" t="s">
        <v>4201</v>
      </c>
      <c r="B50" s="7" t="s">
        <v>40</v>
      </c>
      <c r="C50" s="7" t="s">
        <v>517</v>
      </c>
      <c r="D50" s="7" t="s">
        <v>2421</v>
      </c>
      <c r="E50" s="6" t="s">
        <v>138</v>
      </c>
      <c r="F50" s="6" t="s">
        <v>2433</v>
      </c>
      <c r="G50" s="6" t="s">
        <v>4646</v>
      </c>
      <c r="H50" s="6" t="s">
        <v>4390</v>
      </c>
      <c r="I50" s="6" t="s">
        <v>4647</v>
      </c>
      <c r="J50" s="6" t="s">
        <v>2438</v>
      </c>
      <c r="K50" s="6" t="s">
        <v>2439</v>
      </c>
      <c r="L50" s="6" t="s">
        <v>4648</v>
      </c>
      <c r="M50" s="6" t="s">
        <v>4649</v>
      </c>
      <c r="N50" s="21" t="n">
        <v>4</v>
      </c>
      <c r="O50" s="7" t="str">
        <f aca="false">IF(N50&lt;=2,"High","Low")</f>
        <v>Low</v>
      </c>
      <c r="P50" s="15" t="s">
        <v>17</v>
      </c>
      <c r="Q50" s="7" t="str">
        <f aca="false">IF(O50="High",IF(P50="High","Critical","High"),IF(P50="High","Medium","Low"))</f>
        <v>Medium</v>
      </c>
      <c r="R50" s="6" t="s">
        <v>4650</v>
      </c>
      <c r="S50" s="6" t="s">
        <v>3686</v>
      </c>
      <c r="T50" s="7" t="s">
        <v>4395</v>
      </c>
      <c r="U50" s="6" t="str">
        <f aca="false">IF(N50=1,"Smoke",IF(N50=2,"Regression Core","Regression Extended"))</f>
        <v>Regression Extended</v>
      </c>
    </row>
    <row r="51" customFormat="false" ht="68.25" hidden="false" customHeight="true" outlineLevel="0" collapsed="false">
      <c r="A51" s="7" t="s">
        <v>4206</v>
      </c>
      <c r="B51" s="7" t="s">
        <v>40</v>
      </c>
      <c r="C51" s="7" t="s">
        <v>100</v>
      </c>
      <c r="D51" s="7" t="s">
        <v>2456</v>
      </c>
      <c r="E51" s="6" t="s">
        <v>4396</v>
      </c>
      <c r="F51" s="6" t="s">
        <v>2469</v>
      </c>
      <c r="G51" s="6" t="s">
        <v>4651</v>
      </c>
      <c r="H51" s="6" t="s">
        <v>4390</v>
      </c>
      <c r="I51" s="6" t="s">
        <v>4652</v>
      </c>
      <c r="J51" s="6" t="s">
        <v>2474</v>
      </c>
      <c r="K51" s="6" t="s">
        <v>2475</v>
      </c>
      <c r="L51" s="6" t="s">
        <v>4653</v>
      </c>
      <c r="M51" s="6" t="s">
        <v>4654</v>
      </c>
      <c r="N51" s="16" t="n">
        <v>1</v>
      </c>
      <c r="O51" s="7" t="str">
        <f aca="false">IF(N51&lt;=2,"High","Low")</f>
        <v>High</v>
      </c>
      <c r="P51" s="15" t="s">
        <v>17</v>
      </c>
      <c r="Q51" s="7" t="str">
        <f aca="false">IF(O51="High",IF(P51="High","Critical","High"),IF(P51="High","Medium","Low"))</f>
        <v>Critical</v>
      </c>
      <c r="R51" s="6" t="s">
        <v>4655</v>
      </c>
      <c r="S51" s="6" t="s">
        <v>3688</v>
      </c>
      <c r="T51" s="7" t="s">
        <v>4395</v>
      </c>
      <c r="U51" s="6" t="str">
        <f aca="false">IF(N51=1,"Smoke",IF(N51=2,"Regression Core","Regression Extended"))</f>
        <v>Smoke</v>
      </c>
    </row>
    <row r="52" customFormat="false" ht="68.25" hidden="false" customHeight="true" outlineLevel="0" collapsed="false">
      <c r="A52" s="7" t="s">
        <v>4214</v>
      </c>
      <c r="B52" s="7" t="s">
        <v>40</v>
      </c>
      <c r="C52" s="7" t="s">
        <v>100</v>
      </c>
      <c r="D52" s="7" t="s">
        <v>2496</v>
      </c>
      <c r="E52" s="6" t="s">
        <v>4396</v>
      </c>
      <c r="F52" s="6" t="s">
        <v>2509</v>
      </c>
      <c r="G52" s="6" t="s">
        <v>4656</v>
      </c>
      <c r="H52" s="6" t="s">
        <v>4390</v>
      </c>
      <c r="I52" s="6" t="s">
        <v>4657</v>
      </c>
      <c r="J52" s="6" t="s">
        <v>2513</v>
      </c>
      <c r="K52" s="6" t="s">
        <v>2514</v>
      </c>
      <c r="L52" s="6" t="s">
        <v>4658</v>
      </c>
      <c r="M52" s="6" t="s">
        <v>4659</v>
      </c>
      <c r="N52" s="18" t="n">
        <v>2</v>
      </c>
      <c r="O52" s="7" t="str">
        <f aca="false">IF(N52&lt;=2,"High","Low")</f>
        <v>High</v>
      </c>
      <c r="P52" s="15" t="s">
        <v>17</v>
      </c>
      <c r="Q52" s="7" t="str">
        <f aca="false">IF(O52="High",IF(P52="High","Critical","High"),IF(P52="High","Medium","Low"))</f>
        <v>Critical</v>
      </c>
      <c r="R52" s="6" t="s">
        <v>4660</v>
      </c>
      <c r="S52" s="6" t="s">
        <v>3693</v>
      </c>
      <c r="T52" s="7" t="s">
        <v>4395</v>
      </c>
      <c r="U52" s="6" t="str">
        <f aca="false">IF(N52=1,"Smoke",IF(N52=2,"Regression Core","Regression Extended"))</f>
        <v>Regression Core</v>
      </c>
    </row>
    <row r="53" customFormat="false" ht="68.25" hidden="false" customHeight="true" outlineLevel="0" collapsed="false">
      <c r="A53" s="7" t="s">
        <v>4218</v>
      </c>
      <c r="B53" s="7" t="s">
        <v>40</v>
      </c>
      <c r="C53" s="7" t="s">
        <v>100</v>
      </c>
      <c r="D53" s="7" t="s">
        <v>2524</v>
      </c>
      <c r="E53" s="6" t="s">
        <v>4396</v>
      </c>
      <c r="F53" s="6" t="s">
        <v>2523</v>
      </c>
      <c r="G53" s="6" t="s">
        <v>4661</v>
      </c>
      <c r="H53" s="6" t="s">
        <v>4390</v>
      </c>
      <c r="I53" s="6" t="s">
        <v>4662</v>
      </c>
      <c r="J53" s="6" t="s">
        <v>2531</v>
      </c>
      <c r="K53" s="6" t="s">
        <v>2532</v>
      </c>
      <c r="L53" s="6" t="s">
        <v>4663</v>
      </c>
      <c r="M53" s="6" t="s">
        <v>4664</v>
      </c>
      <c r="N53" s="16" t="n">
        <v>1</v>
      </c>
      <c r="O53" s="7" t="str">
        <f aca="false">IF(N53&lt;=2,"High","Low")</f>
        <v>High</v>
      </c>
      <c r="P53" s="15" t="s">
        <v>17</v>
      </c>
      <c r="Q53" s="7" t="str">
        <f aca="false">IF(O53="High",IF(P53="High","Critical","High"),IF(P53="High","Medium","Low"))</f>
        <v>Critical</v>
      </c>
      <c r="R53" s="6" t="s">
        <v>4665</v>
      </c>
      <c r="S53" s="6" t="s">
        <v>3696</v>
      </c>
      <c r="T53" s="7" t="s">
        <v>4395</v>
      </c>
      <c r="U53" s="6" t="str">
        <f aca="false">IF(N53=1,"Smoke",IF(N53=2,"Regression Core","Regression Extended"))</f>
        <v>Smoke</v>
      </c>
    </row>
    <row r="54" customFormat="false" ht="68.25" hidden="false" customHeight="true" outlineLevel="0" collapsed="false">
      <c r="A54" s="7" t="s">
        <v>4223</v>
      </c>
      <c r="B54" s="7" t="s">
        <v>40</v>
      </c>
      <c r="C54" s="7" t="s">
        <v>100</v>
      </c>
      <c r="D54" s="7" t="s">
        <v>2545</v>
      </c>
      <c r="E54" s="6" t="s">
        <v>4396</v>
      </c>
      <c r="F54" s="6" t="s">
        <v>2563</v>
      </c>
      <c r="G54" s="6" t="s">
        <v>4666</v>
      </c>
      <c r="H54" s="6" t="s">
        <v>4390</v>
      </c>
      <c r="I54" s="6" t="s">
        <v>4667</v>
      </c>
      <c r="J54" s="6" t="s">
        <v>2568</v>
      </c>
      <c r="K54" s="6" t="s">
        <v>2569</v>
      </c>
      <c r="L54" s="6" t="s">
        <v>4668</v>
      </c>
      <c r="M54" s="6" t="s">
        <v>4669</v>
      </c>
      <c r="N54" s="16" t="n">
        <v>1</v>
      </c>
      <c r="O54" s="7" t="str">
        <f aca="false">IF(N54&lt;=2,"High","Low")</f>
        <v>High</v>
      </c>
      <c r="P54" s="15" t="s">
        <v>17</v>
      </c>
      <c r="Q54" s="7" t="str">
        <f aca="false">IF(O54="High",IF(P54="High","Critical","High"),IF(P54="High","Medium","Low"))</f>
        <v>Critical</v>
      </c>
      <c r="R54" s="6" t="s">
        <v>4670</v>
      </c>
      <c r="S54" s="6" t="s">
        <v>3698</v>
      </c>
      <c r="T54" s="7" t="s">
        <v>4395</v>
      </c>
      <c r="U54" s="6" t="str">
        <f aca="false">IF(N54=1,"Smoke",IF(N54=2,"Regression Core","Regression Extended"))</f>
        <v>Smoke</v>
      </c>
    </row>
    <row r="55" customFormat="false" ht="68.25" hidden="false" customHeight="true" outlineLevel="0" collapsed="false">
      <c r="A55" s="7" t="s">
        <v>4228</v>
      </c>
      <c r="B55" s="7" t="s">
        <v>40</v>
      </c>
      <c r="C55" s="7" t="s">
        <v>100</v>
      </c>
      <c r="D55" s="7" t="s">
        <v>2572</v>
      </c>
      <c r="E55" s="6" t="s">
        <v>4396</v>
      </c>
      <c r="F55" s="6" t="s">
        <v>2613</v>
      </c>
      <c r="G55" s="6" t="s">
        <v>4671</v>
      </c>
      <c r="H55" s="6" t="s">
        <v>4390</v>
      </c>
      <c r="I55" s="6" t="s">
        <v>4672</v>
      </c>
      <c r="J55" s="6" t="s">
        <v>2618</v>
      </c>
      <c r="K55" s="6" t="s">
        <v>2619</v>
      </c>
      <c r="L55" s="6" t="s">
        <v>4673</v>
      </c>
      <c r="M55" s="6" t="s">
        <v>4674</v>
      </c>
      <c r="N55" s="16" t="n">
        <v>1</v>
      </c>
      <c r="O55" s="7" t="str">
        <f aca="false">IF(N55&lt;=2,"High","Low")</f>
        <v>High</v>
      </c>
      <c r="P55" s="15" t="s">
        <v>17</v>
      </c>
      <c r="Q55" s="7" t="str">
        <f aca="false">IF(O55="High",IF(P55="High","Critical","High"),IF(P55="High","Medium","Low"))</f>
        <v>Critical</v>
      </c>
      <c r="R55" s="6" t="s">
        <v>4675</v>
      </c>
      <c r="S55" s="6" t="s">
        <v>3700</v>
      </c>
      <c r="T55" s="7" t="s">
        <v>4395</v>
      </c>
      <c r="U55" s="6" t="str">
        <f aca="false">IF(N55=1,"Smoke",IF(N55=2,"Regression Core","Regression Extended"))</f>
        <v>Smoke</v>
      </c>
    </row>
    <row r="56" customFormat="false" ht="34.5" hidden="false" customHeight="true" outlineLevel="0" collapsed="false">
      <c r="A56" s="7" t="s">
        <v>4239</v>
      </c>
      <c r="B56" s="7" t="s">
        <v>39</v>
      </c>
      <c r="C56" s="7" t="s">
        <v>101</v>
      </c>
      <c r="D56" s="7" t="s">
        <v>2654</v>
      </c>
      <c r="E56" s="6" t="s">
        <v>4443</v>
      </c>
      <c r="F56" s="6" t="s">
        <v>2653</v>
      </c>
      <c r="G56" s="6" t="s">
        <v>4676</v>
      </c>
      <c r="H56" s="6" t="s">
        <v>4390</v>
      </c>
      <c r="I56" s="6" t="s">
        <v>4677</v>
      </c>
      <c r="J56" s="6" t="s">
        <v>2661</v>
      </c>
      <c r="K56" s="6" t="s">
        <v>2662</v>
      </c>
      <c r="L56" s="6" t="s">
        <v>4678</v>
      </c>
      <c r="M56" s="6" t="s">
        <v>4679</v>
      </c>
      <c r="N56" s="16" t="n">
        <v>1</v>
      </c>
      <c r="O56" s="7" t="str">
        <f aca="false">IF(N56&lt;=2,"High","Low")</f>
        <v>High</v>
      </c>
      <c r="P56" s="15" t="s">
        <v>17</v>
      </c>
      <c r="Q56" s="7" t="str">
        <f aca="false">IF(O56="High",IF(P56="High","Critical","High"),IF(P56="High","Medium","Low"))</f>
        <v>Critical</v>
      </c>
      <c r="R56" s="6" t="s">
        <v>4680</v>
      </c>
      <c r="S56" s="6" t="s">
        <v>3708</v>
      </c>
      <c r="T56" s="7" t="s">
        <v>4395</v>
      </c>
      <c r="U56" s="6" t="str">
        <f aca="false">IF(N56=1,"Smoke",IF(N56=2,"Regression Core","Regression Extended"))</f>
        <v>Smoke</v>
      </c>
    </row>
    <row r="57" customFormat="false" ht="45.75" hidden="false" customHeight="true" outlineLevel="0" collapsed="false">
      <c r="A57" s="7" t="s">
        <v>4243</v>
      </c>
      <c r="B57" s="7" t="s">
        <v>39</v>
      </c>
      <c r="C57" s="7" t="s">
        <v>101</v>
      </c>
      <c r="D57" s="7" t="s">
        <v>2675</v>
      </c>
      <c r="E57" s="6" t="s">
        <v>4443</v>
      </c>
      <c r="F57" s="6" t="s">
        <v>2687</v>
      </c>
      <c r="G57" s="6" t="s">
        <v>4681</v>
      </c>
      <c r="H57" s="6" t="s">
        <v>4390</v>
      </c>
      <c r="I57" s="6" t="s">
        <v>4682</v>
      </c>
      <c r="J57" s="6" t="s">
        <v>2692</v>
      </c>
      <c r="K57" s="6" t="s">
        <v>2693</v>
      </c>
      <c r="L57" s="6" t="s">
        <v>4683</v>
      </c>
      <c r="M57" s="6" t="s">
        <v>4684</v>
      </c>
      <c r="N57" s="18" t="n">
        <v>2</v>
      </c>
      <c r="O57" s="7" t="str">
        <f aca="false">IF(N57&lt;=2,"High","Low")</f>
        <v>High</v>
      </c>
      <c r="P57" s="15" t="s">
        <v>19</v>
      </c>
      <c r="Q57" s="7" t="str">
        <f aca="false">IF(O57="High",IF(P57="High","Critical","High"),IF(P57="High","Medium","Low"))</f>
        <v>High</v>
      </c>
      <c r="R57" s="6" t="s">
        <v>4685</v>
      </c>
      <c r="S57" s="6" t="s">
        <v>3710</v>
      </c>
      <c r="T57" s="7" t="s">
        <v>4395</v>
      </c>
      <c r="U57" s="6" t="str">
        <f aca="false">IF(N57=1,"Smoke",IF(N57=2,"Regression Core","Regression Extended"))</f>
        <v>Regression Core</v>
      </c>
    </row>
    <row r="58" customFormat="false" ht="45.75" hidden="false" customHeight="true" outlineLevel="0" collapsed="false">
      <c r="A58" s="7" t="s">
        <v>4246</v>
      </c>
      <c r="B58" s="7" t="s">
        <v>39</v>
      </c>
      <c r="C58" s="7" t="s">
        <v>101</v>
      </c>
      <c r="D58" s="7" t="s">
        <v>2696</v>
      </c>
      <c r="E58" s="6" t="s">
        <v>138</v>
      </c>
      <c r="F58" s="6" t="s">
        <v>2695</v>
      </c>
      <c r="G58" s="6" t="s">
        <v>4686</v>
      </c>
      <c r="H58" s="6" t="s">
        <v>4390</v>
      </c>
      <c r="I58" s="6" t="s">
        <v>4687</v>
      </c>
      <c r="J58" s="6" t="s">
        <v>2703</v>
      </c>
      <c r="K58" s="6" t="s">
        <v>2704</v>
      </c>
      <c r="L58" s="6" t="s">
        <v>4688</v>
      </c>
      <c r="M58" s="6" t="s">
        <v>4689</v>
      </c>
      <c r="N58" s="21" t="n">
        <v>4</v>
      </c>
      <c r="O58" s="7" t="str">
        <f aca="false">IF(N58&lt;=2,"High","Low")</f>
        <v>Low</v>
      </c>
      <c r="P58" s="15" t="s">
        <v>19</v>
      </c>
      <c r="Q58" s="7" t="str">
        <f aca="false">IF(O58="High",IF(P58="High","Critical","High"),IF(P58="High","Medium","Low"))</f>
        <v>Low</v>
      </c>
      <c r="R58" s="6" t="s">
        <v>4690</v>
      </c>
      <c r="S58" s="6" t="s">
        <v>3712</v>
      </c>
      <c r="T58" s="7" t="s">
        <v>4395</v>
      </c>
      <c r="U58" s="6" t="str">
        <f aca="false">IF(N58=1,"Smoke",IF(N58=2,"Regression Core","Regression Extended"))</f>
        <v>Regression Extended</v>
      </c>
    </row>
    <row r="59" customFormat="false" ht="34.5" hidden="false" customHeight="true" outlineLevel="0" collapsed="false">
      <c r="A59" s="7" t="s">
        <v>4256</v>
      </c>
      <c r="B59" s="7" t="s">
        <v>39</v>
      </c>
      <c r="C59" s="7" t="s">
        <v>101</v>
      </c>
      <c r="D59" s="7" t="s">
        <v>2741</v>
      </c>
      <c r="E59" s="6" t="s">
        <v>138</v>
      </c>
      <c r="F59" s="6" t="s">
        <v>2760</v>
      </c>
      <c r="G59" s="6" t="s">
        <v>4691</v>
      </c>
      <c r="H59" s="6" t="s">
        <v>4390</v>
      </c>
      <c r="I59" s="6" t="s">
        <v>4692</v>
      </c>
      <c r="J59" s="6" t="s">
        <v>2764</v>
      </c>
      <c r="K59" s="6" t="s">
        <v>2765</v>
      </c>
      <c r="L59" s="6" t="s">
        <v>4693</v>
      </c>
      <c r="M59" s="6" t="s">
        <v>4694</v>
      </c>
      <c r="N59" s="18" t="n">
        <v>2</v>
      </c>
      <c r="O59" s="7" t="str">
        <f aca="false">IF(N59&lt;=2,"High","Low")</f>
        <v>High</v>
      </c>
      <c r="P59" s="15" t="s">
        <v>19</v>
      </c>
      <c r="Q59" s="7" t="str">
        <f aca="false">IF(O59="High",IF(P59="High","Critical","High"),IF(P59="High","Medium","Low"))</f>
        <v>High</v>
      </c>
      <c r="R59" s="6" t="s">
        <v>4695</v>
      </c>
      <c r="S59" s="6" t="s">
        <v>3719</v>
      </c>
      <c r="T59" s="7" t="s">
        <v>4395</v>
      </c>
      <c r="U59" s="6" t="str">
        <f aca="false">IF(N59=1,"Smoke",IF(N59=2,"Regression Core","Regression Extended"))</f>
        <v>Regression Core</v>
      </c>
    </row>
    <row r="60" customFormat="false" ht="45.75" hidden="false" customHeight="true" outlineLevel="0" collapsed="false">
      <c r="A60" s="7" t="s">
        <v>4265</v>
      </c>
      <c r="B60" s="7" t="s">
        <v>39</v>
      </c>
      <c r="C60" s="7" t="s">
        <v>101</v>
      </c>
      <c r="D60" s="7" t="s">
        <v>2792</v>
      </c>
      <c r="E60" s="6" t="s">
        <v>138</v>
      </c>
      <c r="F60" s="6" t="s">
        <v>2804</v>
      </c>
      <c r="G60" s="6" t="s">
        <v>4696</v>
      </c>
      <c r="H60" s="6" t="s">
        <v>4390</v>
      </c>
      <c r="I60" s="6" t="s">
        <v>4697</v>
      </c>
      <c r="J60" s="6" t="s">
        <v>2809</v>
      </c>
      <c r="K60" s="6" t="s">
        <v>2810</v>
      </c>
      <c r="L60" s="6" t="s">
        <v>4698</v>
      </c>
      <c r="M60" s="6" t="s">
        <v>4699</v>
      </c>
      <c r="N60" s="19" t="n">
        <v>3</v>
      </c>
      <c r="O60" s="7" t="str">
        <f aca="false">IF(N60&lt;=2,"High","Low")</f>
        <v>Low</v>
      </c>
      <c r="P60" s="15" t="s">
        <v>19</v>
      </c>
      <c r="Q60" s="7" t="str">
        <f aca="false">IF(O60="High",IF(P60="High","Critical","High"),IF(P60="High","Medium","Low"))</f>
        <v>Low</v>
      </c>
      <c r="R60" s="6" t="s">
        <v>4700</v>
      </c>
      <c r="S60" s="6" t="s">
        <v>3725</v>
      </c>
      <c r="T60" s="7" t="s">
        <v>4395</v>
      </c>
      <c r="U60" s="6" t="str">
        <f aca="false">IF(N60=1,"Smoke",IF(N60=2,"Regression Core","Regression Extended"))</f>
        <v>Regression Extended</v>
      </c>
    </row>
    <row r="61" customFormat="false" ht="34.5" hidden="false" customHeight="true" outlineLevel="0" collapsed="false">
      <c r="A61" s="7" t="s">
        <v>4277</v>
      </c>
      <c r="B61" s="7" t="s">
        <v>39</v>
      </c>
      <c r="C61" s="7" t="s">
        <v>101</v>
      </c>
      <c r="D61" s="7" t="s">
        <v>2870</v>
      </c>
      <c r="E61" s="6" t="s">
        <v>4443</v>
      </c>
      <c r="F61" s="6" t="s">
        <v>2869</v>
      </c>
      <c r="G61" s="6" t="s">
        <v>4701</v>
      </c>
      <c r="H61" s="6" t="s">
        <v>4390</v>
      </c>
      <c r="I61" s="6" t="s">
        <v>4702</v>
      </c>
      <c r="J61" s="6" t="s">
        <v>2876</v>
      </c>
      <c r="K61" s="6" t="s">
        <v>2877</v>
      </c>
      <c r="L61" s="6" t="s">
        <v>4703</v>
      </c>
      <c r="M61" s="6" t="s">
        <v>4704</v>
      </c>
      <c r="N61" s="16" t="n">
        <v>1</v>
      </c>
      <c r="O61" s="7" t="str">
        <f aca="false">IF(N61&lt;=2,"High","Low")</f>
        <v>High</v>
      </c>
      <c r="P61" s="15" t="s">
        <v>17</v>
      </c>
      <c r="Q61" s="7" t="str">
        <f aca="false">IF(O61="High",IF(P61="High","Critical","High"),IF(P61="High","Medium","Low"))</f>
        <v>Critical</v>
      </c>
      <c r="R61" s="6" t="s">
        <v>4705</v>
      </c>
      <c r="S61" s="6" t="s">
        <v>3733</v>
      </c>
      <c r="T61" s="7" t="s">
        <v>4395</v>
      </c>
      <c r="U61" s="6" t="str">
        <f aca="false">IF(N61=1,"Smoke",IF(N61=2,"Regression Core","Regression Extended"))</f>
        <v>Smoke</v>
      </c>
    </row>
    <row r="62" customFormat="false" ht="68.25" hidden="false" customHeight="true" outlineLevel="0" collapsed="false">
      <c r="A62" s="7" t="s">
        <v>4287</v>
      </c>
      <c r="B62" s="7" t="s">
        <v>39</v>
      </c>
      <c r="C62" s="7" t="s">
        <v>101</v>
      </c>
      <c r="D62" s="7" t="s">
        <v>2927</v>
      </c>
      <c r="E62" s="6" t="s">
        <v>138</v>
      </c>
      <c r="F62" s="6" t="s">
        <v>2926</v>
      </c>
      <c r="G62" s="6" t="s">
        <v>4706</v>
      </c>
      <c r="H62" s="6" t="s">
        <v>4390</v>
      </c>
      <c r="I62" s="6" t="s">
        <v>4707</v>
      </c>
      <c r="J62" s="6" t="s">
        <v>2933</v>
      </c>
      <c r="K62" s="6" t="s">
        <v>2934</v>
      </c>
      <c r="L62" s="6" t="s">
        <v>4708</v>
      </c>
      <c r="M62" s="6" t="s">
        <v>4709</v>
      </c>
      <c r="N62" s="18" t="n">
        <v>2</v>
      </c>
      <c r="O62" s="7" t="str">
        <f aca="false">IF(N62&lt;=2,"High","Low")</f>
        <v>High</v>
      </c>
      <c r="P62" s="15" t="s">
        <v>19</v>
      </c>
      <c r="Q62" s="7" t="str">
        <f aca="false">IF(O62="High",IF(P62="High","Critical","High"),IF(P62="High","Medium","Low"))</f>
        <v>High</v>
      </c>
      <c r="R62" s="6" t="s">
        <v>4710</v>
      </c>
      <c r="S62" s="6" t="s">
        <v>3739</v>
      </c>
      <c r="T62" s="7" t="s">
        <v>4395</v>
      </c>
      <c r="U62" s="6" t="str">
        <f aca="false">IF(N62=1,"Smoke",IF(N62=2,"Regression Core","Regression Extended"))</f>
        <v>Regression Core</v>
      </c>
    </row>
    <row r="63" customFormat="false" ht="45.75" hidden="false" customHeight="true" outlineLevel="0" collapsed="false">
      <c r="A63" s="7" t="s">
        <v>4312</v>
      </c>
      <c r="B63" s="7" t="s">
        <v>40</v>
      </c>
      <c r="C63" s="7" t="s">
        <v>100</v>
      </c>
      <c r="D63" s="7" t="s">
        <v>3077</v>
      </c>
      <c r="E63" s="6" t="s">
        <v>4396</v>
      </c>
      <c r="F63" s="6" t="s">
        <v>3076</v>
      </c>
      <c r="G63" s="6" t="s">
        <v>4711</v>
      </c>
      <c r="H63" s="6" t="s">
        <v>4390</v>
      </c>
      <c r="I63" s="6" t="s">
        <v>4712</v>
      </c>
      <c r="J63" s="6" t="s">
        <v>3084</v>
      </c>
      <c r="K63" s="6" t="s">
        <v>3085</v>
      </c>
      <c r="L63" s="6" t="s">
        <v>4713</v>
      </c>
      <c r="M63" s="6" t="s">
        <v>4714</v>
      </c>
      <c r="N63" s="16" t="n">
        <v>1</v>
      </c>
      <c r="O63" s="7" t="str">
        <f aca="false">IF(N63&lt;=2,"High","Low")</f>
        <v>High</v>
      </c>
      <c r="P63" s="15" t="s">
        <v>17</v>
      </c>
      <c r="Q63" s="7" t="str">
        <f aca="false">IF(O63="High",IF(P63="High","Critical","High"),IF(P63="High","Medium","Low"))</f>
        <v>Critical</v>
      </c>
      <c r="R63" s="6" t="s">
        <v>4715</v>
      </c>
      <c r="S63" s="6" t="s">
        <v>3757</v>
      </c>
      <c r="T63" s="7" t="s">
        <v>4395</v>
      </c>
      <c r="U63" s="6" t="str">
        <f aca="false">IF(N63=1,"Smoke",IF(N63=2,"Regression Core","Regression Extended"))</f>
        <v>Smoke</v>
      </c>
    </row>
    <row r="64" customFormat="false" ht="68.25" hidden="false" customHeight="true" outlineLevel="0" collapsed="false">
      <c r="A64" s="7" t="s">
        <v>4317</v>
      </c>
      <c r="B64" s="7" t="s">
        <v>40</v>
      </c>
      <c r="C64" s="7" t="s">
        <v>101</v>
      </c>
      <c r="D64" s="7" t="s">
        <v>3107</v>
      </c>
      <c r="E64" s="6" t="s">
        <v>138</v>
      </c>
      <c r="F64" s="6" t="s">
        <v>3120</v>
      </c>
      <c r="G64" s="6" t="s">
        <v>4716</v>
      </c>
      <c r="H64" s="6" t="s">
        <v>4390</v>
      </c>
      <c r="I64" s="6" t="s">
        <v>4717</v>
      </c>
      <c r="J64" s="6" t="s">
        <v>3125</v>
      </c>
      <c r="K64" s="6" t="s">
        <v>3126</v>
      </c>
      <c r="L64" s="6" t="s">
        <v>4718</v>
      </c>
      <c r="M64" s="6" t="s">
        <v>4719</v>
      </c>
      <c r="N64" s="18" t="n">
        <v>2</v>
      </c>
      <c r="O64" s="7" t="str">
        <f aca="false">IF(N64&lt;=2,"High","Low")</f>
        <v>High</v>
      </c>
      <c r="P64" s="15" t="s">
        <v>19</v>
      </c>
      <c r="Q64" s="7" t="str">
        <f aca="false">IF(O64="High",IF(P64="High","Critical","High"),IF(P64="High","Medium","Low"))</f>
        <v>High</v>
      </c>
      <c r="R64" s="6" t="s">
        <v>4720</v>
      </c>
      <c r="S64" s="6" t="s">
        <v>3759</v>
      </c>
      <c r="T64" s="7" t="s">
        <v>4395</v>
      </c>
      <c r="U64" s="6" t="str">
        <f aca="false">IF(N64=1,"Smoke",IF(N64=2,"Regression Core","Regression Extended"))</f>
        <v>Regression Core</v>
      </c>
    </row>
    <row r="65" customFormat="false" ht="68.25" hidden="false" customHeight="true" outlineLevel="0" collapsed="false">
      <c r="A65" s="7" t="s">
        <v>4321</v>
      </c>
      <c r="B65" s="7" t="s">
        <v>40</v>
      </c>
      <c r="C65" s="7" t="s">
        <v>101</v>
      </c>
      <c r="D65" s="7" t="s">
        <v>3129</v>
      </c>
      <c r="E65" s="6" t="s">
        <v>138</v>
      </c>
      <c r="F65" s="6" t="s">
        <v>3141</v>
      </c>
      <c r="G65" s="6" t="s">
        <v>4721</v>
      </c>
      <c r="H65" s="6" t="s">
        <v>4390</v>
      </c>
      <c r="I65" s="6" t="s">
        <v>4722</v>
      </c>
      <c r="J65" s="6" t="s">
        <v>3146</v>
      </c>
      <c r="K65" s="6" t="s">
        <v>3147</v>
      </c>
      <c r="L65" s="6" t="s">
        <v>4723</v>
      </c>
      <c r="M65" s="6" t="s">
        <v>4724</v>
      </c>
      <c r="N65" s="19" t="n">
        <v>3</v>
      </c>
      <c r="O65" s="7" t="str">
        <f aca="false">IF(N65&lt;=2,"High","Low")</f>
        <v>Low</v>
      </c>
      <c r="P65" s="15" t="s">
        <v>19</v>
      </c>
      <c r="Q65" s="7" t="str">
        <f aca="false">IF(O65="High",IF(P65="High","Critical","High"),IF(P65="High","Medium","Low"))</f>
        <v>Low</v>
      </c>
      <c r="R65" s="6" t="s">
        <v>4725</v>
      </c>
      <c r="S65" s="6" t="s">
        <v>3761</v>
      </c>
      <c r="T65" s="7" t="s">
        <v>4395</v>
      </c>
      <c r="U65" s="6" t="str">
        <f aca="false">IF(N65=1,"Smoke",IF(N65=2,"Regression Core","Regression Extended"))</f>
        <v>Regression Extended</v>
      </c>
    </row>
    <row r="66" customFormat="false" ht="57" hidden="false" customHeight="true" outlineLevel="0" collapsed="false">
      <c r="A66" s="7" t="s">
        <v>4328</v>
      </c>
      <c r="B66" s="7" t="s">
        <v>40</v>
      </c>
      <c r="C66" s="7" t="s">
        <v>101</v>
      </c>
      <c r="D66" s="7" t="s">
        <v>3175</v>
      </c>
      <c r="E66" s="6" t="s">
        <v>138</v>
      </c>
      <c r="F66" s="6" t="s">
        <v>3174</v>
      </c>
      <c r="G66" s="6" t="s">
        <v>4726</v>
      </c>
      <c r="H66" s="6" t="s">
        <v>4390</v>
      </c>
      <c r="I66" s="6" t="s">
        <v>4727</v>
      </c>
      <c r="J66" s="6" t="s">
        <v>3182</v>
      </c>
      <c r="K66" s="6" t="s">
        <v>3183</v>
      </c>
      <c r="L66" s="6" t="s">
        <v>4728</v>
      </c>
      <c r="M66" s="6" t="s">
        <v>4729</v>
      </c>
      <c r="N66" s="18" t="n">
        <v>2</v>
      </c>
      <c r="O66" s="7" t="str">
        <f aca="false">IF(N66&lt;=2,"High","Low")</f>
        <v>High</v>
      </c>
      <c r="P66" s="15" t="s">
        <v>19</v>
      </c>
      <c r="Q66" s="7" t="str">
        <f aca="false">IF(O66="High",IF(P66="High","Critical","High"),IF(P66="High","Medium","Low"))</f>
        <v>High</v>
      </c>
      <c r="R66" s="6" t="s">
        <v>4730</v>
      </c>
      <c r="S66" s="6" t="s">
        <v>3765</v>
      </c>
      <c r="T66" s="7" t="s">
        <v>4395</v>
      </c>
      <c r="U66" s="6" t="str">
        <f aca="false">IF(N66=1,"Smoke",IF(N66=2,"Regression Core","Regression Extended"))</f>
        <v>Regression Core</v>
      </c>
    </row>
    <row r="67" customFormat="false" ht="45.75" hidden="false" customHeight="true" outlineLevel="0" collapsed="false">
      <c r="A67" s="7" t="s">
        <v>4334</v>
      </c>
      <c r="B67" s="7" t="s">
        <v>40</v>
      </c>
      <c r="C67" s="7" t="s">
        <v>101</v>
      </c>
      <c r="D67" s="7" t="s">
        <v>3207</v>
      </c>
      <c r="E67" s="6" t="s">
        <v>4402</v>
      </c>
      <c r="F67" s="6" t="s">
        <v>3219</v>
      </c>
      <c r="G67" s="6" t="s">
        <v>4731</v>
      </c>
      <c r="H67" s="6" t="s">
        <v>4390</v>
      </c>
      <c r="I67" s="6" t="s">
        <v>4732</v>
      </c>
      <c r="J67" s="6" t="s">
        <v>3223</v>
      </c>
      <c r="K67" s="6" t="s">
        <v>3224</v>
      </c>
      <c r="L67" s="6" t="s">
        <v>4733</v>
      </c>
      <c r="M67" s="6" t="s">
        <v>4734</v>
      </c>
      <c r="N67" s="16" t="n">
        <v>1</v>
      </c>
      <c r="O67" s="7" t="str">
        <f aca="false">IF(N67&lt;=2,"High","Low")</f>
        <v>High</v>
      </c>
      <c r="P67" s="15" t="s">
        <v>17</v>
      </c>
      <c r="Q67" s="7" t="str">
        <f aca="false">IF(O67="High",IF(P67="High","Critical","High"),IF(P67="High","Medium","Low"))</f>
        <v>Critical</v>
      </c>
      <c r="R67" s="6" t="s">
        <v>4735</v>
      </c>
      <c r="S67" s="6" t="s">
        <v>3769</v>
      </c>
      <c r="T67" s="7" t="s">
        <v>4395</v>
      </c>
      <c r="U67" s="6" t="str">
        <f aca="false">IF(N67=1,"Smoke",IF(N67=2,"Regression Core","Regression Extended"))</f>
        <v>Smoke</v>
      </c>
    </row>
    <row r="68" customFormat="false" ht="34.5" hidden="false" customHeight="true" outlineLevel="0" collapsed="false">
      <c r="A68" s="7" t="s">
        <v>4342</v>
      </c>
      <c r="B68" s="7" t="s">
        <v>40</v>
      </c>
      <c r="C68" s="7" t="s">
        <v>346</v>
      </c>
      <c r="D68" s="7" t="s">
        <v>3254</v>
      </c>
      <c r="E68" s="6" t="s">
        <v>4402</v>
      </c>
      <c r="F68" s="6" t="s">
        <v>3253</v>
      </c>
      <c r="G68" s="6" t="s">
        <v>4736</v>
      </c>
      <c r="H68" s="6" t="s">
        <v>4390</v>
      </c>
      <c r="I68" s="6" t="s">
        <v>4737</v>
      </c>
      <c r="J68" s="6" t="s">
        <v>3260</v>
      </c>
      <c r="K68" s="6" t="s">
        <v>3261</v>
      </c>
      <c r="L68" s="6" t="s">
        <v>4738</v>
      </c>
      <c r="M68" s="6" t="s">
        <v>4739</v>
      </c>
      <c r="N68" s="18" t="n">
        <v>2</v>
      </c>
      <c r="O68" s="7" t="str">
        <f aca="false">IF(N68&lt;=2,"High","Low")</f>
        <v>High</v>
      </c>
      <c r="P68" s="15" t="s">
        <v>17</v>
      </c>
      <c r="Q68" s="7" t="str">
        <f aca="false">IF(O68="High",IF(P68="High","Critical","High"),IF(P68="High","Medium","Low"))</f>
        <v>Critical</v>
      </c>
      <c r="R68" s="6" t="s">
        <v>4740</v>
      </c>
      <c r="S68" s="6" t="s">
        <v>3773</v>
      </c>
      <c r="T68" s="7" t="s">
        <v>4395</v>
      </c>
      <c r="U68" s="6" t="str">
        <f aca="false">IF(N68=1,"Smoke",IF(N68=2,"Regression Core","Regression Extended"))</f>
        <v>Regression Core</v>
      </c>
    </row>
    <row r="69" customFormat="false" ht="57" hidden="false" customHeight="true" outlineLevel="0" collapsed="false">
      <c r="A69" s="7" t="s">
        <v>4356</v>
      </c>
      <c r="B69" s="7" t="s">
        <v>40</v>
      </c>
      <c r="C69" s="7" t="s">
        <v>100</v>
      </c>
      <c r="D69" s="7" t="s">
        <v>3335</v>
      </c>
      <c r="E69" s="6" t="s">
        <v>4402</v>
      </c>
      <c r="F69" s="6" t="s">
        <v>3346</v>
      </c>
      <c r="G69" s="6" t="s">
        <v>4741</v>
      </c>
      <c r="H69" s="6" t="s">
        <v>4390</v>
      </c>
      <c r="I69" s="6" t="s">
        <v>4742</v>
      </c>
      <c r="J69" s="6" t="s">
        <v>3350</v>
      </c>
      <c r="K69" s="6" t="s">
        <v>3351</v>
      </c>
      <c r="L69" s="6" t="s">
        <v>4743</v>
      </c>
      <c r="M69" s="6" t="s">
        <v>4744</v>
      </c>
      <c r="N69" s="16" t="n">
        <v>1</v>
      </c>
      <c r="O69" s="7" t="str">
        <f aca="false">IF(N69&lt;=2,"High","Low")</f>
        <v>High</v>
      </c>
      <c r="P69" s="15" t="s">
        <v>17</v>
      </c>
      <c r="Q69" s="7" t="str">
        <f aca="false">IF(O69="High",IF(P69="High","Critical","High"),IF(P69="High","Medium","Low"))</f>
        <v>Critical</v>
      </c>
      <c r="R69" s="6" t="s">
        <v>4453</v>
      </c>
      <c r="S69" s="6" t="s">
        <v>3784</v>
      </c>
      <c r="T69" s="7" t="s">
        <v>4395</v>
      </c>
      <c r="U69" s="6" t="str">
        <f aca="false">IF(N69=1,"Smoke",IF(N69=2,"Regression Core","Regression Extended"))</f>
        <v>Smoke</v>
      </c>
    </row>
    <row r="70" customFormat="false" ht="57" hidden="false" customHeight="true" outlineLevel="0" collapsed="false">
      <c r="A70" s="7" t="s">
        <v>4364</v>
      </c>
      <c r="B70" s="7" t="s">
        <v>40</v>
      </c>
      <c r="C70" s="7" t="s">
        <v>36</v>
      </c>
      <c r="D70" s="7" t="s">
        <v>3374</v>
      </c>
      <c r="E70" s="6" t="s">
        <v>4396</v>
      </c>
      <c r="F70" s="6" t="s">
        <v>3373</v>
      </c>
      <c r="G70" s="6" t="s">
        <v>4745</v>
      </c>
      <c r="H70" s="6" t="s">
        <v>4390</v>
      </c>
      <c r="I70" s="6" t="s">
        <v>4746</v>
      </c>
      <c r="J70" s="6" t="s">
        <v>3380</v>
      </c>
      <c r="K70" s="6" t="s">
        <v>3381</v>
      </c>
      <c r="L70" s="6" t="s">
        <v>4747</v>
      </c>
      <c r="M70" s="6" t="s">
        <v>4748</v>
      </c>
      <c r="N70" s="18" t="n">
        <v>2</v>
      </c>
      <c r="O70" s="7" t="str">
        <f aca="false">IF(N70&lt;=2,"High","Low")</f>
        <v>High</v>
      </c>
      <c r="P70" s="15" t="s">
        <v>19</v>
      </c>
      <c r="Q70" s="7" t="str">
        <f aca="false">IF(O70="High",IF(P70="High","Critical","High"),IF(P70="High","Medium","Low"))</f>
        <v>High</v>
      </c>
      <c r="R70" s="6" t="s">
        <v>4749</v>
      </c>
      <c r="S70" s="6" t="s">
        <v>3788</v>
      </c>
      <c r="T70" s="7" t="s">
        <v>4395</v>
      </c>
      <c r="U70" s="6" t="str">
        <f aca="false">IF(N70=1,"Smoke",IF(N70=2,"Regression Core","Regression Extended"))</f>
        <v>Regression Core</v>
      </c>
    </row>
    <row r="71" customFormat="false" ht="45.75" hidden="false" customHeight="true" outlineLevel="0" collapsed="false">
      <c r="A71" s="7" t="s">
        <v>4368</v>
      </c>
      <c r="B71" s="7" t="s">
        <v>40</v>
      </c>
      <c r="C71" s="7" t="s">
        <v>100</v>
      </c>
      <c r="D71" s="7" t="s">
        <v>3394</v>
      </c>
      <c r="E71" s="6" t="s">
        <v>4396</v>
      </c>
      <c r="F71" s="6" t="s">
        <v>3393</v>
      </c>
      <c r="G71" s="6" t="s">
        <v>4750</v>
      </c>
      <c r="H71" s="6" t="s">
        <v>4390</v>
      </c>
      <c r="I71" s="6" t="s">
        <v>4751</v>
      </c>
      <c r="J71" s="6" t="s">
        <v>3401</v>
      </c>
      <c r="K71" s="6" t="s">
        <v>3402</v>
      </c>
      <c r="L71" s="6" t="s">
        <v>4752</v>
      </c>
      <c r="M71" s="6" t="s">
        <v>4753</v>
      </c>
      <c r="N71" s="18" t="n">
        <v>2</v>
      </c>
      <c r="O71" s="7" t="str">
        <f aca="false">IF(N71&lt;=2,"High","Low")</f>
        <v>High</v>
      </c>
      <c r="P71" s="15" t="s">
        <v>17</v>
      </c>
      <c r="Q71" s="7" t="str">
        <f aca="false">IF(O71="High",IF(P71="High","Critical","High"),IF(P71="High","Medium","Low"))</f>
        <v>Critical</v>
      </c>
      <c r="R71" s="6" t="s">
        <v>4754</v>
      </c>
      <c r="S71" s="6" t="s">
        <v>3790</v>
      </c>
      <c r="T71" s="7" t="s">
        <v>4395</v>
      </c>
      <c r="U71" s="6" t="str">
        <f aca="false">IF(N71=1,"Smoke",IF(N71=2,"Regression Core","Regression Extended"))</f>
        <v>Regression Core</v>
      </c>
    </row>
  </sheetData>
  <autoFilter ref="A1:U71"/>
  <dataValidations count="2">
    <dataValidation allowBlank="false" errorStyle="stop" operator="between" showDropDown="false" showErrorMessage="false" showInputMessage="false" sqref="N2:N71" type="list">
      <formula1>"1,2,3,4"</formula1>
      <formula2>0</formula2>
    </dataValidation>
    <dataValidation allowBlank="false" errorStyle="stop" operator="between" showDropDown="false" showErrorMessage="false" showInputMessage="false" sqref="P2:P71" type="list">
      <formula1>"High,Low"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22"/>
    <col collapsed="false" customWidth="true" hidden="false" outlineLevel="0" max="4" min="4" style="1" width="46"/>
    <col collapsed="false" customWidth="true" hidden="false" outlineLevel="0" max="5" min="5" style="1" width="56"/>
    <col collapsed="false" customWidth="true" hidden="false" outlineLevel="0" max="6" min="6" style="1" width="44"/>
    <col collapsed="false" customWidth="true" hidden="false" outlineLevel="0" max="8" min="7" style="1" width="38"/>
    <col collapsed="false" customWidth="true" hidden="false" outlineLevel="0" max="9" min="9" style="1" width="9"/>
    <col collapsed="false" customWidth="true" hidden="false" outlineLevel="0" max="10" min="10" style="1" width="34"/>
    <col collapsed="false" customWidth="true" hidden="false" outlineLevel="0" max="11" min="11" style="1" width="40"/>
    <col collapsed="false" customWidth="true" hidden="false" outlineLevel="0" max="12" min="12" style="1" width="24"/>
  </cols>
  <sheetData>
    <row r="1" customFormat="false" ht="15" hidden="false" customHeight="true" outlineLevel="0" collapsed="false">
      <c r="A1" s="5" t="s">
        <v>4755</v>
      </c>
      <c r="B1" s="5" t="s">
        <v>61</v>
      </c>
      <c r="C1" s="5" t="s">
        <v>4756</v>
      </c>
      <c r="D1" s="5" t="s">
        <v>4757</v>
      </c>
      <c r="E1" s="5" t="s">
        <v>4758</v>
      </c>
      <c r="F1" s="5" t="s">
        <v>4759</v>
      </c>
      <c r="G1" s="5" t="s">
        <v>122</v>
      </c>
      <c r="H1" s="5" t="s">
        <v>4760</v>
      </c>
      <c r="I1" s="5" t="s">
        <v>57</v>
      </c>
      <c r="J1" s="5" t="s">
        <v>4761</v>
      </c>
      <c r="K1" s="5" t="s">
        <v>4762</v>
      </c>
      <c r="L1" s="5" t="s">
        <v>4763</v>
      </c>
    </row>
    <row r="2" customFormat="false" ht="45.75" hidden="false" customHeight="true" outlineLevel="0" collapsed="false">
      <c r="A2" s="10" t="s">
        <v>160</v>
      </c>
      <c r="B2" s="7" t="s">
        <v>4764</v>
      </c>
      <c r="C2" s="6" t="s">
        <v>4765</v>
      </c>
      <c r="D2" s="6" t="s">
        <v>4766</v>
      </c>
      <c r="E2" s="6" t="s">
        <v>4767</v>
      </c>
      <c r="F2" s="6" t="s">
        <v>4768</v>
      </c>
      <c r="G2" s="6" t="s">
        <v>4769</v>
      </c>
      <c r="H2" s="6" t="s">
        <v>4770</v>
      </c>
      <c r="I2" s="7" t="s">
        <v>4771</v>
      </c>
      <c r="J2" s="6" t="s">
        <v>4772</v>
      </c>
      <c r="K2" s="6" t="s">
        <v>4773</v>
      </c>
      <c r="L2" s="6"/>
    </row>
    <row r="3" customFormat="false" ht="147" hidden="false" customHeight="true" outlineLevel="0" collapsed="false">
      <c r="A3" s="10" t="s">
        <v>3597</v>
      </c>
      <c r="B3" s="7" t="s">
        <v>4764</v>
      </c>
      <c r="C3" s="6" t="s">
        <v>4774</v>
      </c>
      <c r="D3" s="6" t="s">
        <v>4775</v>
      </c>
      <c r="E3" s="6" t="s">
        <v>4776</v>
      </c>
      <c r="F3" s="6" t="s">
        <v>4777</v>
      </c>
      <c r="G3" s="6" t="s">
        <v>4778</v>
      </c>
      <c r="H3" s="6" t="s">
        <v>4779</v>
      </c>
      <c r="I3" s="7" t="s">
        <v>4771</v>
      </c>
      <c r="J3" s="6" t="s">
        <v>4780</v>
      </c>
      <c r="K3" s="6" t="s">
        <v>4781</v>
      </c>
      <c r="L3" s="6"/>
    </row>
    <row r="4" customFormat="false" ht="34.5" hidden="false" customHeight="true" outlineLevel="0" collapsed="false">
      <c r="A4" s="10" t="s">
        <v>146</v>
      </c>
      <c r="B4" s="7" t="s">
        <v>4758</v>
      </c>
      <c r="C4" s="6" t="s">
        <v>4782</v>
      </c>
      <c r="D4" s="6" t="s">
        <v>4783</v>
      </c>
      <c r="E4" s="6" t="s">
        <v>4784</v>
      </c>
      <c r="F4" s="6" t="s">
        <v>4785</v>
      </c>
      <c r="G4" s="6" t="s">
        <v>4786</v>
      </c>
      <c r="H4" s="6" t="s">
        <v>4787</v>
      </c>
      <c r="I4" s="7" t="s">
        <v>4771</v>
      </c>
      <c r="J4" s="6" t="s">
        <v>4788</v>
      </c>
      <c r="K4" s="6" t="s">
        <v>4789</v>
      </c>
      <c r="L4" s="6"/>
    </row>
    <row r="5" customFormat="false" ht="34.5" hidden="false" customHeight="true" outlineLevel="0" collapsed="false">
      <c r="A5" s="10" t="s">
        <v>1092</v>
      </c>
      <c r="B5" s="7" t="s">
        <v>4758</v>
      </c>
      <c r="C5" s="6" t="s">
        <v>4790</v>
      </c>
      <c r="D5" s="6" t="s">
        <v>4791</v>
      </c>
      <c r="E5" s="6" t="s">
        <v>4792</v>
      </c>
      <c r="F5" s="6" t="s">
        <v>4793</v>
      </c>
      <c r="G5" s="6" t="s">
        <v>4794</v>
      </c>
      <c r="H5" s="6" t="s">
        <v>4795</v>
      </c>
      <c r="I5" s="7" t="s">
        <v>4771</v>
      </c>
      <c r="J5" s="6" t="s">
        <v>3959</v>
      </c>
      <c r="K5" s="6" t="s">
        <v>4796</v>
      </c>
      <c r="L5" s="6"/>
    </row>
    <row r="6" customFormat="false" ht="23.25" hidden="false" customHeight="true" outlineLevel="0" collapsed="false">
      <c r="A6" s="10" t="s">
        <v>1397</v>
      </c>
      <c r="B6" s="7" t="s">
        <v>4758</v>
      </c>
      <c r="C6" s="6" t="s">
        <v>1407</v>
      </c>
      <c r="D6" s="6" t="s">
        <v>4797</v>
      </c>
      <c r="E6" s="6" t="s">
        <v>4798</v>
      </c>
      <c r="F6" s="6" t="s">
        <v>4799</v>
      </c>
      <c r="G6" s="6" t="s">
        <v>4800</v>
      </c>
      <c r="H6" s="6" t="s">
        <v>4801</v>
      </c>
      <c r="I6" s="7" t="s">
        <v>4771</v>
      </c>
      <c r="J6" s="6" t="s">
        <v>4802</v>
      </c>
      <c r="K6" s="6" t="s">
        <v>4803</v>
      </c>
      <c r="L6" s="6"/>
    </row>
    <row r="7" customFormat="false" ht="23.25" hidden="false" customHeight="true" outlineLevel="0" collapsed="false">
      <c r="A7" s="10" t="s">
        <v>1212</v>
      </c>
      <c r="B7" s="7" t="s">
        <v>4758</v>
      </c>
      <c r="C7" s="6" t="s">
        <v>4804</v>
      </c>
      <c r="D7" s="6" t="s">
        <v>4805</v>
      </c>
      <c r="E7" s="6" t="s">
        <v>4806</v>
      </c>
      <c r="F7" s="6" t="s">
        <v>4807</v>
      </c>
      <c r="G7" s="6" t="s">
        <v>4808</v>
      </c>
      <c r="H7" s="6" t="s">
        <v>4809</v>
      </c>
      <c r="I7" s="7" t="s">
        <v>4771</v>
      </c>
      <c r="J7" s="6" t="s">
        <v>3979</v>
      </c>
      <c r="K7" s="6" t="s">
        <v>4810</v>
      </c>
      <c r="L7" s="6"/>
    </row>
    <row r="8" customFormat="false" ht="23.25" hidden="false" customHeight="true" outlineLevel="0" collapsed="false">
      <c r="A8" s="10" t="s">
        <v>992</v>
      </c>
      <c r="B8" s="7" t="s">
        <v>4758</v>
      </c>
      <c r="C8" s="6" t="s">
        <v>981</v>
      </c>
      <c r="D8" s="6" t="s">
        <v>4811</v>
      </c>
      <c r="E8" s="6" t="s">
        <v>4812</v>
      </c>
      <c r="F8" s="6" t="s">
        <v>4813</v>
      </c>
      <c r="G8" s="6" t="s">
        <v>4814</v>
      </c>
      <c r="H8" s="6" t="s">
        <v>4815</v>
      </c>
      <c r="I8" s="7" t="s">
        <v>4771</v>
      </c>
      <c r="J8" s="6" t="s">
        <v>980</v>
      </c>
      <c r="K8" s="6" t="s">
        <v>4816</v>
      </c>
      <c r="L8" s="6"/>
    </row>
    <row r="9" customFormat="false" ht="34.5" hidden="false" customHeight="true" outlineLevel="0" collapsed="false">
      <c r="A9" s="10" t="s">
        <v>1051</v>
      </c>
      <c r="B9" s="7" t="s">
        <v>4758</v>
      </c>
      <c r="C9" s="6" t="s">
        <v>1040</v>
      </c>
      <c r="D9" s="6" t="s">
        <v>4817</v>
      </c>
      <c r="E9" s="6" t="s">
        <v>4818</v>
      </c>
      <c r="F9" s="6" t="s">
        <v>4819</v>
      </c>
      <c r="G9" s="6" t="s">
        <v>4820</v>
      </c>
      <c r="H9" s="6" t="s">
        <v>4821</v>
      </c>
      <c r="I9" s="7" t="s">
        <v>4771</v>
      </c>
      <c r="J9" s="6" t="s">
        <v>1039</v>
      </c>
      <c r="K9" s="6" t="s">
        <v>4822</v>
      </c>
      <c r="L9" s="6"/>
    </row>
    <row r="10" customFormat="false" ht="23.25" hidden="false" customHeight="true" outlineLevel="0" collapsed="false">
      <c r="A10" s="10" t="s">
        <v>1078</v>
      </c>
      <c r="B10" s="7" t="s">
        <v>4758</v>
      </c>
      <c r="C10" s="6" t="s">
        <v>1067</v>
      </c>
      <c r="D10" s="6" t="s">
        <v>4823</v>
      </c>
      <c r="E10" s="6" t="s">
        <v>4824</v>
      </c>
      <c r="F10" s="6" t="s">
        <v>4825</v>
      </c>
      <c r="G10" s="6" t="s">
        <v>4826</v>
      </c>
      <c r="H10" s="6" t="s">
        <v>4827</v>
      </c>
      <c r="I10" s="7" t="s">
        <v>4771</v>
      </c>
      <c r="J10" s="6" t="s">
        <v>1066</v>
      </c>
      <c r="K10" s="6" t="s">
        <v>4828</v>
      </c>
      <c r="L10" s="6"/>
    </row>
    <row r="11" customFormat="false" ht="23.25" hidden="false" customHeight="true" outlineLevel="0" collapsed="false">
      <c r="A11" s="10" t="s">
        <v>1233</v>
      </c>
      <c r="B11" s="7" t="s">
        <v>4758</v>
      </c>
      <c r="C11" s="6" t="s">
        <v>4829</v>
      </c>
      <c r="D11" s="6" t="s">
        <v>4830</v>
      </c>
      <c r="E11" s="6" t="s">
        <v>4831</v>
      </c>
      <c r="F11" s="6" t="s">
        <v>4832</v>
      </c>
      <c r="G11" s="6" t="s">
        <v>4833</v>
      </c>
      <c r="H11" s="6" t="s">
        <v>4834</v>
      </c>
      <c r="I11" s="7" t="s">
        <v>4771</v>
      </c>
      <c r="J11" s="6" t="s">
        <v>4835</v>
      </c>
      <c r="K11" s="6" t="s">
        <v>4836</v>
      </c>
      <c r="L11" s="6"/>
    </row>
    <row r="12" customFormat="false" ht="23.25" hidden="false" customHeight="true" outlineLevel="0" collapsed="false">
      <c r="A12" s="10" t="s">
        <v>1247</v>
      </c>
      <c r="B12" s="7" t="s">
        <v>4758</v>
      </c>
      <c r="C12" s="6" t="s">
        <v>4837</v>
      </c>
      <c r="D12" s="6" t="s">
        <v>4838</v>
      </c>
      <c r="E12" s="6" t="s">
        <v>4839</v>
      </c>
      <c r="F12" s="6" t="s">
        <v>4840</v>
      </c>
      <c r="G12" s="6" t="s">
        <v>4841</v>
      </c>
      <c r="H12" s="6" t="s">
        <v>4842</v>
      </c>
      <c r="I12" s="7" t="s">
        <v>4771</v>
      </c>
      <c r="J12" s="6" t="s">
        <v>4843</v>
      </c>
      <c r="K12" s="6" t="s">
        <v>4844</v>
      </c>
      <c r="L12" s="6"/>
    </row>
    <row r="13" customFormat="false" ht="34.5" hidden="false" customHeight="true" outlineLevel="0" collapsed="false">
      <c r="A13" s="10" t="s">
        <v>1323</v>
      </c>
      <c r="B13" s="7" t="s">
        <v>4758</v>
      </c>
      <c r="C13" s="6" t="s">
        <v>1313</v>
      </c>
      <c r="D13" s="6" t="s">
        <v>4845</v>
      </c>
      <c r="E13" s="6" t="s">
        <v>4846</v>
      </c>
      <c r="F13" s="6" t="s">
        <v>4847</v>
      </c>
      <c r="G13" s="6" t="s">
        <v>4848</v>
      </c>
      <c r="H13" s="6" t="s">
        <v>4849</v>
      </c>
      <c r="I13" s="7" t="s">
        <v>4771</v>
      </c>
      <c r="J13" s="6" t="s">
        <v>4001</v>
      </c>
      <c r="K13" s="6" t="s">
        <v>4850</v>
      </c>
      <c r="L13" s="6"/>
    </row>
    <row r="14" customFormat="false" ht="34.5" hidden="false" customHeight="true" outlineLevel="0" collapsed="false">
      <c r="A14" s="10" t="s">
        <v>1376</v>
      </c>
      <c r="B14" s="7" t="s">
        <v>4758</v>
      </c>
      <c r="C14" s="6" t="s">
        <v>1365</v>
      </c>
      <c r="D14" s="6" t="s">
        <v>4851</v>
      </c>
      <c r="E14" s="6" t="s">
        <v>4852</v>
      </c>
      <c r="F14" s="6" t="s">
        <v>4853</v>
      </c>
      <c r="G14" s="6" t="s">
        <v>4854</v>
      </c>
      <c r="H14" s="6" t="s">
        <v>4855</v>
      </c>
      <c r="I14" s="7" t="s">
        <v>4771</v>
      </c>
      <c r="J14" s="6" t="s">
        <v>1364</v>
      </c>
      <c r="K14" s="6" t="s">
        <v>4856</v>
      </c>
      <c r="L14" s="6"/>
    </row>
    <row r="15" customFormat="false" ht="45.75" hidden="false" customHeight="true" outlineLevel="0" collapsed="false">
      <c r="A15" s="10" t="s">
        <v>966</v>
      </c>
      <c r="B15" s="7" t="s">
        <v>4758</v>
      </c>
      <c r="C15" s="6" t="s">
        <v>1407</v>
      </c>
      <c r="D15" s="6" t="s">
        <v>4857</v>
      </c>
      <c r="E15" s="6" t="s">
        <v>4858</v>
      </c>
      <c r="F15" s="6" t="s">
        <v>4859</v>
      </c>
      <c r="G15" s="6" t="s">
        <v>4860</v>
      </c>
      <c r="H15" s="6" t="s">
        <v>4861</v>
      </c>
      <c r="I15" s="7" t="s">
        <v>4771</v>
      </c>
      <c r="J15" s="6" t="s">
        <v>4862</v>
      </c>
      <c r="K15" s="6" t="s">
        <v>4863</v>
      </c>
      <c r="L15" s="6"/>
    </row>
    <row r="16" customFormat="false" ht="23.25" hidden="false" customHeight="true" outlineLevel="0" collapsed="false">
      <c r="A16" s="10" t="s">
        <v>1310</v>
      </c>
      <c r="B16" s="7" t="s">
        <v>4758</v>
      </c>
      <c r="C16" s="6" t="s">
        <v>1291</v>
      </c>
      <c r="D16" s="6" t="s">
        <v>4864</v>
      </c>
      <c r="E16" s="6" t="s">
        <v>4865</v>
      </c>
      <c r="F16" s="6" t="s">
        <v>4866</v>
      </c>
      <c r="G16" s="6" t="s">
        <v>4867</v>
      </c>
      <c r="H16" s="6" t="s">
        <v>4868</v>
      </c>
      <c r="I16" s="7" t="s">
        <v>4771</v>
      </c>
      <c r="J16" s="6" t="s">
        <v>1303</v>
      </c>
      <c r="K16" s="6" t="s">
        <v>4869</v>
      </c>
      <c r="L16" s="6"/>
    </row>
    <row r="17" customFormat="false" ht="23.25" hidden="false" customHeight="true" outlineLevel="0" collapsed="false">
      <c r="A17" s="10" t="s">
        <v>1384</v>
      </c>
      <c r="B17" s="7" t="s">
        <v>4758</v>
      </c>
      <c r="C17" s="6" t="s">
        <v>1365</v>
      </c>
      <c r="D17" s="6" t="s">
        <v>4870</v>
      </c>
      <c r="E17" s="6" t="s">
        <v>4871</v>
      </c>
      <c r="F17" s="6" t="s">
        <v>4872</v>
      </c>
      <c r="G17" s="6" t="s">
        <v>4873</v>
      </c>
      <c r="H17" s="6" t="s">
        <v>4874</v>
      </c>
      <c r="I17" s="7" t="s">
        <v>4771</v>
      </c>
      <c r="J17" s="6" t="s">
        <v>1378</v>
      </c>
      <c r="K17" s="6" t="s">
        <v>4875</v>
      </c>
      <c r="L17" s="6"/>
    </row>
    <row r="18" customFormat="false" ht="23.25" hidden="false" customHeight="true" outlineLevel="0" collapsed="false">
      <c r="A18" s="10" t="s">
        <v>1488</v>
      </c>
      <c r="B18" s="7" t="s">
        <v>4758</v>
      </c>
      <c r="C18" s="6" t="s">
        <v>4876</v>
      </c>
      <c r="D18" s="6" t="s">
        <v>4877</v>
      </c>
      <c r="E18" s="6" t="s">
        <v>4878</v>
      </c>
      <c r="F18" s="6" t="s">
        <v>4879</v>
      </c>
      <c r="G18" s="6" t="s">
        <v>4880</v>
      </c>
      <c r="H18" s="6" t="s">
        <v>4881</v>
      </c>
      <c r="I18" s="7" t="s">
        <v>4771</v>
      </c>
      <c r="J18" s="6" t="s">
        <v>4882</v>
      </c>
      <c r="K18" s="6" t="s">
        <v>4883</v>
      </c>
      <c r="L18" s="6"/>
    </row>
    <row r="19" customFormat="false" ht="23.25" hidden="false" customHeight="true" outlineLevel="0" collapsed="false">
      <c r="A19" s="10" t="s">
        <v>1474</v>
      </c>
      <c r="B19" s="7" t="s">
        <v>4758</v>
      </c>
      <c r="C19" s="6" t="s">
        <v>4884</v>
      </c>
      <c r="D19" s="6" t="s">
        <v>4885</v>
      </c>
      <c r="E19" s="6" t="s">
        <v>4886</v>
      </c>
      <c r="F19" s="6" t="s">
        <v>4887</v>
      </c>
      <c r="G19" s="6" t="s">
        <v>4888</v>
      </c>
      <c r="H19" s="6" t="s">
        <v>4889</v>
      </c>
      <c r="I19" s="7" t="s">
        <v>4771</v>
      </c>
      <c r="J19" s="6" t="s">
        <v>4890</v>
      </c>
      <c r="K19" s="6" t="s">
        <v>4891</v>
      </c>
      <c r="L19" s="6"/>
    </row>
    <row r="20" customFormat="false" ht="34.5" hidden="false" customHeight="true" outlineLevel="0" collapsed="false">
      <c r="A20" s="10" t="s">
        <v>879</v>
      </c>
      <c r="B20" s="7" t="s">
        <v>4758</v>
      </c>
      <c r="C20" s="6" t="s">
        <v>4892</v>
      </c>
      <c r="D20" s="6" t="s">
        <v>4893</v>
      </c>
      <c r="E20" s="6" t="s">
        <v>4894</v>
      </c>
      <c r="F20" s="6" t="s">
        <v>4895</v>
      </c>
      <c r="G20" s="6" t="s">
        <v>4896</v>
      </c>
      <c r="H20" s="6" t="s">
        <v>4897</v>
      </c>
      <c r="I20" s="7" t="s">
        <v>4771</v>
      </c>
      <c r="J20" s="6" t="s">
        <v>4898</v>
      </c>
      <c r="K20" s="6" t="s">
        <v>4899</v>
      </c>
      <c r="L20" s="6"/>
    </row>
    <row r="21" customFormat="false" ht="34.5" hidden="false" customHeight="true" outlineLevel="0" collapsed="false">
      <c r="A21" s="10" t="s">
        <v>1528</v>
      </c>
      <c r="B21" s="7" t="s">
        <v>4758</v>
      </c>
      <c r="C21" s="6" t="s">
        <v>1518</v>
      </c>
      <c r="D21" s="6" t="s">
        <v>4900</v>
      </c>
      <c r="E21" s="6" t="s">
        <v>4901</v>
      </c>
      <c r="F21" s="6" t="s">
        <v>4902</v>
      </c>
      <c r="G21" s="6" t="s">
        <v>4903</v>
      </c>
      <c r="H21" s="6" t="s">
        <v>4904</v>
      </c>
      <c r="I21" s="7" t="s">
        <v>4771</v>
      </c>
      <c r="J21" s="6" t="s">
        <v>4037</v>
      </c>
      <c r="K21" s="6" t="s">
        <v>4905</v>
      </c>
      <c r="L21" s="6"/>
    </row>
    <row r="22" customFormat="false" ht="34.5" hidden="false" customHeight="true" outlineLevel="0" collapsed="false">
      <c r="A22" s="10" t="s">
        <v>1577</v>
      </c>
      <c r="B22" s="7" t="s">
        <v>4758</v>
      </c>
      <c r="C22" s="6" t="s">
        <v>1566</v>
      </c>
      <c r="D22" s="6" t="s">
        <v>4906</v>
      </c>
      <c r="E22" s="6" t="s">
        <v>4907</v>
      </c>
      <c r="F22" s="6" t="s">
        <v>4908</v>
      </c>
      <c r="G22" s="6" t="s">
        <v>4909</v>
      </c>
      <c r="H22" s="6" t="s">
        <v>4910</v>
      </c>
      <c r="I22" s="7" t="s">
        <v>4771</v>
      </c>
      <c r="J22" s="6" t="s">
        <v>4911</v>
      </c>
      <c r="K22" s="6" t="s">
        <v>4912</v>
      </c>
      <c r="L22" s="6"/>
    </row>
    <row r="23" customFormat="false" ht="23.25" hidden="false" customHeight="true" outlineLevel="0" collapsed="false">
      <c r="A23" s="10" t="s">
        <v>1720</v>
      </c>
      <c r="B23" s="7" t="s">
        <v>4758</v>
      </c>
      <c r="C23" s="6" t="s">
        <v>1709</v>
      </c>
      <c r="D23" s="6" t="s">
        <v>4913</v>
      </c>
      <c r="E23" s="6" t="s">
        <v>4914</v>
      </c>
      <c r="F23" s="6" t="s">
        <v>4915</v>
      </c>
      <c r="G23" s="6" t="s">
        <v>4916</v>
      </c>
      <c r="H23" s="6" t="s">
        <v>4917</v>
      </c>
      <c r="I23" s="7" t="s">
        <v>4771</v>
      </c>
      <c r="J23" s="6" t="s">
        <v>1708</v>
      </c>
      <c r="K23" s="6" t="s">
        <v>4918</v>
      </c>
      <c r="L23" s="6"/>
    </row>
    <row r="24" customFormat="false" ht="23.25" hidden="false" customHeight="true" outlineLevel="0" collapsed="false">
      <c r="A24" s="10" t="s">
        <v>1921</v>
      </c>
      <c r="B24" s="7" t="s">
        <v>4758</v>
      </c>
      <c r="C24" s="6" t="s">
        <v>4919</v>
      </c>
      <c r="D24" s="6" t="s">
        <v>4920</v>
      </c>
      <c r="E24" s="6" t="s">
        <v>4921</v>
      </c>
      <c r="F24" s="6" t="s">
        <v>4922</v>
      </c>
      <c r="G24" s="6" t="s">
        <v>4923</v>
      </c>
      <c r="H24" s="6" t="s">
        <v>4924</v>
      </c>
      <c r="I24" s="7" t="s">
        <v>4771</v>
      </c>
      <c r="J24" s="6" t="s">
        <v>4925</v>
      </c>
      <c r="K24" s="6" t="s">
        <v>4926</v>
      </c>
      <c r="L24" s="6"/>
    </row>
    <row r="25" customFormat="false" ht="23.25" hidden="false" customHeight="true" outlineLevel="0" collapsed="false">
      <c r="A25" s="10" t="s">
        <v>1121</v>
      </c>
      <c r="B25" s="7" t="s">
        <v>4758</v>
      </c>
      <c r="C25" s="6" t="s">
        <v>1110</v>
      </c>
      <c r="D25" s="6" t="s">
        <v>4927</v>
      </c>
      <c r="E25" s="6" t="s">
        <v>4928</v>
      </c>
      <c r="F25" s="6" t="s">
        <v>4929</v>
      </c>
      <c r="G25" s="6" t="s">
        <v>4930</v>
      </c>
      <c r="H25" s="6" t="s">
        <v>4931</v>
      </c>
      <c r="I25" s="7" t="s">
        <v>4771</v>
      </c>
      <c r="J25" s="6" t="s">
        <v>4932</v>
      </c>
      <c r="K25" s="6" t="s">
        <v>4933</v>
      </c>
      <c r="L25" s="6"/>
    </row>
    <row r="26" customFormat="false" ht="23.25" hidden="false" customHeight="true" outlineLevel="0" collapsed="false">
      <c r="A26" s="10" t="s">
        <v>1774</v>
      </c>
      <c r="B26" s="7" t="s">
        <v>4758</v>
      </c>
      <c r="C26" s="6" t="s">
        <v>4934</v>
      </c>
      <c r="D26" s="6" t="s">
        <v>4935</v>
      </c>
      <c r="E26" s="6" t="s">
        <v>4936</v>
      </c>
      <c r="F26" s="6" t="s">
        <v>4937</v>
      </c>
      <c r="G26" s="6" t="s">
        <v>4938</v>
      </c>
      <c r="H26" s="6" t="s">
        <v>4939</v>
      </c>
      <c r="I26" s="7" t="s">
        <v>4771</v>
      </c>
      <c r="J26" s="6" t="s">
        <v>4940</v>
      </c>
      <c r="K26" s="6" t="s">
        <v>4941</v>
      </c>
      <c r="L26" s="6"/>
    </row>
    <row r="27" customFormat="false" ht="34.5" hidden="false" customHeight="true" outlineLevel="0" collapsed="false">
      <c r="A27" s="10" t="s">
        <v>1961</v>
      </c>
      <c r="B27" s="7" t="s">
        <v>70</v>
      </c>
      <c r="C27" s="6" t="s">
        <v>1950</v>
      </c>
      <c r="D27" s="6" t="s">
        <v>4942</v>
      </c>
      <c r="E27" s="6" t="s">
        <v>4943</v>
      </c>
      <c r="F27" s="6" t="s">
        <v>4944</v>
      </c>
      <c r="G27" s="6" t="s">
        <v>4945</v>
      </c>
      <c r="H27" s="6" t="s">
        <v>4946</v>
      </c>
      <c r="I27" s="7" t="s">
        <v>4771</v>
      </c>
      <c r="J27" s="6" t="s">
        <v>4120</v>
      </c>
      <c r="K27" s="6" t="s">
        <v>4947</v>
      </c>
      <c r="L27" s="6"/>
    </row>
    <row r="28" customFormat="false" ht="23.25" hidden="false" customHeight="true" outlineLevel="0" collapsed="false">
      <c r="A28" s="10" t="s">
        <v>2024</v>
      </c>
      <c r="B28" s="7" t="s">
        <v>4758</v>
      </c>
      <c r="C28" s="6" t="s">
        <v>2013</v>
      </c>
      <c r="D28" s="6" t="s">
        <v>4948</v>
      </c>
      <c r="E28" s="6" t="s">
        <v>4949</v>
      </c>
      <c r="F28" s="6" t="s">
        <v>4950</v>
      </c>
      <c r="G28" s="6" t="s">
        <v>4951</v>
      </c>
      <c r="H28" s="6" t="s">
        <v>4952</v>
      </c>
      <c r="I28" s="7" t="s">
        <v>4771</v>
      </c>
      <c r="J28" s="6" t="s">
        <v>2012</v>
      </c>
      <c r="K28" s="6" t="s">
        <v>4953</v>
      </c>
      <c r="L28" s="6"/>
    </row>
    <row r="29" customFormat="false" ht="23.25" hidden="false" customHeight="true" outlineLevel="0" collapsed="false">
      <c r="A29" s="10" t="s">
        <v>2038</v>
      </c>
      <c r="B29" s="7" t="s">
        <v>4758</v>
      </c>
      <c r="C29" s="6" t="s">
        <v>2027</v>
      </c>
      <c r="D29" s="6" t="s">
        <v>4954</v>
      </c>
      <c r="E29" s="6" t="s">
        <v>4955</v>
      </c>
      <c r="F29" s="6" t="s">
        <v>4956</v>
      </c>
      <c r="G29" s="6" t="s">
        <v>4957</v>
      </c>
      <c r="H29" s="6" t="s">
        <v>4958</v>
      </c>
      <c r="I29" s="7" t="s">
        <v>4771</v>
      </c>
      <c r="J29" s="6" t="s">
        <v>4136</v>
      </c>
      <c r="K29" s="6" t="s">
        <v>4959</v>
      </c>
      <c r="L29" s="6"/>
    </row>
    <row r="30" customFormat="false" ht="34.5" hidden="false" customHeight="true" outlineLevel="0" collapsed="false">
      <c r="A30" s="10" t="s">
        <v>2116</v>
      </c>
      <c r="B30" s="7" t="s">
        <v>4758</v>
      </c>
      <c r="C30" s="6" t="s">
        <v>4960</v>
      </c>
      <c r="D30" s="6" t="s">
        <v>4961</v>
      </c>
      <c r="E30" s="6" t="s">
        <v>4962</v>
      </c>
      <c r="F30" s="6" t="s">
        <v>4963</v>
      </c>
      <c r="G30" s="6" t="s">
        <v>4964</v>
      </c>
      <c r="H30" s="6" t="s">
        <v>4965</v>
      </c>
      <c r="I30" s="7" t="s">
        <v>4771</v>
      </c>
      <c r="J30" s="6" t="s">
        <v>4966</v>
      </c>
      <c r="K30" s="6" t="s">
        <v>4967</v>
      </c>
      <c r="L30" s="6"/>
    </row>
    <row r="31" customFormat="false" ht="34.5" hidden="false" customHeight="true" outlineLevel="0" collapsed="false">
      <c r="A31" s="10" t="s">
        <v>2180</v>
      </c>
      <c r="B31" s="7" t="s">
        <v>4758</v>
      </c>
      <c r="C31" s="6" t="s">
        <v>4968</v>
      </c>
      <c r="D31" s="6" t="s">
        <v>4969</v>
      </c>
      <c r="E31" s="6" t="s">
        <v>4970</v>
      </c>
      <c r="F31" s="6" t="s">
        <v>4971</v>
      </c>
      <c r="G31" s="6" t="s">
        <v>4972</v>
      </c>
      <c r="H31" s="6" t="s">
        <v>4973</v>
      </c>
      <c r="I31" s="7" t="s">
        <v>4771</v>
      </c>
      <c r="J31" s="6" t="s">
        <v>4974</v>
      </c>
      <c r="K31" s="6" t="s">
        <v>4975</v>
      </c>
      <c r="L31" s="6"/>
    </row>
    <row r="32" customFormat="false" ht="45.75" hidden="false" customHeight="true" outlineLevel="0" collapsed="false">
      <c r="A32" s="10" t="s">
        <v>2276</v>
      </c>
      <c r="B32" s="7" t="s">
        <v>4758</v>
      </c>
      <c r="C32" s="6" t="s">
        <v>4976</v>
      </c>
      <c r="D32" s="6" t="s">
        <v>4977</v>
      </c>
      <c r="E32" s="6" t="s">
        <v>4978</v>
      </c>
      <c r="F32" s="6" t="s">
        <v>4979</v>
      </c>
      <c r="G32" s="6" t="s">
        <v>4980</v>
      </c>
      <c r="H32" s="6" t="s">
        <v>4981</v>
      </c>
      <c r="I32" s="7" t="s">
        <v>4771</v>
      </c>
      <c r="J32" s="6" t="s">
        <v>4982</v>
      </c>
      <c r="K32" s="6" t="s">
        <v>4983</v>
      </c>
      <c r="L32" s="6"/>
    </row>
    <row r="33" customFormat="false" ht="23.25" hidden="false" customHeight="true" outlineLevel="0" collapsed="false">
      <c r="A33" s="10" t="s">
        <v>1983</v>
      </c>
      <c r="B33" s="7" t="s">
        <v>4758</v>
      </c>
      <c r="C33" s="6" t="s">
        <v>1972</v>
      </c>
      <c r="D33" s="6" t="s">
        <v>4984</v>
      </c>
      <c r="E33" s="6" t="s">
        <v>4985</v>
      </c>
      <c r="F33" s="6" t="s">
        <v>4986</v>
      </c>
      <c r="G33" s="6" t="s">
        <v>4987</v>
      </c>
      <c r="H33" s="6" t="s">
        <v>4988</v>
      </c>
      <c r="I33" s="7" t="s">
        <v>4771</v>
      </c>
      <c r="J33" s="6" t="s">
        <v>1971</v>
      </c>
      <c r="K33" s="6" t="s">
        <v>4989</v>
      </c>
      <c r="L33" s="6"/>
    </row>
    <row r="34" customFormat="false" ht="23.25" hidden="false" customHeight="true" outlineLevel="0" collapsed="false">
      <c r="A34" s="10" t="s">
        <v>616</v>
      </c>
      <c r="B34" s="7" t="s">
        <v>4758</v>
      </c>
      <c r="C34" s="6" t="s">
        <v>4990</v>
      </c>
      <c r="D34" s="6" t="s">
        <v>4991</v>
      </c>
      <c r="E34" s="6" t="s">
        <v>4992</v>
      </c>
      <c r="F34" s="6" t="s">
        <v>4993</v>
      </c>
      <c r="G34" s="6" t="s">
        <v>4994</v>
      </c>
      <c r="H34" s="6" t="s">
        <v>4995</v>
      </c>
      <c r="I34" s="7" t="s">
        <v>4771</v>
      </c>
      <c r="J34" s="6" t="s">
        <v>4996</v>
      </c>
      <c r="K34" s="6" t="s">
        <v>4997</v>
      </c>
      <c r="L34" s="6"/>
    </row>
    <row r="35" customFormat="false" ht="34.5" hidden="false" customHeight="true" outlineLevel="0" collapsed="false">
      <c r="A35" s="10" t="s">
        <v>809</v>
      </c>
      <c r="B35" s="7" t="s">
        <v>4758</v>
      </c>
      <c r="C35" s="6" t="s">
        <v>4998</v>
      </c>
      <c r="D35" s="6" t="s">
        <v>4999</v>
      </c>
      <c r="E35" s="6" t="s">
        <v>5000</v>
      </c>
      <c r="F35" s="6" t="s">
        <v>5001</v>
      </c>
      <c r="G35" s="6" t="s">
        <v>5002</v>
      </c>
      <c r="H35" s="6" t="s">
        <v>5003</v>
      </c>
      <c r="I35" s="7" t="s">
        <v>4771</v>
      </c>
      <c r="J35" s="6" t="s">
        <v>5004</v>
      </c>
      <c r="K35" s="6" t="s">
        <v>5005</v>
      </c>
      <c r="L35" s="6"/>
    </row>
    <row r="36" customFormat="false" ht="23.25" hidden="false" customHeight="true" outlineLevel="0" collapsed="false">
      <c r="A36" s="10" t="s">
        <v>852</v>
      </c>
      <c r="B36" s="7" t="s">
        <v>4758</v>
      </c>
      <c r="C36" s="6" t="s">
        <v>841</v>
      </c>
      <c r="D36" s="6" t="s">
        <v>5006</v>
      </c>
      <c r="E36" s="6" t="s">
        <v>5007</v>
      </c>
      <c r="F36" s="6" t="s">
        <v>5008</v>
      </c>
      <c r="G36" s="6" t="s">
        <v>5009</v>
      </c>
      <c r="H36" s="6" t="s">
        <v>5010</v>
      </c>
      <c r="I36" s="7" t="s">
        <v>4771</v>
      </c>
      <c r="J36" s="6" t="s">
        <v>840</v>
      </c>
      <c r="K36" s="6" t="s">
        <v>5011</v>
      </c>
      <c r="L36" s="6"/>
    </row>
    <row r="37" customFormat="false" ht="45.75" hidden="false" customHeight="true" outlineLevel="0" collapsed="false">
      <c r="A37" s="10" t="s">
        <v>913</v>
      </c>
      <c r="B37" s="7" t="s">
        <v>4758</v>
      </c>
      <c r="C37" s="6" t="s">
        <v>5012</v>
      </c>
      <c r="D37" s="6" t="s">
        <v>5013</v>
      </c>
      <c r="E37" s="6" t="s">
        <v>5014</v>
      </c>
      <c r="F37" s="6" t="s">
        <v>5015</v>
      </c>
      <c r="G37" s="6" t="s">
        <v>5016</v>
      </c>
      <c r="H37" s="6" t="s">
        <v>5017</v>
      </c>
      <c r="I37" s="7" t="s">
        <v>4771</v>
      </c>
      <c r="J37" s="6" t="s">
        <v>5018</v>
      </c>
      <c r="K37" s="6" t="s">
        <v>5019</v>
      </c>
      <c r="L37" s="6"/>
    </row>
    <row r="38" customFormat="false" ht="23.25" hidden="false" customHeight="true" outlineLevel="0" collapsed="false">
      <c r="A38" s="10" t="s">
        <v>2632</v>
      </c>
      <c r="B38" s="7" t="s">
        <v>4758</v>
      </c>
      <c r="C38" s="6" t="s">
        <v>5020</v>
      </c>
      <c r="D38" s="6" t="s">
        <v>5021</v>
      </c>
      <c r="E38" s="6" t="s">
        <v>5022</v>
      </c>
      <c r="F38" s="6" t="s">
        <v>5023</v>
      </c>
      <c r="G38" s="6" t="s">
        <v>5024</v>
      </c>
      <c r="H38" s="6" t="s">
        <v>5025</v>
      </c>
      <c r="I38" s="7" t="s">
        <v>4771</v>
      </c>
      <c r="J38" s="6" t="s">
        <v>5026</v>
      </c>
      <c r="K38" s="6" t="s">
        <v>5027</v>
      </c>
      <c r="L38" s="6"/>
    </row>
    <row r="39" customFormat="false" ht="34.5" hidden="false" customHeight="true" outlineLevel="0" collapsed="false">
      <c r="A39" s="10" t="s">
        <v>2811</v>
      </c>
      <c r="B39" s="7" t="s">
        <v>4758</v>
      </c>
      <c r="C39" s="6" t="s">
        <v>5028</v>
      </c>
      <c r="D39" s="6" t="s">
        <v>5029</v>
      </c>
      <c r="E39" s="6" t="s">
        <v>5030</v>
      </c>
      <c r="F39" s="6" t="s">
        <v>5031</v>
      </c>
      <c r="G39" s="6" t="s">
        <v>5032</v>
      </c>
      <c r="H39" s="6" t="s">
        <v>5033</v>
      </c>
      <c r="I39" s="7" t="s">
        <v>4771</v>
      </c>
      <c r="J39" s="6" t="s">
        <v>5034</v>
      </c>
      <c r="K39" s="6" t="s">
        <v>5035</v>
      </c>
      <c r="L39" s="6"/>
    </row>
    <row r="40" customFormat="false" ht="23.25" hidden="false" customHeight="true" outlineLevel="0" collapsed="false">
      <c r="A40" s="10" t="s">
        <v>2841</v>
      </c>
      <c r="B40" s="7" t="s">
        <v>4758</v>
      </c>
      <c r="C40" s="6" t="s">
        <v>2821</v>
      </c>
      <c r="D40" s="6" t="s">
        <v>5036</v>
      </c>
      <c r="E40" s="6" t="s">
        <v>5037</v>
      </c>
      <c r="F40" s="6" t="s">
        <v>5038</v>
      </c>
      <c r="G40" s="6" t="s">
        <v>5039</v>
      </c>
      <c r="H40" s="6" t="s">
        <v>5040</v>
      </c>
      <c r="I40" s="7" t="s">
        <v>4771</v>
      </c>
      <c r="J40" s="6" t="s">
        <v>4269</v>
      </c>
      <c r="K40" s="6" t="s">
        <v>5041</v>
      </c>
      <c r="L40" s="6"/>
    </row>
    <row r="41" customFormat="false" ht="45.75" hidden="false" customHeight="true" outlineLevel="0" collapsed="false">
      <c r="A41" s="10" t="s">
        <v>933</v>
      </c>
      <c r="B41" s="7" t="s">
        <v>4758</v>
      </c>
      <c r="C41" s="6" t="s">
        <v>5042</v>
      </c>
      <c r="D41" s="6" t="s">
        <v>5043</v>
      </c>
      <c r="E41" s="6" t="s">
        <v>5044</v>
      </c>
      <c r="F41" s="6" t="s">
        <v>5045</v>
      </c>
      <c r="G41" s="6" t="s">
        <v>5046</v>
      </c>
      <c r="H41" s="6" t="s">
        <v>5047</v>
      </c>
      <c r="I41" s="7" t="s">
        <v>4771</v>
      </c>
      <c r="J41" s="6" t="s">
        <v>5048</v>
      </c>
      <c r="K41" s="6" t="s">
        <v>5049</v>
      </c>
      <c r="L41" s="6"/>
    </row>
    <row r="42" customFormat="false" ht="23.25" hidden="false" customHeight="true" outlineLevel="0" collapsed="false">
      <c r="A42" s="10" t="s">
        <v>2924</v>
      </c>
      <c r="B42" s="7" t="s">
        <v>4758</v>
      </c>
      <c r="C42" s="6" t="s">
        <v>3059</v>
      </c>
      <c r="D42" s="6" t="s">
        <v>5050</v>
      </c>
      <c r="E42" s="6" t="s">
        <v>5051</v>
      </c>
      <c r="F42" s="6" t="s">
        <v>5052</v>
      </c>
      <c r="G42" s="6" t="s">
        <v>5053</v>
      </c>
      <c r="H42" s="6" t="s">
        <v>5054</v>
      </c>
      <c r="I42" s="7" t="s">
        <v>4771</v>
      </c>
      <c r="J42" s="6" t="s">
        <v>5055</v>
      </c>
      <c r="K42" s="6" t="s">
        <v>5056</v>
      </c>
      <c r="L42" s="6"/>
    </row>
    <row r="43" customFormat="false" ht="34.5" hidden="false" customHeight="true" outlineLevel="0" collapsed="false">
      <c r="A43" s="10" t="s">
        <v>248</v>
      </c>
      <c r="B43" s="7" t="s">
        <v>4758</v>
      </c>
      <c r="C43" s="6" t="s">
        <v>5057</v>
      </c>
      <c r="D43" s="6" t="s">
        <v>5058</v>
      </c>
      <c r="E43" s="6" t="s">
        <v>5059</v>
      </c>
      <c r="F43" s="6" t="s">
        <v>5060</v>
      </c>
      <c r="G43" s="6" t="s">
        <v>5061</v>
      </c>
      <c r="H43" s="6" t="s">
        <v>5062</v>
      </c>
      <c r="I43" s="7" t="s">
        <v>4771</v>
      </c>
      <c r="J43" s="6" t="s">
        <v>5063</v>
      </c>
      <c r="K43" s="6" t="s">
        <v>5064</v>
      </c>
      <c r="L43" s="6"/>
    </row>
    <row r="44" customFormat="false" ht="45.75" hidden="false" customHeight="true" outlineLevel="0" collapsed="false">
      <c r="A44" s="10" t="s">
        <v>271</v>
      </c>
      <c r="B44" s="7" t="s">
        <v>4758</v>
      </c>
      <c r="C44" s="6" t="s">
        <v>5065</v>
      </c>
      <c r="D44" s="6" t="s">
        <v>5066</v>
      </c>
      <c r="E44" s="6" t="s">
        <v>5067</v>
      </c>
      <c r="F44" s="6" t="s">
        <v>5068</v>
      </c>
      <c r="G44" s="6" t="s">
        <v>5069</v>
      </c>
      <c r="H44" s="6" t="s">
        <v>5070</v>
      </c>
      <c r="I44" s="7" t="s">
        <v>4771</v>
      </c>
      <c r="J44" s="6" t="s">
        <v>5071</v>
      </c>
      <c r="K44" s="6" t="s">
        <v>5072</v>
      </c>
      <c r="L44" s="6"/>
    </row>
    <row r="45" customFormat="false" ht="90.75" hidden="false" customHeight="true" outlineLevel="0" collapsed="false">
      <c r="A45" s="10" t="s">
        <v>357</v>
      </c>
      <c r="B45" s="7" t="s">
        <v>4758</v>
      </c>
      <c r="C45" s="6" t="s">
        <v>5073</v>
      </c>
      <c r="D45" s="6" t="s">
        <v>5074</v>
      </c>
      <c r="E45" s="6" t="s">
        <v>5075</v>
      </c>
      <c r="F45" s="6" t="s">
        <v>5076</v>
      </c>
      <c r="G45" s="6" t="s">
        <v>5002</v>
      </c>
      <c r="H45" s="6" t="s">
        <v>5077</v>
      </c>
      <c r="I45" s="7" t="s">
        <v>4771</v>
      </c>
      <c r="J45" s="6" t="s">
        <v>5078</v>
      </c>
      <c r="K45" s="6" t="s">
        <v>5079</v>
      </c>
      <c r="L45" s="6"/>
    </row>
    <row r="46" customFormat="false" ht="34.5" hidden="false" customHeight="true" outlineLevel="0" collapsed="false">
      <c r="A46" s="10" t="s">
        <v>436</v>
      </c>
      <c r="B46" s="7" t="s">
        <v>4758</v>
      </c>
      <c r="C46" s="6" t="s">
        <v>5080</v>
      </c>
      <c r="D46" s="6" t="s">
        <v>5081</v>
      </c>
      <c r="E46" s="6" t="s">
        <v>5082</v>
      </c>
      <c r="F46" s="6" t="s">
        <v>5083</v>
      </c>
      <c r="G46" s="6" t="s">
        <v>5084</v>
      </c>
      <c r="H46" s="6" t="s">
        <v>5085</v>
      </c>
      <c r="I46" s="7" t="s">
        <v>4771</v>
      </c>
      <c r="J46" s="6" t="s">
        <v>5086</v>
      </c>
      <c r="K46" s="6" t="s">
        <v>5087</v>
      </c>
      <c r="L46" s="6"/>
    </row>
    <row r="47" customFormat="false" ht="57" hidden="false" customHeight="true" outlineLevel="0" collapsed="false">
      <c r="A47" s="10" t="s">
        <v>480</v>
      </c>
      <c r="B47" s="7" t="s">
        <v>4758</v>
      </c>
      <c r="C47" s="6" t="s">
        <v>5088</v>
      </c>
      <c r="D47" s="6" t="s">
        <v>5089</v>
      </c>
      <c r="E47" s="6" t="s">
        <v>5090</v>
      </c>
      <c r="F47" s="6" t="s">
        <v>5091</v>
      </c>
      <c r="G47" s="6" t="s">
        <v>5092</v>
      </c>
      <c r="H47" s="6" t="s">
        <v>5093</v>
      </c>
      <c r="I47" s="7" t="s">
        <v>4771</v>
      </c>
      <c r="J47" s="6" t="s">
        <v>5094</v>
      </c>
      <c r="K47" s="6" t="s">
        <v>5095</v>
      </c>
      <c r="L47" s="6"/>
    </row>
    <row r="48" customFormat="false" ht="45.75" hidden="false" customHeight="true" outlineLevel="0" collapsed="false">
      <c r="A48" s="10" t="s">
        <v>5096</v>
      </c>
      <c r="B48" s="7" t="s">
        <v>4758</v>
      </c>
      <c r="C48" s="6" t="s">
        <v>5097</v>
      </c>
      <c r="D48" s="6" t="s">
        <v>5098</v>
      </c>
      <c r="E48" s="6" t="s">
        <v>5099</v>
      </c>
      <c r="F48" s="6" t="s">
        <v>5100</v>
      </c>
      <c r="G48" s="6" t="s">
        <v>5101</v>
      </c>
      <c r="H48" s="6" t="s">
        <v>5102</v>
      </c>
      <c r="I48" s="7" t="s">
        <v>4771</v>
      </c>
      <c r="J48" s="6" t="s">
        <v>562</v>
      </c>
      <c r="K48" s="6" t="s">
        <v>5103</v>
      </c>
      <c r="L48" s="6"/>
    </row>
    <row r="49" customFormat="false" ht="34.5" hidden="false" customHeight="true" outlineLevel="0" collapsed="false">
      <c r="A49" s="10" t="s">
        <v>682</v>
      </c>
      <c r="B49" s="7" t="s">
        <v>70</v>
      </c>
      <c r="C49" s="6" t="s">
        <v>5104</v>
      </c>
      <c r="D49" s="6" t="s">
        <v>5105</v>
      </c>
      <c r="E49" s="6" t="s">
        <v>5106</v>
      </c>
      <c r="F49" s="6" t="s">
        <v>5107</v>
      </c>
      <c r="G49" s="6" t="s">
        <v>5108</v>
      </c>
      <c r="H49" s="6" t="s">
        <v>5109</v>
      </c>
      <c r="I49" s="7" t="s">
        <v>4771</v>
      </c>
      <c r="J49" s="6" t="s">
        <v>5110</v>
      </c>
      <c r="K49" s="6" t="s">
        <v>5111</v>
      </c>
      <c r="L49" s="6"/>
    </row>
    <row r="50" customFormat="false" ht="45.75" hidden="false" customHeight="true" outlineLevel="0" collapsed="false">
      <c r="A50" s="10" t="s">
        <v>700</v>
      </c>
      <c r="B50" s="7" t="s">
        <v>4758</v>
      </c>
      <c r="C50" s="6" t="s">
        <v>5112</v>
      </c>
      <c r="D50" s="6" t="s">
        <v>5113</v>
      </c>
      <c r="E50" s="6" t="s">
        <v>5114</v>
      </c>
      <c r="F50" s="6" t="s">
        <v>5115</v>
      </c>
      <c r="G50" s="6" t="s">
        <v>5116</v>
      </c>
      <c r="H50" s="6" t="s">
        <v>5117</v>
      </c>
      <c r="I50" s="7" t="s">
        <v>4771</v>
      </c>
      <c r="J50" s="6" t="s">
        <v>5118</v>
      </c>
      <c r="K50" s="6" t="s">
        <v>5119</v>
      </c>
      <c r="L50" s="6"/>
    </row>
    <row r="51" customFormat="false" ht="34.5" hidden="false" customHeight="true" outlineLevel="0" collapsed="false">
      <c r="A51" s="10" t="s">
        <v>745</v>
      </c>
      <c r="B51" s="7" t="s">
        <v>4758</v>
      </c>
      <c r="C51" s="6" t="s">
        <v>710</v>
      </c>
      <c r="D51" s="6" t="s">
        <v>5120</v>
      </c>
      <c r="E51" s="6" t="s">
        <v>5121</v>
      </c>
      <c r="F51" s="6" t="s">
        <v>5122</v>
      </c>
      <c r="G51" s="6" t="s">
        <v>5123</v>
      </c>
      <c r="H51" s="6" t="s">
        <v>5124</v>
      </c>
      <c r="I51" s="7" t="s">
        <v>4771</v>
      </c>
      <c r="J51" s="6" t="s">
        <v>738</v>
      </c>
      <c r="K51" s="6" t="s">
        <v>5125</v>
      </c>
      <c r="L51" s="6"/>
    </row>
    <row r="52" customFormat="false" ht="34.5" hidden="false" customHeight="true" outlineLevel="0" collapsed="false">
      <c r="A52" s="10" t="s">
        <v>643</v>
      </c>
      <c r="B52" s="7" t="s">
        <v>4758</v>
      </c>
      <c r="C52" s="6" t="s">
        <v>5126</v>
      </c>
      <c r="D52" s="6" t="s">
        <v>5127</v>
      </c>
      <c r="E52" s="6" t="s">
        <v>5128</v>
      </c>
      <c r="F52" s="6" t="s">
        <v>5129</v>
      </c>
      <c r="G52" s="6" t="s">
        <v>5130</v>
      </c>
      <c r="H52" s="6" t="s">
        <v>5131</v>
      </c>
      <c r="I52" s="7" t="s">
        <v>4771</v>
      </c>
      <c r="J52" s="6" t="s">
        <v>5132</v>
      </c>
      <c r="K52" s="6" t="s">
        <v>5133</v>
      </c>
      <c r="L52" s="6"/>
    </row>
    <row r="53" customFormat="false" ht="23.25" hidden="false" customHeight="true" outlineLevel="0" collapsed="false">
      <c r="A53" s="10" t="s">
        <v>787</v>
      </c>
      <c r="B53" s="7" t="s">
        <v>4758</v>
      </c>
      <c r="C53" s="6" t="s">
        <v>768</v>
      </c>
      <c r="D53" s="6" t="s">
        <v>5134</v>
      </c>
      <c r="E53" s="6" t="s">
        <v>5135</v>
      </c>
      <c r="F53" s="6" t="s">
        <v>5136</v>
      </c>
      <c r="G53" s="6" t="s">
        <v>5137</v>
      </c>
      <c r="H53" s="6" t="s">
        <v>5138</v>
      </c>
      <c r="I53" s="7" t="s">
        <v>4771</v>
      </c>
      <c r="J53" s="6" t="s">
        <v>5139</v>
      </c>
      <c r="K53" s="6" t="s">
        <v>5140</v>
      </c>
      <c r="L53" s="6"/>
    </row>
    <row r="54" customFormat="false" ht="57" hidden="false" customHeight="true" outlineLevel="0" collapsed="false">
      <c r="A54" s="10" t="s">
        <v>1638</v>
      </c>
      <c r="B54" s="7" t="s">
        <v>4758</v>
      </c>
      <c r="C54" s="6" t="s">
        <v>5141</v>
      </c>
      <c r="D54" s="6" t="s">
        <v>5142</v>
      </c>
      <c r="E54" s="6" t="s">
        <v>5143</v>
      </c>
      <c r="F54" s="6" t="s">
        <v>5144</v>
      </c>
      <c r="G54" s="6" t="s">
        <v>5145</v>
      </c>
      <c r="H54" s="6" t="s">
        <v>5146</v>
      </c>
      <c r="I54" s="7" t="s">
        <v>4771</v>
      </c>
      <c r="J54" s="6" t="s">
        <v>5147</v>
      </c>
      <c r="K54" s="6" t="s">
        <v>5148</v>
      </c>
      <c r="L54" s="6"/>
    </row>
    <row r="55" customFormat="false" ht="45.75" hidden="false" customHeight="true" outlineLevel="0" collapsed="false">
      <c r="A55" s="10" t="s">
        <v>2402</v>
      </c>
      <c r="B55" s="7" t="s">
        <v>4758</v>
      </c>
      <c r="C55" s="6" t="s">
        <v>5149</v>
      </c>
      <c r="D55" s="6" t="s">
        <v>5150</v>
      </c>
      <c r="E55" s="6" t="s">
        <v>5151</v>
      </c>
      <c r="F55" s="6" t="s">
        <v>5152</v>
      </c>
      <c r="G55" s="6" t="s">
        <v>5153</v>
      </c>
      <c r="H55" s="6" t="s">
        <v>5154</v>
      </c>
      <c r="I55" s="7" t="s">
        <v>4771</v>
      </c>
      <c r="J55" s="6" t="s">
        <v>5155</v>
      </c>
      <c r="K55" s="6" t="s">
        <v>5156</v>
      </c>
      <c r="L55" s="6"/>
    </row>
    <row r="56" customFormat="false" ht="23.25" hidden="false" customHeight="true" outlineLevel="0" collapsed="false">
      <c r="A56" s="10" t="s">
        <v>419</v>
      </c>
      <c r="B56" s="7" t="s">
        <v>4758</v>
      </c>
      <c r="C56" s="6" t="s">
        <v>2572</v>
      </c>
      <c r="D56" s="6" t="s">
        <v>5157</v>
      </c>
      <c r="E56" s="6" t="s">
        <v>5158</v>
      </c>
      <c r="F56" s="6" t="s">
        <v>5159</v>
      </c>
      <c r="G56" s="6" t="s">
        <v>5032</v>
      </c>
      <c r="H56" s="6" t="s">
        <v>5160</v>
      </c>
      <c r="I56" s="7" t="s">
        <v>4771</v>
      </c>
      <c r="J56" s="6" t="s">
        <v>5161</v>
      </c>
      <c r="K56" s="6" t="s">
        <v>5162</v>
      </c>
      <c r="L56" s="6"/>
    </row>
    <row r="57" customFormat="false" ht="34.5" hidden="false" customHeight="true" outlineLevel="0" collapsed="false">
      <c r="A57" s="10" t="s">
        <v>2611</v>
      </c>
      <c r="B57" s="7" t="s">
        <v>4758</v>
      </c>
      <c r="C57" s="6" t="s">
        <v>5163</v>
      </c>
      <c r="D57" s="6" t="s">
        <v>5164</v>
      </c>
      <c r="E57" s="6" t="s">
        <v>5165</v>
      </c>
      <c r="F57" s="6" t="s">
        <v>5166</v>
      </c>
      <c r="G57" s="6" t="s">
        <v>5167</v>
      </c>
      <c r="H57" s="6" t="s">
        <v>5168</v>
      </c>
      <c r="I57" s="7" t="s">
        <v>4771</v>
      </c>
      <c r="J57" s="6" t="s">
        <v>5169</v>
      </c>
      <c r="K57" s="6" t="s">
        <v>5170</v>
      </c>
      <c r="L57" s="6"/>
    </row>
    <row r="58" customFormat="false" ht="23.25" hidden="false" customHeight="true" outlineLevel="0" collapsed="false">
      <c r="A58" s="10" t="s">
        <v>3118</v>
      </c>
      <c r="B58" s="7" t="s">
        <v>4758</v>
      </c>
      <c r="C58" s="6" t="s">
        <v>3107</v>
      </c>
      <c r="D58" s="6" t="s">
        <v>5171</v>
      </c>
      <c r="E58" s="6" t="s">
        <v>5172</v>
      </c>
      <c r="F58" s="6" t="s">
        <v>5173</v>
      </c>
      <c r="G58" s="6" t="s">
        <v>5174</v>
      </c>
      <c r="H58" s="6" t="s">
        <v>5175</v>
      </c>
      <c r="I58" s="7" t="s">
        <v>4771</v>
      </c>
      <c r="J58" s="6" t="s">
        <v>4316</v>
      </c>
      <c r="K58" s="6" t="s">
        <v>5176</v>
      </c>
      <c r="L58" s="6"/>
    </row>
    <row r="59" customFormat="false" ht="45.75" hidden="false" customHeight="true" outlineLevel="0" collapsed="false">
      <c r="A59" s="10" t="s">
        <v>513</v>
      </c>
      <c r="B59" s="7" t="s">
        <v>4758</v>
      </c>
      <c r="C59" s="6" t="s">
        <v>5177</v>
      </c>
      <c r="D59" s="6" t="s">
        <v>5178</v>
      </c>
      <c r="E59" s="6" t="s">
        <v>5179</v>
      </c>
      <c r="F59" s="6" t="s">
        <v>5180</v>
      </c>
      <c r="G59" s="6" t="s">
        <v>5181</v>
      </c>
      <c r="H59" s="6" t="s">
        <v>5182</v>
      </c>
      <c r="I59" s="7" t="s">
        <v>4771</v>
      </c>
      <c r="J59" s="6" t="s">
        <v>5183</v>
      </c>
      <c r="K59" s="6" t="s">
        <v>5184</v>
      </c>
      <c r="L59" s="6"/>
    </row>
    <row r="60" customFormat="false" ht="57" hidden="false" customHeight="true" outlineLevel="0" collapsed="false">
      <c r="A60" s="10" t="s">
        <v>3364</v>
      </c>
      <c r="B60" s="7" t="s">
        <v>4758</v>
      </c>
      <c r="C60" s="6" t="s">
        <v>5185</v>
      </c>
      <c r="D60" s="6" t="s">
        <v>5186</v>
      </c>
      <c r="E60" s="6" t="s">
        <v>5187</v>
      </c>
      <c r="F60" s="6" t="s">
        <v>5188</v>
      </c>
      <c r="G60" s="6" t="s">
        <v>5189</v>
      </c>
      <c r="H60" s="6" t="s">
        <v>5190</v>
      </c>
      <c r="I60" s="7" t="s">
        <v>4771</v>
      </c>
      <c r="J60" s="6" t="s">
        <v>5191</v>
      </c>
      <c r="K60" s="6" t="s">
        <v>5192</v>
      </c>
      <c r="L60" s="6"/>
    </row>
    <row r="61" customFormat="false" ht="34.5" hidden="false" customHeight="true" outlineLevel="0" collapsed="false">
      <c r="A61" s="10" t="s">
        <v>673</v>
      </c>
      <c r="B61" s="7" t="s">
        <v>4758</v>
      </c>
      <c r="C61" s="6" t="s">
        <v>2324</v>
      </c>
      <c r="D61" s="6" t="s">
        <v>5193</v>
      </c>
      <c r="E61" s="6" t="s">
        <v>5194</v>
      </c>
      <c r="F61" s="6" t="s">
        <v>5195</v>
      </c>
      <c r="G61" s="6" t="s">
        <v>5196</v>
      </c>
      <c r="H61" s="6" t="s">
        <v>5197</v>
      </c>
      <c r="I61" s="7" t="s">
        <v>4771</v>
      </c>
      <c r="J61" s="6" t="s">
        <v>5198</v>
      </c>
      <c r="K61" s="6" t="s">
        <v>5199</v>
      </c>
      <c r="L61" s="6"/>
    </row>
    <row r="62" customFormat="false" ht="23.25" hidden="false" customHeight="true" outlineLevel="0" collapsed="false">
      <c r="A62" s="10" t="s">
        <v>2467</v>
      </c>
      <c r="B62" s="7" t="s">
        <v>4758</v>
      </c>
      <c r="C62" s="6" t="s">
        <v>2456</v>
      </c>
      <c r="D62" s="6" t="s">
        <v>5200</v>
      </c>
      <c r="E62" s="6" t="s">
        <v>5201</v>
      </c>
      <c r="F62" s="6" t="s">
        <v>5202</v>
      </c>
      <c r="G62" s="6" t="s">
        <v>5203</v>
      </c>
      <c r="H62" s="6" t="s">
        <v>5204</v>
      </c>
      <c r="I62" s="7" t="s">
        <v>4771</v>
      </c>
      <c r="J62" s="6" t="s">
        <v>2455</v>
      </c>
      <c r="K62" s="6" t="s">
        <v>5205</v>
      </c>
      <c r="L62" s="6"/>
    </row>
    <row r="63" customFormat="false" ht="23.25" hidden="false" customHeight="true" outlineLevel="0" collapsed="false">
      <c r="A63" s="10" t="s">
        <v>2556</v>
      </c>
      <c r="B63" s="7" t="s">
        <v>4758</v>
      </c>
      <c r="C63" s="6" t="s">
        <v>2545</v>
      </c>
      <c r="D63" s="6" t="s">
        <v>5206</v>
      </c>
      <c r="E63" s="6" t="s">
        <v>5207</v>
      </c>
      <c r="F63" s="6" t="s">
        <v>5208</v>
      </c>
      <c r="G63" s="6" t="s">
        <v>5209</v>
      </c>
      <c r="H63" s="6" t="s">
        <v>5210</v>
      </c>
      <c r="I63" s="7" t="s">
        <v>4771</v>
      </c>
      <c r="J63" s="6" t="s">
        <v>4222</v>
      </c>
      <c r="K63" s="6" t="s">
        <v>5211</v>
      </c>
      <c r="L63" s="6"/>
    </row>
    <row r="64" customFormat="false" ht="23.25" hidden="false" customHeight="true" outlineLevel="0" collapsed="false">
      <c r="A64" s="10" t="s">
        <v>2370</v>
      </c>
      <c r="B64" s="7" t="s">
        <v>4758</v>
      </c>
      <c r="C64" s="6" t="s">
        <v>2360</v>
      </c>
      <c r="D64" s="6" t="s">
        <v>5212</v>
      </c>
      <c r="E64" s="6" t="s">
        <v>5213</v>
      </c>
      <c r="F64" s="6" t="s">
        <v>5214</v>
      </c>
      <c r="G64" s="6" t="s">
        <v>5215</v>
      </c>
      <c r="H64" s="6" t="s">
        <v>5216</v>
      </c>
      <c r="I64" s="7" t="s">
        <v>4771</v>
      </c>
      <c r="J64" s="6" t="s">
        <v>2359</v>
      </c>
      <c r="K64" s="6" t="s">
        <v>5217</v>
      </c>
      <c r="L64" s="6"/>
    </row>
    <row r="65" customFormat="false" ht="45.75" hidden="false" customHeight="true" outlineLevel="0" collapsed="false">
      <c r="A65" s="10" t="s">
        <v>5218</v>
      </c>
      <c r="B65" s="7" t="s">
        <v>4758</v>
      </c>
      <c r="C65" s="6" t="s">
        <v>5219</v>
      </c>
      <c r="D65" s="6" t="s">
        <v>5220</v>
      </c>
      <c r="E65" s="6" t="s">
        <v>5221</v>
      </c>
      <c r="F65" s="6" t="s">
        <v>5222</v>
      </c>
      <c r="G65" s="6" t="s">
        <v>5223</v>
      </c>
      <c r="H65" s="6" t="s">
        <v>5224</v>
      </c>
      <c r="I65" s="7" t="s">
        <v>4771</v>
      </c>
      <c r="J65" s="6" t="s">
        <v>5225</v>
      </c>
      <c r="K65" s="6" t="s">
        <v>5226</v>
      </c>
      <c r="L65" s="6"/>
    </row>
    <row r="66" customFormat="false" ht="68.25" hidden="false" customHeight="true" outlineLevel="0" collapsed="false">
      <c r="A66" s="10" t="s">
        <v>5227</v>
      </c>
      <c r="B66" s="7" t="s">
        <v>4758</v>
      </c>
      <c r="C66" s="6" t="s">
        <v>5228</v>
      </c>
      <c r="D66" s="6" t="s">
        <v>5229</v>
      </c>
      <c r="E66" s="6" t="s">
        <v>5230</v>
      </c>
      <c r="F66" s="6" t="s">
        <v>5231</v>
      </c>
      <c r="G66" s="6" t="s">
        <v>5232</v>
      </c>
      <c r="H66" s="6" t="s">
        <v>5233</v>
      </c>
      <c r="I66" s="7" t="s">
        <v>4771</v>
      </c>
      <c r="J66" s="6" t="s">
        <v>5225</v>
      </c>
      <c r="K66" s="6" t="s">
        <v>5234</v>
      </c>
      <c r="L66" s="6"/>
    </row>
    <row r="67" customFormat="false" ht="34.5" hidden="false" customHeight="true" outlineLevel="0" collapsed="false">
      <c r="A67" s="10" t="s">
        <v>5235</v>
      </c>
      <c r="B67" s="7" t="s">
        <v>4758</v>
      </c>
      <c r="C67" s="6" t="s">
        <v>5228</v>
      </c>
      <c r="D67" s="6" t="s">
        <v>5236</v>
      </c>
      <c r="E67" s="6" t="s">
        <v>5237</v>
      </c>
      <c r="F67" s="6" t="s">
        <v>5238</v>
      </c>
      <c r="G67" s="6" t="s">
        <v>5239</v>
      </c>
      <c r="H67" s="6" t="s">
        <v>5240</v>
      </c>
      <c r="I67" s="7" t="s">
        <v>4771</v>
      </c>
      <c r="J67" s="6" t="s">
        <v>5225</v>
      </c>
      <c r="K67" s="6" t="s">
        <v>5241</v>
      </c>
      <c r="L67" s="6"/>
    </row>
    <row r="68" customFormat="false" ht="34.5" hidden="false" customHeight="true" outlineLevel="0" collapsed="false">
      <c r="A68" s="10" t="s">
        <v>5242</v>
      </c>
      <c r="B68" s="7" t="s">
        <v>4758</v>
      </c>
      <c r="C68" s="6" t="s">
        <v>4765</v>
      </c>
      <c r="D68" s="6" t="s">
        <v>5243</v>
      </c>
      <c r="E68" s="6" t="s">
        <v>5244</v>
      </c>
      <c r="F68" s="6" t="s">
        <v>5245</v>
      </c>
      <c r="G68" s="6" t="s">
        <v>5246</v>
      </c>
      <c r="H68" s="6" t="s">
        <v>5247</v>
      </c>
      <c r="I68" s="7" t="s">
        <v>4771</v>
      </c>
      <c r="J68" s="6" t="s">
        <v>5225</v>
      </c>
      <c r="K68" s="6" t="s">
        <v>5248</v>
      </c>
      <c r="L68" s="6"/>
    </row>
    <row r="69" customFormat="false" ht="23.25" hidden="false" customHeight="true" outlineLevel="0" collapsed="false">
      <c r="A69" s="10" t="s">
        <v>5249</v>
      </c>
      <c r="B69" s="7" t="s">
        <v>4758</v>
      </c>
      <c r="C69" s="6" t="s">
        <v>3448</v>
      </c>
      <c r="D69" s="6" t="s">
        <v>5250</v>
      </c>
      <c r="E69" s="6" t="s">
        <v>5251</v>
      </c>
      <c r="F69" s="6" t="s">
        <v>5252</v>
      </c>
      <c r="G69" s="6" t="s">
        <v>5253</v>
      </c>
      <c r="H69" s="6" t="s">
        <v>5254</v>
      </c>
      <c r="I69" s="7" t="s">
        <v>4771</v>
      </c>
      <c r="J69" s="6" t="s">
        <v>5225</v>
      </c>
      <c r="K69" s="6" t="s">
        <v>5255</v>
      </c>
      <c r="L69" s="6"/>
    </row>
    <row r="70" customFormat="false" ht="57" hidden="false" customHeight="true" outlineLevel="0" collapsed="false">
      <c r="A70" s="10" t="s">
        <v>5256</v>
      </c>
      <c r="B70" s="7" t="s">
        <v>4758</v>
      </c>
      <c r="C70" s="6" t="s">
        <v>5219</v>
      </c>
      <c r="D70" s="6" t="s">
        <v>5257</v>
      </c>
      <c r="E70" s="6" t="s">
        <v>5258</v>
      </c>
      <c r="F70" s="6" t="s">
        <v>5259</v>
      </c>
      <c r="G70" s="6" t="s">
        <v>5260</v>
      </c>
      <c r="H70" s="6" t="s">
        <v>5261</v>
      </c>
      <c r="I70" s="7" t="s">
        <v>4771</v>
      </c>
      <c r="J70" s="6" t="s">
        <v>5225</v>
      </c>
      <c r="K70" s="6" t="s">
        <v>5262</v>
      </c>
      <c r="L70" s="6"/>
    </row>
    <row r="72" customFormat="false" ht="15" hidden="false" customHeight="true" outlineLevel="0" collapsed="false">
      <c r="A72" s="4" t="s">
        <v>5263</v>
      </c>
    </row>
    <row r="73" customFormat="false" ht="31.5" hidden="false" customHeight="true" outlineLevel="0" collapsed="false">
      <c r="A73" s="13" t="s">
        <v>3</v>
      </c>
      <c r="C73" s="22" t="s">
        <v>5264</v>
      </c>
      <c r="D73" s="22"/>
      <c r="E73" s="22"/>
      <c r="F73" s="22"/>
      <c r="G73" s="22"/>
      <c r="H73" s="22"/>
    </row>
    <row r="74" customFormat="false" ht="31.5" hidden="false" customHeight="true" outlineLevel="0" collapsed="false">
      <c r="A74" s="13" t="s">
        <v>5265</v>
      </c>
      <c r="C74" s="22" t="s">
        <v>5266</v>
      </c>
      <c r="D74" s="22"/>
      <c r="E74" s="22"/>
      <c r="F74" s="22"/>
      <c r="G74" s="22"/>
      <c r="H74" s="22"/>
    </row>
    <row r="75" customFormat="false" ht="31.5" hidden="false" customHeight="true" outlineLevel="0" collapsed="false">
      <c r="A75" s="13" t="s">
        <v>5267</v>
      </c>
      <c r="C75" s="22" t="s">
        <v>5268</v>
      </c>
      <c r="D75" s="22"/>
      <c r="E75" s="22"/>
      <c r="F75" s="22"/>
      <c r="G75" s="22"/>
      <c r="H75" s="22"/>
    </row>
    <row r="76" customFormat="false" ht="31.5" hidden="false" customHeight="true" outlineLevel="0" collapsed="false">
      <c r="A76" s="13" t="s">
        <v>5269</v>
      </c>
      <c r="C76" s="22" t="s">
        <v>5270</v>
      </c>
      <c r="D76" s="22"/>
      <c r="E76" s="22"/>
      <c r="F76" s="22"/>
      <c r="G76" s="22"/>
      <c r="H76" s="22"/>
    </row>
    <row r="77" customFormat="false" ht="31.5" hidden="false" customHeight="true" outlineLevel="0" collapsed="false">
      <c r="A77" s="13" t="s">
        <v>5271</v>
      </c>
      <c r="C77" s="22" t="s">
        <v>5272</v>
      </c>
      <c r="D77" s="22"/>
      <c r="E77" s="22"/>
      <c r="F77" s="22"/>
      <c r="G77" s="22"/>
      <c r="H77" s="22"/>
    </row>
    <row r="78" customFormat="false" ht="31.5" hidden="false" customHeight="true" outlineLevel="0" collapsed="false">
      <c r="A78" s="13" t="s">
        <v>5273</v>
      </c>
      <c r="C78" s="22" t="s">
        <v>5274</v>
      </c>
      <c r="D78" s="22"/>
      <c r="E78" s="22"/>
      <c r="F78" s="22"/>
      <c r="G78" s="22"/>
      <c r="H78" s="22"/>
    </row>
    <row r="80" customFormat="false" ht="15" hidden="false" customHeight="true" outlineLevel="0" collapsed="false">
      <c r="A80" s="4" t="s">
        <v>5275</v>
      </c>
    </row>
    <row r="81" customFormat="false" ht="15" hidden="false" customHeight="true" outlineLevel="0" collapsed="false">
      <c r="A81" s="23" t="s">
        <v>5276</v>
      </c>
      <c r="C81" s="24" t="s">
        <v>5277</v>
      </c>
      <c r="D81" s="24"/>
      <c r="E81" s="24"/>
      <c r="F81" s="24"/>
      <c r="G81" s="24"/>
      <c r="H81" s="24"/>
    </row>
    <row r="82" customFormat="false" ht="15" hidden="false" customHeight="true" outlineLevel="0" collapsed="false">
      <c r="A82" s="23" t="s">
        <v>5278</v>
      </c>
      <c r="C82" s="24" t="s">
        <v>5279</v>
      </c>
      <c r="D82" s="24"/>
      <c r="E82" s="24"/>
      <c r="F82" s="24"/>
      <c r="G82" s="24"/>
      <c r="H82" s="24"/>
    </row>
    <row r="83" customFormat="false" ht="15" hidden="false" customHeight="true" outlineLevel="0" collapsed="false">
      <c r="A83" s="23" t="s">
        <v>5280</v>
      </c>
      <c r="C83" s="24" t="s">
        <v>5281</v>
      </c>
      <c r="D83" s="24"/>
      <c r="E83" s="24"/>
      <c r="F83" s="24"/>
      <c r="G83" s="24"/>
      <c r="H83" s="24"/>
    </row>
    <row r="84" customFormat="false" ht="15" hidden="false" customHeight="true" outlineLevel="0" collapsed="false">
      <c r="A84" s="23" t="s">
        <v>5282</v>
      </c>
      <c r="C84" s="24" t="s">
        <v>5283</v>
      </c>
      <c r="D84" s="24"/>
      <c r="E84" s="24"/>
      <c r="F84" s="24"/>
      <c r="G84" s="24"/>
      <c r="H84" s="24"/>
    </row>
  </sheetData>
  <autoFilter ref="A1:L70"/>
  <mergeCells count="10">
    <mergeCell ref="C73:H73"/>
    <mergeCell ref="C74:H74"/>
    <mergeCell ref="C75:H75"/>
    <mergeCell ref="C76:H76"/>
    <mergeCell ref="C77:H77"/>
    <mergeCell ref="C78:H78"/>
    <mergeCell ref="C81:H81"/>
    <mergeCell ref="C82:H82"/>
    <mergeCell ref="C83:H83"/>
    <mergeCell ref="C84:H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10"/>
    <col collapsed="false" customWidth="true" hidden="false" outlineLevel="0" max="4" min="4" style="1" width="50"/>
    <col collapsed="false" customWidth="true" hidden="false" outlineLevel="0" max="6" min="5" style="1" width="40"/>
    <col collapsed="false" customWidth="true" hidden="false" outlineLevel="0" max="7" min="7" style="1" width="50"/>
    <col collapsed="false" customWidth="true" hidden="false" outlineLevel="0" max="8" min="8" style="1" width="36"/>
    <col collapsed="false" customWidth="true" hidden="false" outlineLevel="0" max="9" min="9" style="1" width="34"/>
    <col collapsed="false" customWidth="true" hidden="false" outlineLevel="0" max="10" min="10" style="1" width="9"/>
    <col collapsed="false" customWidth="true" hidden="false" outlineLevel="0" max="11" min="11" style="1" width="24"/>
  </cols>
  <sheetData>
    <row r="1" customFormat="false" ht="23.25" hidden="false" customHeight="true" outlineLevel="0" collapsed="false">
      <c r="A1" s="5" t="s">
        <v>5284</v>
      </c>
      <c r="B1" s="5" t="s">
        <v>61</v>
      </c>
      <c r="C1" s="5" t="s">
        <v>4377</v>
      </c>
      <c r="D1" s="5" t="s">
        <v>5285</v>
      </c>
      <c r="E1" s="5" t="s">
        <v>5286</v>
      </c>
      <c r="F1" s="5" t="s">
        <v>5287</v>
      </c>
      <c r="G1" s="5" t="s">
        <v>5288</v>
      </c>
      <c r="H1" s="5" t="s">
        <v>88</v>
      </c>
      <c r="I1" s="5" t="s">
        <v>5289</v>
      </c>
      <c r="J1" s="5" t="s">
        <v>57</v>
      </c>
      <c r="K1" s="5" t="s">
        <v>4763</v>
      </c>
    </row>
    <row r="2" customFormat="false" ht="34.5" hidden="false" customHeight="true" outlineLevel="0" collapsed="false">
      <c r="A2" s="10" t="s">
        <v>5290</v>
      </c>
      <c r="B2" s="7" t="s">
        <v>4764</v>
      </c>
      <c r="C2" s="7" t="s">
        <v>563</v>
      </c>
      <c r="D2" s="6" t="s">
        <v>5291</v>
      </c>
      <c r="E2" s="6" t="s">
        <v>5292</v>
      </c>
      <c r="F2" s="6" t="s">
        <v>5293</v>
      </c>
      <c r="G2" s="6" t="s">
        <v>5294</v>
      </c>
      <c r="H2" s="6" t="s">
        <v>5295</v>
      </c>
      <c r="I2" s="6" t="s">
        <v>3867</v>
      </c>
      <c r="J2" s="7" t="s">
        <v>4771</v>
      </c>
      <c r="K2" s="6"/>
    </row>
    <row r="3" customFormat="false" ht="23.25" hidden="false" customHeight="true" outlineLevel="0" collapsed="false">
      <c r="A3" s="10" t="s">
        <v>5296</v>
      </c>
      <c r="B3" s="7" t="s">
        <v>70</v>
      </c>
      <c r="C3" s="7" t="s">
        <v>654</v>
      </c>
      <c r="D3" s="6" t="s">
        <v>5297</v>
      </c>
      <c r="E3" s="6" t="s">
        <v>5298</v>
      </c>
      <c r="F3" s="6" t="s">
        <v>3881</v>
      </c>
      <c r="G3" s="6" t="s">
        <v>5299</v>
      </c>
      <c r="H3" s="6" t="s">
        <v>5300</v>
      </c>
      <c r="I3" s="6" t="s">
        <v>3882</v>
      </c>
      <c r="J3" s="7" t="s">
        <v>4771</v>
      </c>
      <c r="K3" s="6"/>
    </row>
    <row r="4" customFormat="false" ht="23.25" hidden="false" customHeight="true" outlineLevel="0" collapsed="false">
      <c r="A4" s="10" t="s">
        <v>5301</v>
      </c>
      <c r="B4" s="7" t="s">
        <v>70</v>
      </c>
      <c r="C4" s="7" t="s">
        <v>1950</v>
      </c>
      <c r="D4" s="6" t="s">
        <v>5302</v>
      </c>
      <c r="E4" s="6" t="s">
        <v>5303</v>
      </c>
      <c r="F4" s="6" t="s">
        <v>4119</v>
      </c>
      <c r="G4" s="6" t="s">
        <v>5304</v>
      </c>
      <c r="H4" s="6" t="s">
        <v>5305</v>
      </c>
      <c r="I4" s="6" t="s">
        <v>4120</v>
      </c>
      <c r="J4" s="7" t="s">
        <v>4771</v>
      </c>
      <c r="K4" s="6"/>
    </row>
    <row r="5" customFormat="false" ht="23.25" hidden="false" customHeight="true" outlineLevel="0" collapsed="false">
      <c r="A5" s="10" t="s">
        <v>3668</v>
      </c>
      <c r="B5" s="7" t="s">
        <v>71</v>
      </c>
      <c r="C5" s="7" t="s">
        <v>2235</v>
      </c>
      <c r="D5" s="6" t="s">
        <v>5306</v>
      </c>
      <c r="E5" s="6" t="s">
        <v>5307</v>
      </c>
      <c r="F5" s="6" t="s">
        <v>4168</v>
      </c>
      <c r="G5" s="6" t="s">
        <v>5308</v>
      </c>
      <c r="H5" s="6" t="s">
        <v>5309</v>
      </c>
      <c r="I5" s="6" t="s">
        <v>2234</v>
      </c>
      <c r="J5" s="7" t="s">
        <v>4771</v>
      </c>
      <c r="K5" s="6"/>
    </row>
    <row r="6" customFormat="false" ht="23.25" hidden="false" customHeight="true" outlineLevel="0" collapsed="false">
      <c r="A6" s="10" t="s">
        <v>5310</v>
      </c>
      <c r="B6" s="7" t="s">
        <v>70</v>
      </c>
      <c r="C6" s="7" t="s">
        <v>2324</v>
      </c>
      <c r="D6" s="6" t="s">
        <v>5311</v>
      </c>
      <c r="E6" s="6" t="s">
        <v>5312</v>
      </c>
      <c r="F6" s="6" t="s">
        <v>4184</v>
      </c>
      <c r="G6" s="6" t="s">
        <v>5313</v>
      </c>
      <c r="H6" s="6" t="s">
        <v>5314</v>
      </c>
      <c r="I6" s="6" t="s">
        <v>4185</v>
      </c>
      <c r="J6" s="7" t="s">
        <v>4771</v>
      </c>
      <c r="K6" s="6"/>
    </row>
    <row r="7" customFormat="false" ht="23.25" hidden="false" customHeight="true" outlineLevel="0" collapsed="false">
      <c r="A7" s="10" t="s">
        <v>5315</v>
      </c>
      <c r="B7" s="7" t="s">
        <v>5316</v>
      </c>
      <c r="C7" s="7" t="s">
        <v>2496</v>
      </c>
      <c r="D7" s="6" t="s">
        <v>5317</v>
      </c>
      <c r="E7" s="6" t="s">
        <v>5318</v>
      </c>
      <c r="F7" s="6" t="s">
        <v>5319</v>
      </c>
      <c r="G7" s="6" t="s">
        <v>5320</v>
      </c>
      <c r="H7" s="6" t="s">
        <v>5321</v>
      </c>
      <c r="I7" s="6" t="s">
        <v>4213</v>
      </c>
      <c r="J7" s="7" t="s">
        <v>4771</v>
      </c>
      <c r="K7" s="6"/>
    </row>
    <row r="8" customFormat="false" ht="23.25" hidden="false" customHeight="true" outlineLevel="0" collapsed="false">
      <c r="A8" s="10" t="s">
        <v>5322</v>
      </c>
      <c r="B8" s="7" t="s">
        <v>71</v>
      </c>
      <c r="C8" s="7" t="s">
        <v>3254</v>
      </c>
      <c r="D8" s="6" t="s">
        <v>5323</v>
      </c>
      <c r="E8" s="6" t="s">
        <v>5307</v>
      </c>
      <c r="F8" s="6" t="s">
        <v>5324</v>
      </c>
      <c r="G8" s="6" t="s">
        <v>5325</v>
      </c>
      <c r="H8" s="6" t="s">
        <v>5326</v>
      </c>
      <c r="I8" s="6" t="s">
        <v>4348</v>
      </c>
      <c r="J8" s="7" t="s">
        <v>4771</v>
      </c>
      <c r="K8" s="6"/>
    </row>
    <row r="9" customFormat="false" ht="23.25" hidden="false" customHeight="true" outlineLevel="0" collapsed="false">
      <c r="A9" s="10" t="s">
        <v>3795</v>
      </c>
      <c r="B9" s="7" t="s">
        <v>71</v>
      </c>
      <c r="C9" s="7" t="s">
        <v>3436</v>
      </c>
      <c r="D9" s="6" t="s">
        <v>5327</v>
      </c>
      <c r="E9" s="6" t="s">
        <v>5307</v>
      </c>
      <c r="F9" s="6" t="s">
        <v>4375</v>
      </c>
      <c r="G9" s="6" t="s">
        <v>5328</v>
      </c>
      <c r="H9" s="6" t="s">
        <v>5329</v>
      </c>
      <c r="I9" s="6" t="s">
        <v>3435</v>
      </c>
      <c r="J9" s="7" t="s">
        <v>4771</v>
      </c>
      <c r="K9"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18E"/>
    <pageSetUpPr fitToPage="false"/>
  </sheetPr>
  <dimension ref="A1:AD2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12"/>
    <col collapsed="false" customWidth="true" hidden="false" outlineLevel="0" max="4" min="4" style="0" width="9"/>
    <col collapsed="false" customWidth="true" hidden="false" outlineLevel="0" max="5" min="5" style="0" width="10"/>
    <col collapsed="false" customWidth="true" hidden="false" outlineLevel="0" max="6" min="6" style="0" width="32"/>
    <col collapsed="false" customWidth="true" hidden="false" outlineLevel="0" max="7" min="7" style="0" width="36"/>
    <col collapsed="false" customWidth="true" hidden="false" outlineLevel="0" max="8" min="8" style="0" width="48"/>
    <col collapsed="false" customWidth="true" hidden="false" outlineLevel="0" max="9" min="9" style="0" width="14"/>
    <col collapsed="false" customWidth="true" hidden="false" outlineLevel="0" max="10" min="10" style="0" width="10"/>
    <col collapsed="false" customWidth="true" hidden="false" outlineLevel="0" max="11" min="11" style="0" width="9"/>
    <col collapsed="false" customWidth="true" hidden="false" outlineLevel="0" max="12" min="12" style="0" width="11"/>
    <col collapsed="false" customWidth="true" hidden="false" outlineLevel="0" max="13" min="13" style="0" width="38"/>
    <col collapsed="false" customWidth="true" hidden="false" outlineLevel="0" max="14" min="14" style="0" width="26"/>
    <col collapsed="false" customWidth="true" hidden="false" outlineLevel="0" max="15" min="15" style="0" width="30"/>
    <col collapsed="false" customWidth="true" hidden="false" outlineLevel="0" max="16" min="16" style="0" width="52"/>
    <col collapsed="false" customWidth="true" hidden="false" outlineLevel="0" max="17" min="17" style="0" width="44"/>
    <col collapsed="false" customWidth="true" hidden="false" outlineLevel="0" max="18" min="18" style="0" width="13"/>
    <col collapsed="false" customWidth="true" hidden="false" outlineLevel="0" max="19" min="19" style="0" width="34"/>
    <col collapsed="false" customWidth="true" hidden="false" outlineLevel="0" max="20" min="20" style="0" width="12"/>
    <col collapsed="false" customWidth="true" hidden="false" outlineLevel="0" max="21" min="21" style="0" width="11"/>
    <col collapsed="false" customWidth="true" hidden="false" outlineLevel="0" max="23" min="22" style="0" width="14"/>
    <col collapsed="false" customWidth="true" hidden="false" outlineLevel="0" max="24" min="24" style="0" width="13"/>
    <col collapsed="false" customWidth="true" hidden="false" outlineLevel="0" max="25" min="25" style="0" width="24"/>
    <col collapsed="false" customWidth="true" hidden="false" outlineLevel="0" max="26" min="26" style="0" width="10"/>
    <col collapsed="false" customWidth="true" hidden="false" outlineLevel="0" max="27" min="27" style="0" width="56"/>
    <col collapsed="false" customWidth="true" hidden="false" outlineLevel="0" max="28" min="28" style="0" width="14"/>
    <col collapsed="false" customWidth="true" hidden="false" outlineLevel="0" max="29" min="29" style="0" width="10"/>
    <col collapsed="false" customWidth="true" hidden="false" outlineLevel="0" max="30" min="30" style="0" width="60"/>
  </cols>
  <sheetData>
    <row r="1" customFormat="false" ht="19.5" hidden="false" customHeight="true" outlineLevel="0" collapsed="false">
      <c r="A1" s="25" t="str">
        <f aca="false">"Table 1. New test cases for the Self-Enrol + Funding feature: "&amp;COUNTA(A3:A28)&amp;" test cases"</f>
        <v>Table 1. New test cases for the Self-Enrol + Funding feature: 26 test cases</v>
      </c>
    </row>
    <row r="2" customFormat="false" ht="34.5" hidden="false" customHeight="true" outlineLevel="0" collapsed="false">
      <c r="A2" s="5" t="s">
        <v>104</v>
      </c>
      <c r="B2" s="5" t="s">
        <v>105</v>
      </c>
      <c r="C2" s="5" t="s">
        <v>32</v>
      </c>
      <c r="D2" s="5" t="s">
        <v>106</v>
      </c>
      <c r="E2" s="5" t="s">
        <v>107</v>
      </c>
      <c r="F2" s="5" t="s">
        <v>108</v>
      </c>
      <c r="G2" s="5" t="s">
        <v>109</v>
      </c>
      <c r="H2" s="5" t="s">
        <v>110</v>
      </c>
      <c r="I2" s="5" t="s">
        <v>47</v>
      </c>
      <c r="J2" s="5" t="s">
        <v>15</v>
      </c>
      <c r="K2" s="5" t="s">
        <v>21</v>
      </c>
      <c r="L2" s="5" t="s">
        <v>61</v>
      </c>
      <c r="M2" s="5" t="s">
        <v>111</v>
      </c>
      <c r="N2" s="5" t="s">
        <v>112</v>
      </c>
      <c r="O2" s="5" t="s">
        <v>113</v>
      </c>
      <c r="P2" s="5" t="s">
        <v>114</v>
      </c>
      <c r="Q2" s="5" t="s">
        <v>115</v>
      </c>
      <c r="R2" s="5" t="s">
        <v>116</v>
      </c>
      <c r="S2" s="5" t="s">
        <v>117</v>
      </c>
      <c r="T2" s="5" t="s">
        <v>118</v>
      </c>
      <c r="U2" s="5" t="s">
        <v>119</v>
      </c>
      <c r="V2" s="5" t="s">
        <v>120</v>
      </c>
      <c r="W2" s="5" t="s">
        <v>121</v>
      </c>
      <c r="X2" s="5" t="s">
        <v>43</v>
      </c>
      <c r="Y2" s="5" t="s">
        <v>5330</v>
      </c>
      <c r="Z2" s="5" t="s">
        <v>88</v>
      </c>
      <c r="AA2" s="5" t="s">
        <v>5331</v>
      </c>
      <c r="AB2" s="5" t="s">
        <v>5332</v>
      </c>
      <c r="AC2" s="5" t="s">
        <v>3</v>
      </c>
      <c r="AD2" s="5" t="s">
        <v>122</v>
      </c>
    </row>
    <row r="3" customFormat="false" ht="80.25" hidden="false" customHeight="true" outlineLevel="0" collapsed="false">
      <c r="A3" s="7" t="s">
        <v>5333</v>
      </c>
      <c r="B3" s="26" t="s">
        <v>1546</v>
      </c>
      <c r="C3" s="7" t="s">
        <v>40</v>
      </c>
      <c r="D3" s="7" t="s">
        <v>100</v>
      </c>
      <c r="E3" s="7" t="s">
        <v>5334</v>
      </c>
      <c r="F3" s="26" t="s">
        <v>5335</v>
      </c>
      <c r="G3" s="26" t="s">
        <v>5336</v>
      </c>
      <c r="H3" s="26" t="s">
        <v>5337</v>
      </c>
      <c r="I3" s="7" t="s">
        <v>53</v>
      </c>
      <c r="J3" s="15" t="s">
        <v>16</v>
      </c>
      <c r="K3" s="16" t="n">
        <v>1</v>
      </c>
      <c r="L3" s="7" t="s">
        <v>62</v>
      </c>
      <c r="M3" s="26" t="s">
        <v>5338</v>
      </c>
      <c r="N3" s="26" t="s">
        <v>130</v>
      </c>
      <c r="O3" s="26" t="s">
        <v>5339</v>
      </c>
      <c r="P3" s="26" t="s">
        <v>5340</v>
      </c>
      <c r="Q3" s="26" t="s">
        <v>5341</v>
      </c>
      <c r="R3" s="7" t="s">
        <v>134</v>
      </c>
      <c r="S3" s="26" t="s">
        <v>5342</v>
      </c>
      <c r="T3" s="7" t="s">
        <v>136</v>
      </c>
      <c r="U3" s="7" t="s">
        <v>1556</v>
      </c>
      <c r="V3" s="26" t="s">
        <v>5343</v>
      </c>
      <c r="W3" s="26" t="s">
        <v>139</v>
      </c>
      <c r="X3" s="7" t="s">
        <v>45</v>
      </c>
      <c r="Y3" s="26" t="s">
        <v>4402</v>
      </c>
      <c r="Z3" s="17" t="s">
        <v>92</v>
      </c>
      <c r="AA3" s="26" t="s">
        <v>5344</v>
      </c>
      <c r="AB3" s="7" t="str">
        <f aca="false">IF(AC3="Reject","Not ready",IF(Z3="Possible",IF(K3=1,"Core","Extended"),IF(K3=1,"Smoke",IF(K3=2,"Core","Extended"))))</f>
        <v>Smoke</v>
      </c>
      <c r="AC3" s="19" t="s">
        <v>9</v>
      </c>
      <c r="AD3" s="26" t="s">
        <v>5345</v>
      </c>
    </row>
    <row r="4" customFormat="false" ht="80.25" hidden="false" customHeight="true" outlineLevel="0" collapsed="false">
      <c r="A4" s="7" t="s">
        <v>5346</v>
      </c>
      <c r="B4" s="26" t="s">
        <v>1449</v>
      </c>
      <c r="C4" s="7" t="s">
        <v>40</v>
      </c>
      <c r="D4" s="7" t="s">
        <v>100</v>
      </c>
      <c r="E4" s="7" t="s">
        <v>5334</v>
      </c>
      <c r="F4" s="26" t="s">
        <v>5335</v>
      </c>
      <c r="G4" s="26" t="s">
        <v>5347</v>
      </c>
      <c r="H4" s="26" t="s">
        <v>5348</v>
      </c>
      <c r="I4" s="7" t="s">
        <v>53</v>
      </c>
      <c r="J4" s="15" t="s">
        <v>16</v>
      </c>
      <c r="K4" s="16" t="n">
        <v>1</v>
      </c>
      <c r="L4" s="7" t="s">
        <v>62</v>
      </c>
      <c r="M4" s="26" t="s">
        <v>5349</v>
      </c>
      <c r="N4" s="26" t="s">
        <v>130</v>
      </c>
      <c r="O4" s="26" t="s">
        <v>5350</v>
      </c>
      <c r="P4" s="26" t="s">
        <v>5351</v>
      </c>
      <c r="Q4" s="26" t="s">
        <v>5352</v>
      </c>
      <c r="R4" s="7" t="s">
        <v>134</v>
      </c>
      <c r="S4" s="26" t="s">
        <v>5353</v>
      </c>
      <c r="T4" s="7" t="s">
        <v>136</v>
      </c>
      <c r="U4" s="7" t="s">
        <v>1459</v>
      </c>
      <c r="V4" s="26" t="s">
        <v>5354</v>
      </c>
      <c r="W4" s="26" t="s">
        <v>160</v>
      </c>
      <c r="X4" s="7" t="s">
        <v>45</v>
      </c>
      <c r="Y4" s="26" t="s">
        <v>4402</v>
      </c>
      <c r="Z4" s="17" t="s">
        <v>92</v>
      </c>
      <c r="AA4" s="26" t="s">
        <v>5344</v>
      </c>
      <c r="AB4" s="7" t="str">
        <f aca="false">IF(AC4="Reject","Not ready",IF(Z4="Possible",IF(K4=1,"Core","Extended"),IF(K4=1,"Smoke",IF(K4=2,"Core","Extended"))))</f>
        <v>Smoke</v>
      </c>
      <c r="AC4" s="19" t="s">
        <v>9</v>
      </c>
      <c r="AD4" s="26" t="s">
        <v>5355</v>
      </c>
    </row>
    <row r="5" customFormat="false" ht="54.75" hidden="false" customHeight="true" outlineLevel="0" collapsed="false">
      <c r="A5" s="7" t="s">
        <v>5356</v>
      </c>
      <c r="B5" s="26" t="s">
        <v>1365</v>
      </c>
      <c r="C5" s="7" t="s">
        <v>38</v>
      </c>
      <c r="D5" s="7" t="s">
        <v>99</v>
      </c>
      <c r="E5" s="7" t="s">
        <v>5334</v>
      </c>
      <c r="F5" s="26" t="s">
        <v>5335</v>
      </c>
      <c r="G5" s="26" t="s">
        <v>5357</v>
      </c>
      <c r="H5" s="26" t="s">
        <v>5358</v>
      </c>
      <c r="I5" s="7" t="s">
        <v>52</v>
      </c>
      <c r="J5" s="15" t="s">
        <v>17</v>
      </c>
      <c r="K5" s="19" t="n">
        <v>3</v>
      </c>
      <c r="L5" s="7" t="s">
        <v>65</v>
      </c>
      <c r="M5" s="26" t="s">
        <v>5359</v>
      </c>
      <c r="N5" s="26" t="s">
        <v>130</v>
      </c>
      <c r="O5" s="26" t="s">
        <v>5360</v>
      </c>
      <c r="P5" s="26" t="s">
        <v>5361</v>
      </c>
      <c r="Q5" s="26" t="s">
        <v>5362</v>
      </c>
      <c r="R5" s="7" t="s">
        <v>134</v>
      </c>
      <c r="S5" s="26" t="s">
        <v>5363</v>
      </c>
      <c r="T5" s="7" t="s">
        <v>136</v>
      </c>
      <c r="U5" s="7" t="s">
        <v>1375</v>
      </c>
      <c r="V5" s="26" t="s">
        <v>5364</v>
      </c>
      <c r="W5" s="26" t="s">
        <v>139</v>
      </c>
      <c r="X5" s="7" t="s">
        <v>45</v>
      </c>
      <c r="Y5" s="26" t="s">
        <v>4388</v>
      </c>
      <c r="Z5" s="17" t="s">
        <v>92</v>
      </c>
      <c r="AA5" s="26" t="s">
        <v>5365</v>
      </c>
      <c r="AB5" s="7" t="str">
        <f aca="false">IF(AC5="Reject","Not ready",IF(Z5="Possible",IF(K5=1,"Core","Extended"),IF(K5=1,"Smoke",IF(K5=2,"Core","Extended"))))</f>
        <v>Extended</v>
      </c>
      <c r="AC5" s="19" t="s">
        <v>9</v>
      </c>
      <c r="AD5" s="26" t="s">
        <v>5366</v>
      </c>
    </row>
    <row r="6" customFormat="false" ht="54.75" hidden="false" customHeight="true" outlineLevel="0" collapsed="false">
      <c r="A6" s="7" t="s">
        <v>5367</v>
      </c>
      <c r="B6" s="26" t="s">
        <v>1365</v>
      </c>
      <c r="C6" s="7" t="s">
        <v>38</v>
      </c>
      <c r="D6" s="7" t="s">
        <v>100</v>
      </c>
      <c r="E6" s="7" t="s">
        <v>5368</v>
      </c>
      <c r="F6" s="26" t="s">
        <v>5369</v>
      </c>
      <c r="G6" s="26" t="s">
        <v>5370</v>
      </c>
      <c r="H6" s="26" t="s">
        <v>5371</v>
      </c>
      <c r="I6" s="7" t="s">
        <v>51</v>
      </c>
      <c r="J6" s="15" t="s">
        <v>16</v>
      </c>
      <c r="K6" s="16" t="n">
        <v>1</v>
      </c>
      <c r="L6" s="7" t="s">
        <v>62</v>
      </c>
      <c r="M6" s="26" t="s">
        <v>5372</v>
      </c>
      <c r="N6" s="26" t="s">
        <v>130</v>
      </c>
      <c r="O6" s="26" t="s">
        <v>5373</v>
      </c>
      <c r="P6" s="26" t="s">
        <v>5374</v>
      </c>
      <c r="Q6" s="26" t="s">
        <v>5375</v>
      </c>
      <c r="R6" s="7" t="s">
        <v>134</v>
      </c>
      <c r="S6" s="26" t="s">
        <v>5376</v>
      </c>
      <c r="T6" s="7" t="s">
        <v>136</v>
      </c>
      <c r="U6" s="7" t="s">
        <v>1375</v>
      </c>
      <c r="V6" s="26" t="s">
        <v>5377</v>
      </c>
      <c r="W6" s="26" t="s">
        <v>139</v>
      </c>
      <c r="X6" s="7" t="s">
        <v>45</v>
      </c>
      <c r="Y6" s="26" t="s">
        <v>4388</v>
      </c>
      <c r="Z6" s="17" t="s">
        <v>92</v>
      </c>
      <c r="AA6" s="26" t="s">
        <v>5365</v>
      </c>
      <c r="AB6" s="7" t="str">
        <f aca="false">IF(AC6="Reject","Not ready",IF(Z6="Possible",IF(K6=1,"Core","Extended"),IF(K6=1,"Smoke",IF(K6=2,"Core","Extended"))))</f>
        <v>Smoke</v>
      </c>
      <c r="AC6" s="19" t="s">
        <v>9</v>
      </c>
      <c r="AD6" s="26" t="s">
        <v>5378</v>
      </c>
    </row>
    <row r="7" customFormat="false" ht="67.5" hidden="false" customHeight="true" outlineLevel="0" collapsed="false">
      <c r="A7" s="7" t="s">
        <v>5379</v>
      </c>
      <c r="B7" s="26" t="s">
        <v>2303</v>
      </c>
      <c r="C7" s="7" t="s">
        <v>38</v>
      </c>
      <c r="D7" s="7" t="s">
        <v>101</v>
      </c>
      <c r="E7" s="7" t="s">
        <v>5368</v>
      </c>
      <c r="F7" s="26" t="s">
        <v>5369</v>
      </c>
      <c r="G7" s="26" t="s">
        <v>5380</v>
      </c>
      <c r="H7" s="26" t="s">
        <v>5381</v>
      </c>
      <c r="I7" s="7" t="s">
        <v>56</v>
      </c>
      <c r="J7" s="15" t="s">
        <v>17</v>
      </c>
      <c r="K7" s="16" t="n">
        <v>1</v>
      </c>
      <c r="L7" s="7" t="s">
        <v>63</v>
      </c>
      <c r="M7" s="26" t="s">
        <v>5382</v>
      </c>
      <c r="N7" s="26" t="s">
        <v>130</v>
      </c>
      <c r="O7" s="26" t="s">
        <v>5383</v>
      </c>
      <c r="P7" s="26" t="s">
        <v>5384</v>
      </c>
      <c r="Q7" s="26" t="s">
        <v>5385</v>
      </c>
      <c r="R7" s="7" t="s">
        <v>134</v>
      </c>
      <c r="S7" s="26" t="s">
        <v>5386</v>
      </c>
      <c r="T7" s="7" t="s">
        <v>300</v>
      </c>
      <c r="U7" s="7" t="s">
        <v>2313</v>
      </c>
      <c r="V7" s="26" t="s">
        <v>5387</v>
      </c>
      <c r="W7" s="26" t="s">
        <v>139</v>
      </c>
      <c r="X7" s="7" t="s">
        <v>45</v>
      </c>
      <c r="Y7" s="26" t="s">
        <v>4564</v>
      </c>
      <c r="Z7" s="17" t="s">
        <v>92</v>
      </c>
      <c r="AA7" s="26" t="s">
        <v>5388</v>
      </c>
      <c r="AB7" s="7" t="str">
        <f aca="false">IF(AC7="Reject","Not ready",IF(Z7="Possible",IF(K7=1,"Core","Extended"),IF(K7=1,"Smoke",IF(K7=2,"Core","Extended"))))</f>
        <v>Smoke</v>
      </c>
      <c r="AC7" s="19" t="s">
        <v>9</v>
      </c>
      <c r="AD7" s="26" t="s">
        <v>5389</v>
      </c>
    </row>
    <row r="8" customFormat="false" ht="42" hidden="false" customHeight="true" outlineLevel="0" collapsed="false">
      <c r="A8" s="7" t="s">
        <v>5390</v>
      </c>
      <c r="B8" s="26" t="s">
        <v>2303</v>
      </c>
      <c r="C8" s="7" t="s">
        <v>38</v>
      </c>
      <c r="D8" s="7" t="s">
        <v>101</v>
      </c>
      <c r="E8" s="7" t="s">
        <v>5368</v>
      </c>
      <c r="F8" s="26" t="s">
        <v>5369</v>
      </c>
      <c r="G8" s="26" t="s">
        <v>5391</v>
      </c>
      <c r="H8" s="26" t="s">
        <v>5392</v>
      </c>
      <c r="I8" s="7" t="s">
        <v>49</v>
      </c>
      <c r="J8" s="15" t="s">
        <v>18</v>
      </c>
      <c r="K8" s="18" t="n">
        <v>2</v>
      </c>
      <c r="L8" s="7" t="s">
        <v>63</v>
      </c>
      <c r="M8" s="26" t="s">
        <v>5393</v>
      </c>
      <c r="N8" s="26" t="s">
        <v>130</v>
      </c>
      <c r="O8" s="26" t="s">
        <v>5394</v>
      </c>
      <c r="P8" s="26" t="s">
        <v>5395</v>
      </c>
      <c r="Q8" s="26" t="s">
        <v>5396</v>
      </c>
      <c r="R8" s="7" t="s">
        <v>134</v>
      </c>
      <c r="S8" s="26" t="s">
        <v>5397</v>
      </c>
      <c r="T8" s="7" t="s">
        <v>269</v>
      </c>
      <c r="U8" s="7" t="s">
        <v>2313</v>
      </c>
      <c r="V8" s="26" t="s">
        <v>5387</v>
      </c>
      <c r="W8" s="26" t="s">
        <v>160</v>
      </c>
      <c r="X8" s="7" t="s">
        <v>45</v>
      </c>
      <c r="Y8" s="26" t="s">
        <v>4564</v>
      </c>
      <c r="Z8" s="17" t="s">
        <v>92</v>
      </c>
      <c r="AA8" s="26" t="s">
        <v>5388</v>
      </c>
      <c r="AB8" s="7" t="str">
        <f aca="false">IF(AC8="Reject","Not ready",IF(Z8="Possible",IF(K8=1,"Core","Extended"),IF(K8=1,"Smoke",IF(K8=2,"Core","Extended"))))</f>
        <v>Core</v>
      </c>
      <c r="AC8" s="19" t="s">
        <v>9</v>
      </c>
      <c r="AD8" s="26" t="s">
        <v>5398</v>
      </c>
    </row>
    <row r="9" customFormat="false" ht="54.75" hidden="false" customHeight="true" outlineLevel="0" collapsed="false">
      <c r="A9" s="7" t="s">
        <v>5399</v>
      </c>
      <c r="B9" s="26" t="s">
        <v>1950</v>
      </c>
      <c r="C9" s="7" t="s">
        <v>38</v>
      </c>
      <c r="D9" s="7" t="s">
        <v>100</v>
      </c>
      <c r="E9" s="7" t="s">
        <v>5368</v>
      </c>
      <c r="F9" s="26" t="s">
        <v>5369</v>
      </c>
      <c r="G9" s="26" t="s">
        <v>5400</v>
      </c>
      <c r="H9" s="26" t="s">
        <v>5401</v>
      </c>
      <c r="I9" s="7" t="s">
        <v>59</v>
      </c>
      <c r="J9" s="15" t="s">
        <v>16</v>
      </c>
      <c r="K9" s="16" t="n">
        <v>1</v>
      </c>
      <c r="L9" s="7" t="s">
        <v>63</v>
      </c>
      <c r="M9" s="26" t="s">
        <v>5402</v>
      </c>
      <c r="N9" s="26" t="s">
        <v>130</v>
      </c>
      <c r="O9" s="26" t="s">
        <v>5403</v>
      </c>
      <c r="P9" s="26" t="s">
        <v>5404</v>
      </c>
      <c r="Q9" s="26" t="s">
        <v>5405</v>
      </c>
      <c r="R9" s="7" t="s">
        <v>134</v>
      </c>
      <c r="S9" s="26" t="s">
        <v>5406</v>
      </c>
      <c r="T9" s="7" t="s">
        <v>269</v>
      </c>
      <c r="U9" s="7" t="s">
        <v>1960</v>
      </c>
      <c r="V9" s="26" t="s">
        <v>5407</v>
      </c>
      <c r="W9" s="26" t="s">
        <v>160</v>
      </c>
      <c r="X9" s="7" t="s">
        <v>45</v>
      </c>
      <c r="Y9" s="26" t="s">
        <v>4472</v>
      </c>
      <c r="Z9" s="17" t="s">
        <v>92</v>
      </c>
      <c r="AA9" s="26" t="s">
        <v>5408</v>
      </c>
      <c r="AB9" s="7" t="str">
        <f aca="false">IF(AC9="Reject","Not ready",IF(Z9="Possible",IF(K9=1,"Core","Extended"),IF(K9=1,"Smoke",IF(K9=2,"Core","Extended"))))</f>
        <v>Smoke</v>
      </c>
      <c r="AC9" s="19" t="s">
        <v>9</v>
      </c>
      <c r="AD9" s="26" t="s">
        <v>5409</v>
      </c>
    </row>
    <row r="10" customFormat="false" ht="42" hidden="false" customHeight="true" outlineLevel="0" collapsed="false">
      <c r="A10" s="7" t="s">
        <v>5410</v>
      </c>
      <c r="B10" s="26" t="s">
        <v>1910</v>
      </c>
      <c r="C10" s="7" t="s">
        <v>38</v>
      </c>
      <c r="D10" s="7" t="s">
        <v>100</v>
      </c>
      <c r="E10" s="7" t="s">
        <v>5368</v>
      </c>
      <c r="F10" s="26" t="s">
        <v>5369</v>
      </c>
      <c r="G10" s="26" t="s">
        <v>5411</v>
      </c>
      <c r="H10" s="26" t="s">
        <v>5412</v>
      </c>
      <c r="I10" s="7" t="s">
        <v>59</v>
      </c>
      <c r="J10" s="15" t="s">
        <v>17</v>
      </c>
      <c r="K10" s="18" t="n">
        <v>2</v>
      </c>
      <c r="L10" s="7" t="s">
        <v>63</v>
      </c>
      <c r="M10" s="26" t="s">
        <v>5413</v>
      </c>
      <c r="N10" s="26" t="s">
        <v>130</v>
      </c>
      <c r="O10" s="26" t="s">
        <v>5414</v>
      </c>
      <c r="P10" s="26" t="s">
        <v>5415</v>
      </c>
      <c r="Q10" s="26" t="s">
        <v>5416</v>
      </c>
      <c r="R10" s="7" t="s">
        <v>134</v>
      </c>
      <c r="S10" s="26" t="s">
        <v>5417</v>
      </c>
      <c r="T10" s="7" t="s">
        <v>269</v>
      </c>
      <c r="U10" s="7" t="s">
        <v>1920</v>
      </c>
      <c r="V10" s="26" t="s">
        <v>5418</v>
      </c>
      <c r="W10" s="26" t="s">
        <v>160</v>
      </c>
      <c r="X10" s="7" t="s">
        <v>45</v>
      </c>
      <c r="Y10" s="26" t="s">
        <v>4472</v>
      </c>
      <c r="Z10" s="17" t="s">
        <v>92</v>
      </c>
      <c r="AA10" s="26" t="s">
        <v>5408</v>
      </c>
      <c r="AB10" s="7" t="str">
        <f aca="false">IF(AC10="Reject","Not ready",IF(Z10="Possible",IF(K10=1,"Core","Extended"),IF(K10=1,"Smoke",IF(K10=2,"Core","Extended"))))</f>
        <v>Core</v>
      </c>
      <c r="AC10" s="19" t="s">
        <v>9</v>
      </c>
      <c r="AD10" s="26" t="s">
        <v>5419</v>
      </c>
    </row>
    <row r="11" customFormat="false" ht="54.75" hidden="false" customHeight="true" outlineLevel="0" collapsed="false">
      <c r="A11" s="7" t="s">
        <v>5420</v>
      </c>
      <c r="B11" s="26" t="s">
        <v>1950</v>
      </c>
      <c r="C11" s="7" t="s">
        <v>38</v>
      </c>
      <c r="D11" s="7" t="s">
        <v>100</v>
      </c>
      <c r="E11" s="7" t="s">
        <v>5421</v>
      </c>
      <c r="F11" s="26" t="s">
        <v>5422</v>
      </c>
      <c r="G11" s="26" t="s">
        <v>5423</v>
      </c>
      <c r="H11" s="26" t="s">
        <v>5424</v>
      </c>
      <c r="I11" s="7" t="s">
        <v>49</v>
      </c>
      <c r="J11" s="15" t="s">
        <v>16</v>
      </c>
      <c r="K11" s="16" t="n">
        <v>1</v>
      </c>
      <c r="L11" s="7" t="s">
        <v>63</v>
      </c>
      <c r="M11" s="26" t="s">
        <v>5425</v>
      </c>
      <c r="N11" s="26" t="s">
        <v>130</v>
      </c>
      <c r="O11" s="26" t="s">
        <v>5426</v>
      </c>
      <c r="P11" s="26" t="s">
        <v>5427</v>
      </c>
      <c r="Q11" s="26" t="s">
        <v>5428</v>
      </c>
      <c r="R11" s="7" t="s">
        <v>134</v>
      </c>
      <c r="S11" s="26" t="s">
        <v>5429</v>
      </c>
      <c r="T11" s="7" t="s">
        <v>300</v>
      </c>
      <c r="U11" s="7" t="s">
        <v>1960</v>
      </c>
      <c r="V11" s="26" t="s">
        <v>5430</v>
      </c>
      <c r="W11" s="26" t="s">
        <v>160</v>
      </c>
      <c r="X11" s="7" t="s">
        <v>45</v>
      </c>
      <c r="Y11" s="26" t="s">
        <v>4529</v>
      </c>
      <c r="Z11" s="17" t="s">
        <v>92</v>
      </c>
      <c r="AA11" s="26" t="s">
        <v>5431</v>
      </c>
      <c r="AB11" s="7" t="str">
        <f aca="false">IF(AC11="Reject","Not ready",IF(Z11="Possible",IF(K11=1,"Core","Extended"),IF(K11=1,"Smoke",IF(K11=2,"Core","Extended"))))</f>
        <v>Smoke</v>
      </c>
      <c r="AC11" s="19" t="s">
        <v>9</v>
      </c>
      <c r="AD11" s="26" t="s">
        <v>5432</v>
      </c>
    </row>
    <row r="12" customFormat="false" ht="54.75" hidden="false" customHeight="true" outlineLevel="0" collapsed="false">
      <c r="A12" s="7" t="s">
        <v>5433</v>
      </c>
      <c r="B12" s="26" t="s">
        <v>1986</v>
      </c>
      <c r="C12" s="7" t="s">
        <v>38</v>
      </c>
      <c r="D12" s="7" t="s">
        <v>100</v>
      </c>
      <c r="E12" s="7" t="s">
        <v>5421</v>
      </c>
      <c r="F12" s="26" t="s">
        <v>5422</v>
      </c>
      <c r="G12" s="26" t="s">
        <v>5434</v>
      </c>
      <c r="H12" s="26" t="s">
        <v>5435</v>
      </c>
      <c r="I12" s="7" t="s">
        <v>52</v>
      </c>
      <c r="J12" s="15" t="s">
        <v>17</v>
      </c>
      <c r="K12" s="18" t="n">
        <v>2</v>
      </c>
      <c r="L12" s="7" t="s">
        <v>65</v>
      </c>
      <c r="M12" s="26" t="s">
        <v>5436</v>
      </c>
      <c r="N12" s="26" t="s">
        <v>130</v>
      </c>
      <c r="O12" s="26" t="s">
        <v>5437</v>
      </c>
      <c r="P12" s="26" t="s">
        <v>5438</v>
      </c>
      <c r="Q12" s="26" t="s">
        <v>5439</v>
      </c>
      <c r="R12" s="7" t="s">
        <v>134</v>
      </c>
      <c r="S12" s="26" t="s">
        <v>5440</v>
      </c>
      <c r="T12" s="7" t="s">
        <v>300</v>
      </c>
      <c r="U12" s="7" t="s">
        <v>1995</v>
      </c>
      <c r="V12" s="26" t="s">
        <v>5441</v>
      </c>
      <c r="W12" s="26" t="s">
        <v>160</v>
      </c>
      <c r="X12" s="7" t="s">
        <v>45</v>
      </c>
      <c r="Y12" s="26" t="s">
        <v>4529</v>
      </c>
      <c r="Z12" s="17" t="s">
        <v>92</v>
      </c>
      <c r="AA12" s="26" t="s">
        <v>5431</v>
      </c>
      <c r="AB12" s="7" t="str">
        <f aca="false">IF(AC12="Reject","Not ready",IF(Z12="Possible",IF(K12=1,"Core","Extended"),IF(K12=1,"Smoke",IF(K12=2,"Core","Extended"))))</f>
        <v>Core</v>
      </c>
      <c r="AC12" s="19" t="s">
        <v>9</v>
      </c>
      <c r="AD12" s="26" t="s">
        <v>5442</v>
      </c>
    </row>
    <row r="13" customFormat="false" ht="42" hidden="false" customHeight="true" outlineLevel="0" collapsed="false">
      <c r="A13" s="7" t="s">
        <v>5443</v>
      </c>
      <c r="B13" s="26" t="s">
        <v>2244</v>
      </c>
      <c r="C13" s="7" t="s">
        <v>38</v>
      </c>
      <c r="D13" s="7" t="s">
        <v>100</v>
      </c>
      <c r="E13" s="7" t="s">
        <v>5421</v>
      </c>
      <c r="F13" s="26" t="s">
        <v>5422</v>
      </c>
      <c r="G13" s="26" t="s">
        <v>5444</v>
      </c>
      <c r="H13" s="26" t="s">
        <v>5445</v>
      </c>
      <c r="I13" s="7" t="s">
        <v>45</v>
      </c>
      <c r="J13" s="15" t="s">
        <v>16</v>
      </c>
      <c r="K13" s="16" t="n">
        <v>1</v>
      </c>
      <c r="L13" s="7" t="s">
        <v>63</v>
      </c>
      <c r="M13" s="26" t="s">
        <v>5446</v>
      </c>
      <c r="N13" s="26" t="s">
        <v>130</v>
      </c>
      <c r="O13" s="26" t="s">
        <v>5447</v>
      </c>
      <c r="P13" s="26" t="s">
        <v>5448</v>
      </c>
      <c r="Q13" s="26" t="s">
        <v>5449</v>
      </c>
      <c r="R13" s="7" t="s">
        <v>134</v>
      </c>
      <c r="S13" s="26" t="s">
        <v>5450</v>
      </c>
      <c r="T13" s="7" t="s">
        <v>300</v>
      </c>
      <c r="U13" s="7" t="s">
        <v>2254</v>
      </c>
      <c r="V13" s="26" t="s">
        <v>5343</v>
      </c>
      <c r="W13" s="26" t="s">
        <v>139</v>
      </c>
      <c r="X13" s="7" t="s">
        <v>45</v>
      </c>
      <c r="Y13" s="26" t="s">
        <v>4529</v>
      </c>
      <c r="Z13" s="17" t="s">
        <v>92</v>
      </c>
      <c r="AA13" s="26" t="s">
        <v>5431</v>
      </c>
      <c r="AB13" s="7" t="str">
        <f aca="false">IF(AC13="Reject","Not ready",IF(Z13="Possible",IF(K13=1,"Core","Extended"),IF(K13=1,"Smoke",IF(K13=2,"Core","Extended"))))</f>
        <v>Smoke</v>
      </c>
      <c r="AC13" s="19" t="s">
        <v>9</v>
      </c>
      <c r="AD13" s="26" t="s">
        <v>5451</v>
      </c>
    </row>
    <row r="14" customFormat="false" ht="54.75" hidden="false" customHeight="true" outlineLevel="0" collapsed="false">
      <c r="A14" s="7" t="s">
        <v>5452</v>
      </c>
      <c r="B14" s="26" t="s">
        <v>1201</v>
      </c>
      <c r="C14" s="7" t="s">
        <v>38</v>
      </c>
      <c r="D14" s="7" t="s">
        <v>100</v>
      </c>
      <c r="E14" s="7" t="s">
        <v>5421</v>
      </c>
      <c r="F14" s="26" t="s">
        <v>5422</v>
      </c>
      <c r="G14" s="26" t="s">
        <v>5453</v>
      </c>
      <c r="H14" s="26" t="s">
        <v>5454</v>
      </c>
      <c r="I14" s="7" t="s">
        <v>48</v>
      </c>
      <c r="J14" s="15" t="s">
        <v>16</v>
      </c>
      <c r="K14" s="16" t="n">
        <v>1</v>
      </c>
      <c r="L14" s="7" t="s">
        <v>64</v>
      </c>
      <c r="M14" s="26" t="s">
        <v>5455</v>
      </c>
      <c r="N14" s="26" t="s">
        <v>130</v>
      </c>
      <c r="O14" s="26" t="s">
        <v>5456</v>
      </c>
      <c r="P14" s="26" t="s">
        <v>5457</v>
      </c>
      <c r="Q14" s="26" t="s">
        <v>5458</v>
      </c>
      <c r="R14" s="7" t="s">
        <v>134</v>
      </c>
      <c r="S14" s="26" t="s">
        <v>5459</v>
      </c>
      <c r="T14" s="7" t="s">
        <v>256</v>
      </c>
      <c r="U14" s="7" t="s">
        <v>1211</v>
      </c>
      <c r="V14" s="26" t="s">
        <v>5430</v>
      </c>
      <c r="W14" s="26" t="s">
        <v>160</v>
      </c>
      <c r="X14" s="7" t="s">
        <v>45</v>
      </c>
      <c r="Y14" s="26" t="s">
        <v>4529</v>
      </c>
      <c r="Z14" s="17" t="s">
        <v>92</v>
      </c>
      <c r="AA14" s="26" t="s">
        <v>5431</v>
      </c>
      <c r="AB14" s="7" t="str">
        <f aca="false">IF(AC14="Reject","Not ready",IF(Z14="Possible",IF(K14=1,"Core","Extended"),IF(K14=1,"Smoke",IF(K14=2,"Core","Extended"))))</f>
        <v>Smoke</v>
      </c>
      <c r="AC14" s="19" t="s">
        <v>9</v>
      </c>
      <c r="AD14" s="26" t="s">
        <v>5460</v>
      </c>
    </row>
    <row r="15" customFormat="false" ht="54.75" hidden="false" customHeight="true" outlineLevel="0" collapsed="false">
      <c r="A15" s="7" t="s">
        <v>5461</v>
      </c>
      <c r="B15" s="26" t="s">
        <v>1986</v>
      </c>
      <c r="C15" s="7" t="s">
        <v>38</v>
      </c>
      <c r="D15" s="7" t="s">
        <v>100</v>
      </c>
      <c r="E15" s="7" t="s">
        <v>5462</v>
      </c>
      <c r="F15" s="26" t="s">
        <v>5463</v>
      </c>
      <c r="G15" s="26" t="s">
        <v>5464</v>
      </c>
      <c r="H15" s="26" t="s">
        <v>5465</v>
      </c>
      <c r="I15" s="7" t="s">
        <v>59</v>
      </c>
      <c r="J15" s="15" t="s">
        <v>16</v>
      </c>
      <c r="K15" s="16" t="n">
        <v>1</v>
      </c>
      <c r="L15" s="7" t="s">
        <v>62</v>
      </c>
      <c r="M15" s="26" t="s">
        <v>5466</v>
      </c>
      <c r="N15" s="26" t="s">
        <v>130</v>
      </c>
      <c r="O15" s="26" t="s">
        <v>5467</v>
      </c>
      <c r="P15" s="26" t="s">
        <v>5468</v>
      </c>
      <c r="Q15" s="26" t="s">
        <v>5469</v>
      </c>
      <c r="R15" s="7" t="s">
        <v>134</v>
      </c>
      <c r="S15" s="26" t="s">
        <v>5470</v>
      </c>
      <c r="T15" s="7" t="s">
        <v>300</v>
      </c>
      <c r="U15" s="7" t="s">
        <v>1995</v>
      </c>
      <c r="V15" s="26" t="s">
        <v>5441</v>
      </c>
      <c r="W15" s="26" t="s">
        <v>160</v>
      </c>
      <c r="X15" s="7" t="s">
        <v>45</v>
      </c>
      <c r="Y15" s="26" t="s">
        <v>4529</v>
      </c>
      <c r="Z15" s="17" t="s">
        <v>92</v>
      </c>
      <c r="AA15" s="26" t="s">
        <v>5431</v>
      </c>
      <c r="AB15" s="7" t="str">
        <f aca="false">IF(AC15="Reject","Not ready",IF(Z15="Possible",IF(K15=1,"Core","Extended"),IF(K15=1,"Smoke",IF(K15=2,"Core","Extended"))))</f>
        <v>Smoke</v>
      </c>
      <c r="AC15" s="19" t="s">
        <v>9</v>
      </c>
      <c r="AD15" s="26" t="s">
        <v>5471</v>
      </c>
    </row>
    <row r="16" customFormat="false" ht="42" hidden="false" customHeight="true" outlineLevel="0" collapsed="false">
      <c r="A16" s="7" t="s">
        <v>5472</v>
      </c>
      <c r="B16" s="26" t="s">
        <v>1986</v>
      </c>
      <c r="C16" s="7" t="s">
        <v>38</v>
      </c>
      <c r="D16" s="7" t="s">
        <v>100</v>
      </c>
      <c r="E16" s="7" t="s">
        <v>5462</v>
      </c>
      <c r="F16" s="26" t="s">
        <v>5463</v>
      </c>
      <c r="G16" s="26" t="s">
        <v>5473</v>
      </c>
      <c r="H16" s="26" t="s">
        <v>5474</v>
      </c>
      <c r="I16" s="7" t="s">
        <v>57</v>
      </c>
      <c r="J16" s="15" t="s">
        <v>18</v>
      </c>
      <c r="K16" s="19" t="n">
        <v>3</v>
      </c>
      <c r="L16" s="7" t="s">
        <v>62</v>
      </c>
      <c r="M16" s="26" t="s">
        <v>5475</v>
      </c>
      <c r="N16" s="26" t="s">
        <v>130</v>
      </c>
      <c r="O16" s="26" t="s">
        <v>5476</v>
      </c>
      <c r="P16" s="26" t="s">
        <v>5477</v>
      </c>
      <c r="Q16" s="26" t="s">
        <v>5478</v>
      </c>
      <c r="R16" s="7" t="s">
        <v>134</v>
      </c>
      <c r="S16" s="26" t="s">
        <v>5479</v>
      </c>
      <c r="T16" s="7" t="s">
        <v>300</v>
      </c>
      <c r="U16" s="7" t="s">
        <v>1995</v>
      </c>
      <c r="V16" s="26" t="s">
        <v>5441</v>
      </c>
      <c r="W16" s="26" t="s">
        <v>160</v>
      </c>
      <c r="X16" s="7" t="s">
        <v>45</v>
      </c>
      <c r="Y16" s="26" t="s">
        <v>4529</v>
      </c>
      <c r="Z16" s="17" t="s">
        <v>92</v>
      </c>
      <c r="AA16" s="26" t="s">
        <v>5431</v>
      </c>
      <c r="AB16" s="7" t="str">
        <f aca="false">IF(AC16="Reject","Not ready",IF(Z16="Possible",IF(K16=1,"Core","Extended"),IF(K16=1,"Smoke",IF(K16=2,"Core","Extended"))))</f>
        <v>Extended</v>
      </c>
      <c r="AC16" s="19" t="s">
        <v>9</v>
      </c>
      <c r="AD16" s="26" t="s">
        <v>5480</v>
      </c>
    </row>
    <row r="17" customFormat="false" ht="42" hidden="false" customHeight="true" outlineLevel="0" collapsed="false">
      <c r="A17" s="7" t="s">
        <v>5481</v>
      </c>
      <c r="B17" s="26" t="s">
        <v>1986</v>
      </c>
      <c r="C17" s="7" t="s">
        <v>38</v>
      </c>
      <c r="D17" s="7" t="s">
        <v>100</v>
      </c>
      <c r="E17" s="7" t="s">
        <v>5462</v>
      </c>
      <c r="F17" s="26" t="s">
        <v>5463</v>
      </c>
      <c r="G17" s="26" t="s">
        <v>1989</v>
      </c>
      <c r="H17" s="26" t="s">
        <v>5482</v>
      </c>
      <c r="I17" s="7" t="s">
        <v>53</v>
      </c>
      <c r="J17" s="15" t="s">
        <v>17</v>
      </c>
      <c r="K17" s="18" t="n">
        <v>2</v>
      </c>
      <c r="L17" s="7" t="s">
        <v>62</v>
      </c>
      <c r="M17" s="26" t="s">
        <v>5483</v>
      </c>
      <c r="N17" s="26" t="s">
        <v>130</v>
      </c>
      <c r="O17" s="26" t="s">
        <v>5484</v>
      </c>
      <c r="P17" s="26" t="s">
        <v>5485</v>
      </c>
      <c r="Q17" s="26" t="s">
        <v>5486</v>
      </c>
      <c r="R17" s="7" t="s">
        <v>134</v>
      </c>
      <c r="S17" s="26" t="s">
        <v>5479</v>
      </c>
      <c r="T17" s="7" t="s">
        <v>136</v>
      </c>
      <c r="U17" s="7" t="s">
        <v>1995</v>
      </c>
      <c r="V17" s="26" t="s">
        <v>5430</v>
      </c>
      <c r="W17" s="26" t="s">
        <v>160</v>
      </c>
      <c r="X17" s="7" t="s">
        <v>45</v>
      </c>
      <c r="Y17" s="26" t="s">
        <v>4529</v>
      </c>
      <c r="Z17" s="17" t="s">
        <v>92</v>
      </c>
      <c r="AA17" s="26" t="s">
        <v>5431</v>
      </c>
      <c r="AB17" s="7" t="str">
        <f aca="false">IF(AC17="Reject","Not ready",IF(Z17="Possible",IF(K17=1,"Core","Extended"),IF(K17=1,"Smoke",IF(K17=2,"Core","Extended"))))</f>
        <v>Core</v>
      </c>
      <c r="AC17" s="19" t="s">
        <v>9</v>
      </c>
      <c r="AD17" s="26" t="s">
        <v>5487</v>
      </c>
    </row>
    <row r="18" customFormat="false" ht="54.75" hidden="false" customHeight="true" outlineLevel="0" collapsed="false">
      <c r="A18" s="7" t="s">
        <v>5488</v>
      </c>
      <c r="B18" s="26" t="s">
        <v>516</v>
      </c>
      <c r="C18" s="7" t="s">
        <v>40</v>
      </c>
      <c r="D18" s="7" t="s">
        <v>101</v>
      </c>
      <c r="E18" s="7" t="s">
        <v>5489</v>
      </c>
      <c r="F18" s="26" t="s">
        <v>5490</v>
      </c>
      <c r="G18" s="26" t="s">
        <v>5491</v>
      </c>
      <c r="H18" s="26" t="s">
        <v>5492</v>
      </c>
      <c r="I18" s="7" t="s">
        <v>48</v>
      </c>
      <c r="J18" s="15" t="s">
        <v>17</v>
      </c>
      <c r="K18" s="16" t="n">
        <v>1</v>
      </c>
      <c r="L18" s="7" t="s">
        <v>64</v>
      </c>
      <c r="M18" s="26" t="s">
        <v>5493</v>
      </c>
      <c r="N18" s="26" t="s">
        <v>130</v>
      </c>
      <c r="O18" s="26" t="s">
        <v>5494</v>
      </c>
      <c r="P18" s="26" t="s">
        <v>5495</v>
      </c>
      <c r="Q18" s="26" t="s">
        <v>5496</v>
      </c>
      <c r="R18" s="7" t="s">
        <v>134</v>
      </c>
      <c r="S18" s="26" t="s">
        <v>5497</v>
      </c>
      <c r="T18" s="7" t="s">
        <v>256</v>
      </c>
      <c r="U18" s="7" t="s">
        <v>527</v>
      </c>
      <c r="V18" s="26" t="s">
        <v>5498</v>
      </c>
      <c r="W18" s="26" t="s">
        <v>139</v>
      </c>
      <c r="X18" s="7" t="s">
        <v>45</v>
      </c>
      <c r="Y18" s="26" t="s">
        <v>4396</v>
      </c>
      <c r="Z18" s="17" t="s">
        <v>92</v>
      </c>
      <c r="AA18" s="26" t="s">
        <v>5499</v>
      </c>
      <c r="AB18" s="7" t="str">
        <f aca="false">IF(AC18="Reject","Not ready",IF(Z18="Possible",IF(K18=1,"Core","Extended"),IF(K18=1,"Smoke",IF(K18=2,"Core","Extended"))))</f>
        <v>Smoke</v>
      </c>
      <c r="AC18" s="19" t="s">
        <v>9</v>
      </c>
      <c r="AD18" s="26" t="s">
        <v>5500</v>
      </c>
    </row>
    <row r="19" customFormat="false" ht="54.75" hidden="false" customHeight="true" outlineLevel="0" collapsed="false">
      <c r="A19" s="7" t="s">
        <v>5501</v>
      </c>
      <c r="B19" s="26" t="s">
        <v>2477</v>
      </c>
      <c r="C19" s="7" t="s">
        <v>40</v>
      </c>
      <c r="D19" s="7" t="s">
        <v>100</v>
      </c>
      <c r="E19" s="7" t="s">
        <v>5489</v>
      </c>
      <c r="F19" s="26" t="s">
        <v>5490</v>
      </c>
      <c r="G19" s="26" t="s">
        <v>5502</v>
      </c>
      <c r="H19" s="26" t="s">
        <v>5503</v>
      </c>
      <c r="I19" s="7" t="s">
        <v>59</v>
      </c>
      <c r="J19" s="15" t="s">
        <v>17</v>
      </c>
      <c r="K19" s="18" t="n">
        <v>2</v>
      </c>
      <c r="L19" s="7" t="s">
        <v>63</v>
      </c>
      <c r="M19" s="26" t="s">
        <v>5504</v>
      </c>
      <c r="N19" s="26" t="s">
        <v>130</v>
      </c>
      <c r="O19" s="26" t="s">
        <v>5505</v>
      </c>
      <c r="P19" s="26" t="s">
        <v>5506</v>
      </c>
      <c r="Q19" s="26" t="s">
        <v>5507</v>
      </c>
      <c r="R19" s="7" t="s">
        <v>134</v>
      </c>
      <c r="S19" s="26" t="s">
        <v>5508</v>
      </c>
      <c r="T19" s="7" t="s">
        <v>300</v>
      </c>
      <c r="U19" s="7" t="s">
        <v>2486</v>
      </c>
      <c r="V19" s="26" t="s">
        <v>5430</v>
      </c>
      <c r="W19" s="26" t="s">
        <v>160</v>
      </c>
      <c r="X19" s="7" t="s">
        <v>45</v>
      </c>
      <c r="Y19" s="26" t="s">
        <v>4396</v>
      </c>
      <c r="Z19" s="17" t="s">
        <v>92</v>
      </c>
      <c r="AA19" s="26" t="s">
        <v>5499</v>
      </c>
      <c r="AB19" s="7" t="str">
        <f aca="false">IF(AC19="Reject","Not ready",IF(Z19="Possible",IF(K19=1,"Core","Extended"),IF(K19=1,"Smoke",IF(K19=2,"Core","Extended"))))</f>
        <v>Core</v>
      </c>
      <c r="AC19" s="19" t="s">
        <v>9</v>
      </c>
      <c r="AD19" s="26" t="s">
        <v>5509</v>
      </c>
    </row>
    <row r="20" customFormat="false" ht="54.75" hidden="false" customHeight="true" outlineLevel="0" collapsed="false">
      <c r="A20" s="7" t="s">
        <v>5510</v>
      </c>
      <c r="B20" s="26" t="s">
        <v>303</v>
      </c>
      <c r="C20" s="7" t="s">
        <v>40</v>
      </c>
      <c r="D20" s="7" t="s">
        <v>100</v>
      </c>
      <c r="E20" s="7" t="s">
        <v>5489</v>
      </c>
      <c r="F20" s="26" t="s">
        <v>5490</v>
      </c>
      <c r="G20" s="26" t="s">
        <v>5511</v>
      </c>
      <c r="H20" s="26" t="s">
        <v>5512</v>
      </c>
      <c r="I20" s="7" t="s">
        <v>59</v>
      </c>
      <c r="J20" s="15" t="s">
        <v>17</v>
      </c>
      <c r="K20" s="18" t="n">
        <v>2</v>
      </c>
      <c r="L20" s="7" t="s">
        <v>62</v>
      </c>
      <c r="M20" s="26" t="s">
        <v>5513</v>
      </c>
      <c r="N20" s="26" t="s">
        <v>130</v>
      </c>
      <c r="O20" s="26" t="s">
        <v>5514</v>
      </c>
      <c r="P20" s="26" t="s">
        <v>5515</v>
      </c>
      <c r="Q20" s="26" t="s">
        <v>5516</v>
      </c>
      <c r="R20" s="7" t="s">
        <v>134</v>
      </c>
      <c r="S20" s="26" t="s">
        <v>5517</v>
      </c>
      <c r="T20" s="7" t="s">
        <v>269</v>
      </c>
      <c r="U20" s="7" t="s">
        <v>313</v>
      </c>
      <c r="V20" s="26" t="s">
        <v>5518</v>
      </c>
      <c r="W20" s="26" t="s">
        <v>160</v>
      </c>
      <c r="X20" s="7" t="s">
        <v>45</v>
      </c>
      <c r="Y20" s="26" t="s">
        <v>4396</v>
      </c>
      <c r="Z20" s="17" t="s">
        <v>92</v>
      </c>
      <c r="AA20" s="26" t="s">
        <v>5499</v>
      </c>
      <c r="AB20" s="7" t="str">
        <f aca="false">IF(AC20="Reject","Not ready",IF(Z20="Possible",IF(K20=1,"Core","Extended"),IF(K20=1,"Smoke",IF(K20=2,"Core","Extended"))))</f>
        <v>Core</v>
      </c>
      <c r="AC20" s="19" t="s">
        <v>9</v>
      </c>
      <c r="AD20" s="26" t="s">
        <v>5519</v>
      </c>
    </row>
    <row r="21" customFormat="false" ht="54.75" hidden="false" customHeight="true" outlineLevel="0" collapsed="false">
      <c r="A21" s="7" t="s">
        <v>5520</v>
      </c>
      <c r="B21" s="26" t="s">
        <v>3077</v>
      </c>
      <c r="C21" s="7" t="s">
        <v>40</v>
      </c>
      <c r="D21" s="7" t="s">
        <v>100</v>
      </c>
      <c r="E21" s="7" t="s">
        <v>5489</v>
      </c>
      <c r="F21" s="26" t="s">
        <v>5490</v>
      </c>
      <c r="G21" s="26" t="s">
        <v>5521</v>
      </c>
      <c r="H21" s="26" t="s">
        <v>5522</v>
      </c>
      <c r="I21" s="7" t="s">
        <v>52</v>
      </c>
      <c r="J21" s="15" t="s">
        <v>16</v>
      </c>
      <c r="K21" s="16" t="n">
        <v>1</v>
      </c>
      <c r="L21" s="7" t="s">
        <v>65</v>
      </c>
      <c r="M21" s="26" t="s">
        <v>5523</v>
      </c>
      <c r="N21" s="26" t="s">
        <v>130</v>
      </c>
      <c r="O21" s="26" t="s">
        <v>5524</v>
      </c>
      <c r="P21" s="26" t="s">
        <v>5525</v>
      </c>
      <c r="Q21" s="26" t="s">
        <v>5526</v>
      </c>
      <c r="R21" s="7" t="s">
        <v>134</v>
      </c>
      <c r="S21" s="26" t="s">
        <v>5527</v>
      </c>
      <c r="T21" s="7" t="s">
        <v>300</v>
      </c>
      <c r="U21" s="7" t="s">
        <v>3087</v>
      </c>
      <c r="V21" s="26" t="s">
        <v>5343</v>
      </c>
      <c r="W21" s="26" t="s">
        <v>139</v>
      </c>
      <c r="X21" s="7" t="s">
        <v>45</v>
      </c>
      <c r="Y21" s="26" t="s">
        <v>4396</v>
      </c>
      <c r="Z21" s="17" t="s">
        <v>92</v>
      </c>
      <c r="AA21" s="26" t="s">
        <v>5499</v>
      </c>
      <c r="AB21" s="7" t="str">
        <f aca="false">IF(AC21="Reject","Not ready",IF(Z21="Possible",IF(K21=1,"Core","Extended"),IF(K21=1,"Smoke",IF(K21=2,"Core","Extended"))))</f>
        <v>Smoke</v>
      </c>
      <c r="AC21" s="19" t="s">
        <v>9</v>
      </c>
      <c r="AD21" s="26" t="s">
        <v>5528</v>
      </c>
    </row>
    <row r="22" customFormat="false" ht="80.25" hidden="false" customHeight="true" outlineLevel="0" collapsed="false">
      <c r="A22" s="7" t="s">
        <v>5529</v>
      </c>
      <c r="B22" s="26" t="s">
        <v>259</v>
      </c>
      <c r="C22" s="7" t="s">
        <v>40</v>
      </c>
      <c r="D22" s="7" t="s">
        <v>100</v>
      </c>
      <c r="E22" s="7" t="s">
        <v>5530</v>
      </c>
      <c r="F22" s="26" t="s">
        <v>5531</v>
      </c>
      <c r="G22" s="26" t="s">
        <v>5532</v>
      </c>
      <c r="H22" s="26" t="s">
        <v>5533</v>
      </c>
      <c r="I22" s="7" t="s">
        <v>59</v>
      </c>
      <c r="J22" s="15" t="s">
        <v>16</v>
      </c>
      <c r="K22" s="16" t="n">
        <v>1</v>
      </c>
      <c r="L22" s="7" t="s">
        <v>62</v>
      </c>
      <c r="M22" s="26" t="s">
        <v>5534</v>
      </c>
      <c r="N22" s="26" t="s">
        <v>130</v>
      </c>
      <c r="O22" s="26" t="s">
        <v>5535</v>
      </c>
      <c r="P22" s="26" t="s">
        <v>5536</v>
      </c>
      <c r="Q22" s="26" t="s">
        <v>5537</v>
      </c>
      <c r="R22" s="7" t="s">
        <v>134</v>
      </c>
      <c r="S22" s="26" t="s">
        <v>5538</v>
      </c>
      <c r="T22" s="7" t="s">
        <v>300</v>
      </c>
      <c r="U22" s="7" t="s">
        <v>270</v>
      </c>
      <c r="V22" s="26" t="s">
        <v>5539</v>
      </c>
      <c r="W22" s="26" t="s">
        <v>160</v>
      </c>
      <c r="X22" s="7" t="s">
        <v>45</v>
      </c>
      <c r="Y22" s="26" t="s">
        <v>4396</v>
      </c>
      <c r="Z22" s="17" t="s">
        <v>92</v>
      </c>
      <c r="AA22" s="26" t="s">
        <v>5499</v>
      </c>
      <c r="AB22" s="7" t="str">
        <f aca="false">IF(AC22="Reject","Not ready",IF(Z22="Possible",IF(K22=1,"Core","Extended"),IF(K22=1,"Smoke",IF(K22=2,"Core","Extended"))))</f>
        <v>Smoke</v>
      </c>
      <c r="AC22" s="19" t="s">
        <v>9</v>
      </c>
      <c r="AD22" s="26" t="s">
        <v>5540</v>
      </c>
    </row>
    <row r="23" customFormat="false" ht="54.75" hidden="false" customHeight="true" outlineLevel="0" collapsed="false">
      <c r="A23" s="7" t="s">
        <v>5541</v>
      </c>
      <c r="B23" s="26" t="s">
        <v>2134</v>
      </c>
      <c r="C23" s="7" t="s">
        <v>38</v>
      </c>
      <c r="D23" s="7" t="s">
        <v>100</v>
      </c>
      <c r="E23" s="7" t="s">
        <v>5530</v>
      </c>
      <c r="F23" s="26" t="s">
        <v>5531</v>
      </c>
      <c r="G23" s="26" t="s">
        <v>5542</v>
      </c>
      <c r="H23" s="26" t="s">
        <v>5543</v>
      </c>
      <c r="I23" s="7" t="s">
        <v>57</v>
      </c>
      <c r="J23" s="15" t="s">
        <v>17</v>
      </c>
      <c r="K23" s="18" t="n">
        <v>2</v>
      </c>
      <c r="L23" s="7" t="s">
        <v>63</v>
      </c>
      <c r="M23" s="26" t="s">
        <v>5544</v>
      </c>
      <c r="N23" s="26" t="s">
        <v>130</v>
      </c>
      <c r="O23" s="26" t="s">
        <v>5545</v>
      </c>
      <c r="P23" s="26" t="s">
        <v>5546</v>
      </c>
      <c r="Q23" s="26" t="s">
        <v>5547</v>
      </c>
      <c r="R23" s="7" t="s">
        <v>134</v>
      </c>
      <c r="S23" s="26" t="s">
        <v>5548</v>
      </c>
      <c r="T23" s="7" t="s">
        <v>300</v>
      </c>
      <c r="U23" s="7" t="s">
        <v>2143</v>
      </c>
      <c r="V23" s="26" t="s">
        <v>5549</v>
      </c>
      <c r="W23" s="26" t="s">
        <v>160</v>
      </c>
      <c r="X23" s="7" t="s">
        <v>45</v>
      </c>
      <c r="Y23" s="26" t="s">
        <v>4529</v>
      </c>
      <c r="Z23" s="17" t="s">
        <v>92</v>
      </c>
      <c r="AA23" s="26" t="s">
        <v>5431</v>
      </c>
      <c r="AB23" s="7" t="str">
        <f aca="false">IF(AC23="Reject","Not ready",IF(Z23="Possible",IF(K23=1,"Core","Extended"),IF(K23=1,"Smoke",IF(K23=2,"Core","Extended"))))</f>
        <v>Core</v>
      </c>
      <c r="AC23" s="19" t="s">
        <v>9</v>
      </c>
      <c r="AD23" s="26" t="s">
        <v>5550</v>
      </c>
    </row>
    <row r="24" customFormat="false" ht="67.5" hidden="false" customHeight="true" outlineLevel="0" collapsed="false">
      <c r="A24" s="7" t="s">
        <v>5551</v>
      </c>
      <c r="B24" s="26" t="s">
        <v>563</v>
      </c>
      <c r="C24" s="7" t="s">
        <v>40</v>
      </c>
      <c r="D24" s="7" t="s">
        <v>101</v>
      </c>
      <c r="E24" s="7" t="s">
        <v>5552</v>
      </c>
      <c r="F24" s="26" t="s">
        <v>5553</v>
      </c>
      <c r="G24" s="26" t="s">
        <v>5554</v>
      </c>
      <c r="H24" s="26" t="s">
        <v>5555</v>
      </c>
      <c r="I24" s="7" t="s">
        <v>51</v>
      </c>
      <c r="J24" s="15" t="s">
        <v>17</v>
      </c>
      <c r="K24" s="16" t="n">
        <v>1</v>
      </c>
      <c r="L24" s="7" t="s">
        <v>63</v>
      </c>
      <c r="M24" s="26" t="s">
        <v>5556</v>
      </c>
      <c r="N24" s="26" t="s">
        <v>130</v>
      </c>
      <c r="O24" s="26" t="s">
        <v>5557</v>
      </c>
      <c r="P24" s="26" t="s">
        <v>5558</v>
      </c>
      <c r="Q24" s="26" t="s">
        <v>581</v>
      </c>
      <c r="R24" s="7" t="s">
        <v>134</v>
      </c>
      <c r="S24" s="26" t="s">
        <v>5559</v>
      </c>
      <c r="T24" s="7" t="s">
        <v>269</v>
      </c>
      <c r="U24" s="7" t="s">
        <v>573</v>
      </c>
      <c r="V24" s="26" t="s">
        <v>5560</v>
      </c>
      <c r="W24" s="26" t="s">
        <v>160</v>
      </c>
      <c r="X24" s="7" t="s">
        <v>45</v>
      </c>
      <c r="Y24" s="26" t="s">
        <v>4443</v>
      </c>
      <c r="Z24" s="17" t="s">
        <v>92</v>
      </c>
      <c r="AA24" s="26" t="s">
        <v>5561</v>
      </c>
      <c r="AB24" s="7" t="str">
        <f aca="false">IF(AC24="Reject","Not ready",IF(Z24="Possible",IF(K24=1,"Core","Extended"),IF(K24=1,"Smoke",IF(K24=2,"Core","Extended"))))</f>
        <v>Smoke</v>
      </c>
      <c r="AC24" s="19" t="s">
        <v>9</v>
      </c>
      <c r="AD24" s="26" t="s">
        <v>5562</v>
      </c>
    </row>
    <row r="25" customFormat="false" ht="54.75" hidden="false" customHeight="true" outlineLevel="0" collapsed="false">
      <c r="A25" s="7" t="s">
        <v>5563</v>
      </c>
      <c r="B25" s="26" t="s">
        <v>2654</v>
      </c>
      <c r="C25" s="7" t="s">
        <v>39</v>
      </c>
      <c r="D25" s="7" t="s">
        <v>101</v>
      </c>
      <c r="E25" s="7" t="s">
        <v>5552</v>
      </c>
      <c r="F25" s="26" t="s">
        <v>5553</v>
      </c>
      <c r="G25" s="26" t="s">
        <v>5564</v>
      </c>
      <c r="H25" s="26" t="s">
        <v>5565</v>
      </c>
      <c r="I25" s="7" t="s">
        <v>50</v>
      </c>
      <c r="J25" s="15" t="s">
        <v>18</v>
      </c>
      <c r="K25" s="18" t="n">
        <v>2</v>
      </c>
      <c r="L25" s="7" t="s">
        <v>62</v>
      </c>
      <c r="M25" s="26" t="s">
        <v>5566</v>
      </c>
      <c r="N25" s="26" t="s">
        <v>130</v>
      </c>
      <c r="O25" s="26" t="s">
        <v>5567</v>
      </c>
      <c r="P25" s="26" t="s">
        <v>5568</v>
      </c>
      <c r="Q25" s="26" t="s">
        <v>5569</v>
      </c>
      <c r="R25" s="7" t="s">
        <v>134</v>
      </c>
      <c r="S25" s="26" t="s">
        <v>5570</v>
      </c>
      <c r="T25" s="7" t="s">
        <v>136</v>
      </c>
      <c r="U25" s="7" t="s">
        <v>2664</v>
      </c>
      <c r="V25" s="26" t="s">
        <v>5571</v>
      </c>
      <c r="W25" s="26" t="s">
        <v>139</v>
      </c>
      <c r="X25" s="7" t="s">
        <v>45</v>
      </c>
      <c r="Y25" s="26" t="s">
        <v>4443</v>
      </c>
      <c r="Z25" s="17" t="s">
        <v>92</v>
      </c>
      <c r="AA25" s="26" t="s">
        <v>5561</v>
      </c>
      <c r="AB25" s="7" t="str">
        <f aca="false">IF(AC25="Reject","Not ready",IF(Z25="Possible",IF(K25=1,"Core","Extended"),IF(K25=1,"Smoke",IF(K25=2,"Core","Extended"))))</f>
        <v>Core</v>
      </c>
      <c r="AC25" s="19" t="s">
        <v>9</v>
      </c>
      <c r="AD25" s="26" t="s">
        <v>5572</v>
      </c>
    </row>
    <row r="26" customFormat="false" ht="67.5" hidden="false" customHeight="true" outlineLevel="0" collapsed="false">
      <c r="A26" s="7" t="s">
        <v>5573</v>
      </c>
      <c r="B26" s="26" t="s">
        <v>563</v>
      </c>
      <c r="C26" s="7" t="s">
        <v>40</v>
      </c>
      <c r="D26" s="7" t="s">
        <v>100</v>
      </c>
      <c r="E26" s="7" t="s">
        <v>5552</v>
      </c>
      <c r="F26" s="26" t="s">
        <v>5553</v>
      </c>
      <c r="G26" s="26" t="s">
        <v>5574</v>
      </c>
      <c r="H26" s="26" t="s">
        <v>5575</v>
      </c>
      <c r="I26" s="7" t="s">
        <v>48</v>
      </c>
      <c r="J26" s="15" t="s">
        <v>16</v>
      </c>
      <c r="K26" s="16" t="n">
        <v>1</v>
      </c>
      <c r="L26" s="7" t="s">
        <v>64</v>
      </c>
      <c r="M26" s="26" t="s">
        <v>5576</v>
      </c>
      <c r="N26" s="26" t="s">
        <v>130</v>
      </c>
      <c r="O26" s="26" t="s">
        <v>5577</v>
      </c>
      <c r="P26" s="26" t="s">
        <v>5578</v>
      </c>
      <c r="Q26" s="26" t="s">
        <v>5579</v>
      </c>
      <c r="R26" s="7" t="s">
        <v>134</v>
      </c>
      <c r="S26" s="26" t="s">
        <v>5580</v>
      </c>
      <c r="T26" s="7" t="s">
        <v>256</v>
      </c>
      <c r="U26" s="7" t="s">
        <v>573</v>
      </c>
      <c r="V26" s="26" t="s">
        <v>5581</v>
      </c>
      <c r="W26" s="26" t="s">
        <v>160</v>
      </c>
      <c r="X26" s="7" t="s">
        <v>45</v>
      </c>
      <c r="Y26" s="26" t="s">
        <v>4443</v>
      </c>
      <c r="Z26" s="17" t="s">
        <v>92</v>
      </c>
      <c r="AA26" s="26" t="s">
        <v>5561</v>
      </c>
      <c r="AB26" s="7" t="str">
        <f aca="false">IF(AC26="Reject","Not ready",IF(Z26="Possible",IF(K26=1,"Core","Extended"),IF(K26=1,"Smoke",IF(K26=2,"Core","Extended"))))</f>
        <v>Smoke</v>
      </c>
      <c r="AC26" s="19" t="s">
        <v>9</v>
      </c>
      <c r="AD26" s="26" t="s">
        <v>5582</v>
      </c>
    </row>
    <row r="27" customFormat="false" ht="42" hidden="false" customHeight="true" outlineLevel="0" collapsed="false">
      <c r="A27" s="7" t="s">
        <v>5583</v>
      </c>
      <c r="B27" s="26" t="s">
        <v>1387</v>
      </c>
      <c r="C27" s="7" t="s">
        <v>38</v>
      </c>
      <c r="D27" s="7" t="s">
        <v>99</v>
      </c>
      <c r="E27" s="7" t="s">
        <v>5584</v>
      </c>
      <c r="F27" s="26" t="s">
        <v>5585</v>
      </c>
      <c r="G27" s="26" t="s">
        <v>5586</v>
      </c>
      <c r="H27" s="26" t="s">
        <v>5587</v>
      </c>
      <c r="I27" s="7" t="s">
        <v>52</v>
      </c>
      <c r="J27" s="15" t="s">
        <v>17</v>
      </c>
      <c r="K27" s="19" t="n">
        <v>3</v>
      </c>
      <c r="L27" s="7" t="s">
        <v>65</v>
      </c>
      <c r="M27" s="26" t="s">
        <v>5588</v>
      </c>
      <c r="N27" s="26" t="s">
        <v>130</v>
      </c>
      <c r="O27" s="26" t="s">
        <v>5589</v>
      </c>
      <c r="P27" s="26" t="s">
        <v>5590</v>
      </c>
      <c r="Q27" s="26" t="s">
        <v>5591</v>
      </c>
      <c r="R27" s="7" t="s">
        <v>134</v>
      </c>
      <c r="S27" s="26" t="s">
        <v>1395</v>
      </c>
      <c r="T27" s="7" t="s">
        <v>300</v>
      </c>
      <c r="U27" s="7" t="s">
        <v>1396</v>
      </c>
      <c r="V27" s="26" t="s">
        <v>5592</v>
      </c>
      <c r="W27" s="26" t="s">
        <v>160</v>
      </c>
      <c r="X27" s="7" t="s">
        <v>45</v>
      </c>
      <c r="Y27" s="26" t="s">
        <v>4388</v>
      </c>
      <c r="Z27" s="17" t="s">
        <v>92</v>
      </c>
      <c r="AA27" s="26" t="s">
        <v>5365</v>
      </c>
      <c r="AB27" s="7" t="str">
        <f aca="false">IF(AC27="Reject","Not ready",IF(Z27="Possible",IF(K27=1,"Core","Extended"),IF(K27=1,"Smoke",IF(K27=2,"Core","Extended"))))</f>
        <v>Extended</v>
      </c>
      <c r="AC27" s="19" t="s">
        <v>9</v>
      </c>
      <c r="AD27" s="26" t="s">
        <v>5593</v>
      </c>
    </row>
    <row r="28" customFormat="false" ht="42" hidden="false" customHeight="true" outlineLevel="0" collapsed="false">
      <c r="A28" s="7" t="s">
        <v>5594</v>
      </c>
      <c r="B28" s="26" t="s">
        <v>1271</v>
      </c>
      <c r="C28" s="7" t="s">
        <v>38</v>
      </c>
      <c r="D28" s="7" t="s">
        <v>101</v>
      </c>
      <c r="E28" s="7" t="s">
        <v>5584</v>
      </c>
      <c r="F28" s="26" t="s">
        <v>5585</v>
      </c>
      <c r="G28" s="26" t="s">
        <v>5595</v>
      </c>
      <c r="H28" s="26" t="s">
        <v>5596</v>
      </c>
      <c r="I28" s="7" t="s">
        <v>58</v>
      </c>
      <c r="J28" s="15" t="s">
        <v>19</v>
      </c>
      <c r="K28" s="21" t="n">
        <v>4</v>
      </c>
      <c r="L28" s="7" t="s">
        <v>62</v>
      </c>
      <c r="M28" s="26" t="s">
        <v>5597</v>
      </c>
      <c r="N28" s="26" t="s">
        <v>130</v>
      </c>
      <c r="O28" s="26" t="s">
        <v>5598</v>
      </c>
      <c r="P28" s="26" t="s">
        <v>5599</v>
      </c>
      <c r="Q28" s="26" t="s">
        <v>5600</v>
      </c>
      <c r="R28" s="7" t="s">
        <v>134</v>
      </c>
      <c r="S28" s="26" t="s">
        <v>5601</v>
      </c>
      <c r="T28" s="7" t="s">
        <v>136</v>
      </c>
      <c r="U28" s="7" t="s">
        <v>1280</v>
      </c>
      <c r="V28" s="26" t="s">
        <v>5343</v>
      </c>
      <c r="W28" s="26" t="s">
        <v>160</v>
      </c>
      <c r="X28" s="7" t="s">
        <v>45</v>
      </c>
      <c r="Y28" s="26" t="s">
        <v>4529</v>
      </c>
      <c r="Z28" s="17" t="s">
        <v>92</v>
      </c>
      <c r="AA28" s="26" t="s">
        <v>5431</v>
      </c>
      <c r="AB28" s="7" t="str">
        <f aca="false">IF(AC28="Reject","Not ready",IF(Z28="Possible",IF(K28=1,"Core","Extended"),IF(K28=1,"Smoke",IF(K28=2,"Core","Extended"))))</f>
        <v>Extended</v>
      </c>
      <c r="AC28" s="19" t="s">
        <v>9</v>
      </c>
      <c r="AD28" s="26" t="s">
        <v>5602</v>
      </c>
    </row>
    <row r="30" customFormat="false" ht="19.5" hidden="false" customHeight="true" outlineLevel="0" collapsed="false">
      <c r="A30" s="25" t="str">
        <f aca="false">"Table 2. Existing test cases to retest because the feature affects them or may affect them: "&amp;COUNTA(A32:A256)&amp;" test cases (Direct "&amp;COUNTIF(Z32:Z256,"Direct")&amp;", Possible "&amp;COUNTIF(Z32:Z256,"Possible")&amp;")"</f>
        <v>Table 2. Existing test cases to retest because the feature affects them or may affect them: 225 test cases (Direct 167, Possible 58)</v>
      </c>
    </row>
    <row r="31" customFormat="false" ht="34.5" hidden="false" customHeight="true" outlineLevel="0" collapsed="false">
      <c r="A31" s="5" t="s">
        <v>104</v>
      </c>
      <c r="B31" s="5" t="s">
        <v>105</v>
      </c>
      <c r="C31" s="5" t="s">
        <v>32</v>
      </c>
      <c r="D31" s="5" t="s">
        <v>106</v>
      </c>
      <c r="E31" s="5" t="s">
        <v>107</v>
      </c>
      <c r="F31" s="5" t="s">
        <v>108</v>
      </c>
      <c r="G31" s="5" t="s">
        <v>109</v>
      </c>
      <c r="H31" s="5" t="s">
        <v>110</v>
      </c>
      <c r="I31" s="5" t="s">
        <v>47</v>
      </c>
      <c r="J31" s="5" t="s">
        <v>15</v>
      </c>
      <c r="K31" s="5" t="s">
        <v>21</v>
      </c>
      <c r="L31" s="5" t="s">
        <v>61</v>
      </c>
      <c r="M31" s="5" t="s">
        <v>111</v>
      </c>
      <c r="N31" s="5" t="s">
        <v>112</v>
      </c>
      <c r="O31" s="5" t="s">
        <v>113</v>
      </c>
      <c r="P31" s="5" t="s">
        <v>114</v>
      </c>
      <c r="Q31" s="5" t="s">
        <v>115</v>
      </c>
      <c r="R31" s="5" t="s">
        <v>116</v>
      </c>
      <c r="S31" s="5" t="s">
        <v>117</v>
      </c>
      <c r="T31" s="5" t="s">
        <v>118</v>
      </c>
      <c r="U31" s="5" t="s">
        <v>119</v>
      </c>
      <c r="V31" s="5" t="s">
        <v>120</v>
      </c>
      <c r="W31" s="5" t="s">
        <v>121</v>
      </c>
      <c r="X31" s="5" t="s">
        <v>43</v>
      </c>
      <c r="Y31" s="5" t="s">
        <v>5330</v>
      </c>
      <c r="Z31" s="5" t="s">
        <v>88</v>
      </c>
      <c r="AA31" s="5" t="s">
        <v>5331</v>
      </c>
      <c r="AB31" s="5" t="s">
        <v>5332</v>
      </c>
      <c r="AC31" s="5" t="s">
        <v>3</v>
      </c>
      <c r="AD31" s="5" t="s">
        <v>122</v>
      </c>
    </row>
    <row r="32" customFormat="false" ht="67.5" hidden="false" customHeight="true" outlineLevel="0" collapsed="false">
      <c r="A32" s="7" t="s">
        <v>123</v>
      </c>
      <c r="B32" s="26" t="s">
        <v>124</v>
      </c>
      <c r="C32" s="7" t="s">
        <v>38</v>
      </c>
      <c r="D32" s="7" t="s">
        <v>99</v>
      </c>
      <c r="E32" s="7" t="s">
        <v>125</v>
      </c>
      <c r="F32" s="26" t="s">
        <v>126</v>
      </c>
      <c r="G32" s="26" t="s">
        <v>127</v>
      </c>
      <c r="H32" s="26" t="s">
        <v>128</v>
      </c>
      <c r="I32" s="7" t="s">
        <v>53</v>
      </c>
      <c r="J32" s="15" t="s">
        <v>16</v>
      </c>
      <c r="K32" s="16" t="n">
        <v>1</v>
      </c>
      <c r="L32" s="7" t="s">
        <v>62</v>
      </c>
      <c r="M32" s="26" t="s">
        <v>129</v>
      </c>
      <c r="N32" s="26" t="s">
        <v>130</v>
      </c>
      <c r="O32" s="26" t="s">
        <v>131</v>
      </c>
      <c r="P32" s="26" t="s">
        <v>132</v>
      </c>
      <c r="Q32" s="26" t="s">
        <v>133</v>
      </c>
      <c r="R32" s="7" t="s">
        <v>134</v>
      </c>
      <c r="S32" s="26" t="s">
        <v>135</v>
      </c>
      <c r="T32" s="7" t="s">
        <v>136</v>
      </c>
      <c r="U32" s="7" t="s">
        <v>137</v>
      </c>
      <c r="V32" s="26" t="s">
        <v>138</v>
      </c>
      <c r="W32" s="26" t="s">
        <v>139</v>
      </c>
      <c r="X32" s="7" t="s">
        <v>45</v>
      </c>
      <c r="Y32" s="26" t="s">
        <v>4388</v>
      </c>
      <c r="Z32" s="7" t="s">
        <v>93</v>
      </c>
      <c r="AA32" s="26" t="s">
        <v>5603</v>
      </c>
      <c r="AB32" s="7" t="str">
        <f aca="false">IF(AC32="Reject","Not ready",IF(Z32="Possible",IF(K32=1,"Core","Extended"),IF(K32=1,"Smoke",IF(K32=2,"Core","Extended"))))</f>
        <v>Smoke</v>
      </c>
      <c r="AC32" s="17" t="s">
        <v>7</v>
      </c>
      <c r="AD32" s="26" t="s">
        <v>140</v>
      </c>
    </row>
    <row r="33" customFormat="false" ht="54.75" hidden="false" customHeight="true" outlineLevel="0" collapsed="false">
      <c r="A33" s="7" t="s">
        <v>141</v>
      </c>
      <c r="B33" s="26" t="s">
        <v>124</v>
      </c>
      <c r="C33" s="7" t="s">
        <v>38</v>
      </c>
      <c r="D33" s="7" t="s">
        <v>99</v>
      </c>
      <c r="E33" s="7" t="s">
        <v>125</v>
      </c>
      <c r="F33" s="26" t="s">
        <v>126</v>
      </c>
      <c r="G33" s="26" t="s">
        <v>142</v>
      </c>
      <c r="H33" s="26" t="s">
        <v>143</v>
      </c>
      <c r="I33" s="7" t="s">
        <v>52</v>
      </c>
      <c r="J33" s="15" t="s">
        <v>16</v>
      </c>
      <c r="K33" s="18" t="n">
        <v>2</v>
      </c>
      <c r="L33" s="7" t="s">
        <v>63</v>
      </c>
      <c r="M33" s="26" t="s">
        <v>129</v>
      </c>
      <c r="N33" s="26" t="s">
        <v>130</v>
      </c>
      <c r="O33" s="26" t="s">
        <v>131</v>
      </c>
      <c r="P33" s="26" t="s">
        <v>144</v>
      </c>
      <c r="Q33" s="26" t="s">
        <v>145</v>
      </c>
      <c r="R33" s="7" t="s">
        <v>134</v>
      </c>
      <c r="S33" s="26" t="s">
        <v>135</v>
      </c>
      <c r="T33" s="7" t="s">
        <v>136</v>
      </c>
      <c r="U33" s="7" t="s">
        <v>137</v>
      </c>
      <c r="V33" s="26" t="s">
        <v>146</v>
      </c>
      <c r="W33" s="26" t="s">
        <v>139</v>
      </c>
      <c r="X33" s="7" t="s">
        <v>45</v>
      </c>
      <c r="Y33" s="26" t="s">
        <v>4388</v>
      </c>
      <c r="Z33" s="7" t="s">
        <v>93</v>
      </c>
      <c r="AA33" s="26" t="s">
        <v>5603</v>
      </c>
      <c r="AB33" s="7" t="str">
        <f aca="false">IF(AC33="Reject","Not ready",IF(Z33="Possible",IF(K33=1,"Core","Extended"),IF(K33=1,"Smoke",IF(K33=2,"Core","Extended"))))</f>
        <v>Core</v>
      </c>
      <c r="AC33" s="19" t="s">
        <v>9</v>
      </c>
      <c r="AD33" s="26" t="s">
        <v>147</v>
      </c>
    </row>
    <row r="34" customFormat="false" ht="54.75" hidden="false" customHeight="true" outlineLevel="0" collapsed="false">
      <c r="A34" s="7" t="s">
        <v>1351</v>
      </c>
      <c r="B34" s="26" t="s">
        <v>1352</v>
      </c>
      <c r="C34" s="7" t="s">
        <v>38</v>
      </c>
      <c r="D34" s="7" t="s">
        <v>99</v>
      </c>
      <c r="E34" s="7" t="s">
        <v>1353</v>
      </c>
      <c r="F34" s="26" t="s">
        <v>1354</v>
      </c>
      <c r="G34" s="26" t="s">
        <v>1355</v>
      </c>
      <c r="H34" s="26" t="s">
        <v>1356</v>
      </c>
      <c r="I34" s="7" t="s">
        <v>53</v>
      </c>
      <c r="J34" s="15" t="s">
        <v>16</v>
      </c>
      <c r="K34" s="18" t="n">
        <v>2</v>
      </c>
      <c r="L34" s="7" t="s">
        <v>62</v>
      </c>
      <c r="M34" s="26" t="s">
        <v>1357</v>
      </c>
      <c r="N34" s="26" t="s">
        <v>130</v>
      </c>
      <c r="O34" s="26" t="s">
        <v>1358</v>
      </c>
      <c r="P34" s="26" t="s">
        <v>1359</v>
      </c>
      <c r="Q34" s="26" t="s">
        <v>1360</v>
      </c>
      <c r="R34" s="7" t="s">
        <v>134</v>
      </c>
      <c r="S34" s="26" t="s">
        <v>1361</v>
      </c>
      <c r="T34" s="7" t="s">
        <v>136</v>
      </c>
      <c r="U34" s="7" t="s">
        <v>1362</v>
      </c>
      <c r="V34" s="26" t="s">
        <v>138</v>
      </c>
      <c r="W34" s="26" t="s">
        <v>160</v>
      </c>
      <c r="X34" s="7" t="s">
        <v>44</v>
      </c>
      <c r="Y34" s="26" t="s">
        <v>4388</v>
      </c>
      <c r="Z34" s="7" t="s">
        <v>93</v>
      </c>
      <c r="AA34" s="26" t="s">
        <v>5603</v>
      </c>
      <c r="AB34" s="7" t="str">
        <f aca="false">IF(AC34="Reject","Not ready",IF(Z34="Possible",IF(K34=1,"Core","Extended"),IF(K34=1,"Smoke",IF(K34=2,"Core","Extended"))))</f>
        <v>Core</v>
      </c>
      <c r="AC34" s="17" t="s">
        <v>7</v>
      </c>
      <c r="AD34" s="26" t="s">
        <v>1363</v>
      </c>
    </row>
    <row r="35" customFormat="false" ht="54.75" hidden="false" customHeight="true" outlineLevel="0" collapsed="false">
      <c r="A35" s="7" t="s">
        <v>1364</v>
      </c>
      <c r="B35" s="26" t="s">
        <v>1365</v>
      </c>
      <c r="C35" s="7" t="s">
        <v>38</v>
      </c>
      <c r="D35" s="7" t="s">
        <v>99</v>
      </c>
      <c r="E35" s="7" t="s">
        <v>1366</v>
      </c>
      <c r="F35" s="26" t="s">
        <v>1367</v>
      </c>
      <c r="G35" s="26" t="s">
        <v>1368</v>
      </c>
      <c r="H35" s="26" t="s">
        <v>1369</v>
      </c>
      <c r="I35" s="7" t="s">
        <v>50</v>
      </c>
      <c r="J35" s="15" t="s">
        <v>16</v>
      </c>
      <c r="K35" s="18" t="n">
        <v>2</v>
      </c>
      <c r="L35" s="7" t="s">
        <v>62</v>
      </c>
      <c r="M35" s="26" t="s">
        <v>1370</v>
      </c>
      <c r="N35" s="26" t="s">
        <v>176</v>
      </c>
      <c r="O35" s="26" t="s">
        <v>1371</v>
      </c>
      <c r="P35" s="26" t="s">
        <v>1372</v>
      </c>
      <c r="Q35" s="26" t="s">
        <v>1373</v>
      </c>
      <c r="R35" s="7" t="s">
        <v>134</v>
      </c>
      <c r="S35" s="26" t="s">
        <v>1374</v>
      </c>
      <c r="T35" s="7" t="s">
        <v>136</v>
      </c>
      <c r="U35" s="7" t="s">
        <v>1375</v>
      </c>
      <c r="V35" s="26" t="s">
        <v>1376</v>
      </c>
      <c r="W35" s="26" t="s">
        <v>139</v>
      </c>
      <c r="X35" s="7" t="s">
        <v>45</v>
      </c>
      <c r="Y35" s="26" t="s">
        <v>4388</v>
      </c>
      <c r="Z35" s="7" t="s">
        <v>93</v>
      </c>
      <c r="AA35" s="26" t="s">
        <v>5603</v>
      </c>
      <c r="AB35" s="7" t="str">
        <f aca="false">IF(AC35="Reject","Not ready",IF(Z35="Possible",IF(K35=1,"Core","Extended"),IF(K35=1,"Smoke",IF(K35=2,"Core","Extended"))))</f>
        <v>Core</v>
      </c>
      <c r="AC35" s="19" t="s">
        <v>9</v>
      </c>
      <c r="AD35" s="26" t="s">
        <v>1377</v>
      </c>
    </row>
    <row r="36" customFormat="false" ht="42" hidden="false" customHeight="true" outlineLevel="0" collapsed="false">
      <c r="A36" s="7" t="s">
        <v>1378</v>
      </c>
      <c r="B36" s="26" t="s">
        <v>1365</v>
      </c>
      <c r="C36" s="7" t="s">
        <v>38</v>
      </c>
      <c r="D36" s="7" t="s">
        <v>99</v>
      </c>
      <c r="E36" s="7" t="s">
        <v>1366</v>
      </c>
      <c r="F36" s="26" t="s">
        <v>1367</v>
      </c>
      <c r="G36" s="26" t="s">
        <v>1379</v>
      </c>
      <c r="H36" s="26" t="s">
        <v>1380</v>
      </c>
      <c r="I36" s="7" t="s">
        <v>52</v>
      </c>
      <c r="J36" s="15" t="s">
        <v>17</v>
      </c>
      <c r="K36" s="19" t="n">
        <v>3</v>
      </c>
      <c r="L36" s="7" t="s">
        <v>65</v>
      </c>
      <c r="M36" s="26" t="s">
        <v>1381</v>
      </c>
      <c r="N36" s="26" t="s">
        <v>176</v>
      </c>
      <c r="O36" s="26" t="s">
        <v>1371</v>
      </c>
      <c r="P36" s="26" t="s">
        <v>1382</v>
      </c>
      <c r="Q36" s="26" t="s">
        <v>1383</v>
      </c>
      <c r="R36" s="7" t="s">
        <v>134</v>
      </c>
      <c r="S36" s="26" t="s">
        <v>1374</v>
      </c>
      <c r="T36" s="7" t="s">
        <v>136</v>
      </c>
      <c r="U36" s="7" t="s">
        <v>1375</v>
      </c>
      <c r="V36" s="26" t="s">
        <v>1384</v>
      </c>
      <c r="W36" s="26" t="s">
        <v>139</v>
      </c>
      <c r="X36" s="7" t="s">
        <v>45</v>
      </c>
      <c r="Y36" s="26" t="s">
        <v>4388</v>
      </c>
      <c r="Z36" s="7" t="s">
        <v>93</v>
      </c>
      <c r="AA36" s="26" t="s">
        <v>5603</v>
      </c>
      <c r="AB36" s="7" t="str">
        <f aca="false">IF(AC36="Reject","Not ready",IF(Z36="Possible",IF(K36=1,"Core","Extended"),IF(K36=1,"Smoke",IF(K36=2,"Core","Extended"))))</f>
        <v>Extended</v>
      </c>
      <c r="AC36" s="19" t="s">
        <v>9</v>
      </c>
      <c r="AD36" s="26" t="s">
        <v>1385</v>
      </c>
    </row>
    <row r="37" customFormat="false" ht="54.75" hidden="false" customHeight="true" outlineLevel="0" collapsed="false">
      <c r="A37" s="7" t="s">
        <v>3310</v>
      </c>
      <c r="B37" s="26" t="s">
        <v>3311</v>
      </c>
      <c r="C37" s="7" t="s">
        <v>38</v>
      </c>
      <c r="D37" s="7" t="s">
        <v>99</v>
      </c>
      <c r="E37" s="7" t="s">
        <v>3312</v>
      </c>
      <c r="F37" s="26" t="s">
        <v>3313</v>
      </c>
      <c r="G37" s="26" t="s">
        <v>3314</v>
      </c>
      <c r="H37" s="26" t="s">
        <v>3315</v>
      </c>
      <c r="I37" s="7" t="s">
        <v>50</v>
      </c>
      <c r="J37" s="15" t="s">
        <v>16</v>
      </c>
      <c r="K37" s="18" t="n">
        <v>2</v>
      </c>
      <c r="L37" s="7" t="s">
        <v>62</v>
      </c>
      <c r="M37" s="26" t="s">
        <v>3316</v>
      </c>
      <c r="N37" s="26" t="s">
        <v>176</v>
      </c>
      <c r="O37" s="26" t="s">
        <v>1371</v>
      </c>
      <c r="P37" s="26" t="s">
        <v>3317</v>
      </c>
      <c r="Q37" s="26" t="s">
        <v>3318</v>
      </c>
      <c r="R37" s="7" t="s">
        <v>134</v>
      </c>
      <c r="S37" s="26" t="s">
        <v>3319</v>
      </c>
      <c r="T37" s="7" t="s">
        <v>136</v>
      </c>
      <c r="U37" s="7" t="s">
        <v>3320</v>
      </c>
      <c r="V37" s="26" t="s">
        <v>138</v>
      </c>
      <c r="W37" s="26" t="s">
        <v>139</v>
      </c>
      <c r="X37" s="7" t="s">
        <v>45</v>
      </c>
      <c r="Y37" s="26" t="s">
        <v>4388</v>
      </c>
      <c r="Z37" s="7" t="s">
        <v>93</v>
      </c>
      <c r="AA37" s="26" t="s">
        <v>5603</v>
      </c>
      <c r="AB37" s="7" t="str">
        <f aca="false">IF(AC37="Reject","Not ready",IF(Z37="Possible",IF(K37=1,"Core","Extended"),IF(K37=1,"Smoke",IF(K37=2,"Core","Extended"))))</f>
        <v>Core</v>
      </c>
      <c r="AC37" s="19" t="s">
        <v>9</v>
      </c>
      <c r="AD37" s="26" t="s">
        <v>3321</v>
      </c>
    </row>
    <row r="38" customFormat="false" ht="54.75" hidden="false" customHeight="true" outlineLevel="0" collapsed="false">
      <c r="A38" s="7" t="s">
        <v>3322</v>
      </c>
      <c r="B38" s="26" t="s">
        <v>3323</v>
      </c>
      <c r="C38" s="7" t="s">
        <v>38</v>
      </c>
      <c r="D38" s="7" t="s">
        <v>99</v>
      </c>
      <c r="E38" s="7" t="s">
        <v>3324</v>
      </c>
      <c r="F38" s="26" t="s">
        <v>3325</v>
      </c>
      <c r="G38" s="26" t="s">
        <v>3326</v>
      </c>
      <c r="H38" s="26" t="s">
        <v>3327</v>
      </c>
      <c r="I38" s="7" t="s">
        <v>55</v>
      </c>
      <c r="J38" s="15" t="s">
        <v>16</v>
      </c>
      <c r="K38" s="18" t="n">
        <v>2</v>
      </c>
      <c r="L38" s="7" t="s">
        <v>62</v>
      </c>
      <c r="M38" s="26" t="s">
        <v>3328</v>
      </c>
      <c r="N38" s="26" t="s">
        <v>176</v>
      </c>
      <c r="O38" s="26" t="s">
        <v>1371</v>
      </c>
      <c r="P38" s="26" t="s">
        <v>3329</v>
      </c>
      <c r="Q38" s="26" t="s">
        <v>3330</v>
      </c>
      <c r="R38" s="7" t="s">
        <v>134</v>
      </c>
      <c r="S38" s="26" t="s">
        <v>3331</v>
      </c>
      <c r="T38" s="7" t="s">
        <v>136</v>
      </c>
      <c r="U38" s="7" t="s">
        <v>3332</v>
      </c>
      <c r="V38" s="26" t="s">
        <v>138</v>
      </c>
      <c r="W38" s="26" t="s">
        <v>139</v>
      </c>
      <c r="X38" s="7" t="s">
        <v>45</v>
      </c>
      <c r="Y38" s="26" t="s">
        <v>4388</v>
      </c>
      <c r="Z38" s="7" t="s">
        <v>93</v>
      </c>
      <c r="AA38" s="26" t="s">
        <v>5603</v>
      </c>
      <c r="AB38" s="7" t="str">
        <f aca="false">IF(AC38="Reject","Not ready",IF(Z38="Possible",IF(K38=1,"Core","Extended"),IF(K38=1,"Smoke",IF(K38=2,"Core","Extended"))))</f>
        <v>Core</v>
      </c>
      <c r="AC38" s="19" t="s">
        <v>9</v>
      </c>
      <c r="AD38" s="26" t="s">
        <v>3333</v>
      </c>
    </row>
    <row r="39" customFormat="false" ht="42" hidden="false" customHeight="true" outlineLevel="0" collapsed="false">
      <c r="A39" s="7" t="s">
        <v>1565</v>
      </c>
      <c r="B39" s="26" t="s">
        <v>1566</v>
      </c>
      <c r="C39" s="7" t="s">
        <v>38</v>
      </c>
      <c r="D39" s="7" t="s">
        <v>100</v>
      </c>
      <c r="E39" s="7" t="s">
        <v>1567</v>
      </c>
      <c r="F39" s="26" t="s">
        <v>1568</v>
      </c>
      <c r="G39" s="26" t="s">
        <v>1569</v>
      </c>
      <c r="H39" s="26" t="s">
        <v>1570</v>
      </c>
      <c r="I39" s="7" t="s">
        <v>49</v>
      </c>
      <c r="J39" s="15" t="s">
        <v>16</v>
      </c>
      <c r="K39" s="16" t="n">
        <v>1</v>
      </c>
      <c r="L39" s="7" t="s">
        <v>63</v>
      </c>
      <c r="M39" s="26" t="s">
        <v>1571</v>
      </c>
      <c r="N39" s="26" t="s">
        <v>130</v>
      </c>
      <c r="O39" s="26" t="s">
        <v>1572</v>
      </c>
      <c r="P39" s="26" t="s">
        <v>1573</v>
      </c>
      <c r="Q39" s="26" t="s">
        <v>1574</v>
      </c>
      <c r="R39" s="7" t="s">
        <v>134</v>
      </c>
      <c r="S39" s="26" t="s">
        <v>1575</v>
      </c>
      <c r="T39" s="7" t="s">
        <v>269</v>
      </c>
      <c r="U39" s="7" t="s">
        <v>1576</v>
      </c>
      <c r="V39" s="26" t="s">
        <v>1577</v>
      </c>
      <c r="W39" s="26" t="s">
        <v>160</v>
      </c>
      <c r="X39" s="7" t="s">
        <v>44</v>
      </c>
      <c r="Y39" s="26" t="s">
        <v>4564</v>
      </c>
      <c r="Z39" s="7" t="s">
        <v>93</v>
      </c>
      <c r="AA39" s="26" t="s">
        <v>5604</v>
      </c>
      <c r="AB39" s="7" t="str">
        <f aca="false">IF(AC39="Reject","Not ready",IF(Z39="Possible",IF(K39=1,"Core","Extended"),IF(K39=1,"Smoke",IF(K39=2,"Core","Extended"))))</f>
        <v>Smoke</v>
      </c>
      <c r="AC39" s="19" t="s">
        <v>9</v>
      </c>
      <c r="AD39" s="26" t="s">
        <v>1578</v>
      </c>
    </row>
    <row r="40" customFormat="false" ht="42" hidden="false" customHeight="true" outlineLevel="0" collapsed="false">
      <c r="A40" s="7" t="s">
        <v>1579</v>
      </c>
      <c r="B40" s="26" t="s">
        <v>1566</v>
      </c>
      <c r="C40" s="7" t="s">
        <v>38</v>
      </c>
      <c r="D40" s="7" t="s">
        <v>100</v>
      </c>
      <c r="E40" s="7" t="s">
        <v>1567</v>
      </c>
      <c r="F40" s="26" t="s">
        <v>1568</v>
      </c>
      <c r="G40" s="26" t="s">
        <v>1580</v>
      </c>
      <c r="H40" s="26" t="s">
        <v>1581</v>
      </c>
      <c r="I40" s="7" t="s">
        <v>49</v>
      </c>
      <c r="J40" s="15" t="s">
        <v>16</v>
      </c>
      <c r="K40" s="16" t="n">
        <v>1</v>
      </c>
      <c r="L40" s="7" t="s">
        <v>63</v>
      </c>
      <c r="M40" s="26" t="s">
        <v>1571</v>
      </c>
      <c r="N40" s="26" t="s">
        <v>130</v>
      </c>
      <c r="O40" s="26" t="s">
        <v>1582</v>
      </c>
      <c r="P40" s="26" t="s">
        <v>1583</v>
      </c>
      <c r="Q40" s="26" t="s">
        <v>1584</v>
      </c>
      <c r="R40" s="7" t="s">
        <v>134</v>
      </c>
      <c r="S40" s="26" t="s">
        <v>1575</v>
      </c>
      <c r="T40" s="7" t="s">
        <v>269</v>
      </c>
      <c r="U40" s="7" t="s">
        <v>1576</v>
      </c>
      <c r="V40" s="26" t="s">
        <v>1577</v>
      </c>
      <c r="W40" s="26" t="s">
        <v>160</v>
      </c>
      <c r="X40" s="7" t="s">
        <v>44</v>
      </c>
      <c r="Y40" s="26" t="s">
        <v>4564</v>
      </c>
      <c r="Z40" s="7" t="s">
        <v>93</v>
      </c>
      <c r="AA40" s="26" t="s">
        <v>5604</v>
      </c>
      <c r="AB40" s="7" t="str">
        <f aca="false">IF(AC40="Reject","Not ready",IF(Z40="Possible",IF(K40=1,"Core","Extended"),IF(K40=1,"Smoke",IF(K40=2,"Core","Extended"))))</f>
        <v>Smoke</v>
      </c>
      <c r="AC40" s="19" t="s">
        <v>9</v>
      </c>
      <c r="AD40" s="26" t="s">
        <v>1585</v>
      </c>
    </row>
    <row r="41" customFormat="false" ht="42" hidden="false" customHeight="true" outlineLevel="0" collapsed="false">
      <c r="A41" s="7" t="s">
        <v>1586</v>
      </c>
      <c r="B41" s="26" t="s">
        <v>1566</v>
      </c>
      <c r="C41" s="7" t="s">
        <v>38</v>
      </c>
      <c r="D41" s="7" t="s">
        <v>100</v>
      </c>
      <c r="E41" s="7" t="s">
        <v>1567</v>
      </c>
      <c r="F41" s="26" t="s">
        <v>1568</v>
      </c>
      <c r="G41" s="26" t="s">
        <v>1587</v>
      </c>
      <c r="H41" s="26" t="s">
        <v>1588</v>
      </c>
      <c r="I41" s="7" t="s">
        <v>53</v>
      </c>
      <c r="J41" s="15" t="s">
        <v>17</v>
      </c>
      <c r="K41" s="18" t="n">
        <v>2</v>
      </c>
      <c r="L41" s="7" t="s">
        <v>62</v>
      </c>
      <c r="M41" s="26" t="s">
        <v>1589</v>
      </c>
      <c r="N41" s="26" t="s">
        <v>130</v>
      </c>
      <c r="O41" s="26" t="s">
        <v>1590</v>
      </c>
      <c r="P41" s="26" t="s">
        <v>1591</v>
      </c>
      <c r="Q41" s="26" t="s">
        <v>1592</v>
      </c>
      <c r="R41" s="7" t="s">
        <v>134</v>
      </c>
      <c r="S41" s="26" t="s">
        <v>1575</v>
      </c>
      <c r="T41" s="7" t="s">
        <v>136</v>
      </c>
      <c r="U41" s="7" t="s">
        <v>1576</v>
      </c>
      <c r="V41" s="26" t="s">
        <v>138</v>
      </c>
      <c r="W41" s="26" t="s">
        <v>160</v>
      </c>
      <c r="X41" s="7" t="s">
        <v>44</v>
      </c>
      <c r="Y41" s="26" t="s">
        <v>4564</v>
      </c>
      <c r="Z41" s="7" t="s">
        <v>93</v>
      </c>
      <c r="AA41" s="26" t="s">
        <v>5604</v>
      </c>
      <c r="AB41" s="7" t="str">
        <f aca="false">IF(AC41="Reject","Not ready",IF(Z41="Possible",IF(K41=1,"Core","Extended"),IF(K41=1,"Smoke",IF(K41=2,"Core","Extended"))))</f>
        <v>Core</v>
      </c>
      <c r="AC41" s="17" t="s">
        <v>7</v>
      </c>
      <c r="AD41" s="26" t="s">
        <v>1593</v>
      </c>
    </row>
    <row r="42" customFormat="false" ht="42" hidden="false" customHeight="true" outlineLevel="0" collapsed="false">
      <c r="A42" s="7" t="s">
        <v>2264</v>
      </c>
      <c r="B42" s="26" t="s">
        <v>2265</v>
      </c>
      <c r="C42" s="7" t="s">
        <v>38</v>
      </c>
      <c r="D42" s="7" t="s">
        <v>101</v>
      </c>
      <c r="E42" s="7" t="s">
        <v>2266</v>
      </c>
      <c r="F42" s="26" t="s">
        <v>2267</v>
      </c>
      <c r="G42" s="26" t="s">
        <v>2268</v>
      </c>
      <c r="H42" s="26" t="s">
        <v>2269</v>
      </c>
      <c r="I42" s="7" t="s">
        <v>49</v>
      </c>
      <c r="J42" s="15" t="s">
        <v>17</v>
      </c>
      <c r="K42" s="16" t="n">
        <v>1</v>
      </c>
      <c r="L42" s="7" t="s">
        <v>63</v>
      </c>
      <c r="M42" s="26" t="s">
        <v>2270</v>
      </c>
      <c r="N42" s="26" t="s">
        <v>130</v>
      </c>
      <c r="O42" s="26" t="s">
        <v>2271</v>
      </c>
      <c r="P42" s="26" t="s">
        <v>2272</v>
      </c>
      <c r="Q42" s="26" t="s">
        <v>2273</v>
      </c>
      <c r="R42" s="7" t="s">
        <v>134</v>
      </c>
      <c r="S42" s="26" t="s">
        <v>2274</v>
      </c>
      <c r="T42" s="7" t="s">
        <v>269</v>
      </c>
      <c r="U42" s="7" t="s">
        <v>2275</v>
      </c>
      <c r="V42" s="26" t="s">
        <v>2276</v>
      </c>
      <c r="W42" s="26" t="s">
        <v>160</v>
      </c>
      <c r="X42" s="7" t="s">
        <v>44</v>
      </c>
      <c r="Y42" s="26" t="s">
        <v>4564</v>
      </c>
      <c r="Z42" s="7" t="s">
        <v>93</v>
      </c>
      <c r="AA42" s="26" t="s">
        <v>5604</v>
      </c>
      <c r="AB42" s="7" t="str">
        <f aca="false">IF(AC42="Reject","Not ready",IF(Z42="Possible",IF(K42=1,"Core","Extended"),IF(K42=1,"Smoke",IF(K42=2,"Core","Extended"))))</f>
        <v>Smoke</v>
      </c>
      <c r="AC42" s="19" t="s">
        <v>9</v>
      </c>
      <c r="AD42" s="26" t="s">
        <v>2277</v>
      </c>
    </row>
    <row r="43" customFormat="false" ht="42" hidden="false" customHeight="true" outlineLevel="0" collapsed="false">
      <c r="A43" s="7" t="s">
        <v>2278</v>
      </c>
      <c r="B43" s="26" t="s">
        <v>2265</v>
      </c>
      <c r="C43" s="7" t="s">
        <v>38</v>
      </c>
      <c r="D43" s="7" t="s">
        <v>101</v>
      </c>
      <c r="E43" s="7" t="s">
        <v>2266</v>
      </c>
      <c r="F43" s="26" t="s">
        <v>2267</v>
      </c>
      <c r="G43" s="26" t="s">
        <v>2279</v>
      </c>
      <c r="H43" s="26" t="s">
        <v>2280</v>
      </c>
      <c r="I43" s="7" t="s">
        <v>49</v>
      </c>
      <c r="J43" s="15" t="s">
        <v>17</v>
      </c>
      <c r="K43" s="16" t="n">
        <v>1</v>
      </c>
      <c r="L43" s="7" t="s">
        <v>63</v>
      </c>
      <c r="M43" s="26" t="s">
        <v>2281</v>
      </c>
      <c r="N43" s="26" t="s">
        <v>130</v>
      </c>
      <c r="O43" s="26" t="s">
        <v>2282</v>
      </c>
      <c r="P43" s="26" t="s">
        <v>2283</v>
      </c>
      <c r="Q43" s="26" t="s">
        <v>2284</v>
      </c>
      <c r="R43" s="7" t="s">
        <v>134</v>
      </c>
      <c r="S43" s="26" t="s">
        <v>2274</v>
      </c>
      <c r="T43" s="7" t="s">
        <v>269</v>
      </c>
      <c r="U43" s="7" t="s">
        <v>2275</v>
      </c>
      <c r="V43" s="26" t="s">
        <v>2276</v>
      </c>
      <c r="W43" s="26" t="s">
        <v>160</v>
      </c>
      <c r="X43" s="7" t="s">
        <v>44</v>
      </c>
      <c r="Y43" s="26" t="s">
        <v>4564</v>
      </c>
      <c r="Z43" s="7" t="s">
        <v>93</v>
      </c>
      <c r="AA43" s="26" t="s">
        <v>5604</v>
      </c>
      <c r="AB43" s="7" t="str">
        <f aca="false">IF(AC43="Reject","Not ready",IF(Z43="Possible",IF(K43=1,"Core","Extended"),IF(K43=1,"Smoke",IF(K43=2,"Core","Extended"))))</f>
        <v>Smoke</v>
      </c>
      <c r="AC43" s="19" t="s">
        <v>9</v>
      </c>
      <c r="AD43" s="26" t="s">
        <v>2285</v>
      </c>
    </row>
    <row r="44" customFormat="false" ht="54.75" hidden="false" customHeight="true" outlineLevel="0" collapsed="false">
      <c r="A44" s="7" t="s">
        <v>2286</v>
      </c>
      <c r="B44" s="26" t="s">
        <v>2265</v>
      </c>
      <c r="C44" s="7" t="s">
        <v>38</v>
      </c>
      <c r="D44" s="7" t="s">
        <v>101</v>
      </c>
      <c r="E44" s="7" t="s">
        <v>2266</v>
      </c>
      <c r="F44" s="26" t="s">
        <v>2267</v>
      </c>
      <c r="G44" s="26" t="s">
        <v>2287</v>
      </c>
      <c r="H44" s="26" t="s">
        <v>2288</v>
      </c>
      <c r="I44" s="7" t="s">
        <v>49</v>
      </c>
      <c r="J44" s="15" t="s">
        <v>18</v>
      </c>
      <c r="K44" s="18" t="n">
        <v>2</v>
      </c>
      <c r="L44" s="7" t="s">
        <v>63</v>
      </c>
      <c r="M44" s="26" t="s">
        <v>2289</v>
      </c>
      <c r="N44" s="26" t="s">
        <v>130</v>
      </c>
      <c r="O44" s="26" t="s">
        <v>2290</v>
      </c>
      <c r="P44" s="26" t="s">
        <v>2291</v>
      </c>
      <c r="Q44" s="26" t="s">
        <v>2292</v>
      </c>
      <c r="R44" s="7" t="s">
        <v>134</v>
      </c>
      <c r="S44" s="26" t="s">
        <v>2274</v>
      </c>
      <c r="T44" s="7" t="s">
        <v>269</v>
      </c>
      <c r="U44" s="7" t="s">
        <v>2275</v>
      </c>
      <c r="V44" s="26" t="s">
        <v>2276</v>
      </c>
      <c r="W44" s="26" t="s">
        <v>160</v>
      </c>
      <c r="X44" s="7" t="s">
        <v>44</v>
      </c>
      <c r="Y44" s="26" t="s">
        <v>4564</v>
      </c>
      <c r="Z44" s="7" t="s">
        <v>93</v>
      </c>
      <c r="AA44" s="26" t="s">
        <v>5604</v>
      </c>
      <c r="AB44" s="7" t="str">
        <f aca="false">IF(AC44="Reject","Not ready",IF(Z44="Possible",IF(K44=1,"Core","Extended"),IF(K44=1,"Smoke",IF(K44=2,"Core","Extended"))))</f>
        <v>Core</v>
      </c>
      <c r="AC44" s="19" t="s">
        <v>9</v>
      </c>
      <c r="AD44" s="26" t="s">
        <v>2293</v>
      </c>
    </row>
    <row r="45" customFormat="false" ht="42" hidden="false" customHeight="true" outlineLevel="0" collapsed="false">
      <c r="A45" s="7" t="s">
        <v>2294</v>
      </c>
      <c r="B45" s="26" t="s">
        <v>2265</v>
      </c>
      <c r="C45" s="7" t="s">
        <v>38</v>
      </c>
      <c r="D45" s="7" t="s">
        <v>101</v>
      </c>
      <c r="E45" s="7" t="s">
        <v>2266</v>
      </c>
      <c r="F45" s="26" t="s">
        <v>2267</v>
      </c>
      <c r="G45" s="26" t="s">
        <v>2295</v>
      </c>
      <c r="H45" s="26" t="s">
        <v>2296</v>
      </c>
      <c r="I45" s="7" t="s">
        <v>51</v>
      </c>
      <c r="J45" s="15" t="s">
        <v>18</v>
      </c>
      <c r="K45" s="18" t="n">
        <v>2</v>
      </c>
      <c r="L45" s="7" t="s">
        <v>62</v>
      </c>
      <c r="M45" s="26" t="s">
        <v>2297</v>
      </c>
      <c r="N45" s="26" t="s">
        <v>176</v>
      </c>
      <c r="O45" s="26" t="s">
        <v>2298</v>
      </c>
      <c r="P45" s="26" t="s">
        <v>2299</v>
      </c>
      <c r="Q45" s="26" t="s">
        <v>2300</v>
      </c>
      <c r="R45" s="7" t="s">
        <v>134</v>
      </c>
      <c r="S45" s="26" t="s">
        <v>2274</v>
      </c>
      <c r="T45" s="7" t="s">
        <v>136</v>
      </c>
      <c r="U45" s="7" t="s">
        <v>2275</v>
      </c>
      <c r="V45" s="26" t="s">
        <v>2276</v>
      </c>
      <c r="W45" s="26" t="s">
        <v>160</v>
      </c>
      <c r="X45" s="7" t="s">
        <v>44</v>
      </c>
      <c r="Y45" s="26" t="s">
        <v>4564</v>
      </c>
      <c r="Z45" s="7" t="s">
        <v>93</v>
      </c>
      <c r="AA45" s="26" t="s">
        <v>5604</v>
      </c>
      <c r="AB45" s="7" t="str">
        <f aca="false">IF(AC45="Reject","Not ready",IF(Z45="Possible",IF(K45=1,"Core","Extended"),IF(K45=1,"Smoke",IF(K45=2,"Core","Extended"))))</f>
        <v>Core</v>
      </c>
      <c r="AC45" s="19" t="s">
        <v>9</v>
      </c>
      <c r="AD45" s="26" t="s">
        <v>2301</v>
      </c>
    </row>
    <row r="46" customFormat="false" ht="42" hidden="false" customHeight="true" outlineLevel="0" collapsed="false">
      <c r="A46" s="7" t="s">
        <v>2302</v>
      </c>
      <c r="B46" s="26" t="s">
        <v>2303</v>
      </c>
      <c r="C46" s="7" t="s">
        <v>38</v>
      </c>
      <c r="D46" s="7" t="s">
        <v>101</v>
      </c>
      <c r="E46" s="7" t="s">
        <v>2304</v>
      </c>
      <c r="F46" s="26" t="s">
        <v>2305</v>
      </c>
      <c r="G46" s="26" t="s">
        <v>2306</v>
      </c>
      <c r="H46" s="26" t="s">
        <v>2307</v>
      </c>
      <c r="I46" s="7" t="s">
        <v>51</v>
      </c>
      <c r="J46" s="15" t="s">
        <v>18</v>
      </c>
      <c r="K46" s="18" t="n">
        <v>2</v>
      </c>
      <c r="L46" s="7" t="s">
        <v>62</v>
      </c>
      <c r="M46" s="26" t="s">
        <v>2308</v>
      </c>
      <c r="N46" s="26" t="s">
        <v>130</v>
      </c>
      <c r="O46" s="26" t="s">
        <v>2309</v>
      </c>
      <c r="P46" s="26" t="s">
        <v>2310</v>
      </c>
      <c r="Q46" s="26" t="s">
        <v>2311</v>
      </c>
      <c r="R46" s="7" t="s">
        <v>134</v>
      </c>
      <c r="S46" s="26" t="s">
        <v>2312</v>
      </c>
      <c r="T46" s="7" t="s">
        <v>136</v>
      </c>
      <c r="U46" s="7" t="s">
        <v>2313</v>
      </c>
      <c r="V46" s="26" t="s">
        <v>2276</v>
      </c>
      <c r="W46" s="26" t="s">
        <v>139</v>
      </c>
      <c r="X46" s="7" t="s">
        <v>45</v>
      </c>
      <c r="Y46" s="26" t="s">
        <v>4564</v>
      </c>
      <c r="Z46" s="7" t="s">
        <v>93</v>
      </c>
      <c r="AA46" s="26" t="s">
        <v>5604</v>
      </c>
      <c r="AB46" s="7" t="str">
        <f aca="false">IF(AC46="Reject","Not ready",IF(Z46="Possible",IF(K46=1,"Core","Extended"),IF(K46=1,"Smoke",IF(K46=2,"Core","Extended"))))</f>
        <v>Core</v>
      </c>
      <c r="AC46" s="19" t="s">
        <v>9</v>
      </c>
      <c r="AD46" s="26" t="s">
        <v>2314</v>
      </c>
    </row>
    <row r="47" customFormat="false" ht="42" hidden="false" customHeight="true" outlineLevel="0" collapsed="false">
      <c r="A47" s="7" t="s">
        <v>2315</v>
      </c>
      <c r="B47" s="26" t="s">
        <v>2303</v>
      </c>
      <c r="C47" s="7" t="s">
        <v>38</v>
      </c>
      <c r="D47" s="7" t="s">
        <v>101</v>
      </c>
      <c r="E47" s="7" t="s">
        <v>2304</v>
      </c>
      <c r="F47" s="26" t="s">
        <v>2305</v>
      </c>
      <c r="G47" s="26" t="s">
        <v>2316</v>
      </c>
      <c r="H47" s="26" t="s">
        <v>2317</v>
      </c>
      <c r="I47" s="7" t="s">
        <v>49</v>
      </c>
      <c r="J47" s="15" t="s">
        <v>18</v>
      </c>
      <c r="K47" s="18" t="n">
        <v>2</v>
      </c>
      <c r="L47" s="7" t="s">
        <v>62</v>
      </c>
      <c r="M47" s="26" t="s">
        <v>2318</v>
      </c>
      <c r="N47" s="26" t="s">
        <v>130</v>
      </c>
      <c r="O47" s="26" t="s">
        <v>2319</v>
      </c>
      <c r="P47" s="26" t="s">
        <v>2320</v>
      </c>
      <c r="Q47" s="26" t="s">
        <v>2321</v>
      </c>
      <c r="R47" s="7" t="s">
        <v>134</v>
      </c>
      <c r="S47" s="26" t="s">
        <v>2312</v>
      </c>
      <c r="T47" s="7" t="s">
        <v>136</v>
      </c>
      <c r="U47" s="7" t="s">
        <v>2313</v>
      </c>
      <c r="V47" s="26" t="s">
        <v>2276</v>
      </c>
      <c r="W47" s="26" t="s">
        <v>160</v>
      </c>
      <c r="X47" s="7" t="s">
        <v>44</v>
      </c>
      <c r="Y47" s="26" t="s">
        <v>4564</v>
      </c>
      <c r="Z47" s="7" t="s">
        <v>93</v>
      </c>
      <c r="AA47" s="26" t="s">
        <v>5604</v>
      </c>
      <c r="AB47" s="7" t="str">
        <f aca="false">IF(AC47="Reject","Not ready",IF(Z47="Possible",IF(K47=1,"Core","Extended"),IF(K47=1,"Smoke",IF(K47=2,"Core","Extended"))))</f>
        <v>Core</v>
      </c>
      <c r="AC47" s="19" t="s">
        <v>9</v>
      </c>
      <c r="AD47" s="26" t="s">
        <v>2322</v>
      </c>
    </row>
    <row r="48" customFormat="false" ht="67.5" hidden="false" customHeight="true" outlineLevel="0" collapsed="false">
      <c r="A48" s="7" t="s">
        <v>1708</v>
      </c>
      <c r="B48" s="26" t="s">
        <v>1709</v>
      </c>
      <c r="C48" s="7" t="s">
        <v>38</v>
      </c>
      <c r="D48" s="7" t="s">
        <v>100</v>
      </c>
      <c r="E48" s="7" t="s">
        <v>1710</v>
      </c>
      <c r="F48" s="26" t="s">
        <v>1711</v>
      </c>
      <c r="G48" s="26" t="s">
        <v>1712</v>
      </c>
      <c r="H48" s="26" t="s">
        <v>1713</v>
      </c>
      <c r="I48" s="7" t="s">
        <v>54</v>
      </c>
      <c r="J48" s="15" t="s">
        <v>16</v>
      </c>
      <c r="K48" s="16" t="n">
        <v>1</v>
      </c>
      <c r="L48" s="7" t="s">
        <v>63</v>
      </c>
      <c r="M48" s="26" t="s">
        <v>1714</v>
      </c>
      <c r="N48" s="26" t="s">
        <v>130</v>
      </c>
      <c r="O48" s="26" t="s">
        <v>1715</v>
      </c>
      <c r="P48" s="26" t="s">
        <v>1716</v>
      </c>
      <c r="Q48" s="26" t="s">
        <v>1717</v>
      </c>
      <c r="R48" s="7" t="s">
        <v>134</v>
      </c>
      <c r="S48" s="26" t="s">
        <v>1718</v>
      </c>
      <c r="T48" s="7" t="s">
        <v>269</v>
      </c>
      <c r="U48" s="7" t="s">
        <v>1719</v>
      </c>
      <c r="V48" s="26" t="s">
        <v>1720</v>
      </c>
      <c r="W48" s="26" t="s">
        <v>160</v>
      </c>
      <c r="X48" s="7" t="s">
        <v>44</v>
      </c>
      <c r="Y48" s="26" t="s">
        <v>4472</v>
      </c>
      <c r="Z48" s="7" t="s">
        <v>93</v>
      </c>
      <c r="AA48" s="26" t="s">
        <v>5605</v>
      </c>
      <c r="AB48" s="7" t="str">
        <f aca="false">IF(AC48="Reject","Not ready",IF(Z48="Possible",IF(K48=1,"Core","Extended"),IF(K48=1,"Smoke",IF(K48=2,"Core","Extended"))))</f>
        <v>Smoke</v>
      </c>
      <c r="AC48" s="19" t="s">
        <v>9</v>
      </c>
      <c r="AD48" s="26" t="s">
        <v>1721</v>
      </c>
    </row>
    <row r="49" customFormat="false" ht="42" hidden="false" customHeight="true" outlineLevel="0" collapsed="false">
      <c r="A49" s="7" t="s">
        <v>1722</v>
      </c>
      <c r="B49" s="26" t="s">
        <v>1709</v>
      </c>
      <c r="C49" s="7" t="s">
        <v>38</v>
      </c>
      <c r="D49" s="7" t="s">
        <v>100</v>
      </c>
      <c r="E49" s="7" t="s">
        <v>1710</v>
      </c>
      <c r="F49" s="26" t="s">
        <v>1711</v>
      </c>
      <c r="G49" s="26" t="s">
        <v>1723</v>
      </c>
      <c r="H49" s="26" t="s">
        <v>1724</v>
      </c>
      <c r="I49" s="7" t="s">
        <v>53</v>
      </c>
      <c r="J49" s="15" t="s">
        <v>17</v>
      </c>
      <c r="K49" s="18" t="n">
        <v>2</v>
      </c>
      <c r="L49" s="7" t="s">
        <v>62</v>
      </c>
      <c r="M49" s="26" t="s">
        <v>1725</v>
      </c>
      <c r="N49" s="26" t="s">
        <v>130</v>
      </c>
      <c r="O49" s="26" t="s">
        <v>1726</v>
      </c>
      <c r="P49" s="26" t="s">
        <v>1727</v>
      </c>
      <c r="Q49" s="26" t="s">
        <v>1728</v>
      </c>
      <c r="R49" s="7" t="s">
        <v>134</v>
      </c>
      <c r="S49" s="26" t="s">
        <v>1718</v>
      </c>
      <c r="T49" s="7" t="s">
        <v>269</v>
      </c>
      <c r="U49" s="7" t="s">
        <v>1719</v>
      </c>
      <c r="V49" s="26" t="s">
        <v>138</v>
      </c>
      <c r="W49" s="26" t="s">
        <v>160</v>
      </c>
      <c r="X49" s="7" t="s">
        <v>44</v>
      </c>
      <c r="Y49" s="26" t="s">
        <v>4472</v>
      </c>
      <c r="Z49" s="7" t="s">
        <v>93</v>
      </c>
      <c r="AA49" s="26" t="s">
        <v>5605</v>
      </c>
      <c r="AB49" s="7" t="str">
        <f aca="false">IF(AC49="Reject","Not ready",IF(Z49="Possible",IF(K49=1,"Core","Extended"),IF(K49=1,"Smoke",IF(K49=2,"Core","Extended"))))</f>
        <v>Core</v>
      </c>
      <c r="AC49" s="17" t="s">
        <v>7</v>
      </c>
      <c r="AD49" s="26" t="s">
        <v>1729</v>
      </c>
    </row>
    <row r="50" customFormat="false" ht="54.75" hidden="false" customHeight="true" outlineLevel="0" collapsed="false">
      <c r="A50" s="7" t="s">
        <v>2026</v>
      </c>
      <c r="B50" s="26" t="s">
        <v>2027</v>
      </c>
      <c r="C50" s="7" t="s">
        <v>38</v>
      </c>
      <c r="D50" s="7" t="s">
        <v>100</v>
      </c>
      <c r="E50" s="7" t="s">
        <v>2028</v>
      </c>
      <c r="F50" s="26" t="s">
        <v>2029</v>
      </c>
      <c r="G50" s="26" t="s">
        <v>2030</v>
      </c>
      <c r="H50" s="26" t="s">
        <v>2031</v>
      </c>
      <c r="I50" s="7" t="s">
        <v>48</v>
      </c>
      <c r="J50" s="27" t="s">
        <v>16</v>
      </c>
      <c r="K50" s="28" t="n">
        <v>1</v>
      </c>
      <c r="L50" s="7" t="s">
        <v>64</v>
      </c>
      <c r="M50" s="26" t="s">
        <v>2032</v>
      </c>
      <c r="N50" s="26" t="s">
        <v>130</v>
      </c>
      <c r="O50" s="26" t="s">
        <v>2033</v>
      </c>
      <c r="P50" s="26" t="s">
        <v>2034</v>
      </c>
      <c r="Q50" s="26" t="s">
        <v>2035</v>
      </c>
      <c r="R50" s="7" t="s">
        <v>134</v>
      </c>
      <c r="S50" s="26" t="s">
        <v>2036</v>
      </c>
      <c r="T50" s="7" t="s">
        <v>256</v>
      </c>
      <c r="U50" s="7" t="s">
        <v>2037</v>
      </c>
      <c r="V50" s="26" t="s">
        <v>2038</v>
      </c>
      <c r="W50" s="26" t="s">
        <v>160</v>
      </c>
      <c r="X50" s="7" t="s">
        <v>44</v>
      </c>
      <c r="Y50" s="26" t="s">
        <v>4472</v>
      </c>
      <c r="Z50" s="7" t="s">
        <v>93</v>
      </c>
      <c r="AA50" s="26" t="s">
        <v>5606</v>
      </c>
      <c r="AB50" s="7" t="str">
        <f aca="false">IF(AC50="Reject","Not ready",IF(Z50="Possible",IF(K50=1,"Core","Extended"),IF(K50=1,"Smoke",IF(K50=2,"Core","Extended"))))</f>
        <v>Smoke</v>
      </c>
      <c r="AC50" s="19" t="s">
        <v>9</v>
      </c>
      <c r="AD50" s="26" t="s">
        <v>2039</v>
      </c>
    </row>
    <row r="51" customFormat="false" ht="42" hidden="false" customHeight="true" outlineLevel="0" collapsed="false">
      <c r="A51" s="7" t="s">
        <v>2040</v>
      </c>
      <c r="B51" s="26" t="s">
        <v>2027</v>
      </c>
      <c r="C51" s="7" t="s">
        <v>38</v>
      </c>
      <c r="D51" s="7" t="s">
        <v>100</v>
      </c>
      <c r="E51" s="7" t="s">
        <v>2028</v>
      </c>
      <c r="F51" s="26" t="s">
        <v>2029</v>
      </c>
      <c r="G51" s="26" t="s">
        <v>2041</v>
      </c>
      <c r="H51" s="26" t="s">
        <v>2042</v>
      </c>
      <c r="I51" s="7" t="s">
        <v>49</v>
      </c>
      <c r="J51" s="15" t="s">
        <v>17</v>
      </c>
      <c r="K51" s="18" t="n">
        <v>2</v>
      </c>
      <c r="L51" s="7" t="s">
        <v>63</v>
      </c>
      <c r="M51" s="26" t="s">
        <v>2043</v>
      </c>
      <c r="N51" s="26" t="s">
        <v>130</v>
      </c>
      <c r="O51" s="26" t="s">
        <v>1715</v>
      </c>
      <c r="P51" s="26" t="s">
        <v>2044</v>
      </c>
      <c r="Q51" s="26" t="s">
        <v>2045</v>
      </c>
      <c r="R51" s="7" t="s">
        <v>134</v>
      </c>
      <c r="S51" s="26" t="s">
        <v>2036</v>
      </c>
      <c r="T51" s="7" t="s">
        <v>269</v>
      </c>
      <c r="U51" s="7" t="s">
        <v>2037</v>
      </c>
      <c r="V51" s="26" t="s">
        <v>2038</v>
      </c>
      <c r="W51" s="26" t="s">
        <v>160</v>
      </c>
      <c r="X51" s="7" t="s">
        <v>44</v>
      </c>
      <c r="Y51" s="26" t="s">
        <v>4472</v>
      </c>
      <c r="Z51" s="7" t="s">
        <v>93</v>
      </c>
      <c r="AA51" s="26" t="s">
        <v>5605</v>
      </c>
      <c r="AB51" s="7" t="str">
        <f aca="false">IF(AC51="Reject","Not ready",IF(Z51="Possible",IF(K51=1,"Core","Extended"),IF(K51=1,"Smoke",IF(K51=2,"Core","Extended"))))</f>
        <v>Core</v>
      </c>
      <c r="AC51" s="19" t="s">
        <v>9</v>
      </c>
      <c r="AD51" s="26" t="s">
        <v>2046</v>
      </c>
    </row>
    <row r="52" customFormat="false" ht="42" hidden="false" customHeight="true" outlineLevel="0" collapsed="false">
      <c r="A52" s="7" t="s">
        <v>2047</v>
      </c>
      <c r="B52" s="26" t="s">
        <v>2027</v>
      </c>
      <c r="C52" s="7" t="s">
        <v>38</v>
      </c>
      <c r="D52" s="7" t="s">
        <v>100</v>
      </c>
      <c r="E52" s="7" t="s">
        <v>2028</v>
      </c>
      <c r="F52" s="26" t="s">
        <v>2029</v>
      </c>
      <c r="G52" s="26" t="s">
        <v>2048</v>
      </c>
      <c r="H52" s="26" t="s">
        <v>2049</v>
      </c>
      <c r="I52" s="7" t="s">
        <v>49</v>
      </c>
      <c r="J52" s="15" t="s">
        <v>17</v>
      </c>
      <c r="K52" s="18" t="n">
        <v>2</v>
      </c>
      <c r="L52" s="7" t="s">
        <v>63</v>
      </c>
      <c r="M52" s="26" t="s">
        <v>2050</v>
      </c>
      <c r="N52" s="26" t="s">
        <v>130</v>
      </c>
      <c r="O52" s="26" t="s">
        <v>2051</v>
      </c>
      <c r="P52" s="26" t="s">
        <v>2052</v>
      </c>
      <c r="Q52" s="26" t="s">
        <v>2053</v>
      </c>
      <c r="R52" s="7" t="s">
        <v>134</v>
      </c>
      <c r="S52" s="26" t="s">
        <v>2036</v>
      </c>
      <c r="T52" s="7" t="s">
        <v>269</v>
      </c>
      <c r="U52" s="7" t="s">
        <v>2037</v>
      </c>
      <c r="V52" s="26" t="s">
        <v>2054</v>
      </c>
      <c r="W52" s="26" t="s">
        <v>160</v>
      </c>
      <c r="X52" s="7" t="s">
        <v>44</v>
      </c>
      <c r="Y52" s="26" t="s">
        <v>4472</v>
      </c>
      <c r="Z52" s="7" t="s">
        <v>93</v>
      </c>
      <c r="AA52" s="26" t="s">
        <v>5605</v>
      </c>
      <c r="AB52" s="7" t="str">
        <f aca="false">IF(AC52="Reject","Not ready",IF(Z52="Possible",IF(K52=1,"Core","Extended"),IF(K52=1,"Smoke",IF(K52=2,"Core","Extended"))))</f>
        <v>Core</v>
      </c>
      <c r="AC52" s="19" t="s">
        <v>9</v>
      </c>
      <c r="AD52" s="26" t="s">
        <v>2055</v>
      </c>
    </row>
    <row r="53" customFormat="false" ht="42" hidden="false" customHeight="true" outlineLevel="0" collapsed="false">
      <c r="A53" s="7" t="s">
        <v>2056</v>
      </c>
      <c r="B53" s="26" t="s">
        <v>2027</v>
      </c>
      <c r="C53" s="7" t="s">
        <v>38</v>
      </c>
      <c r="D53" s="7" t="s">
        <v>100</v>
      </c>
      <c r="E53" s="7" t="s">
        <v>2028</v>
      </c>
      <c r="F53" s="26" t="s">
        <v>2029</v>
      </c>
      <c r="G53" s="26" t="s">
        <v>2057</v>
      </c>
      <c r="H53" s="26" t="s">
        <v>2058</v>
      </c>
      <c r="I53" s="7" t="s">
        <v>48</v>
      </c>
      <c r="J53" s="15" t="s">
        <v>16</v>
      </c>
      <c r="K53" s="16" t="n">
        <v>1</v>
      </c>
      <c r="L53" s="7" t="s">
        <v>64</v>
      </c>
      <c r="M53" s="26" t="s">
        <v>2059</v>
      </c>
      <c r="N53" s="26" t="s">
        <v>130</v>
      </c>
      <c r="O53" s="26" t="s">
        <v>2060</v>
      </c>
      <c r="P53" s="26" t="s">
        <v>2061</v>
      </c>
      <c r="Q53" s="26" t="s">
        <v>2062</v>
      </c>
      <c r="R53" s="7" t="s">
        <v>134</v>
      </c>
      <c r="S53" s="26" t="s">
        <v>2036</v>
      </c>
      <c r="T53" s="7" t="s">
        <v>256</v>
      </c>
      <c r="U53" s="7" t="s">
        <v>2037</v>
      </c>
      <c r="V53" s="26" t="s">
        <v>2038</v>
      </c>
      <c r="W53" s="26" t="s">
        <v>160</v>
      </c>
      <c r="X53" s="7" t="s">
        <v>44</v>
      </c>
      <c r="Y53" s="26" t="s">
        <v>4472</v>
      </c>
      <c r="Z53" s="7" t="s">
        <v>93</v>
      </c>
      <c r="AA53" s="26" t="s">
        <v>5605</v>
      </c>
      <c r="AB53" s="7" t="str">
        <f aca="false">IF(AC53="Reject","Not ready",IF(Z53="Possible",IF(K53=1,"Core","Extended"),IF(K53=1,"Smoke",IF(K53=2,"Core","Extended"))))</f>
        <v>Smoke</v>
      </c>
      <c r="AC53" s="19" t="s">
        <v>9</v>
      </c>
      <c r="AD53" s="26" t="s">
        <v>2063</v>
      </c>
    </row>
    <row r="54" customFormat="false" ht="42" hidden="false" customHeight="true" outlineLevel="0" collapsed="false">
      <c r="A54" s="7" t="s">
        <v>2372</v>
      </c>
      <c r="B54" s="26" t="s">
        <v>2373</v>
      </c>
      <c r="C54" s="7" t="s">
        <v>38</v>
      </c>
      <c r="D54" s="7" t="s">
        <v>101</v>
      </c>
      <c r="E54" s="7" t="s">
        <v>2374</v>
      </c>
      <c r="F54" s="26" t="s">
        <v>2375</v>
      </c>
      <c r="G54" s="26" t="s">
        <v>2376</v>
      </c>
      <c r="H54" s="26" t="s">
        <v>2377</v>
      </c>
      <c r="I54" s="7" t="s">
        <v>54</v>
      </c>
      <c r="J54" s="15" t="s">
        <v>18</v>
      </c>
      <c r="K54" s="18" t="n">
        <v>2</v>
      </c>
      <c r="L54" s="7" t="s">
        <v>63</v>
      </c>
      <c r="M54" s="26" t="s">
        <v>2043</v>
      </c>
      <c r="N54" s="26" t="s">
        <v>130</v>
      </c>
      <c r="O54" s="26" t="s">
        <v>1715</v>
      </c>
      <c r="P54" s="26" t="s">
        <v>2378</v>
      </c>
      <c r="Q54" s="26" t="s">
        <v>2379</v>
      </c>
      <c r="R54" s="7" t="s">
        <v>134</v>
      </c>
      <c r="S54" s="26" t="s">
        <v>2380</v>
      </c>
      <c r="T54" s="7" t="s">
        <v>269</v>
      </c>
      <c r="U54" s="7" t="s">
        <v>2381</v>
      </c>
      <c r="V54" s="26" t="s">
        <v>138</v>
      </c>
      <c r="W54" s="26" t="s">
        <v>160</v>
      </c>
      <c r="X54" s="7" t="s">
        <v>44</v>
      </c>
      <c r="Y54" s="26" t="s">
        <v>4472</v>
      </c>
      <c r="Z54" s="7" t="s">
        <v>93</v>
      </c>
      <c r="AA54" s="26" t="s">
        <v>5605</v>
      </c>
      <c r="AB54" s="7" t="str">
        <f aca="false">IF(AC54="Reject","Not ready",IF(Z54="Possible",IF(K54=1,"Core","Extended"),IF(K54=1,"Smoke",IF(K54=2,"Core","Extended"))))</f>
        <v>Core</v>
      </c>
      <c r="AC54" s="17" t="s">
        <v>7</v>
      </c>
      <c r="AD54" s="26" t="s">
        <v>2382</v>
      </c>
    </row>
    <row r="55" customFormat="false" ht="42" hidden="false" customHeight="true" outlineLevel="0" collapsed="false">
      <c r="A55" s="7" t="s">
        <v>2383</v>
      </c>
      <c r="B55" s="26" t="s">
        <v>2373</v>
      </c>
      <c r="C55" s="7" t="s">
        <v>38</v>
      </c>
      <c r="D55" s="7" t="s">
        <v>101</v>
      </c>
      <c r="E55" s="7" t="s">
        <v>2374</v>
      </c>
      <c r="F55" s="26" t="s">
        <v>2375</v>
      </c>
      <c r="G55" s="26" t="s">
        <v>2384</v>
      </c>
      <c r="H55" s="26" t="s">
        <v>2385</v>
      </c>
      <c r="I55" s="7" t="s">
        <v>54</v>
      </c>
      <c r="J55" s="15" t="s">
        <v>18</v>
      </c>
      <c r="K55" s="18" t="n">
        <v>2</v>
      </c>
      <c r="L55" s="7" t="s">
        <v>63</v>
      </c>
      <c r="M55" s="26" t="s">
        <v>2386</v>
      </c>
      <c r="N55" s="26" t="s">
        <v>130</v>
      </c>
      <c r="O55" s="26" t="s">
        <v>1715</v>
      </c>
      <c r="P55" s="26" t="s">
        <v>2387</v>
      </c>
      <c r="Q55" s="26" t="s">
        <v>2388</v>
      </c>
      <c r="R55" s="7" t="s">
        <v>134</v>
      </c>
      <c r="S55" s="26" t="s">
        <v>2380</v>
      </c>
      <c r="T55" s="7" t="s">
        <v>269</v>
      </c>
      <c r="U55" s="7" t="s">
        <v>2381</v>
      </c>
      <c r="V55" s="26" t="s">
        <v>138</v>
      </c>
      <c r="W55" s="26" t="s">
        <v>160</v>
      </c>
      <c r="X55" s="7" t="s">
        <v>44</v>
      </c>
      <c r="Y55" s="26" t="s">
        <v>4472</v>
      </c>
      <c r="Z55" s="7" t="s">
        <v>93</v>
      </c>
      <c r="AA55" s="26" t="s">
        <v>5605</v>
      </c>
      <c r="AB55" s="7" t="str">
        <f aca="false">IF(AC55="Reject","Not ready",IF(Z55="Possible",IF(K55=1,"Core","Extended"),IF(K55=1,"Smoke",IF(K55=2,"Core","Extended"))))</f>
        <v>Core</v>
      </c>
      <c r="AC55" s="17" t="s">
        <v>7</v>
      </c>
      <c r="AD55" s="26" t="s">
        <v>2389</v>
      </c>
    </row>
    <row r="56" customFormat="false" ht="42" hidden="false" customHeight="true" outlineLevel="0" collapsed="false">
      <c r="A56" s="7" t="s">
        <v>2989</v>
      </c>
      <c r="B56" s="26" t="s">
        <v>2990</v>
      </c>
      <c r="C56" s="7" t="s">
        <v>39</v>
      </c>
      <c r="D56" s="7" t="s">
        <v>101</v>
      </c>
      <c r="E56" s="7" t="s">
        <v>2991</v>
      </c>
      <c r="F56" s="26" t="s">
        <v>2992</v>
      </c>
      <c r="G56" s="26" t="s">
        <v>2993</v>
      </c>
      <c r="H56" s="26" t="s">
        <v>2994</v>
      </c>
      <c r="I56" s="7" t="s">
        <v>54</v>
      </c>
      <c r="J56" s="15" t="s">
        <v>18</v>
      </c>
      <c r="K56" s="18" t="n">
        <v>2</v>
      </c>
      <c r="L56" s="7" t="s">
        <v>63</v>
      </c>
      <c r="M56" s="26" t="s">
        <v>2995</v>
      </c>
      <c r="N56" s="26" t="s">
        <v>130</v>
      </c>
      <c r="O56" s="26" t="s">
        <v>1715</v>
      </c>
      <c r="P56" s="26" t="s">
        <v>2996</v>
      </c>
      <c r="Q56" s="26" t="s">
        <v>2997</v>
      </c>
      <c r="R56" s="7" t="s">
        <v>134</v>
      </c>
      <c r="S56" s="26" t="s">
        <v>2998</v>
      </c>
      <c r="T56" s="7" t="s">
        <v>269</v>
      </c>
      <c r="U56" s="7" t="s">
        <v>2999</v>
      </c>
      <c r="V56" s="26" t="s">
        <v>138</v>
      </c>
      <c r="W56" s="26" t="s">
        <v>160</v>
      </c>
      <c r="X56" s="7" t="s">
        <v>44</v>
      </c>
      <c r="Y56" s="26" t="s">
        <v>4472</v>
      </c>
      <c r="Z56" s="7" t="s">
        <v>93</v>
      </c>
      <c r="AA56" s="26" t="s">
        <v>5605</v>
      </c>
      <c r="AB56" s="7" t="str">
        <f aca="false">IF(AC56="Reject","Not ready",IF(Z56="Possible",IF(K56=1,"Core","Extended"),IF(K56=1,"Smoke",IF(K56=2,"Core","Extended"))))</f>
        <v>Core</v>
      </c>
      <c r="AC56" s="17" t="s">
        <v>7</v>
      </c>
      <c r="AD56" s="26" t="s">
        <v>3000</v>
      </c>
    </row>
    <row r="57" customFormat="false" ht="42" hidden="false" customHeight="true" outlineLevel="0" collapsed="false">
      <c r="A57" s="7" t="s">
        <v>3001</v>
      </c>
      <c r="B57" s="26" t="s">
        <v>2990</v>
      </c>
      <c r="C57" s="7" t="s">
        <v>39</v>
      </c>
      <c r="D57" s="7" t="s">
        <v>101</v>
      </c>
      <c r="E57" s="7" t="s">
        <v>2991</v>
      </c>
      <c r="F57" s="26" t="s">
        <v>2992</v>
      </c>
      <c r="G57" s="26" t="s">
        <v>3002</v>
      </c>
      <c r="H57" s="26" t="s">
        <v>3003</v>
      </c>
      <c r="I57" s="7" t="s">
        <v>53</v>
      </c>
      <c r="J57" s="15" t="s">
        <v>18</v>
      </c>
      <c r="K57" s="18" t="n">
        <v>2</v>
      </c>
      <c r="L57" s="7" t="s">
        <v>62</v>
      </c>
      <c r="M57" s="26" t="s">
        <v>2995</v>
      </c>
      <c r="N57" s="26" t="s">
        <v>130</v>
      </c>
      <c r="O57" s="26" t="s">
        <v>1726</v>
      </c>
      <c r="P57" s="26" t="s">
        <v>3004</v>
      </c>
      <c r="Q57" s="26" t="s">
        <v>3005</v>
      </c>
      <c r="R57" s="7" t="s">
        <v>134</v>
      </c>
      <c r="S57" s="26" t="s">
        <v>2998</v>
      </c>
      <c r="T57" s="7" t="s">
        <v>269</v>
      </c>
      <c r="U57" s="7" t="s">
        <v>2999</v>
      </c>
      <c r="V57" s="26" t="s">
        <v>138</v>
      </c>
      <c r="W57" s="26" t="s">
        <v>160</v>
      </c>
      <c r="X57" s="7" t="s">
        <v>44</v>
      </c>
      <c r="Y57" s="26" t="s">
        <v>4472</v>
      </c>
      <c r="Z57" s="7" t="s">
        <v>93</v>
      </c>
      <c r="AA57" s="26" t="s">
        <v>5605</v>
      </c>
      <c r="AB57" s="7" t="str">
        <f aca="false">IF(AC57="Reject","Not ready",IF(Z57="Possible",IF(K57=1,"Core","Extended"),IF(K57=1,"Smoke",IF(K57=2,"Core","Extended"))))</f>
        <v>Core</v>
      </c>
      <c r="AC57" s="17" t="s">
        <v>7</v>
      </c>
      <c r="AD57" s="26" t="s">
        <v>3006</v>
      </c>
    </row>
    <row r="58" customFormat="false" ht="54.75" hidden="false" customHeight="true" outlineLevel="0" collapsed="false">
      <c r="A58" s="7" t="s">
        <v>653</v>
      </c>
      <c r="B58" s="26" t="s">
        <v>654</v>
      </c>
      <c r="C58" s="7" t="s">
        <v>40</v>
      </c>
      <c r="D58" s="7" t="s">
        <v>36</v>
      </c>
      <c r="E58" s="7" t="s">
        <v>655</v>
      </c>
      <c r="F58" s="26" t="s">
        <v>656</v>
      </c>
      <c r="G58" s="26" t="s">
        <v>657</v>
      </c>
      <c r="H58" s="26" t="s">
        <v>658</v>
      </c>
      <c r="I58" s="7" t="s">
        <v>49</v>
      </c>
      <c r="J58" s="15" t="s">
        <v>17</v>
      </c>
      <c r="K58" s="16" t="n">
        <v>1</v>
      </c>
      <c r="L58" s="7" t="s">
        <v>63</v>
      </c>
      <c r="M58" s="26" t="s">
        <v>659</v>
      </c>
      <c r="N58" s="26" t="s">
        <v>130</v>
      </c>
      <c r="O58" s="26" t="s">
        <v>660</v>
      </c>
      <c r="P58" s="26" t="s">
        <v>661</v>
      </c>
      <c r="Q58" s="26" t="s">
        <v>662</v>
      </c>
      <c r="R58" s="7" t="s">
        <v>134</v>
      </c>
      <c r="S58" s="26" t="s">
        <v>663</v>
      </c>
      <c r="T58" s="7" t="s">
        <v>269</v>
      </c>
      <c r="U58" s="7" t="s">
        <v>664</v>
      </c>
      <c r="V58" s="26" t="s">
        <v>138</v>
      </c>
      <c r="W58" s="26" t="s">
        <v>160</v>
      </c>
      <c r="X58" s="7" t="s">
        <v>44</v>
      </c>
      <c r="Y58" s="26" t="s">
        <v>4472</v>
      </c>
      <c r="Z58" s="7" t="s">
        <v>93</v>
      </c>
      <c r="AA58" s="26" t="s">
        <v>5605</v>
      </c>
      <c r="AB58" s="7" t="str">
        <f aca="false">IF(AC58="Reject","Not ready",IF(Z58="Possible",IF(K58=1,"Core","Extended"),IF(K58=1,"Smoke",IF(K58=2,"Core","Extended"))))</f>
        <v>Smoke</v>
      </c>
      <c r="AC58" s="17" t="s">
        <v>7</v>
      </c>
      <c r="AD58" s="26" t="s">
        <v>665</v>
      </c>
    </row>
    <row r="59" customFormat="false" ht="54.75" hidden="false" customHeight="true" outlineLevel="0" collapsed="false">
      <c r="A59" s="7" t="s">
        <v>666</v>
      </c>
      <c r="B59" s="26" t="s">
        <v>654</v>
      </c>
      <c r="C59" s="7" t="s">
        <v>40</v>
      </c>
      <c r="D59" s="7" t="s">
        <v>36</v>
      </c>
      <c r="E59" s="7" t="s">
        <v>655</v>
      </c>
      <c r="F59" s="26" t="s">
        <v>656</v>
      </c>
      <c r="G59" s="26" t="s">
        <v>667</v>
      </c>
      <c r="H59" s="26" t="s">
        <v>668</v>
      </c>
      <c r="I59" s="7" t="s">
        <v>49</v>
      </c>
      <c r="J59" s="15" t="s">
        <v>18</v>
      </c>
      <c r="K59" s="18" t="n">
        <v>2</v>
      </c>
      <c r="L59" s="7" t="s">
        <v>62</v>
      </c>
      <c r="M59" s="26" t="s">
        <v>669</v>
      </c>
      <c r="N59" s="26" t="s">
        <v>130</v>
      </c>
      <c r="O59" s="26" t="s">
        <v>670</v>
      </c>
      <c r="P59" s="26" t="s">
        <v>671</v>
      </c>
      <c r="Q59" s="26" t="s">
        <v>672</v>
      </c>
      <c r="R59" s="7" t="s">
        <v>134</v>
      </c>
      <c r="S59" s="26" t="s">
        <v>663</v>
      </c>
      <c r="T59" s="7" t="s">
        <v>136</v>
      </c>
      <c r="U59" s="7" t="s">
        <v>664</v>
      </c>
      <c r="V59" s="26" t="s">
        <v>673</v>
      </c>
      <c r="W59" s="26" t="s">
        <v>160</v>
      </c>
      <c r="X59" s="7" t="s">
        <v>44</v>
      </c>
      <c r="Y59" s="26" t="s">
        <v>4472</v>
      </c>
      <c r="Z59" s="7" t="s">
        <v>93</v>
      </c>
      <c r="AA59" s="26" t="s">
        <v>5605</v>
      </c>
      <c r="AB59" s="7" t="str">
        <f aca="false">IF(AC59="Reject","Not ready",IF(Z59="Possible",IF(K59=1,"Core","Extended"),IF(K59=1,"Smoke",IF(K59=2,"Core","Extended"))))</f>
        <v>Core</v>
      </c>
      <c r="AC59" s="19" t="s">
        <v>9</v>
      </c>
      <c r="AD59" s="26" t="s">
        <v>674</v>
      </c>
    </row>
    <row r="60" customFormat="false" ht="54.75" hidden="false" customHeight="true" outlineLevel="0" collapsed="false">
      <c r="A60" s="7" t="s">
        <v>675</v>
      </c>
      <c r="B60" s="26" t="s">
        <v>654</v>
      </c>
      <c r="C60" s="7" t="s">
        <v>40</v>
      </c>
      <c r="D60" s="7" t="s">
        <v>36</v>
      </c>
      <c r="E60" s="7" t="s">
        <v>655</v>
      </c>
      <c r="F60" s="26" t="s">
        <v>656</v>
      </c>
      <c r="G60" s="26" t="s">
        <v>676</v>
      </c>
      <c r="H60" s="26" t="s">
        <v>677</v>
      </c>
      <c r="I60" s="7" t="s">
        <v>49</v>
      </c>
      <c r="J60" s="15" t="s">
        <v>18</v>
      </c>
      <c r="K60" s="18" t="n">
        <v>2</v>
      </c>
      <c r="L60" s="7" t="s">
        <v>64</v>
      </c>
      <c r="M60" s="26" t="s">
        <v>678</v>
      </c>
      <c r="N60" s="26" t="s">
        <v>130</v>
      </c>
      <c r="O60" s="26" t="s">
        <v>679</v>
      </c>
      <c r="P60" s="26" t="s">
        <v>680</v>
      </c>
      <c r="Q60" s="26" t="s">
        <v>681</v>
      </c>
      <c r="R60" s="7" t="s">
        <v>134</v>
      </c>
      <c r="S60" s="26" t="s">
        <v>663</v>
      </c>
      <c r="T60" s="7" t="s">
        <v>256</v>
      </c>
      <c r="U60" s="7" t="s">
        <v>664</v>
      </c>
      <c r="V60" s="26" t="s">
        <v>682</v>
      </c>
      <c r="W60" s="26" t="s">
        <v>160</v>
      </c>
      <c r="X60" s="7" t="s">
        <v>44</v>
      </c>
      <c r="Y60" s="26" t="s">
        <v>4472</v>
      </c>
      <c r="Z60" s="7" t="s">
        <v>93</v>
      </c>
      <c r="AA60" s="26" t="s">
        <v>5605</v>
      </c>
      <c r="AB60" s="7" t="str">
        <f aca="false">IF(AC60="Reject","Not ready",IF(Z60="Possible",IF(K60=1,"Core","Extended"),IF(K60=1,"Smoke",IF(K60=2,"Core","Extended"))))</f>
        <v>Core</v>
      </c>
      <c r="AC60" s="19" t="s">
        <v>9</v>
      </c>
      <c r="AD60" s="26" t="s">
        <v>683</v>
      </c>
    </row>
    <row r="61" customFormat="false" ht="42" hidden="false" customHeight="true" outlineLevel="0" collapsed="false">
      <c r="A61" s="7" t="s">
        <v>684</v>
      </c>
      <c r="B61" s="26" t="s">
        <v>654</v>
      </c>
      <c r="C61" s="7" t="s">
        <v>40</v>
      </c>
      <c r="D61" s="7" t="s">
        <v>36</v>
      </c>
      <c r="E61" s="7" t="s">
        <v>655</v>
      </c>
      <c r="F61" s="26" t="s">
        <v>656</v>
      </c>
      <c r="G61" s="26" t="s">
        <v>685</v>
      </c>
      <c r="H61" s="26" t="s">
        <v>686</v>
      </c>
      <c r="I61" s="7" t="s">
        <v>49</v>
      </c>
      <c r="J61" s="15" t="s">
        <v>19</v>
      </c>
      <c r="K61" s="19" t="n">
        <v>3</v>
      </c>
      <c r="L61" s="7" t="s">
        <v>63</v>
      </c>
      <c r="M61" s="26" t="s">
        <v>138</v>
      </c>
      <c r="N61" s="26" t="s">
        <v>138</v>
      </c>
      <c r="O61" s="26" t="s">
        <v>138</v>
      </c>
      <c r="P61" s="26" t="s">
        <v>138</v>
      </c>
      <c r="Q61" s="26" t="s">
        <v>138</v>
      </c>
      <c r="R61" s="7" t="s">
        <v>134</v>
      </c>
      <c r="S61" s="26" t="s">
        <v>663</v>
      </c>
      <c r="T61" s="7" t="s">
        <v>138</v>
      </c>
      <c r="U61" s="7" t="s">
        <v>664</v>
      </c>
      <c r="V61" s="26" t="s">
        <v>138</v>
      </c>
      <c r="W61" s="26" t="s">
        <v>160</v>
      </c>
      <c r="X61" s="7" t="s">
        <v>44</v>
      </c>
      <c r="Y61" s="26" t="s">
        <v>4472</v>
      </c>
      <c r="Z61" s="7" t="s">
        <v>93</v>
      </c>
      <c r="AA61" s="26" t="s">
        <v>5605</v>
      </c>
      <c r="AB61" s="7" t="str">
        <f aca="false">IF(AC61="Reject","Not ready",IF(Z61="Possible",IF(K61=1,"Core","Extended"),IF(K61=1,"Smoke",IF(K61=2,"Core","Extended"))))</f>
        <v>Not ready</v>
      </c>
      <c r="AC61" s="20" t="s">
        <v>11</v>
      </c>
      <c r="AD61" s="26" t="s">
        <v>687</v>
      </c>
    </row>
    <row r="62" customFormat="false" ht="42" hidden="false" customHeight="true" outlineLevel="0" collapsed="false">
      <c r="A62" s="7" t="s">
        <v>2323</v>
      </c>
      <c r="B62" s="26" t="s">
        <v>2324</v>
      </c>
      <c r="C62" s="7" t="s">
        <v>40</v>
      </c>
      <c r="D62" s="7" t="s">
        <v>101</v>
      </c>
      <c r="E62" s="7" t="s">
        <v>2325</v>
      </c>
      <c r="F62" s="26" t="s">
        <v>2326</v>
      </c>
      <c r="G62" s="26" t="s">
        <v>2327</v>
      </c>
      <c r="H62" s="26" t="s">
        <v>2328</v>
      </c>
      <c r="I62" s="7" t="s">
        <v>49</v>
      </c>
      <c r="J62" s="15" t="s">
        <v>18</v>
      </c>
      <c r="K62" s="18" t="n">
        <v>2</v>
      </c>
      <c r="L62" s="7" t="s">
        <v>62</v>
      </c>
      <c r="M62" s="26" t="s">
        <v>2329</v>
      </c>
      <c r="N62" s="26" t="s">
        <v>130</v>
      </c>
      <c r="O62" s="26" t="s">
        <v>670</v>
      </c>
      <c r="P62" s="26" t="s">
        <v>2330</v>
      </c>
      <c r="Q62" s="26" t="s">
        <v>2331</v>
      </c>
      <c r="R62" s="7" t="s">
        <v>134</v>
      </c>
      <c r="S62" s="26" t="s">
        <v>2332</v>
      </c>
      <c r="T62" s="7" t="s">
        <v>136</v>
      </c>
      <c r="U62" s="7" t="s">
        <v>2333</v>
      </c>
      <c r="V62" s="26" t="s">
        <v>673</v>
      </c>
      <c r="W62" s="26" t="s">
        <v>160</v>
      </c>
      <c r="X62" s="7" t="s">
        <v>44</v>
      </c>
      <c r="Y62" s="26" t="s">
        <v>4472</v>
      </c>
      <c r="Z62" s="7" t="s">
        <v>93</v>
      </c>
      <c r="AA62" s="26" t="s">
        <v>5605</v>
      </c>
      <c r="AB62" s="7" t="str">
        <f aca="false">IF(AC62="Reject","Not ready",IF(Z62="Possible",IF(K62=1,"Core","Extended"),IF(K62=1,"Smoke",IF(K62=2,"Core","Extended"))))</f>
        <v>Core</v>
      </c>
      <c r="AC62" s="19" t="s">
        <v>9</v>
      </c>
      <c r="AD62" s="26" t="s">
        <v>2334</v>
      </c>
    </row>
    <row r="63" customFormat="false" ht="54.75" hidden="false" customHeight="true" outlineLevel="0" collapsed="false">
      <c r="A63" s="7" t="s">
        <v>2335</v>
      </c>
      <c r="B63" s="26" t="s">
        <v>2324</v>
      </c>
      <c r="C63" s="7" t="s">
        <v>40</v>
      </c>
      <c r="D63" s="7" t="s">
        <v>101</v>
      </c>
      <c r="E63" s="7" t="s">
        <v>2325</v>
      </c>
      <c r="F63" s="26" t="s">
        <v>2326</v>
      </c>
      <c r="G63" s="26" t="s">
        <v>2336</v>
      </c>
      <c r="H63" s="26" t="s">
        <v>2337</v>
      </c>
      <c r="I63" s="7" t="s">
        <v>50</v>
      </c>
      <c r="J63" s="15" t="s">
        <v>19</v>
      </c>
      <c r="K63" s="19" t="n">
        <v>3</v>
      </c>
      <c r="L63" s="7" t="s">
        <v>62</v>
      </c>
      <c r="M63" s="26" t="s">
        <v>2338</v>
      </c>
      <c r="N63" s="26" t="s">
        <v>130</v>
      </c>
      <c r="O63" s="26" t="s">
        <v>2339</v>
      </c>
      <c r="P63" s="26" t="s">
        <v>2340</v>
      </c>
      <c r="Q63" s="26" t="s">
        <v>2341</v>
      </c>
      <c r="R63" s="7" t="s">
        <v>134</v>
      </c>
      <c r="S63" s="26" t="s">
        <v>2332</v>
      </c>
      <c r="T63" s="7" t="s">
        <v>136</v>
      </c>
      <c r="U63" s="7" t="s">
        <v>2333</v>
      </c>
      <c r="V63" s="26" t="s">
        <v>138</v>
      </c>
      <c r="W63" s="26" t="s">
        <v>160</v>
      </c>
      <c r="X63" s="7" t="s">
        <v>44</v>
      </c>
      <c r="Y63" s="26" t="s">
        <v>4472</v>
      </c>
      <c r="Z63" s="7" t="s">
        <v>93</v>
      </c>
      <c r="AA63" s="26" t="s">
        <v>5605</v>
      </c>
      <c r="AB63" s="7" t="str">
        <f aca="false">IF(AC63="Reject","Not ready",IF(Z63="Possible",IF(K63=1,"Core","Extended"),IF(K63=1,"Smoke",IF(K63=2,"Core","Extended"))))</f>
        <v>Extended</v>
      </c>
      <c r="AC63" s="17" t="s">
        <v>7</v>
      </c>
      <c r="AD63" s="26" t="s">
        <v>2342</v>
      </c>
    </row>
    <row r="64" customFormat="false" ht="42" hidden="false" customHeight="true" outlineLevel="0" collapsed="false">
      <c r="A64" s="7" t="s">
        <v>2343</v>
      </c>
      <c r="B64" s="26" t="s">
        <v>2324</v>
      </c>
      <c r="C64" s="7" t="s">
        <v>40</v>
      </c>
      <c r="D64" s="7" t="s">
        <v>101</v>
      </c>
      <c r="E64" s="7" t="s">
        <v>2325</v>
      </c>
      <c r="F64" s="26" t="s">
        <v>2326</v>
      </c>
      <c r="G64" s="26" t="s">
        <v>2344</v>
      </c>
      <c r="H64" s="26" t="s">
        <v>2345</v>
      </c>
      <c r="I64" s="7" t="s">
        <v>50</v>
      </c>
      <c r="J64" s="15" t="s">
        <v>19</v>
      </c>
      <c r="K64" s="19" t="n">
        <v>3</v>
      </c>
      <c r="L64" s="7" t="s">
        <v>62</v>
      </c>
      <c r="M64" s="26" t="s">
        <v>2338</v>
      </c>
      <c r="N64" s="26" t="s">
        <v>130</v>
      </c>
      <c r="O64" s="26" t="s">
        <v>2346</v>
      </c>
      <c r="P64" s="26" t="s">
        <v>2347</v>
      </c>
      <c r="Q64" s="26" t="s">
        <v>2348</v>
      </c>
      <c r="R64" s="7" t="s">
        <v>134</v>
      </c>
      <c r="S64" s="26" t="s">
        <v>2332</v>
      </c>
      <c r="T64" s="7" t="s">
        <v>136</v>
      </c>
      <c r="U64" s="7" t="s">
        <v>2333</v>
      </c>
      <c r="V64" s="26" t="s">
        <v>138</v>
      </c>
      <c r="W64" s="26" t="s">
        <v>160</v>
      </c>
      <c r="X64" s="7" t="s">
        <v>44</v>
      </c>
      <c r="Y64" s="26" t="s">
        <v>4472</v>
      </c>
      <c r="Z64" s="7" t="s">
        <v>93</v>
      </c>
      <c r="AA64" s="26" t="s">
        <v>5605</v>
      </c>
      <c r="AB64" s="7" t="str">
        <f aca="false">IF(AC64="Reject","Not ready",IF(Z64="Possible",IF(K64=1,"Core","Extended"),IF(K64=1,"Smoke",IF(K64=2,"Core","Extended"))))</f>
        <v>Extended</v>
      </c>
      <c r="AC64" s="17" t="s">
        <v>7</v>
      </c>
      <c r="AD64" s="26" t="s">
        <v>2349</v>
      </c>
    </row>
    <row r="65" customFormat="false" ht="54.75" hidden="false" customHeight="true" outlineLevel="0" collapsed="false">
      <c r="A65" s="7" t="s">
        <v>2350</v>
      </c>
      <c r="B65" s="26" t="s">
        <v>2324</v>
      </c>
      <c r="C65" s="7" t="s">
        <v>40</v>
      </c>
      <c r="D65" s="7" t="s">
        <v>101</v>
      </c>
      <c r="E65" s="7" t="s">
        <v>2325</v>
      </c>
      <c r="F65" s="26" t="s">
        <v>2326</v>
      </c>
      <c r="G65" s="26" t="s">
        <v>2351</v>
      </c>
      <c r="H65" s="26" t="s">
        <v>2352</v>
      </c>
      <c r="I65" s="7" t="s">
        <v>48</v>
      </c>
      <c r="J65" s="15" t="s">
        <v>18</v>
      </c>
      <c r="K65" s="18" t="n">
        <v>2</v>
      </c>
      <c r="L65" s="7" t="s">
        <v>64</v>
      </c>
      <c r="M65" s="26" t="s">
        <v>2353</v>
      </c>
      <c r="N65" s="26" t="s">
        <v>130</v>
      </c>
      <c r="O65" s="26" t="s">
        <v>2354</v>
      </c>
      <c r="P65" s="26" t="s">
        <v>2355</v>
      </c>
      <c r="Q65" s="26" t="s">
        <v>2356</v>
      </c>
      <c r="R65" s="7" t="s">
        <v>134</v>
      </c>
      <c r="S65" s="26" t="s">
        <v>2332</v>
      </c>
      <c r="T65" s="7" t="s">
        <v>256</v>
      </c>
      <c r="U65" s="7" t="s">
        <v>2333</v>
      </c>
      <c r="V65" s="26" t="s">
        <v>2357</v>
      </c>
      <c r="W65" s="26" t="s">
        <v>160</v>
      </c>
      <c r="X65" s="7" t="s">
        <v>44</v>
      </c>
      <c r="Y65" s="26" t="s">
        <v>4472</v>
      </c>
      <c r="Z65" s="7" t="s">
        <v>93</v>
      </c>
      <c r="AA65" s="26" t="s">
        <v>5605</v>
      </c>
      <c r="AB65" s="7" t="str">
        <f aca="false">IF(AC65="Reject","Not ready",IF(Z65="Possible",IF(K65=1,"Core","Extended"),IF(K65=1,"Smoke",IF(K65=2,"Core","Extended"))))</f>
        <v>Core</v>
      </c>
      <c r="AC65" s="19" t="s">
        <v>9</v>
      </c>
      <c r="AD65" s="26" t="s">
        <v>2358</v>
      </c>
    </row>
    <row r="66" customFormat="false" ht="42" hidden="false" customHeight="true" outlineLevel="0" collapsed="false">
      <c r="A66" s="7" t="s">
        <v>1517</v>
      </c>
      <c r="B66" s="26" t="s">
        <v>1518</v>
      </c>
      <c r="C66" s="7" t="s">
        <v>38</v>
      </c>
      <c r="D66" s="7" t="s">
        <v>100</v>
      </c>
      <c r="E66" s="7" t="s">
        <v>1519</v>
      </c>
      <c r="F66" s="26" t="s">
        <v>1520</v>
      </c>
      <c r="G66" s="26" t="s">
        <v>1521</v>
      </c>
      <c r="H66" s="26" t="s">
        <v>1522</v>
      </c>
      <c r="I66" s="7" t="s">
        <v>48</v>
      </c>
      <c r="J66" s="15" t="s">
        <v>17</v>
      </c>
      <c r="K66" s="18" t="n">
        <v>2</v>
      </c>
      <c r="L66" s="7" t="s">
        <v>64</v>
      </c>
      <c r="M66" s="26" t="s">
        <v>1523</v>
      </c>
      <c r="N66" s="26" t="s">
        <v>130</v>
      </c>
      <c r="O66" s="26" t="s">
        <v>502</v>
      </c>
      <c r="P66" s="26" t="s">
        <v>1524</v>
      </c>
      <c r="Q66" s="26" t="s">
        <v>1525</v>
      </c>
      <c r="R66" s="7" t="s">
        <v>134</v>
      </c>
      <c r="S66" s="26" t="s">
        <v>1526</v>
      </c>
      <c r="T66" s="7" t="s">
        <v>256</v>
      </c>
      <c r="U66" s="7" t="s">
        <v>1527</v>
      </c>
      <c r="V66" s="26" t="s">
        <v>1528</v>
      </c>
      <c r="W66" s="26" t="s">
        <v>160</v>
      </c>
      <c r="X66" s="7" t="s">
        <v>44</v>
      </c>
      <c r="Y66" s="26" t="s">
        <v>4402</v>
      </c>
      <c r="Z66" s="7" t="s">
        <v>93</v>
      </c>
      <c r="AA66" s="26" t="s">
        <v>5607</v>
      </c>
      <c r="AB66" s="7" t="str">
        <f aca="false">IF(AC66="Reject","Not ready",IF(Z66="Possible",IF(K66=1,"Core","Extended"),IF(K66=1,"Smoke",IF(K66=2,"Core","Extended"))))</f>
        <v>Core</v>
      </c>
      <c r="AC66" s="19" t="s">
        <v>9</v>
      </c>
      <c r="AD66" s="26" t="s">
        <v>1529</v>
      </c>
    </row>
    <row r="67" customFormat="false" ht="42" hidden="false" customHeight="true" outlineLevel="0" collapsed="false">
      <c r="A67" s="7" t="s">
        <v>1530</v>
      </c>
      <c r="B67" s="26" t="s">
        <v>1518</v>
      </c>
      <c r="C67" s="7" t="s">
        <v>38</v>
      </c>
      <c r="D67" s="7" t="s">
        <v>100</v>
      </c>
      <c r="E67" s="7" t="s">
        <v>1519</v>
      </c>
      <c r="F67" s="26" t="s">
        <v>1520</v>
      </c>
      <c r="G67" s="26" t="s">
        <v>1531</v>
      </c>
      <c r="H67" s="26" t="s">
        <v>1532</v>
      </c>
      <c r="I67" s="7" t="s">
        <v>48</v>
      </c>
      <c r="J67" s="15" t="s">
        <v>17</v>
      </c>
      <c r="K67" s="18" t="n">
        <v>2</v>
      </c>
      <c r="L67" s="7" t="s">
        <v>64</v>
      </c>
      <c r="M67" s="26" t="s">
        <v>1523</v>
      </c>
      <c r="N67" s="26" t="s">
        <v>130</v>
      </c>
      <c r="O67" s="26" t="s">
        <v>1533</v>
      </c>
      <c r="P67" s="26" t="s">
        <v>1534</v>
      </c>
      <c r="Q67" s="26" t="s">
        <v>1535</v>
      </c>
      <c r="R67" s="7" t="s">
        <v>134</v>
      </c>
      <c r="S67" s="26" t="s">
        <v>1526</v>
      </c>
      <c r="T67" s="7" t="s">
        <v>256</v>
      </c>
      <c r="U67" s="7" t="s">
        <v>1527</v>
      </c>
      <c r="V67" s="26" t="s">
        <v>1528</v>
      </c>
      <c r="W67" s="26" t="s">
        <v>160</v>
      </c>
      <c r="X67" s="7" t="s">
        <v>44</v>
      </c>
      <c r="Y67" s="26" t="s">
        <v>4402</v>
      </c>
      <c r="Z67" s="7" t="s">
        <v>93</v>
      </c>
      <c r="AA67" s="26" t="s">
        <v>5607</v>
      </c>
      <c r="AB67" s="7" t="str">
        <f aca="false">IF(AC67="Reject","Not ready",IF(Z67="Possible",IF(K67=1,"Core","Extended"),IF(K67=1,"Smoke",IF(K67=2,"Core","Extended"))))</f>
        <v>Core</v>
      </c>
      <c r="AC67" s="19" t="s">
        <v>9</v>
      </c>
      <c r="AD67" s="26" t="s">
        <v>1536</v>
      </c>
    </row>
    <row r="68" customFormat="false" ht="42" hidden="false" customHeight="true" outlineLevel="0" collapsed="false">
      <c r="A68" s="7" t="s">
        <v>1537</v>
      </c>
      <c r="B68" s="26" t="s">
        <v>1518</v>
      </c>
      <c r="C68" s="7" t="s">
        <v>38</v>
      </c>
      <c r="D68" s="7" t="s">
        <v>100</v>
      </c>
      <c r="E68" s="7" t="s">
        <v>1519</v>
      </c>
      <c r="F68" s="26" t="s">
        <v>1520</v>
      </c>
      <c r="G68" s="26" t="s">
        <v>1538</v>
      </c>
      <c r="H68" s="26" t="s">
        <v>1539</v>
      </c>
      <c r="I68" s="7" t="s">
        <v>53</v>
      </c>
      <c r="J68" s="15" t="s">
        <v>18</v>
      </c>
      <c r="K68" s="19" t="n">
        <v>3</v>
      </c>
      <c r="L68" s="7" t="s">
        <v>62</v>
      </c>
      <c r="M68" s="26" t="s">
        <v>1540</v>
      </c>
      <c r="N68" s="26" t="s">
        <v>130</v>
      </c>
      <c r="O68" s="26" t="s">
        <v>1541</v>
      </c>
      <c r="P68" s="26" t="s">
        <v>1542</v>
      </c>
      <c r="Q68" s="26" t="s">
        <v>1543</v>
      </c>
      <c r="R68" s="7" t="s">
        <v>134</v>
      </c>
      <c r="S68" s="26" t="s">
        <v>1526</v>
      </c>
      <c r="T68" s="7" t="s">
        <v>136</v>
      </c>
      <c r="U68" s="7" t="s">
        <v>1527</v>
      </c>
      <c r="V68" s="26" t="s">
        <v>1528</v>
      </c>
      <c r="W68" s="26" t="s">
        <v>160</v>
      </c>
      <c r="X68" s="7" t="s">
        <v>44</v>
      </c>
      <c r="Y68" s="26" t="s">
        <v>4402</v>
      </c>
      <c r="Z68" s="7" t="s">
        <v>93</v>
      </c>
      <c r="AA68" s="26" t="s">
        <v>5607</v>
      </c>
      <c r="AB68" s="7" t="str">
        <f aca="false">IF(AC68="Reject","Not ready",IF(Z68="Possible",IF(K68=1,"Core","Extended"),IF(K68=1,"Smoke",IF(K68=2,"Core","Extended"))))</f>
        <v>Extended</v>
      </c>
      <c r="AC68" s="19" t="s">
        <v>9</v>
      </c>
      <c r="AD68" s="26" t="s">
        <v>1544</v>
      </c>
    </row>
    <row r="69" customFormat="false" ht="80.25" hidden="false" customHeight="true" outlineLevel="0" collapsed="false">
      <c r="A69" s="7" t="s">
        <v>215</v>
      </c>
      <c r="B69" s="26" t="s">
        <v>216</v>
      </c>
      <c r="C69" s="7" t="s">
        <v>40</v>
      </c>
      <c r="D69" s="7" t="s">
        <v>99</v>
      </c>
      <c r="E69" s="7" t="s">
        <v>217</v>
      </c>
      <c r="F69" s="26" t="s">
        <v>218</v>
      </c>
      <c r="G69" s="26" t="s">
        <v>219</v>
      </c>
      <c r="H69" s="26" t="s">
        <v>220</v>
      </c>
      <c r="I69" s="7" t="s">
        <v>50</v>
      </c>
      <c r="J69" s="15" t="s">
        <v>16</v>
      </c>
      <c r="K69" s="18" t="n">
        <v>2</v>
      </c>
      <c r="L69" s="7" t="s">
        <v>62</v>
      </c>
      <c r="M69" s="26" t="s">
        <v>221</v>
      </c>
      <c r="N69" s="26" t="s">
        <v>222</v>
      </c>
      <c r="O69" s="26" t="s">
        <v>223</v>
      </c>
      <c r="P69" s="26" t="s">
        <v>224</v>
      </c>
      <c r="Q69" s="26" t="s">
        <v>225</v>
      </c>
      <c r="R69" s="7" t="s">
        <v>134</v>
      </c>
      <c r="S69" s="26" t="s">
        <v>226</v>
      </c>
      <c r="T69" s="7" t="s">
        <v>136</v>
      </c>
      <c r="U69" s="7" t="s">
        <v>227</v>
      </c>
      <c r="V69" s="26" t="s">
        <v>138</v>
      </c>
      <c r="W69" s="26" t="s">
        <v>160</v>
      </c>
      <c r="X69" s="7" t="s">
        <v>44</v>
      </c>
      <c r="Y69" s="26" t="s">
        <v>4402</v>
      </c>
      <c r="Z69" s="7" t="s">
        <v>93</v>
      </c>
      <c r="AA69" s="26" t="s">
        <v>5607</v>
      </c>
      <c r="AB69" s="7" t="str">
        <f aca="false">IF(AC69="Reject","Not ready",IF(Z69="Possible",IF(K69=1,"Core","Extended"),IF(K69=1,"Smoke",IF(K69=2,"Core","Extended"))))</f>
        <v>Core</v>
      </c>
      <c r="AC69" s="17" t="s">
        <v>7</v>
      </c>
      <c r="AD69" s="26" t="s">
        <v>228</v>
      </c>
    </row>
    <row r="70" customFormat="false" ht="80.25" hidden="false" customHeight="true" outlineLevel="0" collapsed="false">
      <c r="A70" s="7" t="s">
        <v>229</v>
      </c>
      <c r="B70" s="26" t="s">
        <v>216</v>
      </c>
      <c r="C70" s="7" t="s">
        <v>40</v>
      </c>
      <c r="D70" s="7" t="s">
        <v>99</v>
      </c>
      <c r="E70" s="7" t="s">
        <v>217</v>
      </c>
      <c r="F70" s="26" t="s">
        <v>218</v>
      </c>
      <c r="G70" s="26" t="s">
        <v>230</v>
      </c>
      <c r="H70" s="26" t="s">
        <v>231</v>
      </c>
      <c r="I70" s="7" t="s">
        <v>50</v>
      </c>
      <c r="J70" s="15" t="s">
        <v>16</v>
      </c>
      <c r="K70" s="18" t="n">
        <v>2</v>
      </c>
      <c r="L70" s="7" t="s">
        <v>62</v>
      </c>
      <c r="M70" s="26" t="s">
        <v>221</v>
      </c>
      <c r="N70" s="26" t="s">
        <v>130</v>
      </c>
      <c r="O70" s="26" t="s">
        <v>232</v>
      </c>
      <c r="P70" s="26" t="s">
        <v>233</v>
      </c>
      <c r="Q70" s="26" t="s">
        <v>234</v>
      </c>
      <c r="R70" s="7" t="s">
        <v>134</v>
      </c>
      <c r="S70" s="26" t="s">
        <v>226</v>
      </c>
      <c r="T70" s="7" t="s">
        <v>136</v>
      </c>
      <c r="U70" s="7" t="s">
        <v>227</v>
      </c>
      <c r="V70" s="26" t="s">
        <v>138</v>
      </c>
      <c r="W70" s="26" t="s">
        <v>160</v>
      </c>
      <c r="X70" s="7" t="s">
        <v>44</v>
      </c>
      <c r="Y70" s="26" t="s">
        <v>4402</v>
      </c>
      <c r="Z70" s="7" t="s">
        <v>93</v>
      </c>
      <c r="AA70" s="26" t="s">
        <v>5607</v>
      </c>
      <c r="AB70" s="7" t="str">
        <f aca="false">IF(AC70="Reject","Not ready",IF(Z70="Possible",IF(K70=1,"Core","Extended"),IF(K70=1,"Smoke",IF(K70=2,"Core","Extended"))))</f>
        <v>Core</v>
      </c>
      <c r="AC70" s="17" t="s">
        <v>7</v>
      </c>
      <c r="AD70" s="26" t="s">
        <v>235</v>
      </c>
    </row>
    <row r="71" customFormat="false" ht="54.75" hidden="false" customHeight="true" outlineLevel="0" collapsed="false">
      <c r="A71" s="7" t="s">
        <v>258</v>
      </c>
      <c r="B71" s="26" t="s">
        <v>259</v>
      </c>
      <c r="C71" s="7" t="s">
        <v>40</v>
      </c>
      <c r="D71" s="7" t="s">
        <v>100</v>
      </c>
      <c r="E71" s="7" t="s">
        <v>260</v>
      </c>
      <c r="F71" s="26" t="s">
        <v>261</v>
      </c>
      <c r="G71" s="26" t="s">
        <v>262</v>
      </c>
      <c r="H71" s="26" t="s">
        <v>263</v>
      </c>
      <c r="I71" s="7" t="s">
        <v>49</v>
      </c>
      <c r="J71" s="15" t="s">
        <v>17</v>
      </c>
      <c r="K71" s="18" t="n">
        <v>2</v>
      </c>
      <c r="L71" s="7" t="s">
        <v>62</v>
      </c>
      <c r="M71" s="26" t="s">
        <v>264</v>
      </c>
      <c r="N71" s="26" t="s">
        <v>130</v>
      </c>
      <c r="O71" s="26" t="s">
        <v>265</v>
      </c>
      <c r="P71" s="26" t="s">
        <v>266</v>
      </c>
      <c r="Q71" s="26" t="s">
        <v>267</v>
      </c>
      <c r="R71" s="7" t="s">
        <v>134</v>
      </c>
      <c r="S71" s="26" t="s">
        <v>268</v>
      </c>
      <c r="T71" s="7" t="s">
        <v>269</v>
      </c>
      <c r="U71" s="7" t="s">
        <v>270</v>
      </c>
      <c r="V71" s="26" t="s">
        <v>271</v>
      </c>
      <c r="W71" s="26" t="s">
        <v>160</v>
      </c>
      <c r="X71" s="7" t="s">
        <v>44</v>
      </c>
      <c r="Y71" s="26" t="s">
        <v>4402</v>
      </c>
      <c r="Z71" s="7" t="s">
        <v>93</v>
      </c>
      <c r="AA71" s="26" t="s">
        <v>5607</v>
      </c>
      <c r="AB71" s="7" t="str">
        <f aca="false">IF(AC71="Reject","Not ready",IF(Z71="Possible",IF(K71=1,"Core","Extended"),IF(K71=1,"Smoke",IF(K71=2,"Core","Extended"))))</f>
        <v>Core</v>
      </c>
      <c r="AC71" s="19" t="s">
        <v>9</v>
      </c>
      <c r="AD71" s="26" t="s">
        <v>272</v>
      </c>
    </row>
    <row r="72" customFormat="false" ht="54.75" hidden="false" customHeight="true" outlineLevel="0" collapsed="false">
      <c r="A72" s="7" t="s">
        <v>273</v>
      </c>
      <c r="B72" s="26" t="s">
        <v>259</v>
      </c>
      <c r="C72" s="7" t="s">
        <v>40</v>
      </c>
      <c r="D72" s="7" t="s">
        <v>100</v>
      </c>
      <c r="E72" s="7" t="s">
        <v>260</v>
      </c>
      <c r="F72" s="26" t="s">
        <v>261</v>
      </c>
      <c r="G72" s="26" t="s">
        <v>274</v>
      </c>
      <c r="H72" s="26" t="s">
        <v>275</v>
      </c>
      <c r="I72" s="7" t="s">
        <v>49</v>
      </c>
      <c r="J72" s="15" t="s">
        <v>18</v>
      </c>
      <c r="K72" s="19" t="n">
        <v>3</v>
      </c>
      <c r="L72" s="7" t="s">
        <v>62</v>
      </c>
      <c r="M72" s="26" t="s">
        <v>276</v>
      </c>
      <c r="N72" s="26" t="s">
        <v>130</v>
      </c>
      <c r="O72" s="26" t="s">
        <v>277</v>
      </c>
      <c r="P72" s="26" t="s">
        <v>278</v>
      </c>
      <c r="Q72" s="26" t="s">
        <v>279</v>
      </c>
      <c r="R72" s="7" t="s">
        <v>134</v>
      </c>
      <c r="S72" s="26" t="s">
        <v>268</v>
      </c>
      <c r="T72" s="7" t="s">
        <v>269</v>
      </c>
      <c r="U72" s="7" t="s">
        <v>270</v>
      </c>
      <c r="V72" s="26" t="s">
        <v>271</v>
      </c>
      <c r="W72" s="26" t="s">
        <v>160</v>
      </c>
      <c r="X72" s="7" t="s">
        <v>44</v>
      </c>
      <c r="Y72" s="26" t="s">
        <v>4402</v>
      </c>
      <c r="Z72" s="7" t="s">
        <v>93</v>
      </c>
      <c r="AA72" s="26" t="s">
        <v>5607</v>
      </c>
      <c r="AB72" s="7" t="str">
        <f aca="false">IF(AC72="Reject","Not ready",IF(Z72="Possible",IF(K72=1,"Core","Extended"),IF(K72=1,"Smoke",IF(K72=2,"Core","Extended"))))</f>
        <v>Extended</v>
      </c>
      <c r="AC72" s="19" t="s">
        <v>9</v>
      </c>
      <c r="AD72" s="26" t="s">
        <v>280</v>
      </c>
    </row>
    <row r="73" customFormat="false" ht="54.75" hidden="false" customHeight="true" outlineLevel="0" collapsed="false">
      <c r="A73" s="7" t="s">
        <v>281</v>
      </c>
      <c r="B73" s="26" t="s">
        <v>259</v>
      </c>
      <c r="C73" s="7" t="s">
        <v>40</v>
      </c>
      <c r="D73" s="7" t="s">
        <v>100</v>
      </c>
      <c r="E73" s="7" t="s">
        <v>260</v>
      </c>
      <c r="F73" s="26" t="s">
        <v>261</v>
      </c>
      <c r="G73" s="26" t="s">
        <v>282</v>
      </c>
      <c r="H73" s="26" t="s">
        <v>283</v>
      </c>
      <c r="I73" s="7" t="s">
        <v>49</v>
      </c>
      <c r="J73" s="15" t="s">
        <v>18</v>
      </c>
      <c r="K73" s="19" t="n">
        <v>3</v>
      </c>
      <c r="L73" s="7" t="s">
        <v>62</v>
      </c>
      <c r="M73" s="26" t="s">
        <v>276</v>
      </c>
      <c r="N73" s="26" t="s">
        <v>130</v>
      </c>
      <c r="O73" s="26" t="s">
        <v>284</v>
      </c>
      <c r="P73" s="26" t="s">
        <v>285</v>
      </c>
      <c r="Q73" s="26" t="s">
        <v>286</v>
      </c>
      <c r="R73" s="7" t="s">
        <v>134</v>
      </c>
      <c r="S73" s="26" t="s">
        <v>268</v>
      </c>
      <c r="T73" s="7" t="s">
        <v>269</v>
      </c>
      <c r="U73" s="7" t="s">
        <v>270</v>
      </c>
      <c r="V73" s="26" t="s">
        <v>271</v>
      </c>
      <c r="W73" s="26" t="s">
        <v>160</v>
      </c>
      <c r="X73" s="7" t="s">
        <v>44</v>
      </c>
      <c r="Y73" s="26" t="s">
        <v>4402</v>
      </c>
      <c r="Z73" s="7" t="s">
        <v>93</v>
      </c>
      <c r="AA73" s="26" t="s">
        <v>5607</v>
      </c>
      <c r="AB73" s="7" t="str">
        <f aca="false">IF(AC73="Reject","Not ready",IF(Z73="Possible",IF(K73=1,"Core","Extended"),IF(K73=1,"Smoke",IF(K73=2,"Core","Extended"))))</f>
        <v>Extended</v>
      </c>
      <c r="AC73" s="19" t="s">
        <v>9</v>
      </c>
      <c r="AD73" s="26" t="s">
        <v>287</v>
      </c>
    </row>
    <row r="74" customFormat="false" ht="54.75" hidden="false" customHeight="true" outlineLevel="0" collapsed="false">
      <c r="A74" s="7" t="s">
        <v>288</v>
      </c>
      <c r="B74" s="26" t="s">
        <v>259</v>
      </c>
      <c r="C74" s="7" t="s">
        <v>40</v>
      </c>
      <c r="D74" s="7" t="s">
        <v>100</v>
      </c>
      <c r="E74" s="7" t="s">
        <v>260</v>
      </c>
      <c r="F74" s="26" t="s">
        <v>261</v>
      </c>
      <c r="G74" s="26" t="s">
        <v>289</v>
      </c>
      <c r="H74" s="26" t="s">
        <v>290</v>
      </c>
      <c r="I74" s="7" t="s">
        <v>49</v>
      </c>
      <c r="J74" s="15" t="s">
        <v>17</v>
      </c>
      <c r="K74" s="18" t="n">
        <v>2</v>
      </c>
      <c r="L74" s="7" t="s">
        <v>62</v>
      </c>
      <c r="M74" s="26" t="s">
        <v>276</v>
      </c>
      <c r="N74" s="26" t="s">
        <v>130</v>
      </c>
      <c r="O74" s="26" t="s">
        <v>291</v>
      </c>
      <c r="P74" s="26" t="s">
        <v>292</v>
      </c>
      <c r="Q74" s="26" t="s">
        <v>293</v>
      </c>
      <c r="R74" s="7" t="s">
        <v>134</v>
      </c>
      <c r="S74" s="26" t="s">
        <v>268</v>
      </c>
      <c r="T74" s="7" t="s">
        <v>269</v>
      </c>
      <c r="U74" s="7" t="s">
        <v>270</v>
      </c>
      <c r="V74" s="26" t="s">
        <v>271</v>
      </c>
      <c r="W74" s="26" t="s">
        <v>160</v>
      </c>
      <c r="X74" s="7" t="s">
        <v>44</v>
      </c>
      <c r="Y74" s="26" t="s">
        <v>4402</v>
      </c>
      <c r="Z74" s="7" t="s">
        <v>93</v>
      </c>
      <c r="AA74" s="26" t="s">
        <v>5607</v>
      </c>
      <c r="AB74" s="7" t="str">
        <f aca="false">IF(AC74="Reject","Not ready",IF(Z74="Possible",IF(K74=1,"Core","Extended"),IF(K74=1,"Smoke",IF(K74=2,"Core","Extended"))))</f>
        <v>Core</v>
      </c>
      <c r="AC74" s="19" t="s">
        <v>9</v>
      </c>
      <c r="AD74" s="26" t="s">
        <v>294</v>
      </c>
    </row>
    <row r="75" customFormat="false" ht="42" hidden="false" customHeight="true" outlineLevel="0" collapsed="false">
      <c r="A75" s="7" t="s">
        <v>295</v>
      </c>
      <c r="B75" s="26" t="s">
        <v>259</v>
      </c>
      <c r="C75" s="7" t="s">
        <v>40</v>
      </c>
      <c r="D75" s="7" t="s">
        <v>100</v>
      </c>
      <c r="E75" s="7" t="s">
        <v>260</v>
      </c>
      <c r="F75" s="26" t="s">
        <v>261</v>
      </c>
      <c r="G75" s="26" t="s">
        <v>296</v>
      </c>
      <c r="H75" s="26" t="s">
        <v>297</v>
      </c>
      <c r="I75" s="7" t="s">
        <v>52</v>
      </c>
      <c r="J75" s="15" t="s">
        <v>16</v>
      </c>
      <c r="K75" s="16" t="n">
        <v>1</v>
      </c>
      <c r="L75" s="7" t="s">
        <v>63</v>
      </c>
      <c r="M75" s="26" t="s">
        <v>276</v>
      </c>
      <c r="N75" s="26" t="s">
        <v>130</v>
      </c>
      <c r="O75" s="26" t="s">
        <v>265</v>
      </c>
      <c r="P75" s="26" t="s">
        <v>298</v>
      </c>
      <c r="Q75" s="26" t="s">
        <v>299</v>
      </c>
      <c r="R75" s="7" t="s">
        <v>134</v>
      </c>
      <c r="S75" s="26" t="s">
        <v>268</v>
      </c>
      <c r="T75" s="7" t="s">
        <v>300</v>
      </c>
      <c r="U75" s="7" t="s">
        <v>270</v>
      </c>
      <c r="V75" s="26" t="s">
        <v>271</v>
      </c>
      <c r="W75" s="26" t="s">
        <v>160</v>
      </c>
      <c r="X75" s="7" t="s">
        <v>44</v>
      </c>
      <c r="Y75" s="26" t="s">
        <v>4402</v>
      </c>
      <c r="Z75" s="7" t="s">
        <v>93</v>
      </c>
      <c r="AA75" s="26" t="s">
        <v>5607</v>
      </c>
      <c r="AB75" s="7" t="str">
        <f aca="false">IF(AC75="Reject","Not ready",IF(Z75="Possible",IF(K75=1,"Core","Extended"),IF(K75=1,"Smoke",IF(K75=2,"Core","Extended"))))</f>
        <v>Smoke</v>
      </c>
      <c r="AC75" s="19" t="s">
        <v>9</v>
      </c>
      <c r="AD75" s="26" t="s">
        <v>301</v>
      </c>
    </row>
    <row r="76" customFormat="false" ht="42" hidden="false" customHeight="true" outlineLevel="0" collapsed="false">
      <c r="A76" s="7" t="s">
        <v>344</v>
      </c>
      <c r="B76" s="26" t="s">
        <v>345</v>
      </c>
      <c r="C76" s="7" t="s">
        <v>40</v>
      </c>
      <c r="D76" s="7" t="s">
        <v>346</v>
      </c>
      <c r="E76" s="7" t="s">
        <v>347</v>
      </c>
      <c r="F76" s="26" t="s">
        <v>348</v>
      </c>
      <c r="G76" s="26" t="s">
        <v>349</v>
      </c>
      <c r="H76" s="26" t="s">
        <v>350</v>
      </c>
      <c r="I76" s="7" t="s">
        <v>49</v>
      </c>
      <c r="J76" s="15" t="s">
        <v>16</v>
      </c>
      <c r="K76" s="16" t="n">
        <v>1</v>
      </c>
      <c r="L76" s="7" t="s">
        <v>62</v>
      </c>
      <c r="M76" s="26" t="s">
        <v>351</v>
      </c>
      <c r="N76" s="26" t="s">
        <v>130</v>
      </c>
      <c r="O76" s="26" t="s">
        <v>352</v>
      </c>
      <c r="P76" s="26" t="s">
        <v>353</v>
      </c>
      <c r="Q76" s="26" t="s">
        <v>354</v>
      </c>
      <c r="R76" s="7" t="s">
        <v>134</v>
      </c>
      <c r="S76" s="26" t="s">
        <v>355</v>
      </c>
      <c r="T76" s="7" t="s">
        <v>269</v>
      </c>
      <c r="U76" s="7" t="s">
        <v>356</v>
      </c>
      <c r="V76" s="26" t="s">
        <v>357</v>
      </c>
      <c r="W76" s="26" t="s">
        <v>160</v>
      </c>
      <c r="X76" s="7" t="s">
        <v>44</v>
      </c>
      <c r="Y76" s="26" t="s">
        <v>4402</v>
      </c>
      <c r="Z76" s="7" t="s">
        <v>93</v>
      </c>
      <c r="AA76" s="26" t="s">
        <v>5607</v>
      </c>
      <c r="AB76" s="7" t="str">
        <f aca="false">IF(AC76="Reject","Not ready",IF(Z76="Possible",IF(K76=1,"Core","Extended"),IF(K76=1,"Smoke",IF(K76=2,"Core","Extended"))))</f>
        <v>Smoke</v>
      </c>
      <c r="AC76" s="19" t="s">
        <v>9</v>
      </c>
      <c r="AD76" s="26" t="s">
        <v>358</v>
      </c>
    </row>
    <row r="77" customFormat="false" ht="42" hidden="false" customHeight="true" outlineLevel="0" collapsed="false">
      <c r="A77" s="7" t="s">
        <v>359</v>
      </c>
      <c r="B77" s="26" t="s">
        <v>345</v>
      </c>
      <c r="C77" s="7" t="s">
        <v>40</v>
      </c>
      <c r="D77" s="7" t="s">
        <v>346</v>
      </c>
      <c r="E77" s="7" t="s">
        <v>347</v>
      </c>
      <c r="F77" s="26" t="s">
        <v>348</v>
      </c>
      <c r="G77" s="26" t="s">
        <v>360</v>
      </c>
      <c r="H77" s="26" t="s">
        <v>361</v>
      </c>
      <c r="I77" s="7" t="s">
        <v>48</v>
      </c>
      <c r="J77" s="15" t="s">
        <v>16</v>
      </c>
      <c r="K77" s="18" t="n">
        <v>2</v>
      </c>
      <c r="L77" s="7" t="s">
        <v>64</v>
      </c>
      <c r="M77" s="26" t="s">
        <v>362</v>
      </c>
      <c r="N77" s="26" t="s">
        <v>130</v>
      </c>
      <c r="O77" s="26" t="s">
        <v>363</v>
      </c>
      <c r="P77" s="26" t="s">
        <v>364</v>
      </c>
      <c r="Q77" s="26" t="s">
        <v>365</v>
      </c>
      <c r="R77" s="7" t="s">
        <v>134</v>
      </c>
      <c r="S77" s="26" t="s">
        <v>355</v>
      </c>
      <c r="T77" s="7" t="s">
        <v>256</v>
      </c>
      <c r="U77" s="7" t="s">
        <v>356</v>
      </c>
      <c r="V77" s="26" t="s">
        <v>357</v>
      </c>
      <c r="W77" s="26" t="s">
        <v>160</v>
      </c>
      <c r="X77" s="7" t="s">
        <v>44</v>
      </c>
      <c r="Y77" s="26" t="s">
        <v>4402</v>
      </c>
      <c r="Z77" s="7" t="s">
        <v>93</v>
      </c>
      <c r="AA77" s="26" t="s">
        <v>5607</v>
      </c>
      <c r="AB77" s="7" t="str">
        <f aca="false">IF(AC77="Reject","Not ready",IF(Z77="Possible",IF(K77=1,"Core","Extended"),IF(K77=1,"Smoke",IF(K77=2,"Core","Extended"))))</f>
        <v>Core</v>
      </c>
      <c r="AC77" s="19" t="s">
        <v>9</v>
      </c>
      <c r="AD77" s="26" t="s">
        <v>366</v>
      </c>
    </row>
    <row r="78" customFormat="false" ht="42" hidden="false" customHeight="true" outlineLevel="0" collapsed="false">
      <c r="A78" s="7" t="s">
        <v>367</v>
      </c>
      <c r="B78" s="26" t="s">
        <v>345</v>
      </c>
      <c r="C78" s="7" t="s">
        <v>40</v>
      </c>
      <c r="D78" s="7" t="s">
        <v>346</v>
      </c>
      <c r="E78" s="7" t="s">
        <v>347</v>
      </c>
      <c r="F78" s="26" t="s">
        <v>348</v>
      </c>
      <c r="G78" s="26" t="s">
        <v>368</v>
      </c>
      <c r="H78" s="26" t="s">
        <v>369</v>
      </c>
      <c r="I78" s="7" t="s">
        <v>49</v>
      </c>
      <c r="J78" s="15" t="s">
        <v>16</v>
      </c>
      <c r="K78" s="18" t="n">
        <v>2</v>
      </c>
      <c r="L78" s="7" t="s">
        <v>62</v>
      </c>
      <c r="M78" s="26" t="s">
        <v>370</v>
      </c>
      <c r="N78" s="26" t="s">
        <v>130</v>
      </c>
      <c r="O78" s="26" t="s">
        <v>371</v>
      </c>
      <c r="P78" s="26" t="s">
        <v>372</v>
      </c>
      <c r="Q78" s="26" t="s">
        <v>373</v>
      </c>
      <c r="R78" s="7" t="s">
        <v>134</v>
      </c>
      <c r="S78" s="26" t="s">
        <v>355</v>
      </c>
      <c r="T78" s="7" t="s">
        <v>269</v>
      </c>
      <c r="U78" s="7" t="s">
        <v>356</v>
      </c>
      <c r="V78" s="26" t="s">
        <v>357</v>
      </c>
      <c r="W78" s="26" t="s">
        <v>160</v>
      </c>
      <c r="X78" s="7" t="s">
        <v>44</v>
      </c>
      <c r="Y78" s="26" t="s">
        <v>4402</v>
      </c>
      <c r="Z78" s="7" t="s">
        <v>93</v>
      </c>
      <c r="AA78" s="26" t="s">
        <v>5607</v>
      </c>
      <c r="AB78" s="7" t="str">
        <f aca="false">IF(AC78="Reject","Not ready",IF(Z78="Possible",IF(K78=1,"Core","Extended"),IF(K78=1,"Smoke",IF(K78=2,"Core","Extended"))))</f>
        <v>Core</v>
      </c>
      <c r="AC78" s="19" t="s">
        <v>9</v>
      </c>
      <c r="AD78" s="26" t="s">
        <v>374</v>
      </c>
    </row>
    <row r="79" customFormat="false" ht="42" hidden="false" customHeight="true" outlineLevel="0" collapsed="false">
      <c r="A79" s="7" t="s">
        <v>375</v>
      </c>
      <c r="B79" s="26" t="s">
        <v>345</v>
      </c>
      <c r="C79" s="7" t="s">
        <v>40</v>
      </c>
      <c r="D79" s="7" t="s">
        <v>346</v>
      </c>
      <c r="E79" s="7" t="s">
        <v>347</v>
      </c>
      <c r="F79" s="26" t="s">
        <v>348</v>
      </c>
      <c r="G79" s="26" t="s">
        <v>376</v>
      </c>
      <c r="H79" s="26" t="s">
        <v>377</v>
      </c>
      <c r="I79" s="7" t="s">
        <v>49</v>
      </c>
      <c r="J79" s="15" t="s">
        <v>16</v>
      </c>
      <c r="K79" s="18" t="n">
        <v>2</v>
      </c>
      <c r="L79" s="7" t="s">
        <v>62</v>
      </c>
      <c r="M79" s="26" t="s">
        <v>378</v>
      </c>
      <c r="N79" s="26" t="s">
        <v>130</v>
      </c>
      <c r="O79" s="26" t="s">
        <v>379</v>
      </c>
      <c r="P79" s="26" t="s">
        <v>380</v>
      </c>
      <c r="Q79" s="26" t="s">
        <v>381</v>
      </c>
      <c r="R79" s="7" t="s">
        <v>134</v>
      </c>
      <c r="S79" s="26" t="s">
        <v>355</v>
      </c>
      <c r="T79" s="7" t="s">
        <v>269</v>
      </c>
      <c r="U79" s="7" t="s">
        <v>356</v>
      </c>
      <c r="V79" s="26" t="s">
        <v>382</v>
      </c>
      <c r="W79" s="26" t="s">
        <v>160</v>
      </c>
      <c r="X79" s="7" t="s">
        <v>44</v>
      </c>
      <c r="Y79" s="26" t="s">
        <v>4402</v>
      </c>
      <c r="Z79" s="7" t="s">
        <v>93</v>
      </c>
      <c r="AA79" s="26" t="s">
        <v>5607</v>
      </c>
      <c r="AB79" s="7" t="str">
        <f aca="false">IF(AC79="Reject","Not ready",IF(Z79="Possible",IF(K79=1,"Core","Extended"),IF(K79=1,"Smoke",IF(K79=2,"Core","Extended"))))</f>
        <v>Core</v>
      </c>
      <c r="AC79" s="19" t="s">
        <v>9</v>
      </c>
      <c r="AD79" s="26" t="s">
        <v>383</v>
      </c>
    </row>
    <row r="80" customFormat="false" ht="42" hidden="false" customHeight="true" outlineLevel="0" collapsed="false">
      <c r="A80" s="7" t="s">
        <v>384</v>
      </c>
      <c r="B80" s="26" t="s">
        <v>345</v>
      </c>
      <c r="C80" s="7" t="s">
        <v>40</v>
      </c>
      <c r="D80" s="7" t="s">
        <v>346</v>
      </c>
      <c r="E80" s="7" t="s">
        <v>347</v>
      </c>
      <c r="F80" s="26" t="s">
        <v>348</v>
      </c>
      <c r="G80" s="26" t="s">
        <v>385</v>
      </c>
      <c r="H80" s="26" t="s">
        <v>386</v>
      </c>
      <c r="I80" s="7" t="s">
        <v>49</v>
      </c>
      <c r="J80" s="15" t="s">
        <v>16</v>
      </c>
      <c r="K80" s="18" t="n">
        <v>2</v>
      </c>
      <c r="L80" s="7" t="s">
        <v>62</v>
      </c>
      <c r="M80" s="26" t="s">
        <v>387</v>
      </c>
      <c r="N80" s="26" t="s">
        <v>130</v>
      </c>
      <c r="O80" s="26" t="s">
        <v>388</v>
      </c>
      <c r="P80" s="26" t="s">
        <v>389</v>
      </c>
      <c r="Q80" s="26" t="s">
        <v>390</v>
      </c>
      <c r="R80" s="7" t="s">
        <v>134</v>
      </c>
      <c r="S80" s="26" t="s">
        <v>355</v>
      </c>
      <c r="T80" s="7" t="s">
        <v>269</v>
      </c>
      <c r="U80" s="7" t="s">
        <v>356</v>
      </c>
      <c r="V80" s="26" t="s">
        <v>357</v>
      </c>
      <c r="W80" s="26" t="s">
        <v>160</v>
      </c>
      <c r="X80" s="7" t="s">
        <v>44</v>
      </c>
      <c r="Y80" s="26" t="s">
        <v>4402</v>
      </c>
      <c r="Z80" s="7" t="s">
        <v>93</v>
      </c>
      <c r="AA80" s="26" t="s">
        <v>5607</v>
      </c>
      <c r="AB80" s="7" t="str">
        <f aca="false">IF(AC80="Reject","Not ready",IF(Z80="Possible",IF(K80=1,"Core","Extended"),IF(K80=1,"Smoke",IF(K80=2,"Core","Extended"))))</f>
        <v>Core</v>
      </c>
      <c r="AC80" s="19" t="s">
        <v>9</v>
      </c>
      <c r="AD80" s="26" t="s">
        <v>391</v>
      </c>
    </row>
    <row r="81" customFormat="false" ht="42" hidden="false" customHeight="true" outlineLevel="0" collapsed="false">
      <c r="A81" s="7" t="s">
        <v>392</v>
      </c>
      <c r="B81" s="26" t="s">
        <v>345</v>
      </c>
      <c r="C81" s="7" t="s">
        <v>40</v>
      </c>
      <c r="D81" s="7" t="s">
        <v>346</v>
      </c>
      <c r="E81" s="7" t="s">
        <v>347</v>
      </c>
      <c r="F81" s="26" t="s">
        <v>348</v>
      </c>
      <c r="G81" s="26" t="s">
        <v>393</v>
      </c>
      <c r="H81" s="26" t="s">
        <v>394</v>
      </c>
      <c r="I81" s="7" t="s">
        <v>49</v>
      </c>
      <c r="J81" s="15" t="s">
        <v>17</v>
      </c>
      <c r="K81" s="19" t="n">
        <v>3</v>
      </c>
      <c r="L81" s="7" t="s">
        <v>62</v>
      </c>
      <c r="M81" s="26" t="s">
        <v>395</v>
      </c>
      <c r="N81" s="26" t="s">
        <v>130</v>
      </c>
      <c r="O81" s="26" t="s">
        <v>396</v>
      </c>
      <c r="P81" s="26" t="s">
        <v>397</v>
      </c>
      <c r="Q81" s="26" t="s">
        <v>398</v>
      </c>
      <c r="R81" s="7" t="s">
        <v>134</v>
      </c>
      <c r="S81" s="26" t="s">
        <v>355</v>
      </c>
      <c r="T81" s="7" t="s">
        <v>269</v>
      </c>
      <c r="U81" s="7" t="s">
        <v>356</v>
      </c>
      <c r="V81" s="26" t="s">
        <v>357</v>
      </c>
      <c r="W81" s="26" t="s">
        <v>160</v>
      </c>
      <c r="X81" s="7" t="s">
        <v>44</v>
      </c>
      <c r="Y81" s="26" t="s">
        <v>4402</v>
      </c>
      <c r="Z81" s="7" t="s">
        <v>93</v>
      </c>
      <c r="AA81" s="26" t="s">
        <v>5607</v>
      </c>
      <c r="AB81" s="7" t="str">
        <f aca="false">IF(AC81="Reject","Not ready",IF(Z81="Possible",IF(K81=1,"Core","Extended"),IF(K81=1,"Smoke",IF(K81=2,"Core","Extended"))))</f>
        <v>Extended</v>
      </c>
      <c r="AC81" s="19" t="s">
        <v>9</v>
      </c>
      <c r="AD81" s="26" t="s">
        <v>399</v>
      </c>
    </row>
    <row r="82" customFormat="false" ht="67.5" hidden="false" customHeight="true" outlineLevel="0" collapsed="false">
      <c r="A82" s="7" t="s">
        <v>400</v>
      </c>
      <c r="B82" s="26" t="s">
        <v>401</v>
      </c>
      <c r="C82" s="7" t="s">
        <v>40</v>
      </c>
      <c r="D82" s="7" t="s">
        <v>100</v>
      </c>
      <c r="E82" s="7" t="s">
        <v>402</v>
      </c>
      <c r="F82" s="26" t="s">
        <v>403</v>
      </c>
      <c r="G82" s="26" t="s">
        <v>404</v>
      </c>
      <c r="H82" s="26" t="s">
        <v>405</v>
      </c>
      <c r="I82" s="7" t="s">
        <v>50</v>
      </c>
      <c r="J82" s="15" t="s">
        <v>17</v>
      </c>
      <c r="K82" s="18" t="n">
        <v>2</v>
      </c>
      <c r="L82" s="7" t="s">
        <v>62</v>
      </c>
      <c r="M82" s="26" t="s">
        <v>221</v>
      </c>
      <c r="N82" s="26" t="s">
        <v>130</v>
      </c>
      <c r="O82" s="26" t="s">
        <v>406</v>
      </c>
      <c r="P82" s="26" t="s">
        <v>407</v>
      </c>
      <c r="Q82" s="26" t="s">
        <v>408</v>
      </c>
      <c r="R82" s="7" t="s">
        <v>134</v>
      </c>
      <c r="S82" s="26" t="s">
        <v>409</v>
      </c>
      <c r="T82" s="7" t="s">
        <v>136</v>
      </c>
      <c r="U82" s="7" t="s">
        <v>410</v>
      </c>
      <c r="V82" s="26" t="s">
        <v>138</v>
      </c>
      <c r="W82" s="26" t="s">
        <v>160</v>
      </c>
      <c r="X82" s="7" t="s">
        <v>44</v>
      </c>
      <c r="Y82" s="26" t="s">
        <v>4402</v>
      </c>
      <c r="Z82" s="7" t="s">
        <v>93</v>
      </c>
      <c r="AA82" s="26" t="s">
        <v>5607</v>
      </c>
      <c r="AB82" s="7" t="str">
        <f aca="false">IF(AC82="Reject","Not ready",IF(Z82="Possible",IF(K82=1,"Core","Extended"),IF(K82=1,"Smoke",IF(K82=2,"Core","Extended"))))</f>
        <v>Core</v>
      </c>
      <c r="AC82" s="17" t="s">
        <v>7</v>
      </c>
      <c r="AD82" s="26" t="s">
        <v>411</v>
      </c>
    </row>
    <row r="83" customFormat="false" ht="67.5" hidden="false" customHeight="true" outlineLevel="0" collapsed="false">
      <c r="A83" s="7" t="s">
        <v>412</v>
      </c>
      <c r="B83" s="26" t="s">
        <v>401</v>
      </c>
      <c r="C83" s="7" t="s">
        <v>40</v>
      </c>
      <c r="D83" s="7" t="s">
        <v>100</v>
      </c>
      <c r="E83" s="7" t="s">
        <v>402</v>
      </c>
      <c r="F83" s="26" t="s">
        <v>403</v>
      </c>
      <c r="G83" s="26" t="s">
        <v>413</v>
      </c>
      <c r="H83" s="26" t="s">
        <v>414</v>
      </c>
      <c r="I83" s="7" t="s">
        <v>50</v>
      </c>
      <c r="J83" s="15" t="s">
        <v>18</v>
      </c>
      <c r="K83" s="19" t="n">
        <v>3</v>
      </c>
      <c r="L83" s="7" t="s">
        <v>62</v>
      </c>
      <c r="M83" s="26" t="s">
        <v>415</v>
      </c>
      <c r="N83" s="26" t="s">
        <v>130</v>
      </c>
      <c r="O83" s="26" t="s">
        <v>416</v>
      </c>
      <c r="P83" s="26" t="s">
        <v>417</v>
      </c>
      <c r="Q83" s="26" t="s">
        <v>418</v>
      </c>
      <c r="R83" s="7" t="s">
        <v>134</v>
      </c>
      <c r="S83" s="26" t="s">
        <v>409</v>
      </c>
      <c r="T83" s="7" t="s">
        <v>136</v>
      </c>
      <c r="U83" s="7" t="s">
        <v>410</v>
      </c>
      <c r="V83" s="26" t="s">
        <v>419</v>
      </c>
      <c r="W83" s="26" t="s">
        <v>160</v>
      </c>
      <c r="X83" s="7" t="s">
        <v>44</v>
      </c>
      <c r="Y83" s="26" t="s">
        <v>4402</v>
      </c>
      <c r="Z83" s="7" t="s">
        <v>93</v>
      </c>
      <c r="AA83" s="26" t="s">
        <v>5607</v>
      </c>
      <c r="AB83" s="7" t="str">
        <f aca="false">IF(AC83="Reject","Not ready",IF(Z83="Possible",IF(K83=1,"Core","Extended"),IF(K83=1,"Smoke",IF(K83=2,"Core","Extended"))))</f>
        <v>Extended</v>
      </c>
      <c r="AC83" s="19" t="s">
        <v>9</v>
      </c>
      <c r="AD83" s="26" t="s">
        <v>420</v>
      </c>
    </row>
    <row r="84" customFormat="false" ht="42" hidden="false" customHeight="true" outlineLevel="0" collapsed="false">
      <c r="A84" s="7" t="s">
        <v>421</v>
      </c>
      <c r="B84" s="26" t="s">
        <v>401</v>
      </c>
      <c r="C84" s="7" t="s">
        <v>40</v>
      </c>
      <c r="D84" s="7" t="s">
        <v>100</v>
      </c>
      <c r="E84" s="7" t="s">
        <v>402</v>
      </c>
      <c r="F84" s="26" t="s">
        <v>403</v>
      </c>
      <c r="G84" s="26" t="s">
        <v>422</v>
      </c>
      <c r="H84" s="26" t="s">
        <v>423</v>
      </c>
      <c r="I84" s="7" t="s">
        <v>49</v>
      </c>
      <c r="J84" s="15" t="s">
        <v>18</v>
      </c>
      <c r="K84" s="19" t="n">
        <v>3</v>
      </c>
      <c r="L84" s="7" t="s">
        <v>62</v>
      </c>
      <c r="M84" s="26" t="s">
        <v>424</v>
      </c>
      <c r="N84" s="26" t="s">
        <v>130</v>
      </c>
      <c r="O84" s="26" t="s">
        <v>425</v>
      </c>
      <c r="P84" s="26" t="s">
        <v>426</v>
      </c>
      <c r="Q84" s="26" t="s">
        <v>427</v>
      </c>
      <c r="R84" s="7" t="s">
        <v>134</v>
      </c>
      <c r="S84" s="26" t="s">
        <v>409</v>
      </c>
      <c r="T84" s="7" t="s">
        <v>136</v>
      </c>
      <c r="U84" s="7" t="s">
        <v>410</v>
      </c>
      <c r="V84" s="26" t="s">
        <v>419</v>
      </c>
      <c r="W84" s="26" t="s">
        <v>160</v>
      </c>
      <c r="X84" s="7" t="s">
        <v>44</v>
      </c>
      <c r="Y84" s="26" t="s">
        <v>4402</v>
      </c>
      <c r="Z84" s="7" t="s">
        <v>93</v>
      </c>
      <c r="AA84" s="26" t="s">
        <v>5607</v>
      </c>
      <c r="AB84" s="7" t="str">
        <f aca="false">IF(AC84="Reject","Not ready",IF(Z84="Possible",IF(K84=1,"Core","Extended"),IF(K84=1,"Smoke",IF(K84=2,"Core","Extended"))))</f>
        <v>Extended</v>
      </c>
      <c r="AC84" s="19" t="s">
        <v>9</v>
      </c>
      <c r="AD84" s="26" t="s">
        <v>428</v>
      </c>
    </row>
    <row r="85" customFormat="false" ht="54.75" hidden="false" customHeight="true" outlineLevel="0" collapsed="false">
      <c r="A85" s="7" t="s">
        <v>429</v>
      </c>
      <c r="B85" s="26" t="s">
        <v>401</v>
      </c>
      <c r="C85" s="7" t="s">
        <v>40</v>
      </c>
      <c r="D85" s="7" t="s">
        <v>100</v>
      </c>
      <c r="E85" s="7" t="s">
        <v>402</v>
      </c>
      <c r="F85" s="26" t="s">
        <v>403</v>
      </c>
      <c r="G85" s="26" t="s">
        <v>430</v>
      </c>
      <c r="H85" s="26" t="s">
        <v>431</v>
      </c>
      <c r="I85" s="7" t="s">
        <v>59</v>
      </c>
      <c r="J85" s="15" t="s">
        <v>17</v>
      </c>
      <c r="K85" s="18" t="n">
        <v>2</v>
      </c>
      <c r="L85" s="7" t="s">
        <v>62</v>
      </c>
      <c r="M85" s="26" t="s">
        <v>432</v>
      </c>
      <c r="N85" s="26" t="s">
        <v>130</v>
      </c>
      <c r="O85" s="26" t="s">
        <v>433</v>
      </c>
      <c r="P85" s="26" t="s">
        <v>434</v>
      </c>
      <c r="Q85" s="26" t="s">
        <v>435</v>
      </c>
      <c r="R85" s="7" t="s">
        <v>134</v>
      </c>
      <c r="S85" s="26" t="s">
        <v>409</v>
      </c>
      <c r="T85" s="7" t="s">
        <v>300</v>
      </c>
      <c r="U85" s="7" t="s">
        <v>410</v>
      </c>
      <c r="V85" s="26" t="s">
        <v>436</v>
      </c>
      <c r="W85" s="26" t="s">
        <v>160</v>
      </c>
      <c r="X85" s="7" t="s">
        <v>44</v>
      </c>
      <c r="Y85" s="26" t="s">
        <v>4402</v>
      </c>
      <c r="Z85" s="7" t="s">
        <v>93</v>
      </c>
      <c r="AA85" s="26" t="s">
        <v>5607</v>
      </c>
      <c r="AB85" s="7" t="str">
        <f aca="false">IF(AC85="Reject","Not ready",IF(Z85="Possible",IF(K85=1,"Core","Extended"),IF(K85=1,"Smoke",IF(K85=2,"Core","Extended"))))</f>
        <v>Core</v>
      </c>
      <c r="AC85" s="19" t="s">
        <v>9</v>
      </c>
      <c r="AD85" s="26" t="s">
        <v>437</v>
      </c>
    </row>
    <row r="86" customFormat="false" ht="42" hidden="false" customHeight="true" outlineLevel="0" collapsed="false">
      <c r="A86" s="7" t="s">
        <v>438</v>
      </c>
      <c r="B86" s="26" t="s">
        <v>401</v>
      </c>
      <c r="C86" s="7" t="s">
        <v>40</v>
      </c>
      <c r="D86" s="7" t="s">
        <v>100</v>
      </c>
      <c r="E86" s="7" t="s">
        <v>402</v>
      </c>
      <c r="F86" s="26" t="s">
        <v>403</v>
      </c>
      <c r="G86" s="26" t="s">
        <v>439</v>
      </c>
      <c r="H86" s="26" t="s">
        <v>440</v>
      </c>
      <c r="I86" s="7" t="s">
        <v>55</v>
      </c>
      <c r="J86" s="15" t="s">
        <v>16</v>
      </c>
      <c r="K86" s="16" t="n">
        <v>1</v>
      </c>
      <c r="L86" s="7" t="s">
        <v>63</v>
      </c>
      <c r="M86" s="26" t="s">
        <v>441</v>
      </c>
      <c r="N86" s="26" t="s">
        <v>130</v>
      </c>
      <c r="O86" s="26" t="s">
        <v>442</v>
      </c>
      <c r="P86" s="26" t="s">
        <v>443</v>
      </c>
      <c r="Q86" s="26" t="s">
        <v>444</v>
      </c>
      <c r="R86" s="7" t="s">
        <v>134</v>
      </c>
      <c r="S86" s="26" t="s">
        <v>409</v>
      </c>
      <c r="T86" s="7" t="s">
        <v>269</v>
      </c>
      <c r="U86" s="7" t="s">
        <v>410</v>
      </c>
      <c r="V86" s="26" t="s">
        <v>436</v>
      </c>
      <c r="W86" s="26" t="s">
        <v>160</v>
      </c>
      <c r="X86" s="7" t="s">
        <v>44</v>
      </c>
      <c r="Y86" s="26" t="s">
        <v>4402</v>
      </c>
      <c r="Z86" s="7" t="s">
        <v>93</v>
      </c>
      <c r="AA86" s="26" t="s">
        <v>5607</v>
      </c>
      <c r="AB86" s="7" t="str">
        <f aca="false">IF(AC86="Reject","Not ready",IF(Z86="Possible",IF(K86=1,"Core","Extended"),IF(K86=1,"Smoke",IF(K86=2,"Core","Extended"))))</f>
        <v>Smoke</v>
      </c>
      <c r="AC86" s="19" t="s">
        <v>9</v>
      </c>
      <c r="AD86" s="26" t="s">
        <v>445</v>
      </c>
    </row>
    <row r="87" customFormat="false" ht="67.5" hidden="false" customHeight="true" outlineLevel="0" collapsed="false">
      <c r="A87" s="7" t="s">
        <v>446</v>
      </c>
      <c r="B87" s="26" t="s">
        <v>447</v>
      </c>
      <c r="C87" s="7" t="s">
        <v>40</v>
      </c>
      <c r="D87" s="7" t="s">
        <v>99</v>
      </c>
      <c r="E87" s="7" t="s">
        <v>448</v>
      </c>
      <c r="F87" s="26" t="s">
        <v>449</v>
      </c>
      <c r="G87" s="26" t="s">
        <v>450</v>
      </c>
      <c r="H87" s="26" t="s">
        <v>451</v>
      </c>
      <c r="I87" s="7" t="s">
        <v>50</v>
      </c>
      <c r="J87" s="15" t="s">
        <v>16</v>
      </c>
      <c r="K87" s="18" t="n">
        <v>2</v>
      </c>
      <c r="L87" s="7" t="s">
        <v>62</v>
      </c>
      <c r="M87" s="26" t="s">
        <v>452</v>
      </c>
      <c r="N87" s="26" t="s">
        <v>130</v>
      </c>
      <c r="O87" s="26" t="s">
        <v>453</v>
      </c>
      <c r="P87" s="26" t="s">
        <v>454</v>
      </c>
      <c r="Q87" s="26" t="s">
        <v>455</v>
      </c>
      <c r="R87" s="7" t="s">
        <v>134</v>
      </c>
      <c r="S87" s="26" t="s">
        <v>456</v>
      </c>
      <c r="T87" s="7" t="s">
        <v>269</v>
      </c>
      <c r="U87" s="7" t="s">
        <v>457</v>
      </c>
      <c r="V87" s="26" t="s">
        <v>357</v>
      </c>
      <c r="W87" s="26" t="s">
        <v>160</v>
      </c>
      <c r="X87" s="7" t="s">
        <v>44</v>
      </c>
      <c r="Y87" s="26" t="s">
        <v>4402</v>
      </c>
      <c r="Z87" s="7" t="s">
        <v>93</v>
      </c>
      <c r="AA87" s="26" t="s">
        <v>5607</v>
      </c>
      <c r="AB87" s="7" t="str">
        <f aca="false">IF(AC87="Reject","Not ready",IF(Z87="Possible",IF(K87=1,"Core","Extended"),IF(K87=1,"Smoke",IF(K87=2,"Core","Extended"))))</f>
        <v>Core</v>
      </c>
      <c r="AC87" s="19" t="s">
        <v>9</v>
      </c>
      <c r="AD87" s="26" t="s">
        <v>458</v>
      </c>
    </row>
    <row r="88" customFormat="false" ht="67.5" hidden="false" customHeight="true" outlineLevel="0" collapsed="false">
      <c r="A88" s="7" t="s">
        <v>459</v>
      </c>
      <c r="B88" s="26" t="s">
        <v>447</v>
      </c>
      <c r="C88" s="7" t="s">
        <v>40</v>
      </c>
      <c r="D88" s="7" t="s">
        <v>99</v>
      </c>
      <c r="E88" s="7" t="s">
        <v>448</v>
      </c>
      <c r="F88" s="26" t="s">
        <v>449</v>
      </c>
      <c r="G88" s="26" t="s">
        <v>460</v>
      </c>
      <c r="H88" s="26" t="s">
        <v>461</v>
      </c>
      <c r="I88" s="7" t="s">
        <v>50</v>
      </c>
      <c r="J88" s="15" t="s">
        <v>17</v>
      </c>
      <c r="K88" s="19" t="n">
        <v>3</v>
      </c>
      <c r="L88" s="7" t="s">
        <v>62</v>
      </c>
      <c r="M88" s="26" t="s">
        <v>462</v>
      </c>
      <c r="N88" s="26" t="s">
        <v>130</v>
      </c>
      <c r="O88" s="26" t="s">
        <v>463</v>
      </c>
      <c r="P88" s="26" t="s">
        <v>464</v>
      </c>
      <c r="Q88" s="26" t="s">
        <v>465</v>
      </c>
      <c r="R88" s="7" t="s">
        <v>134</v>
      </c>
      <c r="S88" s="26" t="s">
        <v>456</v>
      </c>
      <c r="T88" s="7" t="s">
        <v>269</v>
      </c>
      <c r="U88" s="7" t="s">
        <v>457</v>
      </c>
      <c r="V88" s="26" t="s">
        <v>357</v>
      </c>
      <c r="W88" s="26" t="s">
        <v>160</v>
      </c>
      <c r="X88" s="7" t="s">
        <v>44</v>
      </c>
      <c r="Y88" s="26" t="s">
        <v>4402</v>
      </c>
      <c r="Z88" s="7" t="s">
        <v>93</v>
      </c>
      <c r="AA88" s="26" t="s">
        <v>5607</v>
      </c>
      <c r="AB88" s="7" t="str">
        <f aca="false">IF(AC88="Reject","Not ready",IF(Z88="Possible",IF(K88=1,"Core","Extended"),IF(K88=1,"Smoke",IF(K88=2,"Core","Extended"))))</f>
        <v>Extended</v>
      </c>
      <c r="AC88" s="19" t="s">
        <v>9</v>
      </c>
      <c r="AD88" s="26" t="s">
        <v>466</v>
      </c>
    </row>
    <row r="89" customFormat="false" ht="42" hidden="false" customHeight="true" outlineLevel="0" collapsed="false">
      <c r="A89" s="7" t="s">
        <v>467</v>
      </c>
      <c r="B89" s="26" t="s">
        <v>468</v>
      </c>
      <c r="C89" s="7" t="s">
        <v>40</v>
      </c>
      <c r="D89" s="7" t="s">
        <v>469</v>
      </c>
      <c r="E89" s="7" t="s">
        <v>470</v>
      </c>
      <c r="F89" s="26" t="s">
        <v>471</v>
      </c>
      <c r="G89" s="26" t="s">
        <v>472</v>
      </c>
      <c r="H89" s="26" t="s">
        <v>473</v>
      </c>
      <c r="I89" s="7" t="s">
        <v>49</v>
      </c>
      <c r="J89" s="15" t="s">
        <v>16</v>
      </c>
      <c r="K89" s="18" t="n">
        <v>2</v>
      </c>
      <c r="L89" s="7" t="s">
        <v>62</v>
      </c>
      <c r="M89" s="26" t="s">
        <v>474</v>
      </c>
      <c r="N89" s="26" t="s">
        <v>130</v>
      </c>
      <c r="O89" s="26" t="s">
        <v>475</v>
      </c>
      <c r="P89" s="26" t="s">
        <v>476</v>
      </c>
      <c r="Q89" s="26" t="s">
        <v>477</v>
      </c>
      <c r="R89" s="7" t="s">
        <v>134</v>
      </c>
      <c r="S89" s="26" t="s">
        <v>478</v>
      </c>
      <c r="T89" s="7" t="s">
        <v>136</v>
      </c>
      <c r="U89" s="7" t="s">
        <v>479</v>
      </c>
      <c r="V89" s="26" t="s">
        <v>480</v>
      </c>
      <c r="W89" s="26" t="s">
        <v>160</v>
      </c>
      <c r="X89" s="7" t="s">
        <v>44</v>
      </c>
      <c r="Y89" s="26" t="s">
        <v>4402</v>
      </c>
      <c r="Z89" s="7" t="s">
        <v>93</v>
      </c>
      <c r="AA89" s="26" t="s">
        <v>5607</v>
      </c>
      <c r="AB89" s="7" t="str">
        <f aca="false">IF(AC89="Reject","Not ready",IF(Z89="Possible",IF(K89=1,"Core","Extended"),IF(K89=1,"Smoke",IF(K89=2,"Core","Extended"))))</f>
        <v>Core</v>
      </c>
      <c r="AC89" s="19" t="s">
        <v>9</v>
      </c>
      <c r="AD89" s="26" t="s">
        <v>481</v>
      </c>
    </row>
    <row r="90" customFormat="false" ht="54.75" hidden="false" customHeight="true" outlineLevel="0" collapsed="false">
      <c r="A90" s="7" t="s">
        <v>482</v>
      </c>
      <c r="B90" s="26" t="s">
        <v>468</v>
      </c>
      <c r="C90" s="7" t="s">
        <v>40</v>
      </c>
      <c r="D90" s="7" t="s">
        <v>469</v>
      </c>
      <c r="E90" s="7" t="s">
        <v>470</v>
      </c>
      <c r="F90" s="26" t="s">
        <v>471</v>
      </c>
      <c r="G90" s="26" t="s">
        <v>483</v>
      </c>
      <c r="H90" s="26" t="s">
        <v>484</v>
      </c>
      <c r="I90" s="7" t="s">
        <v>49</v>
      </c>
      <c r="J90" s="15" t="s">
        <v>16</v>
      </c>
      <c r="K90" s="18" t="n">
        <v>2</v>
      </c>
      <c r="L90" s="7" t="s">
        <v>62</v>
      </c>
      <c r="M90" s="26" t="s">
        <v>485</v>
      </c>
      <c r="N90" s="26" t="s">
        <v>130</v>
      </c>
      <c r="O90" s="26" t="s">
        <v>486</v>
      </c>
      <c r="P90" s="26" t="s">
        <v>487</v>
      </c>
      <c r="Q90" s="26" t="s">
        <v>488</v>
      </c>
      <c r="R90" s="7" t="s">
        <v>134</v>
      </c>
      <c r="S90" s="26" t="s">
        <v>478</v>
      </c>
      <c r="T90" s="7" t="s">
        <v>136</v>
      </c>
      <c r="U90" s="7" t="s">
        <v>479</v>
      </c>
      <c r="V90" s="26" t="s">
        <v>480</v>
      </c>
      <c r="W90" s="26" t="s">
        <v>160</v>
      </c>
      <c r="X90" s="7" t="s">
        <v>44</v>
      </c>
      <c r="Y90" s="26" t="s">
        <v>4402</v>
      </c>
      <c r="Z90" s="7" t="s">
        <v>93</v>
      </c>
      <c r="AA90" s="26" t="s">
        <v>5607</v>
      </c>
      <c r="AB90" s="7" t="str">
        <f aca="false">IF(AC90="Reject","Not ready",IF(Z90="Possible",IF(K90=1,"Core","Extended"),IF(K90=1,"Smoke",IF(K90=2,"Core","Extended"))))</f>
        <v>Core</v>
      </c>
      <c r="AC90" s="19" t="s">
        <v>9</v>
      </c>
      <c r="AD90" s="26" t="s">
        <v>489</v>
      </c>
    </row>
    <row r="91" customFormat="false" ht="42" hidden="false" customHeight="true" outlineLevel="0" collapsed="false">
      <c r="A91" s="7" t="s">
        <v>490</v>
      </c>
      <c r="B91" s="26" t="s">
        <v>468</v>
      </c>
      <c r="C91" s="7" t="s">
        <v>40</v>
      </c>
      <c r="D91" s="7" t="s">
        <v>469</v>
      </c>
      <c r="E91" s="7" t="s">
        <v>470</v>
      </c>
      <c r="F91" s="26" t="s">
        <v>471</v>
      </c>
      <c r="G91" s="26" t="s">
        <v>491</v>
      </c>
      <c r="H91" s="26" t="s">
        <v>492</v>
      </c>
      <c r="I91" s="7" t="s">
        <v>49</v>
      </c>
      <c r="J91" s="15" t="s">
        <v>17</v>
      </c>
      <c r="K91" s="19" t="n">
        <v>3</v>
      </c>
      <c r="L91" s="7" t="s">
        <v>62</v>
      </c>
      <c r="M91" s="26" t="s">
        <v>493</v>
      </c>
      <c r="N91" s="26" t="s">
        <v>130</v>
      </c>
      <c r="O91" s="26" t="s">
        <v>494</v>
      </c>
      <c r="P91" s="26" t="s">
        <v>495</v>
      </c>
      <c r="Q91" s="26" t="s">
        <v>496</v>
      </c>
      <c r="R91" s="7" t="s">
        <v>134</v>
      </c>
      <c r="S91" s="26" t="s">
        <v>478</v>
      </c>
      <c r="T91" s="7" t="s">
        <v>136</v>
      </c>
      <c r="U91" s="7" t="s">
        <v>479</v>
      </c>
      <c r="V91" s="26" t="s">
        <v>480</v>
      </c>
      <c r="W91" s="26" t="s">
        <v>160</v>
      </c>
      <c r="X91" s="7" t="s">
        <v>44</v>
      </c>
      <c r="Y91" s="26" t="s">
        <v>4402</v>
      </c>
      <c r="Z91" s="7" t="s">
        <v>93</v>
      </c>
      <c r="AA91" s="26" t="s">
        <v>5607</v>
      </c>
      <c r="AB91" s="7" t="str">
        <f aca="false">IF(AC91="Reject","Not ready",IF(Z91="Possible",IF(K91=1,"Core","Extended"),IF(K91=1,"Smoke",IF(K91=2,"Core","Extended"))))</f>
        <v>Extended</v>
      </c>
      <c r="AC91" s="19" t="s">
        <v>9</v>
      </c>
      <c r="AD91" s="26" t="s">
        <v>497</v>
      </c>
    </row>
    <row r="92" customFormat="false" ht="42" hidden="false" customHeight="true" outlineLevel="0" collapsed="false">
      <c r="A92" s="7" t="s">
        <v>498</v>
      </c>
      <c r="B92" s="26" t="s">
        <v>468</v>
      </c>
      <c r="C92" s="7" t="s">
        <v>40</v>
      </c>
      <c r="D92" s="7" t="s">
        <v>469</v>
      </c>
      <c r="E92" s="7" t="s">
        <v>470</v>
      </c>
      <c r="F92" s="26" t="s">
        <v>471</v>
      </c>
      <c r="G92" s="26" t="s">
        <v>499</v>
      </c>
      <c r="H92" s="26" t="s">
        <v>500</v>
      </c>
      <c r="I92" s="7" t="s">
        <v>49</v>
      </c>
      <c r="J92" s="15" t="s">
        <v>17</v>
      </c>
      <c r="K92" s="19" t="n">
        <v>3</v>
      </c>
      <c r="L92" s="7" t="s">
        <v>62</v>
      </c>
      <c r="M92" s="26" t="s">
        <v>501</v>
      </c>
      <c r="N92" s="26" t="s">
        <v>130</v>
      </c>
      <c r="O92" s="26" t="s">
        <v>502</v>
      </c>
      <c r="P92" s="26" t="s">
        <v>503</v>
      </c>
      <c r="Q92" s="26" t="s">
        <v>504</v>
      </c>
      <c r="R92" s="7" t="s">
        <v>134</v>
      </c>
      <c r="S92" s="26" t="s">
        <v>478</v>
      </c>
      <c r="T92" s="7" t="s">
        <v>136</v>
      </c>
      <c r="U92" s="7" t="s">
        <v>479</v>
      </c>
      <c r="V92" s="26" t="s">
        <v>480</v>
      </c>
      <c r="W92" s="26" t="s">
        <v>160</v>
      </c>
      <c r="X92" s="7" t="s">
        <v>44</v>
      </c>
      <c r="Y92" s="26" t="s">
        <v>4402</v>
      </c>
      <c r="Z92" s="7" t="s">
        <v>93</v>
      </c>
      <c r="AA92" s="26" t="s">
        <v>5607</v>
      </c>
      <c r="AB92" s="7" t="str">
        <f aca="false">IF(AC92="Reject","Not ready",IF(Z92="Possible",IF(K92=1,"Core","Extended"),IF(K92=1,"Smoke",IF(K92=2,"Core","Extended"))))</f>
        <v>Extended</v>
      </c>
      <c r="AC92" s="19" t="s">
        <v>9</v>
      </c>
      <c r="AD92" s="26" t="s">
        <v>505</v>
      </c>
    </row>
    <row r="93" customFormat="false" ht="42" hidden="false" customHeight="true" outlineLevel="0" collapsed="false">
      <c r="A93" s="7" t="s">
        <v>506</v>
      </c>
      <c r="B93" s="26" t="s">
        <v>468</v>
      </c>
      <c r="C93" s="7" t="s">
        <v>40</v>
      </c>
      <c r="D93" s="7" t="s">
        <v>469</v>
      </c>
      <c r="E93" s="7" t="s">
        <v>470</v>
      </c>
      <c r="F93" s="26" t="s">
        <v>471</v>
      </c>
      <c r="G93" s="26" t="s">
        <v>507</v>
      </c>
      <c r="H93" s="26" t="s">
        <v>508</v>
      </c>
      <c r="I93" s="7" t="s">
        <v>50</v>
      </c>
      <c r="J93" s="15" t="s">
        <v>17</v>
      </c>
      <c r="K93" s="19" t="n">
        <v>3</v>
      </c>
      <c r="L93" s="7" t="s">
        <v>62</v>
      </c>
      <c r="M93" s="26" t="s">
        <v>509</v>
      </c>
      <c r="N93" s="26" t="s">
        <v>130</v>
      </c>
      <c r="O93" s="26" t="s">
        <v>510</v>
      </c>
      <c r="P93" s="26" t="s">
        <v>511</v>
      </c>
      <c r="Q93" s="26" t="s">
        <v>512</v>
      </c>
      <c r="R93" s="7" t="s">
        <v>134</v>
      </c>
      <c r="S93" s="26" t="s">
        <v>478</v>
      </c>
      <c r="T93" s="7" t="s">
        <v>136</v>
      </c>
      <c r="U93" s="7" t="s">
        <v>479</v>
      </c>
      <c r="V93" s="26" t="s">
        <v>513</v>
      </c>
      <c r="W93" s="26" t="s">
        <v>160</v>
      </c>
      <c r="X93" s="7" t="s">
        <v>44</v>
      </c>
      <c r="Y93" s="26" t="s">
        <v>4402</v>
      </c>
      <c r="Z93" s="7" t="s">
        <v>93</v>
      </c>
      <c r="AA93" s="26" t="s">
        <v>5607</v>
      </c>
      <c r="AB93" s="7" t="str">
        <f aca="false">IF(AC93="Reject","Not ready",IF(Z93="Possible",IF(K93=1,"Core","Extended"),IF(K93=1,"Smoke",IF(K93=2,"Core","Extended"))))</f>
        <v>Extended</v>
      </c>
      <c r="AC93" s="19" t="s">
        <v>9</v>
      </c>
      <c r="AD93" s="26" t="s">
        <v>514</v>
      </c>
    </row>
    <row r="94" customFormat="false" ht="54.75" hidden="false" customHeight="true" outlineLevel="0" collapsed="false">
      <c r="A94" s="7" t="s">
        <v>515</v>
      </c>
      <c r="B94" s="26" t="s">
        <v>516</v>
      </c>
      <c r="C94" s="7" t="s">
        <v>40</v>
      </c>
      <c r="D94" s="7" t="s">
        <v>517</v>
      </c>
      <c r="E94" s="7" t="s">
        <v>518</v>
      </c>
      <c r="F94" s="26" t="s">
        <v>519</v>
      </c>
      <c r="G94" s="26" t="s">
        <v>520</v>
      </c>
      <c r="H94" s="26" t="s">
        <v>521</v>
      </c>
      <c r="I94" s="7" t="s">
        <v>51</v>
      </c>
      <c r="J94" s="15" t="s">
        <v>16</v>
      </c>
      <c r="K94" s="16" t="n">
        <v>1</v>
      </c>
      <c r="L94" s="7" t="s">
        <v>62</v>
      </c>
      <c r="M94" s="26" t="s">
        <v>522</v>
      </c>
      <c r="N94" s="26" t="s">
        <v>130</v>
      </c>
      <c r="O94" s="26" t="s">
        <v>523</v>
      </c>
      <c r="P94" s="26" t="s">
        <v>524</v>
      </c>
      <c r="Q94" s="26" t="s">
        <v>525</v>
      </c>
      <c r="R94" s="7" t="s">
        <v>134</v>
      </c>
      <c r="S94" s="26" t="s">
        <v>526</v>
      </c>
      <c r="T94" s="7" t="s">
        <v>269</v>
      </c>
      <c r="U94" s="7" t="s">
        <v>527</v>
      </c>
      <c r="V94" s="26" t="s">
        <v>528</v>
      </c>
      <c r="W94" s="26" t="s">
        <v>160</v>
      </c>
      <c r="X94" s="7" t="s">
        <v>44</v>
      </c>
      <c r="Y94" s="26" t="s">
        <v>4402</v>
      </c>
      <c r="Z94" s="7" t="s">
        <v>93</v>
      </c>
      <c r="AA94" s="26" t="s">
        <v>5607</v>
      </c>
      <c r="AB94" s="7" t="str">
        <f aca="false">IF(AC94="Reject","Not ready",IF(Z94="Possible",IF(K94=1,"Core","Extended"),IF(K94=1,"Smoke",IF(K94=2,"Core","Extended"))))</f>
        <v>Smoke</v>
      </c>
      <c r="AC94" s="19" t="s">
        <v>9</v>
      </c>
      <c r="AD94" s="26" t="s">
        <v>529</v>
      </c>
    </row>
    <row r="95" customFormat="false" ht="42" hidden="false" customHeight="true" outlineLevel="0" collapsed="false">
      <c r="A95" s="7" t="s">
        <v>530</v>
      </c>
      <c r="B95" s="26" t="s">
        <v>516</v>
      </c>
      <c r="C95" s="7" t="s">
        <v>40</v>
      </c>
      <c r="D95" s="7" t="s">
        <v>517</v>
      </c>
      <c r="E95" s="7" t="s">
        <v>518</v>
      </c>
      <c r="F95" s="26" t="s">
        <v>519</v>
      </c>
      <c r="G95" s="26" t="s">
        <v>531</v>
      </c>
      <c r="H95" s="26" t="s">
        <v>532</v>
      </c>
      <c r="I95" s="7" t="s">
        <v>53</v>
      </c>
      <c r="J95" s="15" t="s">
        <v>16</v>
      </c>
      <c r="K95" s="16" t="n">
        <v>1</v>
      </c>
      <c r="L95" s="7" t="s">
        <v>62</v>
      </c>
      <c r="M95" s="26" t="s">
        <v>533</v>
      </c>
      <c r="N95" s="26" t="s">
        <v>130</v>
      </c>
      <c r="O95" s="26" t="s">
        <v>453</v>
      </c>
      <c r="P95" s="26" t="s">
        <v>534</v>
      </c>
      <c r="Q95" s="26" t="s">
        <v>535</v>
      </c>
      <c r="R95" s="7" t="s">
        <v>134</v>
      </c>
      <c r="S95" s="26" t="s">
        <v>526</v>
      </c>
      <c r="T95" s="7" t="s">
        <v>136</v>
      </c>
      <c r="U95" s="7" t="s">
        <v>527</v>
      </c>
      <c r="V95" s="26" t="s">
        <v>536</v>
      </c>
      <c r="W95" s="26" t="s">
        <v>160</v>
      </c>
      <c r="X95" s="7" t="s">
        <v>44</v>
      </c>
      <c r="Y95" s="26" t="s">
        <v>4402</v>
      </c>
      <c r="Z95" s="7" t="s">
        <v>93</v>
      </c>
      <c r="AA95" s="26" t="s">
        <v>5607</v>
      </c>
      <c r="AB95" s="7" t="str">
        <f aca="false">IF(AC95="Reject","Not ready",IF(Z95="Possible",IF(K95=1,"Core","Extended"),IF(K95=1,"Smoke",IF(K95=2,"Core","Extended"))))</f>
        <v>Smoke</v>
      </c>
      <c r="AC95" s="19" t="s">
        <v>9</v>
      </c>
      <c r="AD95" s="26" t="s">
        <v>537</v>
      </c>
    </row>
    <row r="96" customFormat="false" ht="42" hidden="false" customHeight="true" outlineLevel="0" collapsed="false">
      <c r="A96" s="7" t="s">
        <v>538</v>
      </c>
      <c r="B96" s="26" t="s">
        <v>516</v>
      </c>
      <c r="C96" s="7" t="s">
        <v>40</v>
      </c>
      <c r="D96" s="7" t="s">
        <v>517</v>
      </c>
      <c r="E96" s="7" t="s">
        <v>518</v>
      </c>
      <c r="F96" s="26" t="s">
        <v>519</v>
      </c>
      <c r="G96" s="26" t="s">
        <v>539</v>
      </c>
      <c r="H96" s="26" t="s">
        <v>540</v>
      </c>
      <c r="I96" s="7" t="s">
        <v>53</v>
      </c>
      <c r="J96" s="15" t="s">
        <v>17</v>
      </c>
      <c r="K96" s="18" t="n">
        <v>2</v>
      </c>
      <c r="L96" s="7" t="s">
        <v>62</v>
      </c>
      <c r="M96" s="26" t="s">
        <v>541</v>
      </c>
      <c r="N96" s="26" t="s">
        <v>130</v>
      </c>
      <c r="O96" s="26" t="s">
        <v>542</v>
      </c>
      <c r="P96" s="26" t="s">
        <v>543</v>
      </c>
      <c r="Q96" s="26" t="s">
        <v>544</v>
      </c>
      <c r="R96" s="7" t="s">
        <v>134</v>
      </c>
      <c r="S96" s="26" t="s">
        <v>526</v>
      </c>
      <c r="T96" s="7" t="s">
        <v>136</v>
      </c>
      <c r="U96" s="7" t="s">
        <v>527</v>
      </c>
      <c r="V96" s="26" t="s">
        <v>480</v>
      </c>
      <c r="W96" s="26" t="s">
        <v>160</v>
      </c>
      <c r="X96" s="7" t="s">
        <v>44</v>
      </c>
      <c r="Y96" s="26" t="s">
        <v>4402</v>
      </c>
      <c r="Z96" s="7" t="s">
        <v>93</v>
      </c>
      <c r="AA96" s="26" t="s">
        <v>5607</v>
      </c>
      <c r="AB96" s="7" t="str">
        <f aca="false">IF(AC96="Reject","Not ready",IF(Z96="Possible",IF(K96=1,"Core","Extended"),IF(K96=1,"Smoke",IF(K96=2,"Core","Extended"))))</f>
        <v>Core</v>
      </c>
      <c r="AC96" s="19" t="s">
        <v>9</v>
      </c>
      <c r="AD96" s="26" t="s">
        <v>545</v>
      </c>
    </row>
    <row r="97" customFormat="false" ht="42" hidden="false" customHeight="true" outlineLevel="0" collapsed="false">
      <c r="A97" s="7" t="s">
        <v>546</v>
      </c>
      <c r="B97" s="26" t="s">
        <v>516</v>
      </c>
      <c r="C97" s="7" t="s">
        <v>40</v>
      </c>
      <c r="D97" s="7" t="s">
        <v>517</v>
      </c>
      <c r="E97" s="7" t="s">
        <v>518</v>
      </c>
      <c r="F97" s="26" t="s">
        <v>519</v>
      </c>
      <c r="G97" s="26" t="s">
        <v>547</v>
      </c>
      <c r="H97" s="26" t="s">
        <v>548</v>
      </c>
      <c r="I97" s="7" t="s">
        <v>53</v>
      </c>
      <c r="J97" s="15" t="s">
        <v>17</v>
      </c>
      <c r="K97" s="18" t="n">
        <v>2</v>
      </c>
      <c r="L97" s="7" t="s">
        <v>62</v>
      </c>
      <c r="M97" s="26" t="s">
        <v>549</v>
      </c>
      <c r="N97" s="26" t="s">
        <v>130</v>
      </c>
      <c r="O97" s="26" t="s">
        <v>550</v>
      </c>
      <c r="P97" s="26" t="s">
        <v>551</v>
      </c>
      <c r="Q97" s="26" t="s">
        <v>552</v>
      </c>
      <c r="R97" s="7" t="s">
        <v>134</v>
      </c>
      <c r="S97" s="26" t="s">
        <v>526</v>
      </c>
      <c r="T97" s="7" t="s">
        <v>269</v>
      </c>
      <c r="U97" s="7" t="s">
        <v>527</v>
      </c>
      <c r="V97" s="26" t="s">
        <v>480</v>
      </c>
      <c r="W97" s="26" t="s">
        <v>160</v>
      </c>
      <c r="X97" s="7" t="s">
        <v>44</v>
      </c>
      <c r="Y97" s="26" t="s">
        <v>4402</v>
      </c>
      <c r="Z97" s="7" t="s">
        <v>93</v>
      </c>
      <c r="AA97" s="26" t="s">
        <v>5607</v>
      </c>
      <c r="AB97" s="7" t="str">
        <f aca="false">IF(AC97="Reject","Not ready",IF(Z97="Possible",IF(K97=1,"Core","Extended"),IF(K97=1,"Smoke",IF(K97=2,"Core","Extended"))))</f>
        <v>Core</v>
      </c>
      <c r="AC97" s="19" t="s">
        <v>9</v>
      </c>
      <c r="AD97" s="26" t="s">
        <v>553</v>
      </c>
    </row>
    <row r="98" customFormat="false" ht="42" hidden="false" customHeight="true" outlineLevel="0" collapsed="false">
      <c r="A98" s="7" t="s">
        <v>554</v>
      </c>
      <c r="B98" s="26" t="s">
        <v>516</v>
      </c>
      <c r="C98" s="7" t="s">
        <v>40</v>
      </c>
      <c r="D98" s="7" t="s">
        <v>517</v>
      </c>
      <c r="E98" s="7" t="s">
        <v>518</v>
      </c>
      <c r="F98" s="26" t="s">
        <v>519</v>
      </c>
      <c r="G98" s="26" t="s">
        <v>555</v>
      </c>
      <c r="H98" s="26" t="s">
        <v>556</v>
      </c>
      <c r="I98" s="7" t="s">
        <v>54</v>
      </c>
      <c r="J98" s="15" t="s">
        <v>16</v>
      </c>
      <c r="K98" s="16" t="n">
        <v>1</v>
      </c>
      <c r="L98" s="7" t="s">
        <v>63</v>
      </c>
      <c r="M98" s="26" t="s">
        <v>557</v>
      </c>
      <c r="N98" s="26" t="s">
        <v>130</v>
      </c>
      <c r="O98" s="26" t="s">
        <v>558</v>
      </c>
      <c r="P98" s="26" t="s">
        <v>559</v>
      </c>
      <c r="Q98" s="26" t="s">
        <v>560</v>
      </c>
      <c r="R98" s="7" t="s">
        <v>134</v>
      </c>
      <c r="S98" s="26" t="s">
        <v>526</v>
      </c>
      <c r="T98" s="7" t="s">
        <v>269</v>
      </c>
      <c r="U98" s="7" t="s">
        <v>527</v>
      </c>
      <c r="V98" s="26" t="s">
        <v>357</v>
      </c>
      <c r="W98" s="26" t="s">
        <v>160</v>
      </c>
      <c r="X98" s="7" t="s">
        <v>44</v>
      </c>
      <c r="Y98" s="26" t="s">
        <v>4402</v>
      </c>
      <c r="Z98" s="7" t="s">
        <v>93</v>
      </c>
      <c r="AA98" s="26" t="s">
        <v>5607</v>
      </c>
      <c r="AB98" s="7" t="str">
        <f aca="false">IF(AC98="Reject","Not ready",IF(Z98="Possible",IF(K98=1,"Core","Extended"),IF(K98=1,"Smoke",IF(K98=2,"Core","Extended"))))</f>
        <v>Smoke</v>
      </c>
      <c r="AC98" s="19" t="s">
        <v>9</v>
      </c>
      <c r="AD98" s="26" t="s">
        <v>561</v>
      </c>
    </row>
    <row r="99" customFormat="false" ht="67.5" hidden="false" customHeight="true" outlineLevel="0" collapsed="false">
      <c r="A99" s="7" t="s">
        <v>688</v>
      </c>
      <c r="B99" s="26" t="s">
        <v>689</v>
      </c>
      <c r="C99" s="7" t="s">
        <v>40</v>
      </c>
      <c r="D99" s="7" t="s">
        <v>100</v>
      </c>
      <c r="E99" s="7" t="s">
        <v>690</v>
      </c>
      <c r="F99" s="26" t="s">
        <v>691</v>
      </c>
      <c r="G99" s="26" t="s">
        <v>692</v>
      </c>
      <c r="H99" s="26" t="s">
        <v>693</v>
      </c>
      <c r="I99" s="7" t="s">
        <v>50</v>
      </c>
      <c r="J99" s="15" t="s">
        <v>17</v>
      </c>
      <c r="K99" s="18" t="n">
        <v>2</v>
      </c>
      <c r="L99" s="7" t="s">
        <v>62</v>
      </c>
      <c r="M99" s="26" t="s">
        <v>694</v>
      </c>
      <c r="N99" s="26" t="s">
        <v>130</v>
      </c>
      <c r="O99" s="26" t="s">
        <v>695</v>
      </c>
      <c r="P99" s="26" t="s">
        <v>696</v>
      </c>
      <c r="Q99" s="26" t="s">
        <v>697</v>
      </c>
      <c r="R99" s="7" t="s">
        <v>134</v>
      </c>
      <c r="S99" s="26" t="s">
        <v>698</v>
      </c>
      <c r="T99" s="7" t="s">
        <v>136</v>
      </c>
      <c r="U99" s="7" t="s">
        <v>699</v>
      </c>
      <c r="V99" s="26" t="s">
        <v>700</v>
      </c>
      <c r="W99" s="26" t="s">
        <v>160</v>
      </c>
      <c r="X99" s="7" t="s">
        <v>44</v>
      </c>
      <c r="Y99" s="26" t="s">
        <v>4402</v>
      </c>
      <c r="Z99" s="7" t="s">
        <v>93</v>
      </c>
      <c r="AA99" s="26" t="s">
        <v>5607</v>
      </c>
      <c r="AB99" s="7" t="str">
        <f aca="false">IF(AC99="Reject","Not ready",IF(Z99="Possible",IF(K99=1,"Core","Extended"),IF(K99=1,"Smoke",IF(K99=2,"Core","Extended"))))</f>
        <v>Core</v>
      </c>
      <c r="AC99" s="19" t="s">
        <v>9</v>
      </c>
      <c r="AD99" s="26" t="s">
        <v>701</v>
      </c>
    </row>
    <row r="100" customFormat="false" ht="54.75" hidden="false" customHeight="true" outlineLevel="0" collapsed="false">
      <c r="A100" s="7" t="s">
        <v>702</v>
      </c>
      <c r="B100" s="26" t="s">
        <v>689</v>
      </c>
      <c r="C100" s="7" t="s">
        <v>40</v>
      </c>
      <c r="D100" s="7" t="s">
        <v>100</v>
      </c>
      <c r="E100" s="7" t="s">
        <v>690</v>
      </c>
      <c r="F100" s="26" t="s">
        <v>691</v>
      </c>
      <c r="G100" s="26" t="s">
        <v>703</v>
      </c>
      <c r="H100" s="26" t="s">
        <v>704</v>
      </c>
      <c r="I100" s="7" t="s">
        <v>54</v>
      </c>
      <c r="J100" s="15" t="s">
        <v>17</v>
      </c>
      <c r="K100" s="18" t="n">
        <v>2</v>
      </c>
      <c r="L100" s="7" t="s">
        <v>63</v>
      </c>
      <c r="M100" s="26" t="s">
        <v>694</v>
      </c>
      <c r="N100" s="26" t="s">
        <v>130</v>
      </c>
      <c r="O100" s="26" t="s">
        <v>705</v>
      </c>
      <c r="P100" s="26" t="s">
        <v>706</v>
      </c>
      <c r="Q100" s="26" t="s">
        <v>707</v>
      </c>
      <c r="R100" s="7" t="s">
        <v>134</v>
      </c>
      <c r="S100" s="26" t="s">
        <v>698</v>
      </c>
      <c r="T100" s="7" t="s">
        <v>136</v>
      </c>
      <c r="U100" s="7" t="s">
        <v>699</v>
      </c>
      <c r="V100" s="26" t="s">
        <v>700</v>
      </c>
      <c r="W100" s="26" t="s">
        <v>160</v>
      </c>
      <c r="X100" s="7" t="s">
        <v>44</v>
      </c>
      <c r="Y100" s="26" t="s">
        <v>4402</v>
      </c>
      <c r="Z100" s="7" t="s">
        <v>93</v>
      </c>
      <c r="AA100" s="26" t="s">
        <v>5607</v>
      </c>
      <c r="AB100" s="7" t="str">
        <f aca="false">IF(AC100="Reject","Not ready",IF(Z100="Possible",IF(K100=1,"Core","Extended"),IF(K100=1,"Smoke",IF(K100=2,"Core","Extended"))))</f>
        <v>Core</v>
      </c>
      <c r="AC100" s="19" t="s">
        <v>9</v>
      </c>
      <c r="AD100" s="26" t="s">
        <v>708</v>
      </c>
    </row>
    <row r="101" customFormat="false" ht="54.75" hidden="false" customHeight="true" outlineLevel="0" collapsed="false">
      <c r="A101" s="7" t="s">
        <v>709</v>
      </c>
      <c r="B101" s="26" t="s">
        <v>710</v>
      </c>
      <c r="C101" s="7" t="s">
        <v>40</v>
      </c>
      <c r="D101" s="7" t="s">
        <v>100</v>
      </c>
      <c r="E101" s="7" t="s">
        <v>711</v>
      </c>
      <c r="F101" s="26" t="s">
        <v>712</v>
      </c>
      <c r="G101" s="26" t="s">
        <v>713</v>
      </c>
      <c r="H101" s="26" t="s">
        <v>714</v>
      </c>
      <c r="I101" s="7" t="s">
        <v>50</v>
      </c>
      <c r="J101" s="15" t="s">
        <v>17</v>
      </c>
      <c r="K101" s="18" t="n">
        <v>2</v>
      </c>
      <c r="L101" s="7" t="s">
        <v>62</v>
      </c>
      <c r="M101" s="26" t="s">
        <v>715</v>
      </c>
      <c r="N101" s="26" t="s">
        <v>130</v>
      </c>
      <c r="O101" s="26" t="s">
        <v>716</v>
      </c>
      <c r="P101" s="26" t="s">
        <v>717</v>
      </c>
      <c r="Q101" s="26" t="s">
        <v>718</v>
      </c>
      <c r="R101" s="7" t="s">
        <v>134</v>
      </c>
      <c r="S101" s="26" t="s">
        <v>719</v>
      </c>
      <c r="T101" s="7" t="s">
        <v>269</v>
      </c>
      <c r="U101" s="7" t="s">
        <v>720</v>
      </c>
      <c r="V101" s="26" t="s">
        <v>357</v>
      </c>
      <c r="W101" s="26" t="s">
        <v>160</v>
      </c>
      <c r="X101" s="7" t="s">
        <v>44</v>
      </c>
      <c r="Y101" s="26" t="s">
        <v>4402</v>
      </c>
      <c r="Z101" s="7" t="s">
        <v>93</v>
      </c>
      <c r="AA101" s="26" t="s">
        <v>5607</v>
      </c>
      <c r="AB101" s="7" t="str">
        <f aca="false">IF(AC101="Reject","Not ready",IF(Z101="Possible",IF(K101=1,"Core","Extended"),IF(K101=1,"Smoke",IF(K101=2,"Core","Extended"))))</f>
        <v>Core</v>
      </c>
      <c r="AC101" s="19" t="s">
        <v>9</v>
      </c>
      <c r="AD101" s="26" t="s">
        <v>721</v>
      </c>
    </row>
    <row r="102" customFormat="false" ht="42" hidden="false" customHeight="true" outlineLevel="0" collapsed="false">
      <c r="A102" s="7" t="s">
        <v>722</v>
      </c>
      <c r="B102" s="26" t="s">
        <v>710</v>
      </c>
      <c r="C102" s="7" t="s">
        <v>40</v>
      </c>
      <c r="D102" s="7" t="s">
        <v>100</v>
      </c>
      <c r="E102" s="7" t="s">
        <v>711</v>
      </c>
      <c r="F102" s="26" t="s">
        <v>712</v>
      </c>
      <c r="G102" s="26" t="s">
        <v>723</v>
      </c>
      <c r="H102" s="26" t="s">
        <v>724</v>
      </c>
      <c r="I102" s="7" t="s">
        <v>49</v>
      </c>
      <c r="J102" s="15" t="s">
        <v>17</v>
      </c>
      <c r="K102" s="18" t="n">
        <v>2</v>
      </c>
      <c r="L102" s="7" t="s">
        <v>62</v>
      </c>
      <c r="M102" s="26" t="s">
        <v>725</v>
      </c>
      <c r="N102" s="26" t="s">
        <v>130</v>
      </c>
      <c r="O102" s="26" t="s">
        <v>726</v>
      </c>
      <c r="P102" s="26" t="s">
        <v>727</v>
      </c>
      <c r="Q102" s="26" t="s">
        <v>728</v>
      </c>
      <c r="R102" s="7" t="s">
        <v>134</v>
      </c>
      <c r="S102" s="26" t="s">
        <v>719</v>
      </c>
      <c r="T102" s="7" t="s">
        <v>269</v>
      </c>
      <c r="U102" s="7" t="s">
        <v>720</v>
      </c>
      <c r="V102" s="26" t="s">
        <v>357</v>
      </c>
      <c r="W102" s="26" t="s">
        <v>160</v>
      </c>
      <c r="X102" s="7" t="s">
        <v>44</v>
      </c>
      <c r="Y102" s="26" t="s">
        <v>4402</v>
      </c>
      <c r="Z102" s="7" t="s">
        <v>93</v>
      </c>
      <c r="AA102" s="26" t="s">
        <v>5607</v>
      </c>
      <c r="AB102" s="7" t="str">
        <f aca="false">IF(AC102="Reject","Not ready",IF(Z102="Possible",IF(K102=1,"Core","Extended"),IF(K102=1,"Smoke",IF(K102=2,"Core","Extended"))))</f>
        <v>Core</v>
      </c>
      <c r="AC102" s="19" t="s">
        <v>9</v>
      </c>
      <c r="AD102" s="26" t="s">
        <v>729</v>
      </c>
    </row>
    <row r="103" customFormat="false" ht="42" hidden="false" customHeight="true" outlineLevel="0" collapsed="false">
      <c r="A103" s="7" t="s">
        <v>730</v>
      </c>
      <c r="B103" s="26" t="s">
        <v>710</v>
      </c>
      <c r="C103" s="7" t="s">
        <v>40</v>
      </c>
      <c r="D103" s="7" t="s">
        <v>100</v>
      </c>
      <c r="E103" s="7" t="s">
        <v>711</v>
      </c>
      <c r="F103" s="26" t="s">
        <v>712</v>
      </c>
      <c r="G103" s="26" t="s">
        <v>731</v>
      </c>
      <c r="H103" s="26" t="s">
        <v>732</v>
      </c>
      <c r="I103" s="7" t="s">
        <v>49</v>
      </c>
      <c r="J103" s="15" t="s">
        <v>18</v>
      </c>
      <c r="K103" s="19" t="n">
        <v>3</v>
      </c>
      <c r="L103" s="7" t="s">
        <v>62</v>
      </c>
      <c r="M103" s="26" t="s">
        <v>733</v>
      </c>
      <c r="N103" s="26" t="s">
        <v>130</v>
      </c>
      <c r="O103" s="26" t="s">
        <v>734</v>
      </c>
      <c r="P103" s="26" t="s">
        <v>735</v>
      </c>
      <c r="Q103" s="26" t="s">
        <v>736</v>
      </c>
      <c r="R103" s="7" t="s">
        <v>134</v>
      </c>
      <c r="S103" s="26" t="s">
        <v>719</v>
      </c>
      <c r="T103" s="7" t="s">
        <v>269</v>
      </c>
      <c r="U103" s="7" t="s">
        <v>720</v>
      </c>
      <c r="V103" s="26" t="s">
        <v>357</v>
      </c>
      <c r="W103" s="26" t="s">
        <v>160</v>
      </c>
      <c r="X103" s="7" t="s">
        <v>44</v>
      </c>
      <c r="Y103" s="26" t="s">
        <v>4402</v>
      </c>
      <c r="Z103" s="7" t="s">
        <v>93</v>
      </c>
      <c r="AA103" s="26" t="s">
        <v>5607</v>
      </c>
      <c r="AB103" s="7" t="str">
        <f aca="false">IF(AC103="Reject","Not ready",IF(Z103="Possible",IF(K103=1,"Core","Extended"),IF(K103=1,"Smoke",IF(K103=2,"Core","Extended"))))</f>
        <v>Extended</v>
      </c>
      <c r="AC103" s="19" t="s">
        <v>9</v>
      </c>
      <c r="AD103" s="26" t="s">
        <v>737</v>
      </c>
    </row>
    <row r="104" customFormat="false" ht="67.5" hidden="false" customHeight="true" outlineLevel="0" collapsed="false">
      <c r="A104" s="7" t="s">
        <v>738</v>
      </c>
      <c r="B104" s="26" t="s">
        <v>710</v>
      </c>
      <c r="C104" s="7" t="s">
        <v>40</v>
      </c>
      <c r="D104" s="7" t="s">
        <v>100</v>
      </c>
      <c r="E104" s="7" t="s">
        <v>711</v>
      </c>
      <c r="F104" s="26" t="s">
        <v>712</v>
      </c>
      <c r="G104" s="26" t="s">
        <v>739</v>
      </c>
      <c r="H104" s="26" t="s">
        <v>740</v>
      </c>
      <c r="I104" s="7" t="s">
        <v>51</v>
      </c>
      <c r="J104" s="15" t="s">
        <v>16</v>
      </c>
      <c r="K104" s="16" t="n">
        <v>1</v>
      </c>
      <c r="L104" s="7" t="s">
        <v>64</v>
      </c>
      <c r="M104" s="26" t="s">
        <v>741</v>
      </c>
      <c r="N104" s="26" t="s">
        <v>130</v>
      </c>
      <c r="O104" s="26" t="s">
        <v>742</v>
      </c>
      <c r="P104" s="26" t="s">
        <v>743</v>
      </c>
      <c r="Q104" s="26" t="s">
        <v>744</v>
      </c>
      <c r="R104" s="7" t="s">
        <v>134</v>
      </c>
      <c r="S104" s="26" t="s">
        <v>719</v>
      </c>
      <c r="T104" s="7" t="s">
        <v>256</v>
      </c>
      <c r="U104" s="7" t="s">
        <v>720</v>
      </c>
      <c r="V104" s="26" t="s">
        <v>745</v>
      </c>
      <c r="W104" s="26" t="s">
        <v>160</v>
      </c>
      <c r="X104" s="7" t="s">
        <v>44</v>
      </c>
      <c r="Y104" s="26" t="s">
        <v>4402</v>
      </c>
      <c r="Z104" s="7" t="s">
        <v>93</v>
      </c>
      <c r="AA104" s="26" t="s">
        <v>5607</v>
      </c>
      <c r="AB104" s="7" t="str">
        <f aca="false">IF(AC104="Reject","Not ready",IF(Z104="Possible",IF(K104=1,"Core","Extended"),IF(K104=1,"Smoke",IF(K104=2,"Core","Extended"))))</f>
        <v>Smoke</v>
      </c>
      <c r="AC104" s="19" t="s">
        <v>9</v>
      </c>
      <c r="AD104" s="26" t="s">
        <v>746</v>
      </c>
    </row>
    <row r="105" customFormat="false" ht="67.5" hidden="false" customHeight="true" outlineLevel="0" collapsed="false">
      <c r="A105" s="7" t="s">
        <v>747</v>
      </c>
      <c r="B105" s="26" t="s">
        <v>748</v>
      </c>
      <c r="C105" s="7" t="s">
        <v>40</v>
      </c>
      <c r="D105" s="7" t="s">
        <v>100</v>
      </c>
      <c r="E105" s="7" t="s">
        <v>749</v>
      </c>
      <c r="F105" s="26" t="s">
        <v>750</v>
      </c>
      <c r="G105" s="26" t="s">
        <v>751</v>
      </c>
      <c r="H105" s="26" t="s">
        <v>752</v>
      </c>
      <c r="I105" s="7" t="s">
        <v>50</v>
      </c>
      <c r="J105" s="15" t="s">
        <v>18</v>
      </c>
      <c r="K105" s="19" t="n">
        <v>3</v>
      </c>
      <c r="L105" s="7" t="s">
        <v>62</v>
      </c>
      <c r="M105" s="26" t="s">
        <v>753</v>
      </c>
      <c r="N105" s="26" t="s">
        <v>130</v>
      </c>
      <c r="O105" s="26" t="s">
        <v>754</v>
      </c>
      <c r="P105" s="26" t="s">
        <v>755</v>
      </c>
      <c r="Q105" s="26" t="s">
        <v>756</v>
      </c>
      <c r="R105" s="7" t="s">
        <v>134</v>
      </c>
      <c r="S105" s="26" t="s">
        <v>757</v>
      </c>
      <c r="T105" s="7" t="s">
        <v>136</v>
      </c>
      <c r="U105" s="7" t="s">
        <v>758</v>
      </c>
      <c r="V105" s="26" t="s">
        <v>138</v>
      </c>
      <c r="W105" s="26" t="s">
        <v>160</v>
      </c>
      <c r="X105" s="7" t="s">
        <v>44</v>
      </c>
      <c r="Y105" s="26" t="s">
        <v>4402</v>
      </c>
      <c r="Z105" s="7" t="s">
        <v>93</v>
      </c>
      <c r="AA105" s="26" t="s">
        <v>5607</v>
      </c>
      <c r="AB105" s="7" t="str">
        <f aca="false">IF(AC105="Reject","Not ready",IF(Z105="Possible",IF(K105=1,"Core","Extended"),IF(K105=1,"Smoke",IF(K105=2,"Core","Extended"))))</f>
        <v>Extended</v>
      </c>
      <c r="AC105" s="17" t="s">
        <v>7</v>
      </c>
      <c r="AD105" s="26" t="s">
        <v>759</v>
      </c>
    </row>
    <row r="106" customFormat="false" ht="67.5" hidden="false" customHeight="true" outlineLevel="0" collapsed="false">
      <c r="A106" s="7" t="s">
        <v>760</v>
      </c>
      <c r="B106" s="26" t="s">
        <v>748</v>
      </c>
      <c r="C106" s="7" t="s">
        <v>40</v>
      </c>
      <c r="D106" s="7" t="s">
        <v>100</v>
      </c>
      <c r="E106" s="7" t="s">
        <v>749</v>
      </c>
      <c r="F106" s="26" t="s">
        <v>750</v>
      </c>
      <c r="G106" s="26" t="s">
        <v>761</v>
      </c>
      <c r="H106" s="26" t="s">
        <v>762</v>
      </c>
      <c r="I106" s="7" t="s">
        <v>50</v>
      </c>
      <c r="J106" s="15" t="s">
        <v>18</v>
      </c>
      <c r="K106" s="19" t="n">
        <v>3</v>
      </c>
      <c r="L106" s="7" t="s">
        <v>62</v>
      </c>
      <c r="M106" s="26" t="s">
        <v>753</v>
      </c>
      <c r="N106" s="26" t="s">
        <v>130</v>
      </c>
      <c r="O106" s="26" t="s">
        <v>763</v>
      </c>
      <c r="P106" s="26" t="s">
        <v>764</v>
      </c>
      <c r="Q106" s="26" t="s">
        <v>765</v>
      </c>
      <c r="R106" s="7" t="s">
        <v>134</v>
      </c>
      <c r="S106" s="26" t="s">
        <v>757</v>
      </c>
      <c r="T106" s="7" t="s">
        <v>136</v>
      </c>
      <c r="U106" s="7" t="s">
        <v>758</v>
      </c>
      <c r="V106" s="26" t="s">
        <v>138</v>
      </c>
      <c r="W106" s="26" t="s">
        <v>160</v>
      </c>
      <c r="X106" s="7" t="s">
        <v>44</v>
      </c>
      <c r="Y106" s="26" t="s">
        <v>4402</v>
      </c>
      <c r="Z106" s="7" t="s">
        <v>93</v>
      </c>
      <c r="AA106" s="26" t="s">
        <v>5607</v>
      </c>
      <c r="AB106" s="7" t="str">
        <f aca="false">IF(AC106="Reject","Not ready",IF(Z106="Possible",IF(K106=1,"Core","Extended"),IF(K106=1,"Smoke",IF(K106=2,"Core","Extended"))))</f>
        <v>Extended</v>
      </c>
      <c r="AC106" s="17" t="s">
        <v>7</v>
      </c>
      <c r="AD106" s="26" t="s">
        <v>766</v>
      </c>
    </row>
    <row r="107" customFormat="false" ht="54.75" hidden="false" customHeight="true" outlineLevel="0" collapsed="false">
      <c r="A107" s="7" t="s">
        <v>1448</v>
      </c>
      <c r="B107" s="26" t="s">
        <v>1449</v>
      </c>
      <c r="C107" s="7" t="s">
        <v>40</v>
      </c>
      <c r="D107" s="7" t="s">
        <v>99</v>
      </c>
      <c r="E107" s="7" t="s">
        <v>1450</v>
      </c>
      <c r="F107" s="26" t="s">
        <v>1451</v>
      </c>
      <c r="G107" s="26" t="s">
        <v>1452</v>
      </c>
      <c r="H107" s="26" t="s">
        <v>1453</v>
      </c>
      <c r="I107" s="7" t="s">
        <v>59</v>
      </c>
      <c r="J107" s="15" t="s">
        <v>16</v>
      </c>
      <c r="K107" s="18" t="n">
        <v>2</v>
      </c>
      <c r="L107" s="7" t="s">
        <v>62</v>
      </c>
      <c r="M107" s="26" t="s">
        <v>1454</v>
      </c>
      <c r="N107" s="26" t="s">
        <v>130</v>
      </c>
      <c r="O107" s="26" t="s">
        <v>1455</v>
      </c>
      <c r="P107" s="26" t="s">
        <v>1456</v>
      </c>
      <c r="Q107" s="26" t="s">
        <v>1457</v>
      </c>
      <c r="R107" s="7" t="s">
        <v>134</v>
      </c>
      <c r="S107" s="26" t="s">
        <v>1458</v>
      </c>
      <c r="T107" s="7" t="s">
        <v>136</v>
      </c>
      <c r="U107" s="7" t="s">
        <v>1459</v>
      </c>
      <c r="V107" s="26" t="s">
        <v>138</v>
      </c>
      <c r="W107" s="26" t="s">
        <v>160</v>
      </c>
      <c r="X107" s="7" t="s">
        <v>44</v>
      </c>
      <c r="Y107" s="26" t="s">
        <v>4402</v>
      </c>
      <c r="Z107" s="7" t="s">
        <v>93</v>
      </c>
      <c r="AA107" s="26" t="s">
        <v>5607</v>
      </c>
      <c r="AB107" s="7" t="str">
        <f aca="false">IF(AC107="Reject","Not ready",IF(Z107="Possible",IF(K107=1,"Core","Extended"),IF(K107=1,"Smoke",IF(K107=2,"Core","Extended"))))</f>
        <v>Core</v>
      </c>
      <c r="AC107" s="17" t="s">
        <v>7</v>
      </c>
      <c r="AD107" s="26" t="s">
        <v>1460</v>
      </c>
    </row>
    <row r="108" customFormat="false" ht="80.25" hidden="false" customHeight="true" outlineLevel="0" collapsed="false">
      <c r="A108" s="7" t="s">
        <v>1461</v>
      </c>
      <c r="B108" s="26" t="s">
        <v>1449</v>
      </c>
      <c r="C108" s="7" t="s">
        <v>40</v>
      </c>
      <c r="D108" s="7" t="s">
        <v>99</v>
      </c>
      <c r="E108" s="7" t="s">
        <v>1450</v>
      </c>
      <c r="F108" s="26" t="s">
        <v>1451</v>
      </c>
      <c r="G108" s="26" t="s">
        <v>1462</v>
      </c>
      <c r="H108" s="26" t="s">
        <v>1463</v>
      </c>
      <c r="I108" s="7" t="s">
        <v>59</v>
      </c>
      <c r="J108" s="15" t="s">
        <v>16</v>
      </c>
      <c r="K108" s="18" t="n">
        <v>2</v>
      </c>
      <c r="L108" s="7" t="s">
        <v>62</v>
      </c>
      <c r="M108" s="26" t="s">
        <v>1454</v>
      </c>
      <c r="N108" s="26" t="s">
        <v>130</v>
      </c>
      <c r="O108" s="26" t="s">
        <v>1464</v>
      </c>
      <c r="P108" s="26" t="s">
        <v>1465</v>
      </c>
      <c r="Q108" s="26" t="s">
        <v>1466</v>
      </c>
      <c r="R108" s="7" t="s">
        <v>134</v>
      </c>
      <c r="S108" s="26" t="s">
        <v>1458</v>
      </c>
      <c r="T108" s="7" t="s">
        <v>136</v>
      </c>
      <c r="U108" s="7" t="s">
        <v>1459</v>
      </c>
      <c r="V108" s="26" t="s">
        <v>138</v>
      </c>
      <c r="W108" s="26" t="s">
        <v>160</v>
      </c>
      <c r="X108" s="7" t="s">
        <v>44</v>
      </c>
      <c r="Y108" s="26" t="s">
        <v>4402</v>
      </c>
      <c r="Z108" s="7" t="s">
        <v>93</v>
      </c>
      <c r="AA108" s="26" t="s">
        <v>5607</v>
      </c>
      <c r="AB108" s="7" t="str">
        <f aca="false">IF(AC108="Reject","Not ready",IF(Z108="Possible",IF(K108=1,"Core","Extended"),IF(K108=1,"Smoke",IF(K108=2,"Core","Extended"))))</f>
        <v>Core</v>
      </c>
      <c r="AC108" s="17" t="s">
        <v>7</v>
      </c>
      <c r="AD108" s="26" t="s">
        <v>1467</v>
      </c>
    </row>
    <row r="109" customFormat="false" ht="54.75" hidden="false" customHeight="true" outlineLevel="0" collapsed="false">
      <c r="A109" s="7" t="s">
        <v>1468</v>
      </c>
      <c r="B109" s="26" t="s">
        <v>1449</v>
      </c>
      <c r="C109" s="7" t="s">
        <v>40</v>
      </c>
      <c r="D109" s="7" t="s">
        <v>99</v>
      </c>
      <c r="E109" s="7" t="s">
        <v>1450</v>
      </c>
      <c r="F109" s="26" t="s">
        <v>1451</v>
      </c>
      <c r="G109" s="26" t="s">
        <v>1469</v>
      </c>
      <c r="H109" s="26" t="s">
        <v>1470</v>
      </c>
      <c r="I109" s="7" t="s">
        <v>54</v>
      </c>
      <c r="J109" s="15" t="s">
        <v>17</v>
      </c>
      <c r="K109" s="19" t="n">
        <v>3</v>
      </c>
      <c r="L109" s="7" t="s">
        <v>63</v>
      </c>
      <c r="M109" s="26" t="s">
        <v>1454</v>
      </c>
      <c r="N109" s="26" t="s">
        <v>130</v>
      </c>
      <c r="O109" s="26" t="s">
        <v>1471</v>
      </c>
      <c r="P109" s="26" t="s">
        <v>1472</v>
      </c>
      <c r="Q109" s="26" t="s">
        <v>1473</v>
      </c>
      <c r="R109" s="7" t="s">
        <v>134</v>
      </c>
      <c r="S109" s="26" t="s">
        <v>1458</v>
      </c>
      <c r="T109" s="7" t="s">
        <v>136</v>
      </c>
      <c r="U109" s="7" t="s">
        <v>1459</v>
      </c>
      <c r="V109" s="26" t="s">
        <v>1474</v>
      </c>
      <c r="W109" s="26" t="s">
        <v>160</v>
      </c>
      <c r="X109" s="7" t="s">
        <v>44</v>
      </c>
      <c r="Y109" s="26" t="s">
        <v>4402</v>
      </c>
      <c r="Z109" s="7" t="s">
        <v>93</v>
      </c>
      <c r="AA109" s="26" t="s">
        <v>5607</v>
      </c>
      <c r="AB109" s="7" t="str">
        <f aca="false">IF(AC109="Reject","Not ready",IF(Z109="Possible",IF(K109=1,"Core","Extended"),IF(K109=1,"Smoke",IF(K109=2,"Core","Extended"))))</f>
        <v>Extended</v>
      </c>
      <c r="AC109" s="19" t="s">
        <v>9</v>
      </c>
      <c r="AD109" s="26" t="s">
        <v>1475</v>
      </c>
    </row>
    <row r="110" customFormat="false" ht="42" hidden="false" customHeight="true" outlineLevel="0" collapsed="false">
      <c r="A110" s="7" t="s">
        <v>1545</v>
      </c>
      <c r="B110" s="26" t="s">
        <v>1546</v>
      </c>
      <c r="C110" s="7" t="s">
        <v>40</v>
      </c>
      <c r="D110" s="7" t="s">
        <v>100</v>
      </c>
      <c r="E110" s="7" t="s">
        <v>1547</v>
      </c>
      <c r="F110" s="26" t="s">
        <v>1548</v>
      </c>
      <c r="G110" s="26" t="s">
        <v>1549</v>
      </c>
      <c r="H110" s="26" t="s">
        <v>1550</v>
      </c>
      <c r="I110" s="7" t="s">
        <v>49</v>
      </c>
      <c r="J110" s="15" t="s">
        <v>16</v>
      </c>
      <c r="K110" s="16" t="n">
        <v>1</v>
      </c>
      <c r="L110" s="7" t="s">
        <v>62</v>
      </c>
      <c r="M110" s="26" t="s">
        <v>1551</v>
      </c>
      <c r="N110" s="26" t="s">
        <v>130</v>
      </c>
      <c r="O110" s="26" t="s">
        <v>1552</v>
      </c>
      <c r="P110" s="26" t="s">
        <v>1553</v>
      </c>
      <c r="Q110" s="26" t="s">
        <v>1554</v>
      </c>
      <c r="R110" s="7" t="s">
        <v>134</v>
      </c>
      <c r="S110" s="26" t="s">
        <v>1555</v>
      </c>
      <c r="T110" s="7" t="s">
        <v>269</v>
      </c>
      <c r="U110" s="7" t="s">
        <v>1556</v>
      </c>
      <c r="V110" s="26" t="s">
        <v>357</v>
      </c>
      <c r="W110" s="26" t="s">
        <v>160</v>
      </c>
      <c r="X110" s="7" t="s">
        <v>44</v>
      </c>
      <c r="Y110" s="26" t="s">
        <v>4402</v>
      </c>
      <c r="Z110" s="7" t="s">
        <v>93</v>
      </c>
      <c r="AA110" s="26" t="s">
        <v>5607</v>
      </c>
      <c r="AB110" s="7" t="str">
        <f aca="false">IF(AC110="Reject","Not ready",IF(Z110="Possible",IF(K110=1,"Core","Extended"),IF(K110=1,"Smoke",IF(K110=2,"Core","Extended"))))</f>
        <v>Smoke</v>
      </c>
      <c r="AC110" s="19" t="s">
        <v>9</v>
      </c>
      <c r="AD110" s="26" t="s">
        <v>1557</v>
      </c>
    </row>
    <row r="111" customFormat="false" ht="42" hidden="false" customHeight="true" outlineLevel="0" collapsed="false">
      <c r="A111" s="7" t="s">
        <v>1558</v>
      </c>
      <c r="B111" s="26" t="s">
        <v>1546</v>
      </c>
      <c r="C111" s="7" t="s">
        <v>40</v>
      </c>
      <c r="D111" s="7" t="s">
        <v>100</v>
      </c>
      <c r="E111" s="7" t="s">
        <v>1547</v>
      </c>
      <c r="F111" s="26" t="s">
        <v>1548</v>
      </c>
      <c r="G111" s="26" t="s">
        <v>1559</v>
      </c>
      <c r="H111" s="26" t="s">
        <v>1560</v>
      </c>
      <c r="I111" s="7" t="s">
        <v>54</v>
      </c>
      <c r="J111" s="15" t="s">
        <v>16</v>
      </c>
      <c r="K111" s="16" t="n">
        <v>1</v>
      </c>
      <c r="L111" s="7" t="s">
        <v>63</v>
      </c>
      <c r="M111" s="26" t="s">
        <v>1561</v>
      </c>
      <c r="N111" s="26" t="s">
        <v>130</v>
      </c>
      <c r="O111" s="26" t="s">
        <v>1552</v>
      </c>
      <c r="P111" s="26" t="s">
        <v>1562</v>
      </c>
      <c r="Q111" s="26" t="s">
        <v>1563</v>
      </c>
      <c r="R111" s="7" t="s">
        <v>134</v>
      </c>
      <c r="S111" s="26" t="s">
        <v>1555</v>
      </c>
      <c r="T111" s="7" t="s">
        <v>269</v>
      </c>
      <c r="U111" s="7" t="s">
        <v>1556</v>
      </c>
      <c r="V111" s="26" t="s">
        <v>357</v>
      </c>
      <c r="W111" s="26" t="s">
        <v>160</v>
      </c>
      <c r="X111" s="7" t="s">
        <v>44</v>
      </c>
      <c r="Y111" s="26" t="s">
        <v>4402</v>
      </c>
      <c r="Z111" s="7" t="s">
        <v>93</v>
      </c>
      <c r="AA111" s="26" t="s">
        <v>5607</v>
      </c>
      <c r="AB111" s="7" t="str">
        <f aca="false">IF(AC111="Reject","Not ready",IF(Z111="Possible",IF(K111=1,"Core","Extended"),IF(K111=1,"Smoke",IF(K111=2,"Core","Extended"))))</f>
        <v>Smoke</v>
      </c>
      <c r="AC111" s="19" t="s">
        <v>9</v>
      </c>
      <c r="AD111" s="26" t="s">
        <v>1564</v>
      </c>
    </row>
    <row r="112" customFormat="false" ht="67.5" hidden="false" customHeight="true" outlineLevel="0" collapsed="false">
      <c r="A112" s="7" t="s">
        <v>1607</v>
      </c>
      <c r="B112" s="26" t="s">
        <v>1608</v>
      </c>
      <c r="C112" s="7" t="s">
        <v>40</v>
      </c>
      <c r="D112" s="7" t="s">
        <v>100</v>
      </c>
      <c r="E112" s="7" t="s">
        <v>1609</v>
      </c>
      <c r="F112" s="26" t="s">
        <v>1610</v>
      </c>
      <c r="G112" s="26" t="s">
        <v>1611</v>
      </c>
      <c r="H112" s="26" t="s">
        <v>1612</v>
      </c>
      <c r="I112" s="7" t="s">
        <v>59</v>
      </c>
      <c r="J112" s="15" t="s">
        <v>17</v>
      </c>
      <c r="K112" s="18" t="n">
        <v>2</v>
      </c>
      <c r="L112" s="7" t="s">
        <v>62</v>
      </c>
      <c r="M112" s="26" t="s">
        <v>1613</v>
      </c>
      <c r="N112" s="26" t="s">
        <v>130</v>
      </c>
      <c r="O112" s="26" t="s">
        <v>1614</v>
      </c>
      <c r="P112" s="26" t="s">
        <v>1615</v>
      </c>
      <c r="Q112" s="26" t="s">
        <v>1616</v>
      </c>
      <c r="R112" s="7" t="s">
        <v>134</v>
      </c>
      <c r="S112" s="26" t="s">
        <v>1617</v>
      </c>
      <c r="T112" s="7" t="s">
        <v>136</v>
      </c>
      <c r="U112" s="7" t="s">
        <v>1618</v>
      </c>
      <c r="V112" s="26" t="s">
        <v>138</v>
      </c>
      <c r="W112" s="26" t="s">
        <v>160</v>
      </c>
      <c r="X112" s="7" t="s">
        <v>44</v>
      </c>
      <c r="Y112" s="26" t="s">
        <v>4402</v>
      </c>
      <c r="Z112" s="7" t="s">
        <v>93</v>
      </c>
      <c r="AA112" s="26" t="s">
        <v>5607</v>
      </c>
      <c r="AB112" s="7" t="str">
        <f aca="false">IF(AC112="Reject","Not ready",IF(Z112="Possible",IF(K112=1,"Core","Extended"),IF(K112=1,"Smoke",IF(K112=2,"Core","Extended"))))</f>
        <v>Core</v>
      </c>
      <c r="AC112" s="17" t="s">
        <v>7</v>
      </c>
      <c r="AD112" s="26" t="s">
        <v>1619</v>
      </c>
    </row>
    <row r="113" customFormat="false" ht="54.75" hidden="false" customHeight="true" outlineLevel="0" collapsed="false">
      <c r="A113" s="7" t="s">
        <v>1620</v>
      </c>
      <c r="B113" s="26" t="s">
        <v>1608</v>
      </c>
      <c r="C113" s="7" t="s">
        <v>40</v>
      </c>
      <c r="D113" s="7" t="s">
        <v>100</v>
      </c>
      <c r="E113" s="7" t="s">
        <v>1609</v>
      </c>
      <c r="F113" s="26" t="s">
        <v>1610</v>
      </c>
      <c r="G113" s="26" t="s">
        <v>1621</v>
      </c>
      <c r="H113" s="26" t="s">
        <v>1622</v>
      </c>
      <c r="I113" s="7" t="s">
        <v>59</v>
      </c>
      <c r="J113" s="15" t="s">
        <v>18</v>
      </c>
      <c r="K113" s="19" t="n">
        <v>3</v>
      </c>
      <c r="L113" s="7" t="s">
        <v>63</v>
      </c>
      <c r="M113" s="26" t="s">
        <v>1613</v>
      </c>
      <c r="N113" s="26" t="s">
        <v>130</v>
      </c>
      <c r="O113" s="26" t="s">
        <v>1623</v>
      </c>
      <c r="P113" s="26" t="s">
        <v>1624</v>
      </c>
      <c r="Q113" s="26" t="s">
        <v>1625</v>
      </c>
      <c r="R113" s="7" t="s">
        <v>134</v>
      </c>
      <c r="S113" s="26" t="s">
        <v>1617</v>
      </c>
      <c r="T113" s="7" t="s">
        <v>136</v>
      </c>
      <c r="U113" s="7" t="s">
        <v>1618</v>
      </c>
      <c r="V113" s="26" t="s">
        <v>700</v>
      </c>
      <c r="W113" s="26" t="s">
        <v>160</v>
      </c>
      <c r="X113" s="7" t="s">
        <v>44</v>
      </c>
      <c r="Y113" s="26" t="s">
        <v>4402</v>
      </c>
      <c r="Z113" s="7" t="s">
        <v>93</v>
      </c>
      <c r="AA113" s="26" t="s">
        <v>5607</v>
      </c>
      <c r="AB113" s="7" t="str">
        <f aca="false">IF(AC113="Reject","Not ready",IF(Z113="Possible",IF(K113=1,"Core","Extended"),IF(K113=1,"Smoke",IF(K113=2,"Core","Extended"))))</f>
        <v>Extended</v>
      </c>
      <c r="AC113" s="19" t="s">
        <v>9</v>
      </c>
      <c r="AD113" s="26" t="s">
        <v>1626</v>
      </c>
    </row>
    <row r="114" customFormat="false" ht="54.75" hidden="false" customHeight="true" outlineLevel="0" collapsed="false">
      <c r="A114" s="7" t="s">
        <v>1647</v>
      </c>
      <c r="B114" s="26" t="s">
        <v>1648</v>
      </c>
      <c r="C114" s="7" t="s">
        <v>40</v>
      </c>
      <c r="D114" s="7" t="s">
        <v>99</v>
      </c>
      <c r="E114" s="7" t="s">
        <v>1649</v>
      </c>
      <c r="F114" s="26" t="s">
        <v>1650</v>
      </c>
      <c r="G114" s="26" t="s">
        <v>1651</v>
      </c>
      <c r="H114" s="26" t="s">
        <v>1652</v>
      </c>
      <c r="I114" s="7" t="s">
        <v>50</v>
      </c>
      <c r="J114" s="27" t="s">
        <v>16</v>
      </c>
      <c r="K114" s="28" t="n">
        <v>1</v>
      </c>
      <c r="L114" s="7" t="s">
        <v>62</v>
      </c>
      <c r="M114" s="26" t="s">
        <v>1653</v>
      </c>
      <c r="N114" s="26" t="s">
        <v>176</v>
      </c>
      <c r="O114" s="26" t="s">
        <v>1654</v>
      </c>
      <c r="P114" s="26" t="s">
        <v>1655</v>
      </c>
      <c r="Q114" s="26" t="s">
        <v>1656</v>
      </c>
      <c r="R114" s="7" t="s">
        <v>134</v>
      </c>
      <c r="S114" s="26" t="s">
        <v>1657</v>
      </c>
      <c r="T114" s="7" t="s">
        <v>136</v>
      </c>
      <c r="U114" s="7" t="s">
        <v>1658</v>
      </c>
      <c r="V114" s="26" t="s">
        <v>138</v>
      </c>
      <c r="W114" s="26" t="s">
        <v>139</v>
      </c>
      <c r="X114" s="7" t="s">
        <v>45</v>
      </c>
      <c r="Y114" s="26" t="s">
        <v>4402</v>
      </c>
      <c r="Z114" s="7" t="s">
        <v>93</v>
      </c>
      <c r="AA114" s="26" t="s">
        <v>5608</v>
      </c>
      <c r="AB114" s="7" t="str">
        <f aca="false">IF(AC114="Reject","Not ready",IF(Z114="Possible",IF(K114=1,"Core","Extended"),IF(K114=1,"Smoke",IF(K114=2,"Core","Extended"))))</f>
        <v>Smoke</v>
      </c>
      <c r="AC114" s="17" t="s">
        <v>7</v>
      </c>
      <c r="AD114" s="26" t="s">
        <v>1659</v>
      </c>
    </row>
    <row r="115" customFormat="false" ht="42" hidden="false" customHeight="true" outlineLevel="0" collapsed="false">
      <c r="A115" s="7" t="s">
        <v>1660</v>
      </c>
      <c r="B115" s="26" t="s">
        <v>1648</v>
      </c>
      <c r="C115" s="7" t="s">
        <v>40</v>
      </c>
      <c r="D115" s="7" t="s">
        <v>99</v>
      </c>
      <c r="E115" s="7" t="s">
        <v>1649</v>
      </c>
      <c r="F115" s="26" t="s">
        <v>1650</v>
      </c>
      <c r="G115" s="26" t="s">
        <v>1661</v>
      </c>
      <c r="H115" s="26" t="s">
        <v>1662</v>
      </c>
      <c r="I115" s="7" t="s">
        <v>50</v>
      </c>
      <c r="J115" s="15" t="s">
        <v>17</v>
      </c>
      <c r="K115" s="19" t="n">
        <v>3</v>
      </c>
      <c r="L115" s="7" t="s">
        <v>62</v>
      </c>
      <c r="M115" s="26" t="s">
        <v>1663</v>
      </c>
      <c r="N115" s="26" t="s">
        <v>176</v>
      </c>
      <c r="O115" s="26" t="s">
        <v>1664</v>
      </c>
      <c r="P115" s="26" t="s">
        <v>1665</v>
      </c>
      <c r="Q115" s="26" t="s">
        <v>1666</v>
      </c>
      <c r="R115" s="7" t="s">
        <v>134</v>
      </c>
      <c r="S115" s="26" t="s">
        <v>1657</v>
      </c>
      <c r="T115" s="7" t="s">
        <v>136</v>
      </c>
      <c r="U115" s="7" t="s">
        <v>1658</v>
      </c>
      <c r="V115" s="26" t="s">
        <v>138</v>
      </c>
      <c r="W115" s="26" t="s">
        <v>139</v>
      </c>
      <c r="X115" s="7" t="s">
        <v>45</v>
      </c>
      <c r="Y115" s="26" t="s">
        <v>4402</v>
      </c>
      <c r="Z115" s="7" t="s">
        <v>93</v>
      </c>
      <c r="AA115" s="26" t="s">
        <v>5607</v>
      </c>
      <c r="AB115" s="7" t="str">
        <f aca="false">IF(AC115="Reject","Not ready",IF(Z115="Possible",IF(K115=1,"Core","Extended"),IF(K115=1,"Smoke",IF(K115=2,"Core","Extended"))))</f>
        <v>Extended</v>
      </c>
      <c r="AC115" s="17" t="s">
        <v>7</v>
      </c>
      <c r="AD115" s="26" t="s">
        <v>1667</v>
      </c>
    </row>
    <row r="116" customFormat="false" ht="42" hidden="false" customHeight="true" outlineLevel="0" collapsed="false">
      <c r="A116" s="7" t="s">
        <v>1668</v>
      </c>
      <c r="B116" s="26" t="s">
        <v>1669</v>
      </c>
      <c r="C116" s="7" t="s">
        <v>40</v>
      </c>
      <c r="D116" s="7" t="s">
        <v>101</v>
      </c>
      <c r="E116" s="7" t="s">
        <v>1670</v>
      </c>
      <c r="F116" s="26" t="s">
        <v>1671</v>
      </c>
      <c r="G116" s="26" t="s">
        <v>1672</v>
      </c>
      <c r="H116" s="26" t="s">
        <v>1673</v>
      </c>
      <c r="I116" s="7" t="s">
        <v>51</v>
      </c>
      <c r="J116" s="15" t="s">
        <v>17</v>
      </c>
      <c r="K116" s="16" t="n">
        <v>1</v>
      </c>
      <c r="L116" s="7" t="s">
        <v>62</v>
      </c>
      <c r="M116" s="26" t="s">
        <v>1674</v>
      </c>
      <c r="N116" s="26" t="s">
        <v>130</v>
      </c>
      <c r="O116" s="26" t="s">
        <v>1675</v>
      </c>
      <c r="P116" s="26" t="s">
        <v>1676</v>
      </c>
      <c r="Q116" s="26" t="s">
        <v>1677</v>
      </c>
      <c r="R116" s="7" t="s">
        <v>134</v>
      </c>
      <c r="S116" s="26" t="s">
        <v>1678</v>
      </c>
      <c r="T116" s="7" t="s">
        <v>136</v>
      </c>
      <c r="U116" s="7" t="s">
        <v>1679</v>
      </c>
      <c r="V116" s="26" t="s">
        <v>528</v>
      </c>
      <c r="W116" s="26" t="s">
        <v>160</v>
      </c>
      <c r="X116" s="7" t="s">
        <v>44</v>
      </c>
      <c r="Y116" s="26" t="s">
        <v>4402</v>
      </c>
      <c r="Z116" s="7" t="s">
        <v>93</v>
      </c>
      <c r="AA116" s="26" t="s">
        <v>5607</v>
      </c>
      <c r="AB116" s="7" t="str">
        <f aca="false">IF(AC116="Reject","Not ready",IF(Z116="Possible",IF(K116=1,"Core","Extended"),IF(K116=1,"Smoke",IF(K116=2,"Core","Extended"))))</f>
        <v>Smoke</v>
      </c>
      <c r="AC116" s="19" t="s">
        <v>9</v>
      </c>
      <c r="AD116" s="26" t="s">
        <v>1680</v>
      </c>
    </row>
    <row r="117" customFormat="false" ht="42" hidden="false" customHeight="true" outlineLevel="0" collapsed="false">
      <c r="A117" s="7" t="s">
        <v>1681</v>
      </c>
      <c r="B117" s="26" t="s">
        <v>1669</v>
      </c>
      <c r="C117" s="7" t="s">
        <v>40</v>
      </c>
      <c r="D117" s="7" t="s">
        <v>101</v>
      </c>
      <c r="E117" s="7" t="s">
        <v>1670</v>
      </c>
      <c r="F117" s="26" t="s">
        <v>1671</v>
      </c>
      <c r="G117" s="26" t="s">
        <v>1682</v>
      </c>
      <c r="H117" s="26" t="s">
        <v>1683</v>
      </c>
      <c r="I117" s="7" t="s">
        <v>51</v>
      </c>
      <c r="J117" s="15" t="s">
        <v>17</v>
      </c>
      <c r="K117" s="16" t="n">
        <v>1</v>
      </c>
      <c r="L117" s="7" t="s">
        <v>62</v>
      </c>
      <c r="M117" s="26" t="s">
        <v>1684</v>
      </c>
      <c r="N117" s="26" t="s">
        <v>176</v>
      </c>
      <c r="O117" s="26" t="s">
        <v>1685</v>
      </c>
      <c r="P117" s="26" t="s">
        <v>1686</v>
      </c>
      <c r="Q117" s="26" t="s">
        <v>1687</v>
      </c>
      <c r="R117" s="7" t="s">
        <v>134</v>
      </c>
      <c r="S117" s="26" t="s">
        <v>1678</v>
      </c>
      <c r="T117" s="7" t="s">
        <v>136</v>
      </c>
      <c r="U117" s="7" t="s">
        <v>1679</v>
      </c>
      <c r="V117" s="26" t="s">
        <v>480</v>
      </c>
      <c r="W117" s="26" t="s">
        <v>160</v>
      </c>
      <c r="X117" s="7" t="s">
        <v>44</v>
      </c>
      <c r="Y117" s="26" t="s">
        <v>4402</v>
      </c>
      <c r="Z117" s="7" t="s">
        <v>93</v>
      </c>
      <c r="AA117" s="26" t="s">
        <v>5607</v>
      </c>
      <c r="AB117" s="7" t="str">
        <f aca="false">IF(AC117="Reject","Not ready",IF(Z117="Possible",IF(K117=1,"Core","Extended"),IF(K117=1,"Smoke",IF(K117=2,"Core","Extended"))))</f>
        <v>Smoke</v>
      </c>
      <c r="AC117" s="19" t="s">
        <v>9</v>
      </c>
      <c r="AD117" s="26" t="s">
        <v>1688</v>
      </c>
    </row>
    <row r="118" customFormat="false" ht="42" hidden="false" customHeight="true" outlineLevel="0" collapsed="false">
      <c r="A118" s="7" t="s">
        <v>1878</v>
      </c>
      <c r="B118" s="26" t="s">
        <v>1879</v>
      </c>
      <c r="C118" s="7" t="s">
        <v>40</v>
      </c>
      <c r="D118" s="7" t="s">
        <v>100</v>
      </c>
      <c r="E118" s="7" t="s">
        <v>1880</v>
      </c>
      <c r="F118" s="26" t="s">
        <v>1881</v>
      </c>
      <c r="G118" s="26" t="s">
        <v>1882</v>
      </c>
      <c r="H118" s="26" t="s">
        <v>1883</v>
      </c>
      <c r="I118" s="7" t="s">
        <v>59</v>
      </c>
      <c r="J118" s="15" t="s">
        <v>17</v>
      </c>
      <c r="K118" s="18" t="n">
        <v>2</v>
      </c>
      <c r="L118" s="7" t="s">
        <v>62</v>
      </c>
      <c r="M118" s="26" t="s">
        <v>1884</v>
      </c>
      <c r="N118" s="26" t="s">
        <v>130</v>
      </c>
      <c r="O118" s="26" t="s">
        <v>1885</v>
      </c>
      <c r="P118" s="26" t="s">
        <v>1886</v>
      </c>
      <c r="Q118" s="26" t="s">
        <v>1887</v>
      </c>
      <c r="R118" s="7" t="s">
        <v>134</v>
      </c>
      <c r="S118" s="26" t="s">
        <v>1888</v>
      </c>
      <c r="T118" s="7" t="s">
        <v>136</v>
      </c>
      <c r="U118" s="7" t="s">
        <v>1889</v>
      </c>
      <c r="V118" s="26" t="s">
        <v>700</v>
      </c>
      <c r="W118" s="26" t="s">
        <v>139</v>
      </c>
      <c r="X118" s="7" t="s">
        <v>45</v>
      </c>
      <c r="Y118" s="26" t="s">
        <v>4402</v>
      </c>
      <c r="Z118" s="7" t="s">
        <v>93</v>
      </c>
      <c r="AA118" s="26" t="s">
        <v>5607</v>
      </c>
      <c r="AB118" s="7" t="str">
        <f aca="false">IF(AC118="Reject","Not ready",IF(Z118="Possible",IF(K118=1,"Core","Extended"),IF(K118=1,"Smoke",IF(K118=2,"Core","Extended"))))</f>
        <v>Core</v>
      </c>
      <c r="AC118" s="19" t="s">
        <v>9</v>
      </c>
      <c r="AD118" s="26" t="s">
        <v>1890</v>
      </c>
    </row>
    <row r="119" customFormat="false" ht="42" hidden="false" customHeight="true" outlineLevel="0" collapsed="false">
      <c r="A119" s="7" t="s">
        <v>1891</v>
      </c>
      <c r="B119" s="26" t="s">
        <v>1879</v>
      </c>
      <c r="C119" s="7" t="s">
        <v>40</v>
      </c>
      <c r="D119" s="7" t="s">
        <v>100</v>
      </c>
      <c r="E119" s="7" t="s">
        <v>1880</v>
      </c>
      <c r="F119" s="26" t="s">
        <v>1881</v>
      </c>
      <c r="G119" s="26" t="s">
        <v>1892</v>
      </c>
      <c r="H119" s="26" t="s">
        <v>1893</v>
      </c>
      <c r="I119" s="7" t="s">
        <v>54</v>
      </c>
      <c r="J119" s="15" t="s">
        <v>17</v>
      </c>
      <c r="K119" s="18" t="n">
        <v>2</v>
      </c>
      <c r="L119" s="7" t="s">
        <v>63</v>
      </c>
      <c r="M119" s="26" t="s">
        <v>1894</v>
      </c>
      <c r="N119" s="26" t="s">
        <v>130</v>
      </c>
      <c r="O119" s="26" t="s">
        <v>1895</v>
      </c>
      <c r="P119" s="26" t="s">
        <v>1896</v>
      </c>
      <c r="Q119" s="26" t="s">
        <v>1897</v>
      </c>
      <c r="R119" s="7" t="s">
        <v>134</v>
      </c>
      <c r="S119" s="26" t="s">
        <v>1888</v>
      </c>
      <c r="T119" s="7" t="s">
        <v>136</v>
      </c>
      <c r="U119" s="7" t="s">
        <v>1889</v>
      </c>
      <c r="V119" s="26" t="s">
        <v>700</v>
      </c>
      <c r="W119" s="26" t="s">
        <v>139</v>
      </c>
      <c r="X119" s="7" t="s">
        <v>45</v>
      </c>
      <c r="Y119" s="26" t="s">
        <v>4402</v>
      </c>
      <c r="Z119" s="7" t="s">
        <v>93</v>
      </c>
      <c r="AA119" s="26" t="s">
        <v>5607</v>
      </c>
      <c r="AB119" s="7" t="str">
        <f aca="false">IF(AC119="Reject","Not ready",IF(Z119="Possible",IF(K119=1,"Core","Extended"),IF(K119=1,"Smoke",IF(K119=2,"Core","Extended"))))</f>
        <v>Core</v>
      </c>
      <c r="AC119" s="19" t="s">
        <v>9</v>
      </c>
      <c r="AD119" s="26" t="s">
        <v>1898</v>
      </c>
    </row>
    <row r="120" customFormat="false" ht="42" hidden="false" customHeight="true" outlineLevel="0" collapsed="false">
      <c r="A120" s="7" t="s">
        <v>3206</v>
      </c>
      <c r="B120" s="26" t="s">
        <v>3207</v>
      </c>
      <c r="C120" s="7" t="s">
        <v>40</v>
      </c>
      <c r="D120" s="7" t="s">
        <v>101</v>
      </c>
      <c r="E120" s="7" t="s">
        <v>3208</v>
      </c>
      <c r="F120" s="26" t="s">
        <v>3209</v>
      </c>
      <c r="G120" s="26" t="s">
        <v>3210</v>
      </c>
      <c r="H120" s="26" t="s">
        <v>3211</v>
      </c>
      <c r="I120" s="7" t="s">
        <v>48</v>
      </c>
      <c r="J120" s="15" t="s">
        <v>17</v>
      </c>
      <c r="K120" s="16" t="n">
        <v>1</v>
      </c>
      <c r="L120" s="7" t="s">
        <v>64</v>
      </c>
      <c r="M120" s="26" t="s">
        <v>3212</v>
      </c>
      <c r="N120" s="26" t="s">
        <v>130</v>
      </c>
      <c r="O120" s="26" t="s">
        <v>3213</v>
      </c>
      <c r="P120" s="26" t="s">
        <v>3214</v>
      </c>
      <c r="Q120" s="26" t="s">
        <v>3215</v>
      </c>
      <c r="R120" s="7" t="s">
        <v>134</v>
      </c>
      <c r="S120" s="26" t="s">
        <v>3216</v>
      </c>
      <c r="T120" s="7" t="s">
        <v>256</v>
      </c>
      <c r="U120" s="7" t="s">
        <v>3217</v>
      </c>
      <c r="V120" s="26" t="s">
        <v>1638</v>
      </c>
      <c r="W120" s="26" t="s">
        <v>160</v>
      </c>
      <c r="X120" s="7" t="s">
        <v>44</v>
      </c>
      <c r="Y120" s="26" t="s">
        <v>4402</v>
      </c>
      <c r="Z120" s="7" t="s">
        <v>93</v>
      </c>
      <c r="AA120" s="26" t="s">
        <v>5607</v>
      </c>
      <c r="AB120" s="7" t="str">
        <f aca="false">IF(AC120="Reject","Not ready",IF(Z120="Possible",IF(K120=1,"Core","Extended"),IF(K120=1,"Smoke",IF(K120=2,"Core","Extended"))))</f>
        <v>Smoke</v>
      </c>
      <c r="AC120" s="19" t="s">
        <v>9</v>
      </c>
      <c r="AD120" s="26" t="s">
        <v>3218</v>
      </c>
    </row>
    <row r="121" customFormat="false" ht="42" hidden="false" customHeight="true" outlineLevel="0" collapsed="false">
      <c r="A121" s="7" t="s">
        <v>3219</v>
      </c>
      <c r="B121" s="26" t="s">
        <v>3207</v>
      </c>
      <c r="C121" s="7" t="s">
        <v>40</v>
      </c>
      <c r="D121" s="7" t="s">
        <v>101</v>
      </c>
      <c r="E121" s="7" t="s">
        <v>3208</v>
      </c>
      <c r="F121" s="26" t="s">
        <v>3209</v>
      </c>
      <c r="G121" s="26" t="s">
        <v>3220</v>
      </c>
      <c r="H121" s="26" t="s">
        <v>3221</v>
      </c>
      <c r="I121" s="7" t="s">
        <v>48</v>
      </c>
      <c r="J121" s="15" t="s">
        <v>17</v>
      </c>
      <c r="K121" s="16" t="n">
        <v>1</v>
      </c>
      <c r="L121" s="7" t="s">
        <v>64</v>
      </c>
      <c r="M121" s="26" t="s">
        <v>3212</v>
      </c>
      <c r="N121" s="26" t="s">
        <v>130</v>
      </c>
      <c r="O121" s="26" t="s">
        <v>3222</v>
      </c>
      <c r="P121" s="26" t="s">
        <v>3223</v>
      </c>
      <c r="Q121" s="26" t="s">
        <v>3224</v>
      </c>
      <c r="R121" s="7" t="s">
        <v>134</v>
      </c>
      <c r="S121" s="26" t="s">
        <v>3216</v>
      </c>
      <c r="T121" s="7" t="s">
        <v>256</v>
      </c>
      <c r="U121" s="7" t="s">
        <v>3217</v>
      </c>
      <c r="V121" s="26" t="s">
        <v>1638</v>
      </c>
      <c r="W121" s="26" t="s">
        <v>160</v>
      </c>
      <c r="X121" s="7" t="s">
        <v>44</v>
      </c>
      <c r="Y121" s="26" t="s">
        <v>4402</v>
      </c>
      <c r="Z121" s="7" t="s">
        <v>93</v>
      </c>
      <c r="AA121" s="26" t="s">
        <v>5607</v>
      </c>
      <c r="AB121" s="7" t="str">
        <f aca="false">IF(AC121="Reject","Not ready",IF(Z121="Possible",IF(K121=1,"Core","Extended"),IF(K121=1,"Smoke",IF(K121=2,"Core","Extended"))))</f>
        <v>Smoke</v>
      </c>
      <c r="AC121" s="19" t="s">
        <v>9</v>
      </c>
      <c r="AD121" s="26" t="s">
        <v>3225</v>
      </c>
    </row>
    <row r="122" customFormat="false" ht="42" hidden="false" customHeight="true" outlineLevel="0" collapsed="false">
      <c r="A122" s="7" t="s">
        <v>3226</v>
      </c>
      <c r="B122" s="26" t="s">
        <v>3207</v>
      </c>
      <c r="C122" s="7" t="s">
        <v>40</v>
      </c>
      <c r="D122" s="7" t="s">
        <v>101</v>
      </c>
      <c r="E122" s="7" t="s">
        <v>3208</v>
      </c>
      <c r="F122" s="26" t="s">
        <v>3209</v>
      </c>
      <c r="G122" s="26" t="s">
        <v>3227</v>
      </c>
      <c r="H122" s="26" t="s">
        <v>3228</v>
      </c>
      <c r="I122" s="7" t="s">
        <v>50</v>
      </c>
      <c r="J122" s="15" t="s">
        <v>18</v>
      </c>
      <c r="K122" s="18" t="n">
        <v>2</v>
      </c>
      <c r="L122" s="7" t="s">
        <v>62</v>
      </c>
      <c r="M122" s="26" t="s">
        <v>3212</v>
      </c>
      <c r="N122" s="26" t="s">
        <v>176</v>
      </c>
      <c r="O122" s="26" t="s">
        <v>3229</v>
      </c>
      <c r="P122" s="26" t="s">
        <v>3230</v>
      </c>
      <c r="Q122" s="26" t="s">
        <v>3231</v>
      </c>
      <c r="R122" s="7" t="s">
        <v>134</v>
      </c>
      <c r="S122" s="26" t="s">
        <v>3216</v>
      </c>
      <c r="T122" s="7" t="s">
        <v>136</v>
      </c>
      <c r="U122" s="7" t="s">
        <v>3217</v>
      </c>
      <c r="V122" s="26" t="s">
        <v>1638</v>
      </c>
      <c r="W122" s="26" t="s">
        <v>160</v>
      </c>
      <c r="X122" s="7" t="s">
        <v>44</v>
      </c>
      <c r="Y122" s="26" t="s">
        <v>4402</v>
      </c>
      <c r="Z122" s="7" t="s">
        <v>93</v>
      </c>
      <c r="AA122" s="26" t="s">
        <v>5607</v>
      </c>
      <c r="AB122" s="7" t="str">
        <f aca="false">IF(AC122="Reject","Not ready",IF(Z122="Possible",IF(K122=1,"Core","Extended"),IF(K122=1,"Smoke",IF(K122=2,"Core","Extended"))))</f>
        <v>Core</v>
      </c>
      <c r="AC122" s="19" t="s">
        <v>9</v>
      </c>
      <c r="AD122" s="26" t="s">
        <v>3232</v>
      </c>
    </row>
    <row r="123" customFormat="false" ht="42" hidden="false" customHeight="true" outlineLevel="0" collapsed="false">
      <c r="A123" s="7" t="s">
        <v>3253</v>
      </c>
      <c r="B123" s="26" t="s">
        <v>3254</v>
      </c>
      <c r="C123" s="7" t="s">
        <v>40</v>
      </c>
      <c r="D123" s="7" t="s">
        <v>346</v>
      </c>
      <c r="E123" s="7" t="s">
        <v>3255</v>
      </c>
      <c r="F123" s="26" t="s">
        <v>3256</v>
      </c>
      <c r="G123" s="26" t="s">
        <v>3257</v>
      </c>
      <c r="H123" s="26" t="s">
        <v>3258</v>
      </c>
      <c r="I123" s="7" t="s">
        <v>59</v>
      </c>
      <c r="J123" s="15" t="s">
        <v>16</v>
      </c>
      <c r="K123" s="16" t="n">
        <v>1</v>
      </c>
      <c r="L123" s="7" t="s">
        <v>62</v>
      </c>
      <c r="M123" s="26" t="s">
        <v>3259</v>
      </c>
      <c r="N123" s="26" t="s">
        <v>130</v>
      </c>
      <c r="O123" s="26" t="s">
        <v>453</v>
      </c>
      <c r="P123" s="26" t="s">
        <v>3260</v>
      </c>
      <c r="Q123" s="26" t="s">
        <v>3261</v>
      </c>
      <c r="R123" s="7" t="s">
        <v>134</v>
      </c>
      <c r="S123" s="26" t="s">
        <v>3262</v>
      </c>
      <c r="T123" s="7" t="s">
        <v>136</v>
      </c>
      <c r="U123" s="7" t="s">
        <v>3263</v>
      </c>
      <c r="V123" s="26" t="s">
        <v>138</v>
      </c>
      <c r="W123" s="26" t="s">
        <v>139</v>
      </c>
      <c r="X123" s="7" t="s">
        <v>45</v>
      </c>
      <c r="Y123" s="26" t="s">
        <v>4402</v>
      </c>
      <c r="Z123" s="7" t="s">
        <v>93</v>
      </c>
      <c r="AA123" s="26" t="s">
        <v>5607</v>
      </c>
      <c r="AB123" s="7" t="str">
        <f aca="false">IF(AC123="Reject","Not ready",IF(Z123="Possible",IF(K123=1,"Core","Extended"),IF(K123=1,"Smoke",IF(K123=2,"Core","Extended"))))</f>
        <v>Smoke</v>
      </c>
      <c r="AC123" s="19" t="s">
        <v>9</v>
      </c>
      <c r="AD123" s="26" t="s">
        <v>3264</v>
      </c>
    </row>
    <row r="124" customFormat="false" ht="42" hidden="false" customHeight="true" outlineLevel="0" collapsed="false">
      <c r="A124" s="7" t="s">
        <v>3265</v>
      </c>
      <c r="B124" s="26" t="s">
        <v>3254</v>
      </c>
      <c r="C124" s="7" t="s">
        <v>40</v>
      </c>
      <c r="D124" s="7" t="s">
        <v>346</v>
      </c>
      <c r="E124" s="7" t="s">
        <v>3255</v>
      </c>
      <c r="F124" s="26" t="s">
        <v>3256</v>
      </c>
      <c r="G124" s="26" t="s">
        <v>3266</v>
      </c>
      <c r="H124" s="26" t="s">
        <v>3267</v>
      </c>
      <c r="I124" s="7" t="s">
        <v>59</v>
      </c>
      <c r="J124" s="15" t="s">
        <v>16</v>
      </c>
      <c r="K124" s="18" t="n">
        <v>2</v>
      </c>
      <c r="L124" s="7" t="s">
        <v>62</v>
      </c>
      <c r="M124" s="26" t="s">
        <v>2472</v>
      </c>
      <c r="N124" s="26" t="s">
        <v>130</v>
      </c>
      <c r="O124" s="26" t="s">
        <v>1654</v>
      </c>
      <c r="P124" s="26" t="s">
        <v>3268</v>
      </c>
      <c r="Q124" s="26" t="s">
        <v>3269</v>
      </c>
      <c r="R124" s="7" t="s">
        <v>134</v>
      </c>
      <c r="S124" s="26" t="s">
        <v>3262</v>
      </c>
      <c r="T124" s="7" t="s">
        <v>136</v>
      </c>
      <c r="U124" s="7" t="s">
        <v>3263</v>
      </c>
      <c r="V124" s="26" t="s">
        <v>138</v>
      </c>
      <c r="W124" s="26" t="s">
        <v>139</v>
      </c>
      <c r="X124" s="7" t="s">
        <v>45</v>
      </c>
      <c r="Y124" s="26" t="s">
        <v>4402</v>
      </c>
      <c r="Z124" s="7" t="s">
        <v>93</v>
      </c>
      <c r="AA124" s="26" t="s">
        <v>5607</v>
      </c>
      <c r="AB124" s="7" t="str">
        <f aca="false">IF(AC124="Reject","Not ready",IF(Z124="Possible",IF(K124=1,"Core","Extended"),IF(K124=1,"Smoke",IF(K124=2,"Core","Extended"))))</f>
        <v>Core</v>
      </c>
      <c r="AC124" s="19" t="s">
        <v>9</v>
      </c>
      <c r="AD124" s="26" t="s">
        <v>3270</v>
      </c>
    </row>
    <row r="125" customFormat="false" ht="42" hidden="false" customHeight="true" outlineLevel="0" collapsed="false">
      <c r="A125" s="7" t="s">
        <v>3271</v>
      </c>
      <c r="B125" s="26" t="s">
        <v>3254</v>
      </c>
      <c r="C125" s="7" t="s">
        <v>40</v>
      </c>
      <c r="D125" s="7" t="s">
        <v>346</v>
      </c>
      <c r="E125" s="7" t="s">
        <v>3255</v>
      </c>
      <c r="F125" s="26" t="s">
        <v>3256</v>
      </c>
      <c r="G125" s="26" t="s">
        <v>3272</v>
      </c>
      <c r="H125" s="26" t="s">
        <v>3273</v>
      </c>
      <c r="I125" s="7" t="s">
        <v>59</v>
      </c>
      <c r="J125" s="15" t="s">
        <v>16</v>
      </c>
      <c r="K125" s="18" t="n">
        <v>2</v>
      </c>
      <c r="L125" s="7" t="s">
        <v>62</v>
      </c>
      <c r="M125" s="26" t="s">
        <v>612</v>
      </c>
      <c r="N125" s="26" t="s">
        <v>130</v>
      </c>
      <c r="O125" s="26" t="s">
        <v>453</v>
      </c>
      <c r="P125" s="26" t="s">
        <v>3274</v>
      </c>
      <c r="Q125" s="26" t="s">
        <v>3275</v>
      </c>
      <c r="R125" s="7" t="s">
        <v>134</v>
      </c>
      <c r="S125" s="26" t="s">
        <v>3262</v>
      </c>
      <c r="T125" s="7" t="s">
        <v>136</v>
      </c>
      <c r="U125" s="7" t="s">
        <v>3263</v>
      </c>
      <c r="V125" s="26" t="s">
        <v>138</v>
      </c>
      <c r="W125" s="26" t="s">
        <v>139</v>
      </c>
      <c r="X125" s="7" t="s">
        <v>45</v>
      </c>
      <c r="Y125" s="26" t="s">
        <v>4402</v>
      </c>
      <c r="Z125" s="7" t="s">
        <v>93</v>
      </c>
      <c r="AA125" s="26" t="s">
        <v>5607</v>
      </c>
      <c r="AB125" s="7" t="str">
        <f aca="false">IF(AC125="Reject","Not ready",IF(Z125="Possible",IF(K125=1,"Core","Extended"),IF(K125=1,"Smoke",IF(K125=2,"Core","Extended"))))</f>
        <v>Core</v>
      </c>
      <c r="AC125" s="19" t="s">
        <v>9</v>
      </c>
      <c r="AD125" s="26" t="s">
        <v>3276</v>
      </c>
    </row>
    <row r="126" customFormat="false" ht="42" hidden="false" customHeight="true" outlineLevel="0" collapsed="false">
      <c r="A126" s="7" t="s">
        <v>3334</v>
      </c>
      <c r="B126" s="26" t="s">
        <v>3335</v>
      </c>
      <c r="C126" s="7" t="s">
        <v>40</v>
      </c>
      <c r="D126" s="7" t="s">
        <v>100</v>
      </c>
      <c r="E126" s="7" t="s">
        <v>3336</v>
      </c>
      <c r="F126" s="26" t="s">
        <v>3337</v>
      </c>
      <c r="G126" s="26" t="s">
        <v>3338</v>
      </c>
      <c r="H126" s="26" t="s">
        <v>3339</v>
      </c>
      <c r="I126" s="7" t="s">
        <v>59</v>
      </c>
      <c r="J126" s="15" t="s">
        <v>17</v>
      </c>
      <c r="K126" s="18" t="n">
        <v>2</v>
      </c>
      <c r="L126" s="7" t="s">
        <v>62</v>
      </c>
      <c r="M126" s="26" t="s">
        <v>3340</v>
      </c>
      <c r="N126" s="26" t="s">
        <v>130</v>
      </c>
      <c r="O126" s="26" t="s">
        <v>1885</v>
      </c>
      <c r="P126" s="26" t="s">
        <v>3341</v>
      </c>
      <c r="Q126" s="26" t="s">
        <v>3342</v>
      </c>
      <c r="R126" s="7" t="s">
        <v>134</v>
      </c>
      <c r="S126" s="26" t="s">
        <v>3343</v>
      </c>
      <c r="T126" s="7" t="s">
        <v>269</v>
      </c>
      <c r="U126" s="7" t="s">
        <v>3344</v>
      </c>
      <c r="V126" s="26" t="s">
        <v>700</v>
      </c>
      <c r="W126" s="26" t="s">
        <v>139</v>
      </c>
      <c r="X126" s="7" t="s">
        <v>45</v>
      </c>
      <c r="Y126" s="26" t="s">
        <v>4402</v>
      </c>
      <c r="Z126" s="7" t="s">
        <v>93</v>
      </c>
      <c r="AA126" s="26" t="s">
        <v>5607</v>
      </c>
      <c r="AB126" s="7" t="str">
        <f aca="false">IF(AC126="Reject","Not ready",IF(Z126="Possible",IF(K126=1,"Core","Extended"),IF(K126=1,"Smoke",IF(K126=2,"Core","Extended"))))</f>
        <v>Core</v>
      </c>
      <c r="AC126" s="19" t="s">
        <v>9</v>
      </c>
      <c r="AD126" s="26" t="s">
        <v>3345</v>
      </c>
    </row>
    <row r="127" customFormat="false" ht="42" hidden="false" customHeight="true" outlineLevel="0" collapsed="false">
      <c r="A127" s="7" t="s">
        <v>3346</v>
      </c>
      <c r="B127" s="26" t="s">
        <v>3335</v>
      </c>
      <c r="C127" s="7" t="s">
        <v>40</v>
      </c>
      <c r="D127" s="7" t="s">
        <v>100</v>
      </c>
      <c r="E127" s="7" t="s">
        <v>3336</v>
      </c>
      <c r="F127" s="26" t="s">
        <v>3337</v>
      </c>
      <c r="G127" s="26" t="s">
        <v>3347</v>
      </c>
      <c r="H127" s="26" t="s">
        <v>3348</v>
      </c>
      <c r="I127" s="7" t="s">
        <v>54</v>
      </c>
      <c r="J127" s="15" t="s">
        <v>17</v>
      </c>
      <c r="K127" s="18" t="n">
        <v>2</v>
      </c>
      <c r="L127" s="7" t="s">
        <v>63</v>
      </c>
      <c r="M127" s="26" t="s">
        <v>3349</v>
      </c>
      <c r="N127" s="26" t="s">
        <v>130</v>
      </c>
      <c r="O127" s="26" t="s">
        <v>1895</v>
      </c>
      <c r="P127" s="26" t="s">
        <v>3350</v>
      </c>
      <c r="Q127" s="26" t="s">
        <v>3351</v>
      </c>
      <c r="R127" s="7" t="s">
        <v>134</v>
      </c>
      <c r="S127" s="26" t="s">
        <v>3343</v>
      </c>
      <c r="T127" s="7" t="s">
        <v>269</v>
      </c>
      <c r="U127" s="7" t="s">
        <v>3344</v>
      </c>
      <c r="V127" s="26" t="s">
        <v>700</v>
      </c>
      <c r="W127" s="26" t="s">
        <v>139</v>
      </c>
      <c r="X127" s="7" t="s">
        <v>45</v>
      </c>
      <c r="Y127" s="26" t="s">
        <v>4402</v>
      </c>
      <c r="Z127" s="7" t="s">
        <v>93</v>
      </c>
      <c r="AA127" s="26" t="s">
        <v>5607</v>
      </c>
      <c r="AB127" s="7" t="str">
        <f aca="false">IF(AC127="Reject","Not ready",IF(Z127="Possible",IF(K127=1,"Core","Extended"),IF(K127=1,"Smoke",IF(K127=2,"Core","Extended"))))</f>
        <v>Core</v>
      </c>
      <c r="AC127" s="19" t="s">
        <v>9</v>
      </c>
      <c r="AD127" s="26" t="s">
        <v>3352</v>
      </c>
    </row>
    <row r="128" customFormat="false" ht="67.5" hidden="false" customHeight="true" outlineLevel="0" collapsed="false">
      <c r="A128" s="7" t="s">
        <v>1200</v>
      </c>
      <c r="B128" s="26" t="s">
        <v>1201</v>
      </c>
      <c r="C128" s="7" t="s">
        <v>38</v>
      </c>
      <c r="D128" s="7" t="s">
        <v>99</v>
      </c>
      <c r="E128" s="7" t="s">
        <v>1202</v>
      </c>
      <c r="F128" s="26" t="s">
        <v>1203</v>
      </c>
      <c r="G128" s="26" t="s">
        <v>1204</v>
      </c>
      <c r="H128" s="26" t="s">
        <v>1205</v>
      </c>
      <c r="I128" s="7" t="s">
        <v>48</v>
      </c>
      <c r="J128" s="15" t="s">
        <v>16</v>
      </c>
      <c r="K128" s="16" t="n">
        <v>1</v>
      </c>
      <c r="L128" s="7" t="s">
        <v>64</v>
      </c>
      <c r="M128" s="26" t="s">
        <v>1206</v>
      </c>
      <c r="N128" s="26" t="s">
        <v>130</v>
      </c>
      <c r="O128" s="26" t="s">
        <v>1207</v>
      </c>
      <c r="P128" s="26" t="s">
        <v>1208</v>
      </c>
      <c r="Q128" s="26" t="s">
        <v>1209</v>
      </c>
      <c r="R128" s="7" t="s">
        <v>134</v>
      </c>
      <c r="S128" s="26" t="s">
        <v>1210</v>
      </c>
      <c r="T128" s="7" t="s">
        <v>256</v>
      </c>
      <c r="U128" s="7" t="s">
        <v>1211</v>
      </c>
      <c r="V128" s="26" t="s">
        <v>1212</v>
      </c>
      <c r="W128" s="26" t="s">
        <v>160</v>
      </c>
      <c r="X128" s="7" t="s">
        <v>44</v>
      </c>
      <c r="Y128" s="26" t="s">
        <v>4529</v>
      </c>
      <c r="Z128" s="7" t="s">
        <v>93</v>
      </c>
      <c r="AA128" s="26" t="s">
        <v>5609</v>
      </c>
      <c r="AB128" s="7" t="str">
        <f aca="false">IF(AC128="Reject","Not ready",IF(Z128="Possible",IF(K128=1,"Core","Extended"),IF(K128=1,"Smoke",IF(K128=2,"Core","Extended"))))</f>
        <v>Smoke</v>
      </c>
      <c r="AC128" s="19" t="s">
        <v>9</v>
      </c>
      <c r="AD128" s="26" t="s">
        <v>1213</v>
      </c>
    </row>
    <row r="129" customFormat="false" ht="42" hidden="false" customHeight="true" outlineLevel="0" collapsed="false">
      <c r="A129" s="7" t="s">
        <v>1214</v>
      </c>
      <c r="B129" s="26" t="s">
        <v>1201</v>
      </c>
      <c r="C129" s="7" t="s">
        <v>38</v>
      </c>
      <c r="D129" s="7" t="s">
        <v>99</v>
      </c>
      <c r="E129" s="7" t="s">
        <v>1202</v>
      </c>
      <c r="F129" s="26" t="s">
        <v>1203</v>
      </c>
      <c r="G129" s="26" t="s">
        <v>1215</v>
      </c>
      <c r="H129" s="26" t="s">
        <v>1216</v>
      </c>
      <c r="I129" s="7" t="s">
        <v>54</v>
      </c>
      <c r="J129" s="15" t="s">
        <v>17</v>
      </c>
      <c r="K129" s="19" t="n">
        <v>3</v>
      </c>
      <c r="L129" s="7" t="s">
        <v>63</v>
      </c>
      <c r="M129" s="26" t="s">
        <v>997</v>
      </c>
      <c r="N129" s="26" t="s">
        <v>130</v>
      </c>
      <c r="O129" s="26" t="s">
        <v>1217</v>
      </c>
      <c r="P129" s="26" t="s">
        <v>1218</v>
      </c>
      <c r="Q129" s="26" t="s">
        <v>1219</v>
      </c>
      <c r="R129" s="7" t="s">
        <v>134</v>
      </c>
      <c r="S129" s="26" t="s">
        <v>1210</v>
      </c>
      <c r="T129" s="7" t="s">
        <v>256</v>
      </c>
      <c r="U129" s="7" t="s">
        <v>1211</v>
      </c>
      <c r="V129" s="26" t="s">
        <v>1212</v>
      </c>
      <c r="W129" s="26" t="s">
        <v>160</v>
      </c>
      <c r="X129" s="7" t="s">
        <v>44</v>
      </c>
      <c r="Y129" s="26" t="s">
        <v>4529</v>
      </c>
      <c r="Z129" s="7" t="s">
        <v>93</v>
      </c>
      <c r="AA129" s="26" t="s">
        <v>5609</v>
      </c>
      <c r="AB129" s="7" t="str">
        <f aca="false">IF(AC129="Reject","Not ready",IF(Z129="Possible",IF(K129=1,"Core","Extended"),IF(K129=1,"Smoke",IF(K129=2,"Core","Extended"))))</f>
        <v>Extended</v>
      </c>
      <c r="AC129" s="19" t="s">
        <v>9</v>
      </c>
      <c r="AD129" s="26" t="s">
        <v>1220</v>
      </c>
    </row>
    <row r="130" customFormat="false" ht="42" hidden="false" customHeight="true" outlineLevel="0" collapsed="false">
      <c r="A130" s="7" t="s">
        <v>1221</v>
      </c>
      <c r="B130" s="26" t="s">
        <v>1222</v>
      </c>
      <c r="C130" s="7" t="s">
        <v>38</v>
      </c>
      <c r="D130" s="7" t="s">
        <v>99</v>
      </c>
      <c r="E130" s="7" t="s">
        <v>1223</v>
      </c>
      <c r="F130" s="26" t="s">
        <v>1224</v>
      </c>
      <c r="G130" s="26" t="s">
        <v>1225</v>
      </c>
      <c r="H130" s="26" t="s">
        <v>1226</v>
      </c>
      <c r="I130" s="7" t="s">
        <v>57</v>
      </c>
      <c r="J130" s="15" t="s">
        <v>16</v>
      </c>
      <c r="K130" s="16" t="n">
        <v>1</v>
      </c>
      <c r="L130" s="7" t="s">
        <v>62</v>
      </c>
      <c r="M130" s="26" t="s">
        <v>1227</v>
      </c>
      <c r="N130" s="26" t="s">
        <v>130</v>
      </c>
      <c r="O130" s="26" t="s">
        <v>1228</v>
      </c>
      <c r="P130" s="26" t="s">
        <v>1229</v>
      </c>
      <c r="Q130" s="26" t="s">
        <v>1230</v>
      </c>
      <c r="R130" s="7" t="s">
        <v>134</v>
      </c>
      <c r="S130" s="26" t="s">
        <v>1231</v>
      </c>
      <c r="T130" s="7" t="s">
        <v>300</v>
      </c>
      <c r="U130" s="7" t="s">
        <v>1232</v>
      </c>
      <c r="V130" s="26" t="s">
        <v>1233</v>
      </c>
      <c r="W130" s="26" t="s">
        <v>160</v>
      </c>
      <c r="X130" s="7" t="s">
        <v>44</v>
      </c>
      <c r="Y130" s="26" t="s">
        <v>4529</v>
      </c>
      <c r="Z130" s="7" t="s">
        <v>93</v>
      </c>
      <c r="AA130" s="26" t="s">
        <v>5609</v>
      </c>
      <c r="AB130" s="7" t="str">
        <f aca="false">IF(AC130="Reject","Not ready",IF(Z130="Possible",IF(K130=1,"Core","Extended"),IF(K130=1,"Smoke",IF(K130=2,"Core","Extended"))))</f>
        <v>Smoke</v>
      </c>
      <c r="AC130" s="19" t="s">
        <v>9</v>
      </c>
      <c r="AD130" s="26" t="s">
        <v>1234</v>
      </c>
    </row>
    <row r="131" customFormat="false" ht="67.5" hidden="false" customHeight="true" outlineLevel="0" collapsed="false">
      <c r="A131" s="7" t="s">
        <v>1235</v>
      </c>
      <c r="B131" s="26" t="s">
        <v>1236</v>
      </c>
      <c r="C131" s="7" t="s">
        <v>38</v>
      </c>
      <c r="D131" s="7" t="s">
        <v>99</v>
      </c>
      <c r="E131" s="7" t="s">
        <v>1237</v>
      </c>
      <c r="F131" s="26" t="s">
        <v>1238</v>
      </c>
      <c r="G131" s="26" t="s">
        <v>1239</v>
      </c>
      <c r="H131" s="26" t="s">
        <v>1240</v>
      </c>
      <c r="I131" s="7" t="s">
        <v>59</v>
      </c>
      <c r="J131" s="15" t="s">
        <v>16</v>
      </c>
      <c r="K131" s="18" t="n">
        <v>2</v>
      </c>
      <c r="L131" s="7" t="s">
        <v>62</v>
      </c>
      <c r="M131" s="26" t="s">
        <v>1241</v>
      </c>
      <c r="N131" s="26" t="s">
        <v>130</v>
      </c>
      <c r="O131" s="26" t="s">
        <v>1242</v>
      </c>
      <c r="P131" s="26" t="s">
        <v>1243</v>
      </c>
      <c r="Q131" s="26" t="s">
        <v>1244</v>
      </c>
      <c r="R131" s="7" t="s">
        <v>134</v>
      </c>
      <c r="S131" s="26" t="s">
        <v>1245</v>
      </c>
      <c r="T131" s="7" t="s">
        <v>136</v>
      </c>
      <c r="U131" s="7" t="s">
        <v>1246</v>
      </c>
      <c r="V131" s="26" t="s">
        <v>1247</v>
      </c>
      <c r="W131" s="26" t="s">
        <v>160</v>
      </c>
      <c r="X131" s="7" t="s">
        <v>44</v>
      </c>
      <c r="Y131" s="26" t="s">
        <v>4529</v>
      </c>
      <c r="Z131" s="7" t="s">
        <v>93</v>
      </c>
      <c r="AA131" s="26" t="s">
        <v>5609</v>
      </c>
      <c r="AB131" s="7" t="str">
        <f aca="false">IF(AC131="Reject","Not ready",IF(Z131="Possible",IF(K131=1,"Core","Extended"),IF(K131=1,"Smoke",IF(K131=2,"Core","Extended"))))</f>
        <v>Core</v>
      </c>
      <c r="AC131" s="19" t="s">
        <v>9</v>
      </c>
      <c r="AD131" s="26" t="s">
        <v>1248</v>
      </c>
    </row>
    <row r="132" customFormat="false" ht="42" hidden="false" customHeight="true" outlineLevel="0" collapsed="false">
      <c r="A132" s="7" t="s">
        <v>1949</v>
      </c>
      <c r="B132" s="26" t="s">
        <v>1950</v>
      </c>
      <c r="C132" s="7" t="s">
        <v>38</v>
      </c>
      <c r="D132" s="7" t="s">
        <v>100</v>
      </c>
      <c r="E132" s="7" t="s">
        <v>1951</v>
      </c>
      <c r="F132" s="26" t="s">
        <v>1952</v>
      </c>
      <c r="G132" s="26" t="s">
        <v>1953</v>
      </c>
      <c r="H132" s="26" t="s">
        <v>1954</v>
      </c>
      <c r="I132" s="7" t="s">
        <v>57</v>
      </c>
      <c r="J132" s="15" t="s">
        <v>16</v>
      </c>
      <c r="K132" s="16" t="n">
        <v>1</v>
      </c>
      <c r="L132" s="7" t="s">
        <v>62</v>
      </c>
      <c r="M132" s="26" t="s">
        <v>1955</v>
      </c>
      <c r="N132" s="26" t="s">
        <v>130</v>
      </c>
      <c r="O132" s="26" t="s">
        <v>1956</v>
      </c>
      <c r="P132" s="26" t="s">
        <v>1957</v>
      </c>
      <c r="Q132" s="26" t="s">
        <v>1958</v>
      </c>
      <c r="R132" s="7" t="s">
        <v>134</v>
      </c>
      <c r="S132" s="26" t="s">
        <v>1959</v>
      </c>
      <c r="T132" s="7" t="s">
        <v>300</v>
      </c>
      <c r="U132" s="7" t="s">
        <v>1960</v>
      </c>
      <c r="V132" s="26" t="s">
        <v>1961</v>
      </c>
      <c r="W132" s="26" t="s">
        <v>160</v>
      </c>
      <c r="X132" s="7" t="s">
        <v>44</v>
      </c>
      <c r="Y132" s="26" t="s">
        <v>4529</v>
      </c>
      <c r="Z132" s="7" t="s">
        <v>93</v>
      </c>
      <c r="AA132" s="26" t="s">
        <v>5609</v>
      </c>
      <c r="AB132" s="7" t="str">
        <f aca="false">IF(AC132="Reject","Not ready",IF(Z132="Possible",IF(K132=1,"Core","Extended"),IF(K132=1,"Smoke",IF(K132=2,"Core","Extended"))))</f>
        <v>Smoke</v>
      </c>
      <c r="AC132" s="19" t="s">
        <v>9</v>
      </c>
      <c r="AD132" s="26" t="s">
        <v>1962</v>
      </c>
    </row>
    <row r="133" customFormat="false" ht="42" hidden="false" customHeight="true" outlineLevel="0" collapsed="false">
      <c r="A133" s="7" t="s">
        <v>1963</v>
      </c>
      <c r="B133" s="26" t="s">
        <v>1950</v>
      </c>
      <c r="C133" s="7" t="s">
        <v>38</v>
      </c>
      <c r="D133" s="7" t="s">
        <v>100</v>
      </c>
      <c r="E133" s="7" t="s">
        <v>1951</v>
      </c>
      <c r="F133" s="26" t="s">
        <v>1952</v>
      </c>
      <c r="G133" s="26" t="s">
        <v>1964</v>
      </c>
      <c r="H133" s="26" t="s">
        <v>1965</v>
      </c>
      <c r="I133" s="7" t="s">
        <v>48</v>
      </c>
      <c r="J133" s="15" t="s">
        <v>16</v>
      </c>
      <c r="K133" s="16" t="n">
        <v>1</v>
      </c>
      <c r="L133" s="7" t="s">
        <v>64</v>
      </c>
      <c r="M133" s="26" t="s">
        <v>1966</v>
      </c>
      <c r="N133" s="26" t="s">
        <v>130</v>
      </c>
      <c r="O133" s="26" t="s">
        <v>1967</v>
      </c>
      <c r="P133" s="26" t="s">
        <v>1968</v>
      </c>
      <c r="Q133" s="26" t="s">
        <v>1969</v>
      </c>
      <c r="R133" s="7" t="s">
        <v>134</v>
      </c>
      <c r="S133" s="26" t="s">
        <v>1959</v>
      </c>
      <c r="T133" s="7" t="s">
        <v>256</v>
      </c>
      <c r="U133" s="7" t="s">
        <v>1960</v>
      </c>
      <c r="V133" s="26" t="s">
        <v>1961</v>
      </c>
      <c r="W133" s="26" t="s">
        <v>160</v>
      </c>
      <c r="X133" s="7" t="s">
        <v>44</v>
      </c>
      <c r="Y133" s="26" t="s">
        <v>4529</v>
      </c>
      <c r="Z133" s="7" t="s">
        <v>93</v>
      </c>
      <c r="AA133" s="26" t="s">
        <v>5609</v>
      </c>
      <c r="AB133" s="7" t="str">
        <f aca="false">IF(AC133="Reject","Not ready",IF(Z133="Possible",IF(K133=1,"Core","Extended"),IF(K133=1,"Smoke",IF(K133=2,"Core","Extended"))))</f>
        <v>Smoke</v>
      </c>
      <c r="AC133" s="19" t="s">
        <v>9</v>
      </c>
      <c r="AD133" s="26" t="s">
        <v>1970</v>
      </c>
    </row>
    <row r="134" customFormat="false" ht="42" hidden="false" customHeight="true" outlineLevel="0" collapsed="false">
      <c r="A134" s="7" t="s">
        <v>1985</v>
      </c>
      <c r="B134" s="26" t="s">
        <v>1986</v>
      </c>
      <c r="C134" s="7" t="s">
        <v>38</v>
      </c>
      <c r="D134" s="7" t="s">
        <v>100</v>
      </c>
      <c r="E134" s="7" t="s">
        <v>1987</v>
      </c>
      <c r="F134" s="26" t="s">
        <v>1988</v>
      </c>
      <c r="G134" s="26" t="s">
        <v>1989</v>
      </c>
      <c r="H134" s="26" t="s">
        <v>1990</v>
      </c>
      <c r="I134" s="7" t="s">
        <v>57</v>
      </c>
      <c r="J134" s="15" t="s">
        <v>16</v>
      </c>
      <c r="K134" s="16" t="n">
        <v>1</v>
      </c>
      <c r="L134" s="7" t="s">
        <v>62</v>
      </c>
      <c r="M134" s="26" t="s">
        <v>1991</v>
      </c>
      <c r="N134" s="26" t="s">
        <v>130</v>
      </c>
      <c r="O134" s="26" t="s">
        <v>1992</v>
      </c>
      <c r="P134" s="26" t="s">
        <v>1968</v>
      </c>
      <c r="Q134" s="26" t="s">
        <v>1993</v>
      </c>
      <c r="R134" s="7" t="s">
        <v>134</v>
      </c>
      <c r="S134" s="26" t="s">
        <v>1994</v>
      </c>
      <c r="T134" s="7" t="s">
        <v>300</v>
      </c>
      <c r="U134" s="7" t="s">
        <v>1995</v>
      </c>
      <c r="V134" s="26" t="s">
        <v>138</v>
      </c>
      <c r="W134" s="26" t="s">
        <v>160</v>
      </c>
      <c r="X134" s="7" t="s">
        <v>44</v>
      </c>
      <c r="Y134" s="26" t="s">
        <v>4529</v>
      </c>
      <c r="Z134" s="7" t="s">
        <v>93</v>
      </c>
      <c r="AA134" s="26" t="s">
        <v>5609</v>
      </c>
      <c r="AB134" s="7" t="str">
        <f aca="false">IF(AC134="Reject","Not ready",IF(Z134="Possible",IF(K134=1,"Core","Extended"),IF(K134=1,"Smoke",IF(K134=2,"Core","Extended"))))</f>
        <v>Smoke</v>
      </c>
      <c r="AC134" s="17" t="s">
        <v>7</v>
      </c>
      <c r="AD134" s="26" t="s">
        <v>1996</v>
      </c>
    </row>
    <row r="135" customFormat="false" ht="42" hidden="false" customHeight="true" outlineLevel="0" collapsed="false">
      <c r="A135" s="7" t="s">
        <v>1997</v>
      </c>
      <c r="B135" s="26" t="s">
        <v>1986</v>
      </c>
      <c r="C135" s="7" t="s">
        <v>38</v>
      </c>
      <c r="D135" s="7" t="s">
        <v>100</v>
      </c>
      <c r="E135" s="7" t="s">
        <v>1987</v>
      </c>
      <c r="F135" s="26" t="s">
        <v>1988</v>
      </c>
      <c r="G135" s="26" t="s">
        <v>1998</v>
      </c>
      <c r="H135" s="26" t="s">
        <v>1999</v>
      </c>
      <c r="I135" s="7" t="s">
        <v>59</v>
      </c>
      <c r="J135" s="15" t="s">
        <v>17</v>
      </c>
      <c r="K135" s="18" t="n">
        <v>2</v>
      </c>
      <c r="L135" s="7" t="s">
        <v>62</v>
      </c>
      <c r="M135" s="26" t="s">
        <v>2000</v>
      </c>
      <c r="N135" s="26" t="s">
        <v>130</v>
      </c>
      <c r="O135" s="26" t="s">
        <v>1992</v>
      </c>
      <c r="P135" s="26" t="s">
        <v>2001</v>
      </c>
      <c r="Q135" s="26" t="s">
        <v>2002</v>
      </c>
      <c r="R135" s="7" t="s">
        <v>134</v>
      </c>
      <c r="S135" s="26" t="s">
        <v>1994</v>
      </c>
      <c r="T135" s="7" t="s">
        <v>136</v>
      </c>
      <c r="U135" s="7" t="s">
        <v>1995</v>
      </c>
      <c r="V135" s="26" t="s">
        <v>2003</v>
      </c>
      <c r="W135" s="26" t="s">
        <v>160</v>
      </c>
      <c r="X135" s="7" t="s">
        <v>44</v>
      </c>
      <c r="Y135" s="26" t="s">
        <v>4529</v>
      </c>
      <c r="Z135" s="7" t="s">
        <v>93</v>
      </c>
      <c r="AA135" s="26" t="s">
        <v>5609</v>
      </c>
      <c r="AB135" s="7" t="str">
        <f aca="false">IF(AC135="Reject","Not ready",IF(Z135="Possible",IF(K135=1,"Core","Extended"),IF(K135=1,"Smoke",IF(K135=2,"Core","Extended"))))</f>
        <v>Core</v>
      </c>
      <c r="AC135" s="19" t="s">
        <v>9</v>
      </c>
      <c r="AD135" s="26" t="s">
        <v>2004</v>
      </c>
    </row>
    <row r="136" customFormat="false" ht="42" hidden="false" customHeight="true" outlineLevel="0" collapsed="false">
      <c r="A136" s="7" t="s">
        <v>2005</v>
      </c>
      <c r="B136" s="26" t="s">
        <v>1986</v>
      </c>
      <c r="C136" s="7" t="s">
        <v>38</v>
      </c>
      <c r="D136" s="7" t="s">
        <v>100</v>
      </c>
      <c r="E136" s="7" t="s">
        <v>1987</v>
      </c>
      <c r="F136" s="26" t="s">
        <v>1988</v>
      </c>
      <c r="G136" s="26" t="s">
        <v>2006</v>
      </c>
      <c r="H136" s="26" t="s">
        <v>2007</v>
      </c>
      <c r="I136" s="7" t="s">
        <v>59</v>
      </c>
      <c r="J136" s="15" t="s">
        <v>18</v>
      </c>
      <c r="K136" s="19" t="n">
        <v>3</v>
      </c>
      <c r="L136" s="7" t="s">
        <v>62</v>
      </c>
      <c r="M136" s="26" t="s">
        <v>2008</v>
      </c>
      <c r="N136" s="26" t="s">
        <v>176</v>
      </c>
      <c r="O136" s="26" t="s">
        <v>1992</v>
      </c>
      <c r="P136" s="26" t="s">
        <v>2009</v>
      </c>
      <c r="Q136" s="26" t="s">
        <v>2010</v>
      </c>
      <c r="R136" s="7" t="s">
        <v>134</v>
      </c>
      <c r="S136" s="26" t="s">
        <v>1994</v>
      </c>
      <c r="T136" s="7" t="s">
        <v>136</v>
      </c>
      <c r="U136" s="7" t="s">
        <v>1995</v>
      </c>
      <c r="V136" s="26" t="s">
        <v>1247</v>
      </c>
      <c r="W136" s="26" t="s">
        <v>160</v>
      </c>
      <c r="X136" s="7" t="s">
        <v>44</v>
      </c>
      <c r="Y136" s="26" t="s">
        <v>4529</v>
      </c>
      <c r="Z136" s="7" t="s">
        <v>93</v>
      </c>
      <c r="AA136" s="26" t="s">
        <v>5609</v>
      </c>
      <c r="AB136" s="7" t="str">
        <f aca="false">IF(AC136="Reject","Not ready",IF(Z136="Possible",IF(K136=1,"Core","Extended"),IF(K136=1,"Smoke",IF(K136=2,"Core","Extended"))))</f>
        <v>Extended</v>
      </c>
      <c r="AC136" s="19" t="s">
        <v>9</v>
      </c>
      <c r="AD136" s="26" t="s">
        <v>2011</v>
      </c>
    </row>
    <row r="137" customFormat="false" ht="42" hidden="false" customHeight="true" outlineLevel="0" collapsed="false">
      <c r="A137" s="7" t="s">
        <v>2085</v>
      </c>
      <c r="B137" s="26" t="s">
        <v>2086</v>
      </c>
      <c r="C137" s="7" t="s">
        <v>38</v>
      </c>
      <c r="D137" s="7" t="s">
        <v>100</v>
      </c>
      <c r="E137" s="7" t="s">
        <v>2087</v>
      </c>
      <c r="F137" s="26" t="s">
        <v>2088</v>
      </c>
      <c r="G137" s="26" t="s">
        <v>2089</v>
      </c>
      <c r="H137" s="26" t="s">
        <v>2090</v>
      </c>
      <c r="I137" s="7" t="s">
        <v>48</v>
      </c>
      <c r="J137" s="15" t="s">
        <v>16</v>
      </c>
      <c r="K137" s="16" t="n">
        <v>1</v>
      </c>
      <c r="L137" s="7" t="s">
        <v>64</v>
      </c>
      <c r="M137" s="26" t="s">
        <v>2091</v>
      </c>
      <c r="N137" s="26" t="s">
        <v>130</v>
      </c>
      <c r="O137" s="26" t="s">
        <v>2092</v>
      </c>
      <c r="P137" s="26" t="s">
        <v>2093</v>
      </c>
      <c r="Q137" s="26" t="s">
        <v>2094</v>
      </c>
      <c r="R137" s="7" t="s">
        <v>134</v>
      </c>
      <c r="S137" s="26" t="s">
        <v>2095</v>
      </c>
      <c r="T137" s="7" t="s">
        <v>256</v>
      </c>
      <c r="U137" s="7" t="s">
        <v>2096</v>
      </c>
      <c r="V137" s="26" t="s">
        <v>138</v>
      </c>
      <c r="W137" s="26" t="s">
        <v>160</v>
      </c>
      <c r="X137" s="7" t="s">
        <v>44</v>
      </c>
      <c r="Y137" s="26" t="s">
        <v>4529</v>
      </c>
      <c r="Z137" s="7" t="s">
        <v>93</v>
      </c>
      <c r="AA137" s="26" t="s">
        <v>5609</v>
      </c>
      <c r="AB137" s="7" t="str">
        <f aca="false">IF(AC137="Reject","Not ready",IF(Z137="Possible",IF(K137=1,"Core","Extended"),IF(K137=1,"Smoke",IF(K137=2,"Core","Extended"))))</f>
        <v>Smoke</v>
      </c>
      <c r="AC137" s="17" t="s">
        <v>7</v>
      </c>
      <c r="AD137" s="26" t="s">
        <v>2097</v>
      </c>
    </row>
    <row r="138" customFormat="false" ht="42" hidden="false" customHeight="true" outlineLevel="0" collapsed="false">
      <c r="A138" s="7" t="s">
        <v>2098</v>
      </c>
      <c r="B138" s="26" t="s">
        <v>2086</v>
      </c>
      <c r="C138" s="7" t="s">
        <v>38</v>
      </c>
      <c r="D138" s="7" t="s">
        <v>100</v>
      </c>
      <c r="E138" s="7" t="s">
        <v>2087</v>
      </c>
      <c r="F138" s="26" t="s">
        <v>2088</v>
      </c>
      <c r="G138" s="26" t="s">
        <v>2099</v>
      </c>
      <c r="H138" s="26" t="s">
        <v>2100</v>
      </c>
      <c r="I138" s="7" t="s">
        <v>48</v>
      </c>
      <c r="J138" s="15" t="s">
        <v>17</v>
      </c>
      <c r="K138" s="18" t="n">
        <v>2</v>
      </c>
      <c r="L138" s="7" t="s">
        <v>64</v>
      </c>
      <c r="M138" s="26" t="s">
        <v>2091</v>
      </c>
      <c r="N138" s="26" t="s">
        <v>130</v>
      </c>
      <c r="O138" s="26" t="s">
        <v>2092</v>
      </c>
      <c r="P138" s="26" t="s">
        <v>2101</v>
      </c>
      <c r="Q138" s="26" t="s">
        <v>2102</v>
      </c>
      <c r="R138" s="7" t="s">
        <v>134</v>
      </c>
      <c r="S138" s="26" t="s">
        <v>2095</v>
      </c>
      <c r="T138" s="7" t="s">
        <v>256</v>
      </c>
      <c r="U138" s="7" t="s">
        <v>2096</v>
      </c>
      <c r="V138" s="26" t="s">
        <v>138</v>
      </c>
      <c r="W138" s="26" t="s">
        <v>160</v>
      </c>
      <c r="X138" s="7" t="s">
        <v>44</v>
      </c>
      <c r="Y138" s="26" t="s">
        <v>4529</v>
      </c>
      <c r="Z138" s="7" t="s">
        <v>93</v>
      </c>
      <c r="AA138" s="26" t="s">
        <v>5609</v>
      </c>
      <c r="AB138" s="7" t="str">
        <f aca="false">IF(AC138="Reject","Not ready",IF(Z138="Possible",IF(K138=1,"Core","Extended"),IF(K138=1,"Smoke",IF(K138=2,"Core","Extended"))))</f>
        <v>Core</v>
      </c>
      <c r="AC138" s="17" t="s">
        <v>7</v>
      </c>
      <c r="AD138" s="26" t="s">
        <v>2103</v>
      </c>
    </row>
    <row r="139" customFormat="false" ht="42" hidden="false" customHeight="true" outlineLevel="0" collapsed="false">
      <c r="A139" s="7" t="s">
        <v>236</v>
      </c>
      <c r="B139" s="26" t="s">
        <v>237</v>
      </c>
      <c r="C139" s="7" t="s">
        <v>40</v>
      </c>
      <c r="D139" s="7" t="s">
        <v>99</v>
      </c>
      <c r="E139" s="7" t="s">
        <v>238</v>
      </c>
      <c r="F139" s="26" t="s">
        <v>239</v>
      </c>
      <c r="G139" s="26" t="s">
        <v>240</v>
      </c>
      <c r="H139" s="26" t="s">
        <v>241</v>
      </c>
      <c r="I139" s="7" t="s">
        <v>51</v>
      </c>
      <c r="J139" s="15" t="s">
        <v>16</v>
      </c>
      <c r="K139" s="16" t="n">
        <v>1</v>
      </c>
      <c r="L139" s="7" t="s">
        <v>62</v>
      </c>
      <c r="M139" s="26" t="s">
        <v>242</v>
      </c>
      <c r="N139" s="26" t="s">
        <v>130</v>
      </c>
      <c r="O139" s="26" t="s">
        <v>243</v>
      </c>
      <c r="P139" s="26" t="s">
        <v>244</v>
      </c>
      <c r="Q139" s="26" t="s">
        <v>245</v>
      </c>
      <c r="R139" s="7" t="s">
        <v>134</v>
      </c>
      <c r="S139" s="26" t="s">
        <v>246</v>
      </c>
      <c r="T139" s="7" t="s">
        <v>136</v>
      </c>
      <c r="U139" s="7" t="s">
        <v>247</v>
      </c>
      <c r="V139" s="26" t="s">
        <v>248</v>
      </c>
      <c r="W139" s="26" t="s">
        <v>160</v>
      </c>
      <c r="X139" s="7" t="s">
        <v>44</v>
      </c>
      <c r="Y139" s="26" t="s">
        <v>4396</v>
      </c>
      <c r="Z139" s="7" t="s">
        <v>93</v>
      </c>
      <c r="AA139" s="26" t="s">
        <v>5610</v>
      </c>
      <c r="AB139" s="7" t="str">
        <f aca="false">IF(AC139="Reject","Not ready",IF(Z139="Possible",IF(K139=1,"Core","Extended"),IF(K139=1,"Smoke",IF(K139=2,"Core","Extended"))))</f>
        <v>Smoke</v>
      </c>
      <c r="AC139" s="19" t="s">
        <v>9</v>
      </c>
      <c r="AD139" s="26" t="s">
        <v>249</v>
      </c>
    </row>
    <row r="140" customFormat="false" ht="42" hidden="false" customHeight="true" outlineLevel="0" collapsed="false">
      <c r="A140" s="7" t="s">
        <v>250</v>
      </c>
      <c r="B140" s="26" t="s">
        <v>237</v>
      </c>
      <c r="C140" s="7" t="s">
        <v>40</v>
      </c>
      <c r="D140" s="7" t="s">
        <v>99</v>
      </c>
      <c r="E140" s="7" t="s">
        <v>238</v>
      </c>
      <c r="F140" s="26" t="s">
        <v>239</v>
      </c>
      <c r="G140" s="26" t="s">
        <v>251</v>
      </c>
      <c r="H140" s="26" t="s">
        <v>252</v>
      </c>
      <c r="I140" s="7" t="s">
        <v>48</v>
      </c>
      <c r="J140" s="15" t="s">
        <v>16</v>
      </c>
      <c r="K140" s="18" t="n">
        <v>2</v>
      </c>
      <c r="L140" s="7" t="s">
        <v>64</v>
      </c>
      <c r="M140" s="26" t="s">
        <v>242</v>
      </c>
      <c r="N140" s="26" t="s">
        <v>130</v>
      </c>
      <c r="O140" s="26" t="s">
        <v>253</v>
      </c>
      <c r="P140" s="26" t="s">
        <v>254</v>
      </c>
      <c r="Q140" s="26" t="s">
        <v>255</v>
      </c>
      <c r="R140" s="7" t="s">
        <v>134</v>
      </c>
      <c r="S140" s="26" t="s">
        <v>246</v>
      </c>
      <c r="T140" s="7" t="s">
        <v>256</v>
      </c>
      <c r="U140" s="7" t="s">
        <v>247</v>
      </c>
      <c r="V140" s="26" t="s">
        <v>248</v>
      </c>
      <c r="W140" s="26" t="s">
        <v>160</v>
      </c>
      <c r="X140" s="7" t="s">
        <v>44</v>
      </c>
      <c r="Y140" s="26" t="s">
        <v>4396</v>
      </c>
      <c r="Z140" s="7" t="s">
        <v>93</v>
      </c>
      <c r="AA140" s="26" t="s">
        <v>5610</v>
      </c>
      <c r="AB140" s="7" t="str">
        <f aca="false">IF(AC140="Reject","Not ready",IF(Z140="Possible",IF(K140=1,"Core","Extended"),IF(K140=1,"Smoke",IF(K140=2,"Core","Extended"))))</f>
        <v>Core</v>
      </c>
      <c r="AC140" s="19" t="s">
        <v>9</v>
      </c>
      <c r="AD140" s="26" t="s">
        <v>257</v>
      </c>
    </row>
    <row r="141" customFormat="false" ht="54.75" hidden="false" customHeight="true" outlineLevel="0" collapsed="false">
      <c r="A141" s="7" t="s">
        <v>302</v>
      </c>
      <c r="B141" s="26" t="s">
        <v>303</v>
      </c>
      <c r="C141" s="7" t="s">
        <v>40</v>
      </c>
      <c r="D141" s="7" t="s">
        <v>100</v>
      </c>
      <c r="E141" s="7" t="s">
        <v>304</v>
      </c>
      <c r="F141" s="26" t="s">
        <v>305</v>
      </c>
      <c r="G141" s="26" t="s">
        <v>306</v>
      </c>
      <c r="H141" s="26" t="s">
        <v>307</v>
      </c>
      <c r="I141" s="7" t="s">
        <v>59</v>
      </c>
      <c r="J141" s="15" t="s">
        <v>17</v>
      </c>
      <c r="K141" s="18" t="n">
        <v>2</v>
      </c>
      <c r="L141" s="7" t="s">
        <v>62</v>
      </c>
      <c r="M141" s="26" t="s">
        <v>308</v>
      </c>
      <c r="N141" s="26" t="s">
        <v>130</v>
      </c>
      <c r="O141" s="26" t="s">
        <v>309</v>
      </c>
      <c r="P141" s="26" t="s">
        <v>310</v>
      </c>
      <c r="Q141" s="26" t="s">
        <v>311</v>
      </c>
      <c r="R141" s="7" t="s">
        <v>134</v>
      </c>
      <c r="S141" s="26" t="s">
        <v>312</v>
      </c>
      <c r="T141" s="7" t="s">
        <v>136</v>
      </c>
      <c r="U141" s="7" t="s">
        <v>313</v>
      </c>
      <c r="V141" s="26" t="s">
        <v>138</v>
      </c>
      <c r="W141" s="26" t="s">
        <v>160</v>
      </c>
      <c r="X141" s="7" t="s">
        <v>44</v>
      </c>
      <c r="Y141" s="26" t="s">
        <v>4396</v>
      </c>
      <c r="Z141" s="7" t="s">
        <v>93</v>
      </c>
      <c r="AA141" s="26" t="s">
        <v>5610</v>
      </c>
      <c r="AB141" s="7" t="str">
        <f aca="false">IF(AC141="Reject","Not ready",IF(Z141="Possible",IF(K141=1,"Core","Extended"),IF(K141=1,"Smoke",IF(K141=2,"Core","Extended"))))</f>
        <v>Core</v>
      </c>
      <c r="AC141" s="17" t="s">
        <v>7</v>
      </c>
      <c r="AD141" s="26" t="s">
        <v>314</v>
      </c>
    </row>
    <row r="142" customFormat="false" ht="42" hidden="false" customHeight="true" outlineLevel="0" collapsed="false">
      <c r="A142" s="7" t="s">
        <v>315</v>
      </c>
      <c r="B142" s="26" t="s">
        <v>303</v>
      </c>
      <c r="C142" s="7" t="s">
        <v>40</v>
      </c>
      <c r="D142" s="7" t="s">
        <v>100</v>
      </c>
      <c r="E142" s="7" t="s">
        <v>304</v>
      </c>
      <c r="F142" s="26" t="s">
        <v>305</v>
      </c>
      <c r="G142" s="26" t="s">
        <v>316</v>
      </c>
      <c r="H142" s="26" t="s">
        <v>317</v>
      </c>
      <c r="I142" s="7" t="s">
        <v>59</v>
      </c>
      <c r="J142" s="15" t="s">
        <v>17</v>
      </c>
      <c r="K142" s="18" t="n">
        <v>2</v>
      </c>
      <c r="L142" s="7" t="s">
        <v>62</v>
      </c>
      <c r="M142" s="26" t="s">
        <v>318</v>
      </c>
      <c r="N142" s="26" t="s">
        <v>130</v>
      </c>
      <c r="O142" s="26" t="s">
        <v>319</v>
      </c>
      <c r="P142" s="26" t="s">
        <v>320</v>
      </c>
      <c r="Q142" s="26" t="s">
        <v>321</v>
      </c>
      <c r="R142" s="7" t="s">
        <v>134</v>
      </c>
      <c r="S142" s="26" t="s">
        <v>312</v>
      </c>
      <c r="T142" s="7" t="s">
        <v>136</v>
      </c>
      <c r="U142" s="7" t="s">
        <v>313</v>
      </c>
      <c r="V142" s="26" t="s">
        <v>138</v>
      </c>
      <c r="W142" s="26" t="s">
        <v>160</v>
      </c>
      <c r="X142" s="7" t="s">
        <v>44</v>
      </c>
      <c r="Y142" s="26" t="s">
        <v>4396</v>
      </c>
      <c r="Z142" s="7" t="s">
        <v>93</v>
      </c>
      <c r="AA142" s="26" t="s">
        <v>5610</v>
      </c>
      <c r="AB142" s="7" t="str">
        <f aca="false">IF(AC142="Reject","Not ready",IF(Z142="Possible",IF(K142=1,"Core","Extended"),IF(K142=1,"Smoke",IF(K142=2,"Core","Extended"))))</f>
        <v>Core</v>
      </c>
      <c r="AC142" s="17" t="s">
        <v>7</v>
      </c>
      <c r="AD142" s="26" t="s">
        <v>322</v>
      </c>
    </row>
    <row r="143" customFormat="false" ht="42" hidden="false" customHeight="true" outlineLevel="0" collapsed="false">
      <c r="A143" s="7" t="s">
        <v>618</v>
      </c>
      <c r="B143" s="26" t="s">
        <v>619</v>
      </c>
      <c r="C143" s="7" t="s">
        <v>40</v>
      </c>
      <c r="D143" s="7" t="s">
        <v>469</v>
      </c>
      <c r="E143" s="7" t="s">
        <v>620</v>
      </c>
      <c r="F143" s="26" t="s">
        <v>621</v>
      </c>
      <c r="G143" s="26" t="s">
        <v>622</v>
      </c>
      <c r="H143" s="26" t="s">
        <v>623</v>
      </c>
      <c r="I143" s="7" t="s">
        <v>49</v>
      </c>
      <c r="J143" s="15" t="s">
        <v>16</v>
      </c>
      <c r="K143" s="18" t="n">
        <v>2</v>
      </c>
      <c r="L143" s="7" t="s">
        <v>62</v>
      </c>
      <c r="M143" s="26" t="s">
        <v>624</v>
      </c>
      <c r="N143" s="26" t="s">
        <v>130</v>
      </c>
      <c r="O143" s="26" t="s">
        <v>475</v>
      </c>
      <c r="P143" s="26" t="s">
        <v>625</v>
      </c>
      <c r="Q143" s="26" t="s">
        <v>626</v>
      </c>
      <c r="R143" s="7" t="s">
        <v>134</v>
      </c>
      <c r="S143" s="26" t="s">
        <v>627</v>
      </c>
      <c r="T143" s="7" t="s">
        <v>136</v>
      </c>
      <c r="U143" s="7" t="s">
        <v>628</v>
      </c>
      <c r="V143" s="26" t="s">
        <v>138</v>
      </c>
      <c r="W143" s="26" t="s">
        <v>160</v>
      </c>
      <c r="X143" s="7" t="s">
        <v>44</v>
      </c>
      <c r="Y143" s="26" t="s">
        <v>4396</v>
      </c>
      <c r="Z143" s="7" t="s">
        <v>93</v>
      </c>
      <c r="AA143" s="26" t="s">
        <v>5610</v>
      </c>
      <c r="AB143" s="7" t="str">
        <f aca="false">IF(AC143="Reject","Not ready",IF(Z143="Possible",IF(K143=1,"Core","Extended"),IF(K143=1,"Smoke",IF(K143=2,"Core","Extended"))))</f>
        <v>Core</v>
      </c>
      <c r="AC143" s="17" t="s">
        <v>7</v>
      </c>
      <c r="AD143" s="26" t="s">
        <v>629</v>
      </c>
    </row>
    <row r="144" customFormat="false" ht="42" hidden="false" customHeight="true" outlineLevel="0" collapsed="false">
      <c r="A144" s="7" t="s">
        <v>630</v>
      </c>
      <c r="B144" s="26" t="s">
        <v>619</v>
      </c>
      <c r="C144" s="7" t="s">
        <v>40</v>
      </c>
      <c r="D144" s="7" t="s">
        <v>469</v>
      </c>
      <c r="E144" s="7" t="s">
        <v>620</v>
      </c>
      <c r="F144" s="26" t="s">
        <v>621</v>
      </c>
      <c r="G144" s="26" t="s">
        <v>631</v>
      </c>
      <c r="H144" s="26" t="s">
        <v>632</v>
      </c>
      <c r="I144" s="7" t="s">
        <v>49</v>
      </c>
      <c r="J144" s="15" t="s">
        <v>16</v>
      </c>
      <c r="K144" s="18" t="n">
        <v>2</v>
      </c>
      <c r="L144" s="7" t="s">
        <v>62</v>
      </c>
      <c r="M144" s="26" t="s">
        <v>624</v>
      </c>
      <c r="N144" s="26" t="s">
        <v>130</v>
      </c>
      <c r="O144" s="26" t="s">
        <v>633</v>
      </c>
      <c r="P144" s="26" t="s">
        <v>634</v>
      </c>
      <c r="Q144" s="26" t="s">
        <v>626</v>
      </c>
      <c r="R144" s="7" t="s">
        <v>134</v>
      </c>
      <c r="S144" s="26" t="s">
        <v>627</v>
      </c>
      <c r="T144" s="7" t="s">
        <v>136</v>
      </c>
      <c r="U144" s="7" t="s">
        <v>628</v>
      </c>
      <c r="V144" s="26" t="s">
        <v>138</v>
      </c>
      <c r="W144" s="26" t="s">
        <v>160</v>
      </c>
      <c r="X144" s="7" t="s">
        <v>44</v>
      </c>
      <c r="Y144" s="26" t="s">
        <v>4396</v>
      </c>
      <c r="Z144" s="7" t="s">
        <v>93</v>
      </c>
      <c r="AA144" s="26" t="s">
        <v>5610</v>
      </c>
      <c r="AB144" s="7" t="str">
        <f aca="false">IF(AC144="Reject","Not ready",IF(Z144="Possible",IF(K144=1,"Core","Extended"),IF(K144=1,"Smoke",IF(K144=2,"Core","Extended"))))</f>
        <v>Core</v>
      </c>
      <c r="AC144" s="17" t="s">
        <v>7</v>
      </c>
      <c r="AD144" s="26" t="s">
        <v>635</v>
      </c>
    </row>
    <row r="145" customFormat="false" ht="54.75" hidden="false" customHeight="true" outlineLevel="0" collapsed="false">
      <c r="A145" s="7" t="s">
        <v>636</v>
      </c>
      <c r="B145" s="26" t="s">
        <v>619</v>
      </c>
      <c r="C145" s="7" t="s">
        <v>40</v>
      </c>
      <c r="D145" s="7" t="s">
        <v>469</v>
      </c>
      <c r="E145" s="7" t="s">
        <v>620</v>
      </c>
      <c r="F145" s="26" t="s">
        <v>621</v>
      </c>
      <c r="G145" s="26" t="s">
        <v>637</v>
      </c>
      <c r="H145" s="26" t="s">
        <v>638</v>
      </c>
      <c r="I145" s="7" t="s">
        <v>59</v>
      </c>
      <c r="J145" s="15" t="s">
        <v>16</v>
      </c>
      <c r="K145" s="16" t="n">
        <v>1</v>
      </c>
      <c r="L145" s="7" t="s">
        <v>62</v>
      </c>
      <c r="M145" s="26" t="s">
        <v>639</v>
      </c>
      <c r="N145" s="26" t="s">
        <v>130</v>
      </c>
      <c r="O145" s="26" t="s">
        <v>640</v>
      </c>
      <c r="P145" s="26" t="s">
        <v>641</v>
      </c>
      <c r="Q145" s="26" t="s">
        <v>642</v>
      </c>
      <c r="R145" s="7" t="s">
        <v>134</v>
      </c>
      <c r="S145" s="26" t="s">
        <v>627</v>
      </c>
      <c r="T145" s="7" t="s">
        <v>300</v>
      </c>
      <c r="U145" s="7" t="s">
        <v>628</v>
      </c>
      <c r="V145" s="26" t="s">
        <v>643</v>
      </c>
      <c r="W145" s="26" t="s">
        <v>160</v>
      </c>
      <c r="X145" s="7" t="s">
        <v>44</v>
      </c>
      <c r="Y145" s="26" t="s">
        <v>4396</v>
      </c>
      <c r="Z145" s="7" t="s">
        <v>93</v>
      </c>
      <c r="AA145" s="26" t="s">
        <v>5610</v>
      </c>
      <c r="AB145" s="7" t="str">
        <f aca="false">IF(AC145="Reject","Not ready",IF(Z145="Possible",IF(K145=1,"Core","Extended"),IF(K145=1,"Smoke",IF(K145=2,"Core","Extended"))))</f>
        <v>Smoke</v>
      </c>
      <c r="AC145" s="19" t="s">
        <v>9</v>
      </c>
      <c r="AD145" s="26" t="s">
        <v>644</v>
      </c>
    </row>
    <row r="146" customFormat="false" ht="42" hidden="false" customHeight="true" outlineLevel="0" collapsed="false">
      <c r="A146" s="7" t="s">
        <v>645</v>
      </c>
      <c r="B146" s="26" t="s">
        <v>619</v>
      </c>
      <c r="C146" s="7" t="s">
        <v>40</v>
      </c>
      <c r="D146" s="7" t="s">
        <v>469</v>
      </c>
      <c r="E146" s="7" t="s">
        <v>620</v>
      </c>
      <c r="F146" s="26" t="s">
        <v>621</v>
      </c>
      <c r="G146" s="26" t="s">
        <v>646</v>
      </c>
      <c r="H146" s="26" t="s">
        <v>647</v>
      </c>
      <c r="I146" s="7" t="s">
        <v>55</v>
      </c>
      <c r="J146" s="15" t="s">
        <v>16</v>
      </c>
      <c r="K146" s="18" t="n">
        <v>2</v>
      </c>
      <c r="L146" s="7" t="s">
        <v>63</v>
      </c>
      <c r="M146" s="26" t="s">
        <v>648</v>
      </c>
      <c r="N146" s="26" t="s">
        <v>176</v>
      </c>
      <c r="O146" s="26" t="s">
        <v>442</v>
      </c>
      <c r="P146" s="26" t="s">
        <v>649</v>
      </c>
      <c r="Q146" s="26" t="s">
        <v>650</v>
      </c>
      <c r="R146" s="7" t="s">
        <v>134</v>
      </c>
      <c r="S146" s="26" t="s">
        <v>627</v>
      </c>
      <c r="T146" s="7" t="s">
        <v>269</v>
      </c>
      <c r="U146" s="7" t="s">
        <v>628</v>
      </c>
      <c r="V146" s="26" t="s">
        <v>651</v>
      </c>
      <c r="W146" s="26" t="s">
        <v>160</v>
      </c>
      <c r="X146" s="7" t="s">
        <v>44</v>
      </c>
      <c r="Y146" s="26" t="s">
        <v>4396</v>
      </c>
      <c r="Z146" s="7" t="s">
        <v>93</v>
      </c>
      <c r="AA146" s="26" t="s">
        <v>5610</v>
      </c>
      <c r="AB146" s="7" t="str">
        <f aca="false">IF(AC146="Reject","Not ready",IF(Z146="Possible",IF(K146=1,"Core","Extended"),IF(K146=1,"Smoke",IF(K146=2,"Core","Extended"))))</f>
        <v>Core</v>
      </c>
      <c r="AC146" s="19" t="s">
        <v>9</v>
      </c>
      <c r="AD146" s="26" t="s">
        <v>652</v>
      </c>
    </row>
    <row r="147" customFormat="false" ht="54.75" hidden="false" customHeight="true" outlineLevel="0" collapsed="false">
      <c r="A147" s="7" t="s">
        <v>767</v>
      </c>
      <c r="B147" s="26" t="s">
        <v>768</v>
      </c>
      <c r="C147" s="7" t="s">
        <v>40</v>
      </c>
      <c r="D147" s="7" t="s">
        <v>469</v>
      </c>
      <c r="E147" s="7" t="s">
        <v>769</v>
      </c>
      <c r="F147" s="26" t="s">
        <v>770</v>
      </c>
      <c r="G147" s="26" t="s">
        <v>771</v>
      </c>
      <c r="H147" s="26" t="s">
        <v>772</v>
      </c>
      <c r="I147" s="7" t="s">
        <v>50</v>
      </c>
      <c r="J147" s="15" t="s">
        <v>16</v>
      </c>
      <c r="K147" s="18" t="n">
        <v>2</v>
      </c>
      <c r="L147" s="7" t="s">
        <v>62</v>
      </c>
      <c r="M147" s="26" t="s">
        <v>773</v>
      </c>
      <c r="N147" s="26" t="s">
        <v>130</v>
      </c>
      <c r="O147" s="26" t="s">
        <v>774</v>
      </c>
      <c r="P147" s="26" t="s">
        <v>775</v>
      </c>
      <c r="Q147" s="26" t="s">
        <v>776</v>
      </c>
      <c r="R147" s="7" t="s">
        <v>134</v>
      </c>
      <c r="S147" s="26" t="s">
        <v>777</v>
      </c>
      <c r="T147" s="7" t="s">
        <v>136</v>
      </c>
      <c r="U147" s="7" t="s">
        <v>778</v>
      </c>
      <c r="V147" s="26" t="s">
        <v>138</v>
      </c>
      <c r="W147" s="26" t="s">
        <v>160</v>
      </c>
      <c r="X147" s="7" t="s">
        <v>44</v>
      </c>
      <c r="Y147" s="26" t="s">
        <v>4396</v>
      </c>
      <c r="Z147" s="7" t="s">
        <v>93</v>
      </c>
      <c r="AA147" s="26" t="s">
        <v>5610</v>
      </c>
      <c r="AB147" s="7" t="str">
        <f aca="false">IF(AC147="Reject","Not ready",IF(Z147="Possible",IF(K147=1,"Core","Extended"),IF(K147=1,"Smoke",IF(K147=2,"Core","Extended"))))</f>
        <v>Core</v>
      </c>
      <c r="AC147" s="17" t="s">
        <v>7</v>
      </c>
      <c r="AD147" s="26" t="s">
        <v>779</v>
      </c>
    </row>
    <row r="148" customFormat="false" ht="54.75" hidden="false" customHeight="true" outlineLevel="0" collapsed="false">
      <c r="A148" s="7" t="s">
        <v>780</v>
      </c>
      <c r="B148" s="26" t="s">
        <v>768</v>
      </c>
      <c r="C148" s="7" t="s">
        <v>40</v>
      </c>
      <c r="D148" s="7" t="s">
        <v>469</v>
      </c>
      <c r="E148" s="7" t="s">
        <v>769</v>
      </c>
      <c r="F148" s="26" t="s">
        <v>770</v>
      </c>
      <c r="G148" s="26" t="s">
        <v>781</v>
      </c>
      <c r="H148" s="26" t="s">
        <v>782</v>
      </c>
      <c r="I148" s="7" t="s">
        <v>49</v>
      </c>
      <c r="J148" s="15" t="s">
        <v>16</v>
      </c>
      <c r="K148" s="16" t="n">
        <v>1</v>
      </c>
      <c r="L148" s="7" t="s">
        <v>62</v>
      </c>
      <c r="M148" s="26" t="s">
        <v>783</v>
      </c>
      <c r="N148" s="26" t="s">
        <v>130</v>
      </c>
      <c r="O148" s="26" t="s">
        <v>784</v>
      </c>
      <c r="P148" s="26" t="s">
        <v>785</v>
      </c>
      <c r="Q148" s="26" t="s">
        <v>786</v>
      </c>
      <c r="R148" s="7" t="s">
        <v>134</v>
      </c>
      <c r="S148" s="26" t="s">
        <v>777</v>
      </c>
      <c r="T148" s="7" t="s">
        <v>136</v>
      </c>
      <c r="U148" s="7" t="s">
        <v>778</v>
      </c>
      <c r="V148" s="26" t="s">
        <v>787</v>
      </c>
      <c r="W148" s="26" t="s">
        <v>160</v>
      </c>
      <c r="X148" s="7" t="s">
        <v>44</v>
      </c>
      <c r="Y148" s="26" t="s">
        <v>4396</v>
      </c>
      <c r="Z148" s="7" t="s">
        <v>93</v>
      </c>
      <c r="AA148" s="26" t="s">
        <v>5610</v>
      </c>
      <c r="AB148" s="7" t="str">
        <f aca="false">IF(AC148="Reject","Not ready",IF(Z148="Possible",IF(K148=1,"Core","Extended"),IF(K148=1,"Smoke",IF(K148=2,"Core","Extended"))))</f>
        <v>Smoke</v>
      </c>
      <c r="AC148" s="19" t="s">
        <v>9</v>
      </c>
      <c r="AD148" s="26" t="s">
        <v>788</v>
      </c>
    </row>
    <row r="149" customFormat="false" ht="42" hidden="false" customHeight="true" outlineLevel="0" collapsed="false">
      <c r="A149" s="7" t="s">
        <v>789</v>
      </c>
      <c r="B149" s="26" t="s">
        <v>768</v>
      </c>
      <c r="C149" s="7" t="s">
        <v>40</v>
      </c>
      <c r="D149" s="7" t="s">
        <v>469</v>
      </c>
      <c r="E149" s="7" t="s">
        <v>769</v>
      </c>
      <c r="F149" s="26" t="s">
        <v>770</v>
      </c>
      <c r="G149" s="26" t="s">
        <v>790</v>
      </c>
      <c r="H149" s="26" t="s">
        <v>791</v>
      </c>
      <c r="I149" s="7" t="s">
        <v>54</v>
      </c>
      <c r="J149" s="15" t="s">
        <v>17</v>
      </c>
      <c r="K149" s="19" t="n">
        <v>3</v>
      </c>
      <c r="L149" s="7" t="s">
        <v>63</v>
      </c>
      <c r="M149" s="26" t="s">
        <v>792</v>
      </c>
      <c r="N149" s="26" t="s">
        <v>130</v>
      </c>
      <c r="O149" s="26" t="s">
        <v>793</v>
      </c>
      <c r="P149" s="26" t="s">
        <v>794</v>
      </c>
      <c r="Q149" s="26" t="s">
        <v>795</v>
      </c>
      <c r="R149" s="7" t="s">
        <v>134</v>
      </c>
      <c r="S149" s="26" t="s">
        <v>777</v>
      </c>
      <c r="T149" s="7" t="s">
        <v>256</v>
      </c>
      <c r="U149" s="7" t="s">
        <v>778</v>
      </c>
      <c r="V149" s="26" t="s">
        <v>787</v>
      </c>
      <c r="W149" s="26" t="s">
        <v>160</v>
      </c>
      <c r="X149" s="7" t="s">
        <v>44</v>
      </c>
      <c r="Y149" s="26" t="s">
        <v>4396</v>
      </c>
      <c r="Z149" s="7" t="s">
        <v>93</v>
      </c>
      <c r="AA149" s="26" t="s">
        <v>5610</v>
      </c>
      <c r="AB149" s="7" t="str">
        <f aca="false">IF(AC149="Reject","Not ready",IF(Z149="Possible",IF(K149=1,"Core","Extended"),IF(K149=1,"Smoke",IF(K149=2,"Core","Extended"))))</f>
        <v>Extended</v>
      </c>
      <c r="AC149" s="19" t="s">
        <v>9</v>
      </c>
      <c r="AD149" s="26" t="s">
        <v>796</v>
      </c>
    </row>
    <row r="150" customFormat="false" ht="42" hidden="false" customHeight="true" outlineLevel="0" collapsed="false">
      <c r="A150" s="7" t="s">
        <v>1163</v>
      </c>
      <c r="B150" s="26" t="s">
        <v>1164</v>
      </c>
      <c r="C150" s="7" t="s">
        <v>40</v>
      </c>
      <c r="D150" s="7" t="s">
        <v>100</v>
      </c>
      <c r="E150" s="7" t="s">
        <v>1165</v>
      </c>
      <c r="F150" s="26" t="s">
        <v>1166</v>
      </c>
      <c r="G150" s="26" t="s">
        <v>1167</v>
      </c>
      <c r="H150" s="26" t="s">
        <v>1168</v>
      </c>
      <c r="I150" s="7" t="s">
        <v>59</v>
      </c>
      <c r="J150" s="15" t="s">
        <v>17</v>
      </c>
      <c r="K150" s="18" t="n">
        <v>2</v>
      </c>
      <c r="L150" s="7" t="s">
        <v>62</v>
      </c>
      <c r="M150" s="26" t="s">
        <v>1169</v>
      </c>
      <c r="N150" s="26" t="s">
        <v>130</v>
      </c>
      <c r="O150" s="26" t="s">
        <v>177</v>
      </c>
      <c r="P150" s="26" t="s">
        <v>1170</v>
      </c>
      <c r="Q150" s="26" t="s">
        <v>1171</v>
      </c>
      <c r="R150" s="7" t="s">
        <v>134</v>
      </c>
      <c r="S150" s="26" t="s">
        <v>1172</v>
      </c>
      <c r="T150" s="7" t="s">
        <v>269</v>
      </c>
      <c r="U150" s="7" t="s">
        <v>1173</v>
      </c>
      <c r="V150" s="26" t="s">
        <v>138</v>
      </c>
      <c r="W150" s="26" t="s">
        <v>160</v>
      </c>
      <c r="X150" s="7" t="s">
        <v>44</v>
      </c>
      <c r="Y150" s="26" t="s">
        <v>4396</v>
      </c>
      <c r="Z150" s="7" t="s">
        <v>93</v>
      </c>
      <c r="AA150" s="26" t="s">
        <v>5610</v>
      </c>
      <c r="AB150" s="7" t="str">
        <f aca="false">IF(AC150="Reject","Not ready",IF(Z150="Possible",IF(K150=1,"Core","Extended"),IF(K150=1,"Smoke",IF(K150=2,"Core","Extended"))))</f>
        <v>Core</v>
      </c>
      <c r="AC150" s="17" t="s">
        <v>7</v>
      </c>
      <c r="AD150" s="26" t="s">
        <v>1174</v>
      </c>
    </row>
    <row r="151" customFormat="false" ht="54.75" hidden="false" customHeight="true" outlineLevel="0" collapsed="false">
      <c r="A151" s="7" t="s">
        <v>1175</v>
      </c>
      <c r="B151" s="26" t="s">
        <v>1164</v>
      </c>
      <c r="C151" s="7" t="s">
        <v>40</v>
      </c>
      <c r="D151" s="7" t="s">
        <v>100</v>
      </c>
      <c r="E151" s="7" t="s">
        <v>1165</v>
      </c>
      <c r="F151" s="26" t="s">
        <v>1166</v>
      </c>
      <c r="G151" s="26" t="s">
        <v>1176</v>
      </c>
      <c r="H151" s="26" t="s">
        <v>1177</v>
      </c>
      <c r="I151" s="7" t="s">
        <v>59</v>
      </c>
      <c r="J151" s="27" t="s">
        <v>16</v>
      </c>
      <c r="K151" s="28" t="n">
        <v>1</v>
      </c>
      <c r="L151" s="7" t="s">
        <v>62</v>
      </c>
      <c r="M151" s="26" t="s">
        <v>1178</v>
      </c>
      <c r="N151" s="26" t="s">
        <v>130</v>
      </c>
      <c r="O151" s="26" t="s">
        <v>177</v>
      </c>
      <c r="P151" s="26" t="s">
        <v>1179</v>
      </c>
      <c r="Q151" s="26" t="s">
        <v>1180</v>
      </c>
      <c r="R151" s="7" t="s">
        <v>134</v>
      </c>
      <c r="S151" s="26" t="s">
        <v>1172</v>
      </c>
      <c r="T151" s="7" t="s">
        <v>269</v>
      </c>
      <c r="U151" s="7" t="s">
        <v>1173</v>
      </c>
      <c r="V151" s="26" t="s">
        <v>138</v>
      </c>
      <c r="W151" s="26" t="s">
        <v>160</v>
      </c>
      <c r="X151" s="7" t="s">
        <v>44</v>
      </c>
      <c r="Y151" s="26" t="s">
        <v>4396</v>
      </c>
      <c r="Z151" s="7" t="s">
        <v>93</v>
      </c>
      <c r="AA151" s="26" t="s">
        <v>5611</v>
      </c>
      <c r="AB151" s="7" t="str">
        <f aca="false">IF(AC151="Reject","Not ready",IF(Z151="Possible",IF(K151=1,"Core","Extended"),IF(K151=1,"Smoke",IF(K151=2,"Core","Extended"))))</f>
        <v>Smoke</v>
      </c>
      <c r="AC151" s="17" t="s">
        <v>7</v>
      </c>
      <c r="AD151" s="26" t="s">
        <v>1181</v>
      </c>
    </row>
    <row r="152" customFormat="false" ht="42" hidden="false" customHeight="true" outlineLevel="0" collapsed="false">
      <c r="A152" s="7" t="s">
        <v>1182</v>
      </c>
      <c r="B152" s="26" t="s">
        <v>1164</v>
      </c>
      <c r="C152" s="7" t="s">
        <v>40</v>
      </c>
      <c r="D152" s="7" t="s">
        <v>100</v>
      </c>
      <c r="E152" s="7" t="s">
        <v>1165</v>
      </c>
      <c r="F152" s="26" t="s">
        <v>1166</v>
      </c>
      <c r="G152" s="26" t="s">
        <v>1183</v>
      </c>
      <c r="H152" s="26" t="s">
        <v>1184</v>
      </c>
      <c r="I152" s="7" t="s">
        <v>59</v>
      </c>
      <c r="J152" s="15" t="s">
        <v>17</v>
      </c>
      <c r="K152" s="18" t="n">
        <v>2</v>
      </c>
      <c r="L152" s="7" t="s">
        <v>62</v>
      </c>
      <c r="M152" s="26" t="s">
        <v>1178</v>
      </c>
      <c r="N152" s="26" t="s">
        <v>130</v>
      </c>
      <c r="O152" s="26" t="s">
        <v>177</v>
      </c>
      <c r="P152" s="26" t="s">
        <v>1185</v>
      </c>
      <c r="Q152" s="26" t="s">
        <v>1186</v>
      </c>
      <c r="R152" s="7" t="s">
        <v>134</v>
      </c>
      <c r="S152" s="26" t="s">
        <v>1172</v>
      </c>
      <c r="T152" s="7" t="s">
        <v>269</v>
      </c>
      <c r="U152" s="7" t="s">
        <v>1173</v>
      </c>
      <c r="V152" s="26" t="s">
        <v>643</v>
      </c>
      <c r="W152" s="26" t="s">
        <v>160</v>
      </c>
      <c r="X152" s="7" t="s">
        <v>44</v>
      </c>
      <c r="Y152" s="26" t="s">
        <v>4396</v>
      </c>
      <c r="Z152" s="7" t="s">
        <v>93</v>
      </c>
      <c r="AA152" s="26" t="s">
        <v>5610</v>
      </c>
      <c r="AB152" s="7" t="str">
        <f aca="false">IF(AC152="Reject","Not ready",IF(Z152="Possible",IF(K152=1,"Core","Extended"),IF(K152=1,"Smoke",IF(K152=2,"Core","Extended"))))</f>
        <v>Core</v>
      </c>
      <c r="AC152" s="19" t="s">
        <v>9</v>
      </c>
      <c r="AD152" s="26" t="s">
        <v>1187</v>
      </c>
    </row>
    <row r="153" customFormat="false" ht="42" hidden="false" customHeight="true" outlineLevel="0" collapsed="false">
      <c r="A153" s="7" t="s">
        <v>2390</v>
      </c>
      <c r="B153" s="26" t="s">
        <v>2391</v>
      </c>
      <c r="C153" s="7" t="s">
        <v>40</v>
      </c>
      <c r="D153" s="7" t="s">
        <v>100</v>
      </c>
      <c r="E153" s="7" t="s">
        <v>2392</v>
      </c>
      <c r="F153" s="26" t="s">
        <v>2393</v>
      </c>
      <c r="G153" s="26" t="s">
        <v>2394</v>
      </c>
      <c r="H153" s="26" t="s">
        <v>2395</v>
      </c>
      <c r="I153" s="7" t="s">
        <v>59</v>
      </c>
      <c r="J153" s="15" t="s">
        <v>17</v>
      </c>
      <c r="K153" s="18" t="n">
        <v>2</v>
      </c>
      <c r="L153" s="7" t="s">
        <v>62</v>
      </c>
      <c r="M153" s="26" t="s">
        <v>2396</v>
      </c>
      <c r="N153" s="26" t="s">
        <v>130</v>
      </c>
      <c r="O153" s="26" t="s">
        <v>2397</v>
      </c>
      <c r="P153" s="26" t="s">
        <v>2398</v>
      </c>
      <c r="Q153" s="26" t="s">
        <v>2399</v>
      </c>
      <c r="R153" s="7" t="s">
        <v>134</v>
      </c>
      <c r="S153" s="26" t="s">
        <v>2400</v>
      </c>
      <c r="T153" s="7" t="s">
        <v>136</v>
      </c>
      <c r="U153" s="7" t="s">
        <v>2401</v>
      </c>
      <c r="V153" s="26" t="s">
        <v>2402</v>
      </c>
      <c r="W153" s="26" t="s">
        <v>160</v>
      </c>
      <c r="X153" s="7" t="s">
        <v>44</v>
      </c>
      <c r="Y153" s="26" t="s">
        <v>4396</v>
      </c>
      <c r="Z153" s="7" t="s">
        <v>93</v>
      </c>
      <c r="AA153" s="26" t="s">
        <v>5610</v>
      </c>
      <c r="AB153" s="7" t="str">
        <f aca="false">IF(AC153="Reject","Not ready",IF(Z153="Possible",IF(K153=1,"Core","Extended"),IF(K153=1,"Smoke",IF(K153=2,"Core","Extended"))))</f>
        <v>Core</v>
      </c>
      <c r="AC153" s="19" t="s">
        <v>9</v>
      </c>
      <c r="AD153" s="26" t="s">
        <v>2403</v>
      </c>
    </row>
    <row r="154" customFormat="false" ht="42" hidden="false" customHeight="true" outlineLevel="0" collapsed="false">
      <c r="A154" s="7" t="s">
        <v>2404</v>
      </c>
      <c r="B154" s="26" t="s">
        <v>2391</v>
      </c>
      <c r="C154" s="7" t="s">
        <v>40</v>
      </c>
      <c r="D154" s="7" t="s">
        <v>100</v>
      </c>
      <c r="E154" s="7" t="s">
        <v>2392</v>
      </c>
      <c r="F154" s="26" t="s">
        <v>2393</v>
      </c>
      <c r="G154" s="26" t="s">
        <v>2405</v>
      </c>
      <c r="H154" s="26" t="s">
        <v>2406</v>
      </c>
      <c r="I154" s="7" t="s">
        <v>59</v>
      </c>
      <c r="J154" s="15" t="s">
        <v>17</v>
      </c>
      <c r="K154" s="18" t="n">
        <v>2</v>
      </c>
      <c r="L154" s="7" t="s">
        <v>62</v>
      </c>
      <c r="M154" s="26" t="s">
        <v>2396</v>
      </c>
      <c r="N154" s="26" t="s">
        <v>130</v>
      </c>
      <c r="O154" s="26" t="s">
        <v>2407</v>
      </c>
      <c r="P154" s="26" t="s">
        <v>2408</v>
      </c>
      <c r="Q154" s="26" t="s">
        <v>2409</v>
      </c>
      <c r="R154" s="7" t="s">
        <v>134</v>
      </c>
      <c r="S154" s="26" t="s">
        <v>2400</v>
      </c>
      <c r="T154" s="7" t="s">
        <v>136</v>
      </c>
      <c r="U154" s="7" t="s">
        <v>2401</v>
      </c>
      <c r="V154" s="26" t="s">
        <v>2402</v>
      </c>
      <c r="W154" s="26" t="s">
        <v>160</v>
      </c>
      <c r="X154" s="7" t="s">
        <v>44</v>
      </c>
      <c r="Y154" s="26" t="s">
        <v>4396</v>
      </c>
      <c r="Z154" s="7" t="s">
        <v>93</v>
      </c>
      <c r="AA154" s="26" t="s">
        <v>5610</v>
      </c>
      <c r="AB154" s="7" t="str">
        <f aca="false">IF(AC154="Reject","Not ready",IF(Z154="Possible",IF(K154=1,"Core","Extended"),IF(K154=1,"Smoke",IF(K154=2,"Core","Extended"))))</f>
        <v>Core</v>
      </c>
      <c r="AC154" s="19" t="s">
        <v>9</v>
      </c>
      <c r="AD154" s="26" t="s">
        <v>2410</v>
      </c>
    </row>
    <row r="155" customFormat="false" ht="54.75" hidden="false" customHeight="true" outlineLevel="0" collapsed="false">
      <c r="A155" s="7" t="s">
        <v>2411</v>
      </c>
      <c r="B155" s="26" t="s">
        <v>2391</v>
      </c>
      <c r="C155" s="7" t="s">
        <v>40</v>
      </c>
      <c r="D155" s="7" t="s">
        <v>101</v>
      </c>
      <c r="E155" s="7" t="s">
        <v>2392</v>
      </c>
      <c r="F155" s="26" t="s">
        <v>2393</v>
      </c>
      <c r="G155" s="26" t="s">
        <v>2412</v>
      </c>
      <c r="H155" s="26" t="s">
        <v>2413</v>
      </c>
      <c r="I155" s="7" t="s">
        <v>51</v>
      </c>
      <c r="J155" s="15" t="s">
        <v>17</v>
      </c>
      <c r="K155" s="16" t="n">
        <v>1</v>
      </c>
      <c r="L155" s="7" t="s">
        <v>62</v>
      </c>
      <c r="M155" s="26" t="s">
        <v>2414</v>
      </c>
      <c r="N155" s="26" t="s">
        <v>130</v>
      </c>
      <c r="O155" s="26" t="s">
        <v>2415</v>
      </c>
      <c r="P155" s="26" t="s">
        <v>2416</v>
      </c>
      <c r="Q155" s="26" t="s">
        <v>2417</v>
      </c>
      <c r="R155" s="7" t="s">
        <v>134</v>
      </c>
      <c r="S155" s="26" t="s">
        <v>2418</v>
      </c>
      <c r="T155" s="7" t="s">
        <v>136</v>
      </c>
      <c r="U155" s="7" t="s">
        <v>2401</v>
      </c>
      <c r="V155" s="26" t="s">
        <v>2402</v>
      </c>
      <c r="W155" s="26" t="s">
        <v>160</v>
      </c>
      <c r="X155" s="7" t="s">
        <v>44</v>
      </c>
      <c r="Y155" s="26" t="s">
        <v>4396</v>
      </c>
      <c r="Z155" s="7" t="s">
        <v>93</v>
      </c>
      <c r="AA155" s="26" t="s">
        <v>5610</v>
      </c>
      <c r="AB155" s="7" t="str">
        <f aca="false">IF(AC155="Reject","Not ready",IF(Z155="Possible",IF(K155=1,"Core","Extended"),IF(K155=1,"Smoke",IF(K155=2,"Core","Extended"))))</f>
        <v>Smoke</v>
      </c>
      <c r="AC155" s="19" t="s">
        <v>9</v>
      </c>
      <c r="AD155" s="26" t="s">
        <v>2419</v>
      </c>
    </row>
    <row r="156" customFormat="false" ht="42" hidden="false" customHeight="true" outlineLevel="0" collapsed="false">
      <c r="A156" s="7" t="s">
        <v>2455</v>
      </c>
      <c r="B156" s="26" t="s">
        <v>2456</v>
      </c>
      <c r="C156" s="7" t="s">
        <v>40</v>
      </c>
      <c r="D156" s="7" t="s">
        <v>100</v>
      </c>
      <c r="E156" s="7" t="s">
        <v>2457</v>
      </c>
      <c r="F156" s="26" t="s">
        <v>2458</v>
      </c>
      <c r="G156" s="26" t="s">
        <v>2459</v>
      </c>
      <c r="H156" s="26" t="s">
        <v>2460</v>
      </c>
      <c r="I156" s="7" t="s">
        <v>51</v>
      </c>
      <c r="J156" s="15" t="s">
        <v>16</v>
      </c>
      <c r="K156" s="16" t="n">
        <v>1</v>
      </c>
      <c r="L156" s="7" t="s">
        <v>62</v>
      </c>
      <c r="M156" s="26" t="s">
        <v>2461</v>
      </c>
      <c r="N156" s="26" t="s">
        <v>130</v>
      </c>
      <c r="O156" s="26" t="s">
        <v>2462</v>
      </c>
      <c r="P156" s="26" t="s">
        <v>2463</v>
      </c>
      <c r="Q156" s="26" t="s">
        <v>2464</v>
      </c>
      <c r="R156" s="7" t="s">
        <v>134</v>
      </c>
      <c r="S156" s="26" t="s">
        <v>2465</v>
      </c>
      <c r="T156" s="7" t="s">
        <v>136</v>
      </c>
      <c r="U156" s="7" t="s">
        <v>2466</v>
      </c>
      <c r="V156" s="26" t="s">
        <v>2467</v>
      </c>
      <c r="W156" s="26" t="s">
        <v>139</v>
      </c>
      <c r="X156" s="7" t="s">
        <v>45</v>
      </c>
      <c r="Y156" s="26" t="s">
        <v>4396</v>
      </c>
      <c r="Z156" s="7" t="s">
        <v>93</v>
      </c>
      <c r="AA156" s="26" t="s">
        <v>5610</v>
      </c>
      <c r="AB156" s="7" t="str">
        <f aca="false">IF(AC156="Reject","Not ready",IF(Z156="Possible",IF(K156=1,"Core","Extended"),IF(K156=1,"Smoke",IF(K156=2,"Core","Extended"))))</f>
        <v>Smoke</v>
      </c>
      <c r="AC156" s="19" t="s">
        <v>9</v>
      </c>
      <c r="AD156" s="26" t="s">
        <v>2468</v>
      </c>
    </row>
    <row r="157" customFormat="false" ht="54.75" hidden="false" customHeight="true" outlineLevel="0" collapsed="false">
      <c r="A157" s="7" t="s">
        <v>2469</v>
      </c>
      <c r="B157" s="26" t="s">
        <v>2456</v>
      </c>
      <c r="C157" s="7" t="s">
        <v>40</v>
      </c>
      <c r="D157" s="7" t="s">
        <v>100</v>
      </c>
      <c r="E157" s="7" t="s">
        <v>2457</v>
      </c>
      <c r="F157" s="26" t="s">
        <v>2458</v>
      </c>
      <c r="G157" s="26" t="s">
        <v>2470</v>
      </c>
      <c r="H157" s="26" t="s">
        <v>2471</v>
      </c>
      <c r="I157" s="7" t="s">
        <v>52</v>
      </c>
      <c r="J157" s="15" t="s">
        <v>17</v>
      </c>
      <c r="K157" s="18" t="n">
        <v>2</v>
      </c>
      <c r="L157" s="7" t="s">
        <v>65</v>
      </c>
      <c r="M157" s="26" t="s">
        <v>2472</v>
      </c>
      <c r="N157" s="26" t="s">
        <v>130</v>
      </c>
      <c r="O157" s="26" t="s">
        <v>2473</v>
      </c>
      <c r="P157" s="26" t="s">
        <v>2474</v>
      </c>
      <c r="Q157" s="26" t="s">
        <v>2475</v>
      </c>
      <c r="R157" s="7" t="s">
        <v>134</v>
      </c>
      <c r="S157" s="26" t="s">
        <v>2465</v>
      </c>
      <c r="T157" s="7" t="s">
        <v>136</v>
      </c>
      <c r="U157" s="7" t="s">
        <v>2466</v>
      </c>
      <c r="V157" s="26" t="s">
        <v>616</v>
      </c>
      <c r="W157" s="26" t="s">
        <v>160</v>
      </c>
      <c r="X157" s="7" t="s">
        <v>45</v>
      </c>
      <c r="Y157" s="26" t="s">
        <v>4396</v>
      </c>
      <c r="Z157" s="7" t="s">
        <v>93</v>
      </c>
      <c r="AA157" s="26" t="s">
        <v>5610</v>
      </c>
      <c r="AB157" s="7" t="str">
        <f aca="false">IF(AC157="Reject","Not ready",IF(Z157="Possible",IF(K157=1,"Core","Extended"),IF(K157=1,"Smoke",IF(K157=2,"Core","Extended"))))</f>
        <v>Core</v>
      </c>
      <c r="AC157" s="19" t="s">
        <v>9</v>
      </c>
      <c r="AD157" s="26" t="s">
        <v>617</v>
      </c>
    </row>
    <row r="158" customFormat="false" ht="42" hidden="false" customHeight="true" outlineLevel="0" collapsed="false">
      <c r="A158" s="7" t="s">
        <v>2476</v>
      </c>
      <c r="B158" s="26" t="s">
        <v>2477</v>
      </c>
      <c r="C158" s="7" t="s">
        <v>40</v>
      </c>
      <c r="D158" s="7" t="s">
        <v>100</v>
      </c>
      <c r="E158" s="7" t="s">
        <v>2478</v>
      </c>
      <c r="F158" s="26" t="s">
        <v>2479</v>
      </c>
      <c r="G158" s="26" t="s">
        <v>2480</v>
      </c>
      <c r="H158" s="26" t="s">
        <v>2481</v>
      </c>
      <c r="I158" s="7" t="s">
        <v>59</v>
      </c>
      <c r="J158" s="15" t="s">
        <v>17</v>
      </c>
      <c r="K158" s="18" t="n">
        <v>2</v>
      </c>
      <c r="L158" s="7" t="s">
        <v>62</v>
      </c>
      <c r="M158" s="26" t="s">
        <v>2482</v>
      </c>
      <c r="N158" s="26" t="s">
        <v>130</v>
      </c>
      <c r="O158" s="26" t="s">
        <v>1685</v>
      </c>
      <c r="P158" s="26" t="s">
        <v>2483</v>
      </c>
      <c r="Q158" s="26" t="s">
        <v>2484</v>
      </c>
      <c r="R158" s="7" t="s">
        <v>134</v>
      </c>
      <c r="S158" s="26" t="s">
        <v>2485</v>
      </c>
      <c r="T158" s="7" t="s">
        <v>269</v>
      </c>
      <c r="U158" s="7" t="s">
        <v>2486</v>
      </c>
      <c r="V158" s="26" t="s">
        <v>357</v>
      </c>
      <c r="W158" s="26" t="s">
        <v>160</v>
      </c>
      <c r="X158" s="7" t="s">
        <v>44</v>
      </c>
      <c r="Y158" s="26" t="s">
        <v>4396</v>
      </c>
      <c r="Z158" s="7" t="s">
        <v>93</v>
      </c>
      <c r="AA158" s="26" t="s">
        <v>5610</v>
      </c>
      <c r="AB158" s="7" t="str">
        <f aca="false">IF(AC158="Reject","Not ready",IF(Z158="Possible",IF(K158=1,"Core","Extended"),IF(K158=1,"Smoke",IF(K158=2,"Core","Extended"))))</f>
        <v>Core</v>
      </c>
      <c r="AC158" s="19" t="s">
        <v>9</v>
      </c>
      <c r="AD158" s="26" t="s">
        <v>2487</v>
      </c>
    </row>
    <row r="159" customFormat="false" ht="42" hidden="false" customHeight="true" outlineLevel="0" collapsed="false">
      <c r="A159" s="7" t="s">
        <v>2488</v>
      </c>
      <c r="B159" s="26" t="s">
        <v>2477</v>
      </c>
      <c r="C159" s="7" t="s">
        <v>40</v>
      </c>
      <c r="D159" s="7" t="s">
        <v>100</v>
      </c>
      <c r="E159" s="7" t="s">
        <v>2478</v>
      </c>
      <c r="F159" s="26" t="s">
        <v>2479</v>
      </c>
      <c r="G159" s="26" t="s">
        <v>2489</v>
      </c>
      <c r="H159" s="26" t="s">
        <v>2490</v>
      </c>
      <c r="I159" s="7" t="s">
        <v>54</v>
      </c>
      <c r="J159" s="15" t="s">
        <v>17</v>
      </c>
      <c r="K159" s="18" t="n">
        <v>2</v>
      </c>
      <c r="L159" s="7" t="s">
        <v>63</v>
      </c>
      <c r="M159" s="26" t="s">
        <v>2491</v>
      </c>
      <c r="N159" s="26" t="s">
        <v>130</v>
      </c>
      <c r="O159" s="26" t="s">
        <v>558</v>
      </c>
      <c r="P159" s="26" t="s">
        <v>2492</v>
      </c>
      <c r="Q159" s="26" t="s">
        <v>2493</v>
      </c>
      <c r="R159" s="7" t="s">
        <v>134</v>
      </c>
      <c r="S159" s="26" t="s">
        <v>2485</v>
      </c>
      <c r="T159" s="7" t="s">
        <v>269</v>
      </c>
      <c r="U159" s="7" t="s">
        <v>2486</v>
      </c>
      <c r="V159" s="26" t="s">
        <v>357</v>
      </c>
      <c r="W159" s="26" t="s">
        <v>160</v>
      </c>
      <c r="X159" s="7" t="s">
        <v>44</v>
      </c>
      <c r="Y159" s="26" t="s">
        <v>4396</v>
      </c>
      <c r="Z159" s="7" t="s">
        <v>93</v>
      </c>
      <c r="AA159" s="26" t="s">
        <v>5610</v>
      </c>
      <c r="AB159" s="7" t="str">
        <f aca="false">IF(AC159="Reject","Not ready",IF(Z159="Possible",IF(K159=1,"Core","Extended"),IF(K159=1,"Smoke",IF(K159=2,"Core","Extended"))))</f>
        <v>Core</v>
      </c>
      <c r="AC159" s="19" t="s">
        <v>9</v>
      </c>
      <c r="AD159" s="26" t="s">
        <v>2494</v>
      </c>
    </row>
    <row r="160" customFormat="false" ht="80.25" hidden="false" customHeight="true" outlineLevel="0" collapsed="false">
      <c r="A160" s="7" t="s">
        <v>2495</v>
      </c>
      <c r="B160" s="26" t="s">
        <v>2496</v>
      </c>
      <c r="C160" s="7" t="s">
        <v>40</v>
      </c>
      <c r="D160" s="7" t="s">
        <v>100</v>
      </c>
      <c r="E160" s="7" t="s">
        <v>2497</v>
      </c>
      <c r="F160" s="26" t="s">
        <v>2498</v>
      </c>
      <c r="G160" s="26" t="s">
        <v>2499</v>
      </c>
      <c r="H160" s="26" t="s">
        <v>2500</v>
      </c>
      <c r="I160" s="7" t="s">
        <v>51</v>
      </c>
      <c r="J160" s="15" t="s">
        <v>16</v>
      </c>
      <c r="K160" s="16" t="n">
        <v>1</v>
      </c>
      <c r="L160" s="7" t="s">
        <v>62</v>
      </c>
      <c r="M160" s="26" t="s">
        <v>2501</v>
      </c>
      <c r="N160" s="26" t="s">
        <v>130</v>
      </c>
      <c r="O160" s="26" t="s">
        <v>2502</v>
      </c>
      <c r="P160" s="26" t="s">
        <v>2503</v>
      </c>
      <c r="Q160" s="26" t="s">
        <v>2504</v>
      </c>
      <c r="R160" s="7" t="s">
        <v>134</v>
      </c>
      <c r="S160" s="26" t="s">
        <v>2505</v>
      </c>
      <c r="T160" s="7" t="s">
        <v>136</v>
      </c>
      <c r="U160" s="7" t="s">
        <v>2506</v>
      </c>
      <c r="V160" s="26" t="s">
        <v>2507</v>
      </c>
      <c r="W160" s="26" t="s">
        <v>160</v>
      </c>
      <c r="X160" s="7" t="s">
        <v>44</v>
      </c>
      <c r="Y160" s="26" t="s">
        <v>4396</v>
      </c>
      <c r="Z160" s="7" t="s">
        <v>93</v>
      </c>
      <c r="AA160" s="26" t="s">
        <v>5610</v>
      </c>
      <c r="AB160" s="7" t="str">
        <f aca="false">IF(AC160="Reject","Not ready",IF(Z160="Possible",IF(K160=1,"Core","Extended"),IF(K160=1,"Smoke",IF(K160=2,"Core","Extended"))))</f>
        <v>Smoke</v>
      </c>
      <c r="AC160" s="19" t="s">
        <v>9</v>
      </c>
      <c r="AD160" s="26" t="s">
        <v>2508</v>
      </c>
    </row>
    <row r="161" customFormat="false" ht="42" hidden="false" customHeight="true" outlineLevel="0" collapsed="false">
      <c r="A161" s="7" t="s">
        <v>2509</v>
      </c>
      <c r="B161" s="26" t="s">
        <v>2496</v>
      </c>
      <c r="C161" s="7" t="s">
        <v>40</v>
      </c>
      <c r="D161" s="7" t="s">
        <v>100</v>
      </c>
      <c r="E161" s="7" t="s">
        <v>2497</v>
      </c>
      <c r="F161" s="26" t="s">
        <v>2498</v>
      </c>
      <c r="G161" s="26" t="s">
        <v>2510</v>
      </c>
      <c r="H161" s="26" t="s">
        <v>2511</v>
      </c>
      <c r="I161" s="7" t="s">
        <v>50</v>
      </c>
      <c r="J161" s="15" t="s">
        <v>17</v>
      </c>
      <c r="K161" s="18" t="n">
        <v>2</v>
      </c>
      <c r="L161" s="7" t="s">
        <v>62</v>
      </c>
      <c r="M161" s="26" t="s">
        <v>2512</v>
      </c>
      <c r="N161" s="26" t="s">
        <v>130</v>
      </c>
      <c r="O161" s="26" t="s">
        <v>510</v>
      </c>
      <c r="P161" s="26" t="s">
        <v>2513</v>
      </c>
      <c r="Q161" s="26" t="s">
        <v>2514</v>
      </c>
      <c r="R161" s="7" t="s">
        <v>134</v>
      </c>
      <c r="S161" s="26" t="s">
        <v>2505</v>
      </c>
      <c r="T161" s="7" t="s">
        <v>136</v>
      </c>
      <c r="U161" s="7" t="s">
        <v>2506</v>
      </c>
      <c r="V161" s="26" t="s">
        <v>138</v>
      </c>
      <c r="W161" s="26" t="s">
        <v>160</v>
      </c>
      <c r="X161" s="7" t="s">
        <v>44</v>
      </c>
      <c r="Y161" s="26" t="s">
        <v>4396</v>
      </c>
      <c r="Z161" s="7" t="s">
        <v>93</v>
      </c>
      <c r="AA161" s="26" t="s">
        <v>5610</v>
      </c>
      <c r="AB161" s="7" t="str">
        <f aca="false">IF(AC161="Reject","Not ready",IF(Z161="Possible",IF(K161=1,"Core","Extended"),IF(K161=1,"Smoke",IF(K161=2,"Core","Extended"))))</f>
        <v>Core</v>
      </c>
      <c r="AC161" s="17" t="s">
        <v>7</v>
      </c>
      <c r="AD161" s="26" t="s">
        <v>2515</v>
      </c>
    </row>
    <row r="162" customFormat="false" ht="42" hidden="false" customHeight="true" outlineLevel="0" collapsed="false">
      <c r="A162" s="7" t="s">
        <v>2516</v>
      </c>
      <c r="B162" s="26" t="s">
        <v>2496</v>
      </c>
      <c r="C162" s="7" t="s">
        <v>40</v>
      </c>
      <c r="D162" s="7" t="s">
        <v>100</v>
      </c>
      <c r="E162" s="7" t="s">
        <v>2497</v>
      </c>
      <c r="F162" s="26" t="s">
        <v>2498</v>
      </c>
      <c r="G162" s="26" t="s">
        <v>2517</v>
      </c>
      <c r="H162" s="26" t="s">
        <v>2518</v>
      </c>
      <c r="I162" s="7" t="s">
        <v>59</v>
      </c>
      <c r="J162" s="15" t="s">
        <v>18</v>
      </c>
      <c r="K162" s="19" t="n">
        <v>3</v>
      </c>
      <c r="L162" s="7" t="s">
        <v>62</v>
      </c>
      <c r="M162" s="26" t="s">
        <v>2519</v>
      </c>
      <c r="N162" s="26" t="s">
        <v>130</v>
      </c>
      <c r="O162" s="26" t="s">
        <v>510</v>
      </c>
      <c r="P162" s="26" t="s">
        <v>2520</v>
      </c>
      <c r="Q162" s="26" t="s">
        <v>2521</v>
      </c>
      <c r="R162" s="7" t="s">
        <v>134</v>
      </c>
      <c r="S162" s="26" t="s">
        <v>2505</v>
      </c>
      <c r="T162" s="7" t="s">
        <v>136</v>
      </c>
      <c r="U162" s="7" t="s">
        <v>2506</v>
      </c>
      <c r="V162" s="26" t="s">
        <v>2402</v>
      </c>
      <c r="W162" s="26" t="s">
        <v>160</v>
      </c>
      <c r="X162" s="7" t="s">
        <v>44</v>
      </c>
      <c r="Y162" s="26" t="s">
        <v>4396</v>
      </c>
      <c r="Z162" s="7" t="s">
        <v>93</v>
      </c>
      <c r="AA162" s="26" t="s">
        <v>5610</v>
      </c>
      <c r="AB162" s="7" t="str">
        <f aca="false">IF(AC162="Reject","Not ready",IF(Z162="Possible",IF(K162=1,"Core","Extended"),IF(K162=1,"Smoke",IF(K162=2,"Core","Extended"))))</f>
        <v>Extended</v>
      </c>
      <c r="AC162" s="19" t="s">
        <v>9</v>
      </c>
      <c r="AD162" s="26" t="s">
        <v>2522</v>
      </c>
    </row>
    <row r="163" customFormat="false" ht="54.75" hidden="false" customHeight="true" outlineLevel="0" collapsed="false">
      <c r="A163" s="7" t="s">
        <v>2523</v>
      </c>
      <c r="B163" s="26" t="s">
        <v>2524</v>
      </c>
      <c r="C163" s="7" t="s">
        <v>40</v>
      </c>
      <c r="D163" s="7" t="s">
        <v>100</v>
      </c>
      <c r="E163" s="7" t="s">
        <v>2525</v>
      </c>
      <c r="F163" s="26" t="s">
        <v>2526</v>
      </c>
      <c r="G163" s="26" t="s">
        <v>2527</v>
      </c>
      <c r="H163" s="26" t="s">
        <v>2528</v>
      </c>
      <c r="I163" s="7" t="s">
        <v>51</v>
      </c>
      <c r="J163" s="15" t="s">
        <v>16</v>
      </c>
      <c r="K163" s="16" t="n">
        <v>1</v>
      </c>
      <c r="L163" s="7" t="s">
        <v>62</v>
      </c>
      <c r="M163" s="26" t="s">
        <v>2529</v>
      </c>
      <c r="N163" s="26" t="s">
        <v>130</v>
      </c>
      <c r="O163" s="26" t="s">
        <v>2530</v>
      </c>
      <c r="P163" s="26" t="s">
        <v>2531</v>
      </c>
      <c r="Q163" s="26" t="s">
        <v>2532</v>
      </c>
      <c r="R163" s="7" t="s">
        <v>134</v>
      </c>
      <c r="S163" s="26" t="s">
        <v>2533</v>
      </c>
      <c r="T163" s="7" t="s">
        <v>269</v>
      </c>
      <c r="U163" s="7" t="s">
        <v>2534</v>
      </c>
      <c r="V163" s="26" t="s">
        <v>248</v>
      </c>
      <c r="W163" s="26" t="s">
        <v>160</v>
      </c>
      <c r="X163" s="7" t="s">
        <v>44</v>
      </c>
      <c r="Y163" s="26" t="s">
        <v>4396</v>
      </c>
      <c r="Z163" s="7" t="s">
        <v>93</v>
      </c>
      <c r="AA163" s="26" t="s">
        <v>5610</v>
      </c>
      <c r="AB163" s="7" t="str">
        <f aca="false">IF(AC163="Reject","Not ready",IF(Z163="Possible",IF(K163=1,"Core","Extended"),IF(K163=1,"Smoke",IF(K163=2,"Core","Extended"))))</f>
        <v>Smoke</v>
      </c>
      <c r="AC163" s="19" t="s">
        <v>9</v>
      </c>
      <c r="AD163" s="26" t="s">
        <v>2535</v>
      </c>
    </row>
    <row r="164" customFormat="false" ht="54.75" hidden="false" customHeight="true" outlineLevel="0" collapsed="false">
      <c r="A164" s="7" t="s">
        <v>2536</v>
      </c>
      <c r="B164" s="26" t="s">
        <v>2524</v>
      </c>
      <c r="C164" s="7" t="s">
        <v>40</v>
      </c>
      <c r="D164" s="7" t="s">
        <v>100</v>
      </c>
      <c r="E164" s="7" t="s">
        <v>2525</v>
      </c>
      <c r="F164" s="26" t="s">
        <v>2526</v>
      </c>
      <c r="G164" s="26" t="s">
        <v>2537</v>
      </c>
      <c r="H164" s="26" t="s">
        <v>2538</v>
      </c>
      <c r="I164" s="7" t="s">
        <v>51</v>
      </c>
      <c r="J164" s="15" t="s">
        <v>17</v>
      </c>
      <c r="K164" s="18" t="n">
        <v>2</v>
      </c>
      <c r="L164" s="7" t="s">
        <v>62</v>
      </c>
      <c r="M164" s="26" t="s">
        <v>2539</v>
      </c>
      <c r="N164" s="26" t="s">
        <v>130</v>
      </c>
      <c r="O164" s="26" t="s">
        <v>2540</v>
      </c>
      <c r="P164" s="26" t="s">
        <v>2541</v>
      </c>
      <c r="Q164" s="26" t="s">
        <v>2542</v>
      </c>
      <c r="R164" s="7" t="s">
        <v>134</v>
      </c>
      <c r="S164" s="26" t="s">
        <v>2533</v>
      </c>
      <c r="T164" s="7" t="s">
        <v>269</v>
      </c>
      <c r="U164" s="7" t="s">
        <v>2534</v>
      </c>
      <c r="V164" s="26" t="s">
        <v>248</v>
      </c>
      <c r="W164" s="26" t="s">
        <v>160</v>
      </c>
      <c r="X164" s="7" t="s">
        <v>44</v>
      </c>
      <c r="Y164" s="26" t="s">
        <v>4396</v>
      </c>
      <c r="Z164" s="7" t="s">
        <v>93</v>
      </c>
      <c r="AA164" s="26" t="s">
        <v>5610</v>
      </c>
      <c r="AB164" s="7" t="str">
        <f aca="false">IF(AC164="Reject","Not ready",IF(Z164="Possible",IF(K164=1,"Core","Extended"),IF(K164=1,"Smoke",IF(K164=2,"Core","Extended"))))</f>
        <v>Core</v>
      </c>
      <c r="AC164" s="19" t="s">
        <v>9</v>
      </c>
      <c r="AD164" s="26" t="s">
        <v>2543</v>
      </c>
    </row>
    <row r="165" customFormat="false" ht="42" hidden="false" customHeight="true" outlineLevel="0" collapsed="false">
      <c r="A165" s="7" t="s">
        <v>2544</v>
      </c>
      <c r="B165" s="26" t="s">
        <v>2545</v>
      </c>
      <c r="C165" s="7" t="s">
        <v>40</v>
      </c>
      <c r="D165" s="7" t="s">
        <v>100</v>
      </c>
      <c r="E165" s="7" t="s">
        <v>2546</v>
      </c>
      <c r="F165" s="26" t="s">
        <v>2547</v>
      </c>
      <c r="G165" s="26" t="s">
        <v>2548</v>
      </c>
      <c r="H165" s="26" t="s">
        <v>2549</v>
      </c>
      <c r="I165" s="7" t="s">
        <v>59</v>
      </c>
      <c r="J165" s="15" t="s">
        <v>17</v>
      </c>
      <c r="K165" s="18" t="n">
        <v>2</v>
      </c>
      <c r="L165" s="7" t="s">
        <v>62</v>
      </c>
      <c r="M165" s="26" t="s">
        <v>2550</v>
      </c>
      <c r="N165" s="26" t="s">
        <v>130</v>
      </c>
      <c r="O165" s="26" t="s">
        <v>2551</v>
      </c>
      <c r="P165" s="26" t="s">
        <v>2552</v>
      </c>
      <c r="Q165" s="26" t="s">
        <v>2553</v>
      </c>
      <c r="R165" s="7" t="s">
        <v>134</v>
      </c>
      <c r="S165" s="26" t="s">
        <v>2554</v>
      </c>
      <c r="T165" s="7" t="s">
        <v>269</v>
      </c>
      <c r="U165" s="7" t="s">
        <v>2555</v>
      </c>
      <c r="V165" s="26" t="s">
        <v>2556</v>
      </c>
      <c r="W165" s="26" t="s">
        <v>160</v>
      </c>
      <c r="X165" s="7" t="s">
        <v>44</v>
      </c>
      <c r="Y165" s="26" t="s">
        <v>4396</v>
      </c>
      <c r="Z165" s="7" t="s">
        <v>93</v>
      </c>
      <c r="AA165" s="26" t="s">
        <v>5610</v>
      </c>
      <c r="AB165" s="7" t="str">
        <f aca="false">IF(AC165="Reject","Not ready",IF(Z165="Possible",IF(K165=1,"Core","Extended"),IF(K165=1,"Smoke",IF(K165=2,"Core","Extended"))))</f>
        <v>Core</v>
      </c>
      <c r="AC165" s="19" t="s">
        <v>9</v>
      </c>
      <c r="AD165" s="26" t="s">
        <v>2557</v>
      </c>
    </row>
    <row r="166" customFormat="false" ht="42" hidden="false" customHeight="true" outlineLevel="0" collapsed="false">
      <c r="A166" s="7" t="s">
        <v>2558</v>
      </c>
      <c r="B166" s="26" t="s">
        <v>2545</v>
      </c>
      <c r="C166" s="7" t="s">
        <v>40</v>
      </c>
      <c r="D166" s="7" t="s">
        <v>100</v>
      </c>
      <c r="E166" s="7" t="s">
        <v>2546</v>
      </c>
      <c r="F166" s="26" t="s">
        <v>2547</v>
      </c>
      <c r="G166" s="26" t="s">
        <v>2559</v>
      </c>
      <c r="H166" s="26" t="s">
        <v>2560</v>
      </c>
      <c r="I166" s="7" t="s">
        <v>59</v>
      </c>
      <c r="J166" s="15" t="s">
        <v>18</v>
      </c>
      <c r="K166" s="19" t="n">
        <v>3</v>
      </c>
      <c r="L166" s="7" t="s">
        <v>62</v>
      </c>
      <c r="M166" s="26" t="s">
        <v>2550</v>
      </c>
      <c r="N166" s="26" t="s">
        <v>130</v>
      </c>
      <c r="O166" s="26" t="s">
        <v>2561</v>
      </c>
      <c r="P166" s="26" t="s">
        <v>2562</v>
      </c>
      <c r="Q166" s="26" t="s">
        <v>2553</v>
      </c>
      <c r="R166" s="7" t="s">
        <v>134</v>
      </c>
      <c r="S166" s="26" t="s">
        <v>2554</v>
      </c>
      <c r="T166" s="7" t="s">
        <v>269</v>
      </c>
      <c r="U166" s="7" t="s">
        <v>2555</v>
      </c>
      <c r="V166" s="26" t="s">
        <v>2556</v>
      </c>
      <c r="W166" s="26" t="s">
        <v>160</v>
      </c>
      <c r="X166" s="7" t="s">
        <v>44</v>
      </c>
      <c r="Y166" s="26" t="s">
        <v>4396</v>
      </c>
      <c r="Z166" s="7" t="s">
        <v>93</v>
      </c>
      <c r="AA166" s="26" t="s">
        <v>5610</v>
      </c>
      <c r="AB166" s="7" t="str">
        <f aca="false">IF(AC166="Reject","Not ready",IF(Z166="Possible",IF(K166=1,"Core","Extended"),IF(K166=1,"Smoke",IF(K166=2,"Core","Extended"))))</f>
        <v>Extended</v>
      </c>
      <c r="AC166" s="19" t="s">
        <v>9</v>
      </c>
      <c r="AD166" s="26" t="s">
        <v>2557</v>
      </c>
    </row>
    <row r="167" customFormat="false" ht="42" hidden="false" customHeight="true" outlineLevel="0" collapsed="false">
      <c r="A167" s="7" t="s">
        <v>2563</v>
      </c>
      <c r="B167" s="26" t="s">
        <v>2545</v>
      </c>
      <c r="C167" s="7" t="s">
        <v>40</v>
      </c>
      <c r="D167" s="7" t="s">
        <v>100</v>
      </c>
      <c r="E167" s="7" t="s">
        <v>2546</v>
      </c>
      <c r="F167" s="26" t="s">
        <v>2547</v>
      </c>
      <c r="G167" s="26" t="s">
        <v>2564</v>
      </c>
      <c r="H167" s="26" t="s">
        <v>2565</v>
      </c>
      <c r="I167" s="7" t="s">
        <v>59</v>
      </c>
      <c r="J167" s="15" t="s">
        <v>16</v>
      </c>
      <c r="K167" s="16" t="n">
        <v>1</v>
      </c>
      <c r="L167" s="7" t="s">
        <v>62</v>
      </c>
      <c r="M167" s="26" t="s">
        <v>2566</v>
      </c>
      <c r="N167" s="26" t="s">
        <v>130</v>
      </c>
      <c r="O167" s="26" t="s">
        <v>2567</v>
      </c>
      <c r="P167" s="26" t="s">
        <v>2568</v>
      </c>
      <c r="Q167" s="26" t="s">
        <v>2569</v>
      </c>
      <c r="R167" s="7" t="s">
        <v>134</v>
      </c>
      <c r="S167" s="26" t="s">
        <v>2554</v>
      </c>
      <c r="T167" s="7" t="s">
        <v>269</v>
      </c>
      <c r="U167" s="7" t="s">
        <v>2555</v>
      </c>
      <c r="V167" s="26" t="s">
        <v>2556</v>
      </c>
      <c r="W167" s="26" t="s">
        <v>160</v>
      </c>
      <c r="X167" s="7" t="s">
        <v>44</v>
      </c>
      <c r="Y167" s="26" t="s">
        <v>4396</v>
      </c>
      <c r="Z167" s="7" t="s">
        <v>93</v>
      </c>
      <c r="AA167" s="26" t="s">
        <v>5610</v>
      </c>
      <c r="AB167" s="7" t="str">
        <f aca="false">IF(AC167="Reject","Not ready",IF(Z167="Possible",IF(K167=1,"Core","Extended"),IF(K167=1,"Smoke",IF(K167=2,"Core","Extended"))))</f>
        <v>Smoke</v>
      </c>
      <c r="AC167" s="19" t="s">
        <v>9</v>
      </c>
      <c r="AD167" s="26" t="s">
        <v>2570</v>
      </c>
    </row>
    <row r="168" customFormat="false" ht="42" hidden="false" customHeight="true" outlineLevel="0" collapsed="false">
      <c r="A168" s="7" t="s">
        <v>2571</v>
      </c>
      <c r="B168" s="26" t="s">
        <v>2572</v>
      </c>
      <c r="C168" s="7" t="s">
        <v>40</v>
      </c>
      <c r="D168" s="7" t="s">
        <v>100</v>
      </c>
      <c r="E168" s="7" t="s">
        <v>2573</v>
      </c>
      <c r="F168" s="26" t="s">
        <v>2574</v>
      </c>
      <c r="G168" s="26" t="s">
        <v>2575</v>
      </c>
      <c r="H168" s="26" t="s">
        <v>2576</v>
      </c>
      <c r="I168" s="7" t="s">
        <v>59</v>
      </c>
      <c r="J168" s="15" t="s">
        <v>17</v>
      </c>
      <c r="K168" s="18" t="n">
        <v>2</v>
      </c>
      <c r="L168" s="7" t="s">
        <v>62</v>
      </c>
      <c r="M168" s="26" t="s">
        <v>1169</v>
      </c>
      <c r="N168" s="26" t="s">
        <v>130</v>
      </c>
      <c r="O168" s="26" t="s">
        <v>2577</v>
      </c>
      <c r="P168" s="26" t="s">
        <v>2578</v>
      </c>
      <c r="Q168" s="26" t="s">
        <v>2579</v>
      </c>
      <c r="R168" s="7" t="s">
        <v>134</v>
      </c>
      <c r="S168" s="26" t="s">
        <v>2580</v>
      </c>
      <c r="T168" s="7" t="s">
        <v>269</v>
      </c>
      <c r="U168" s="7" t="s">
        <v>2581</v>
      </c>
      <c r="V168" s="26" t="s">
        <v>138</v>
      </c>
      <c r="W168" s="26" t="s">
        <v>160</v>
      </c>
      <c r="X168" s="7" t="s">
        <v>44</v>
      </c>
      <c r="Y168" s="26" t="s">
        <v>4396</v>
      </c>
      <c r="Z168" s="7" t="s">
        <v>93</v>
      </c>
      <c r="AA168" s="26" t="s">
        <v>5610</v>
      </c>
      <c r="AB168" s="7" t="str">
        <f aca="false">IF(AC168="Reject","Not ready",IF(Z168="Possible",IF(K168=1,"Core","Extended"),IF(K168=1,"Smoke",IF(K168=2,"Core","Extended"))))</f>
        <v>Core</v>
      </c>
      <c r="AC168" s="17" t="s">
        <v>7</v>
      </c>
      <c r="AD168" s="26" t="s">
        <v>2582</v>
      </c>
    </row>
    <row r="169" customFormat="false" ht="42" hidden="false" customHeight="true" outlineLevel="0" collapsed="false">
      <c r="A169" s="7" t="s">
        <v>2583</v>
      </c>
      <c r="B169" s="26" t="s">
        <v>2572</v>
      </c>
      <c r="C169" s="7" t="s">
        <v>40</v>
      </c>
      <c r="D169" s="7" t="s">
        <v>100</v>
      </c>
      <c r="E169" s="7" t="s">
        <v>2573</v>
      </c>
      <c r="F169" s="26" t="s">
        <v>2574</v>
      </c>
      <c r="G169" s="26" t="s">
        <v>2584</v>
      </c>
      <c r="H169" s="26" t="s">
        <v>2585</v>
      </c>
      <c r="I169" s="7" t="s">
        <v>59</v>
      </c>
      <c r="J169" s="15" t="s">
        <v>18</v>
      </c>
      <c r="K169" s="19" t="n">
        <v>3</v>
      </c>
      <c r="L169" s="7" t="s">
        <v>62</v>
      </c>
      <c r="M169" s="26" t="s">
        <v>1169</v>
      </c>
      <c r="N169" s="26" t="s">
        <v>130</v>
      </c>
      <c r="O169" s="26" t="s">
        <v>2586</v>
      </c>
      <c r="P169" s="26" t="s">
        <v>2587</v>
      </c>
      <c r="Q169" s="26" t="s">
        <v>2588</v>
      </c>
      <c r="R169" s="7" t="s">
        <v>134</v>
      </c>
      <c r="S169" s="26" t="s">
        <v>2580</v>
      </c>
      <c r="T169" s="7" t="s">
        <v>269</v>
      </c>
      <c r="U169" s="7" t="s">
        <v>2581</v>
      </c>
      <c r="V169" s="26" t="s">
        <v>138</v>
      </c>
      <c r="W169" s="26" t="s">
        <v>160</v>
      </c>
      <c r="X169" s="7" t="s">
        <v>44</v>
      </c>
      <c r="Y169" s="26" t="s">
        <v>4396</v>
      </c>
      <c r="Z169" s="7" t="s">
        <v>93</v>
      </c>
      <c r="AA169" s="26" t="s">
        <v>5610</v>
      </c>
      <c r="AB169" s="7" t="str">
        <f aca="false">IF(AC169="Reject","Not ready",IF(Z169="Possible",IF(K169=1,"Core","Extended"),IF(K169=1,"Smoke",IF(K169=2,"Core","Extended"))))</f>
        <v>Extended</v>
      </c>
      <c r="AC169" s="17" t="s">
        <v>7</v>
      </c>
      <c r="AD169" s="26" t="s">
        <v>2589</v>
      </c>
    </row>
    <row r="170" customFormat="false" ht="42" hidden="false" customHeight="true" outlineLevel="0" collapsed="false">
      <c r="A170" s="7" t="s">
        <v>2590</v>
      </c>
      <c r="B170" s="26" t="s">
        <v>2572</v>
      </c>
      <c r="C170" s="7" t="s">
        <v>40</v>
      </c>
      <c r="D170" s="7" t="s">
        <v>100</v>
      </c>
      <c r="E170" s="7" t="s">
        <v>2573</v>
      </c>
      <c r="F170" s="26" t="s">
        <v>2574</v>
      </c>
      <c r="G170" s="26" t="s">
        <v>2591</v>
      </c>
      <c r="H170" s="26" t="s">
        <v>2592</v>
      </c>
      <c r="I170" s="7" t="s">
        <v>59</v>
      </c>
      <c r="J170" s="15" t="s">
        <v>18</v>
      </c>
      <c r="K170" s="19" t="n">
        <v>3</v>
      </c>
      <c r="L170" s="7" t="s">
        <v>62</v>
      </c>
      <c r="M170" s="26" t="s">
        <v>1169</v>
      </c>
      <c r="N170" s="26" t="s">
        <v>130</v>
      </c>
      <c r="O170" s="26" t="s">
        <v>2593</v>
      </c>
      <c r="P170" s="26" t="s">
        <v>2594</v>
      </c>
      <c r="Q170" s="26" t="s">
        <v>2595</v>
      </c>
      <c r="R170" s="7" t="s">
        <v>134</v>
      </c>
      <c r="S170" s="26" t="s">
        <v>2580</v>
      </c>
      <c r="T170" s="7" t="s">
        <v>269</v>
      </c>
      <c r="U170" s="7" t="s">
        <v>2581</v>
      </c>
      <c r="V170" s="26" t="s">
        <v>419</v>
      </c>
      <c r="W170" s="26" t="s">
        <v>160</v>
      </c>
      <c r="X170" s="7" t="s">
        <v>44</v>
      </c>
      <c r="Y170" s="26" t="s">
        <v>4396</v>
      </c>
      <c r="Z170" s="7" t="s">
        <v>93</v>
      </c>
      <c r="AA170" s="26" t="s">
        <v>5610</v>
      </c>
      <c r="AB170" s="7" t="str">
        <f aca="false">IF(AC170="Reject","Not ready",IF(Z170="Possible",IF(K170=1,"Core","Extended"),IF(K170=1,"Smoke",IF(K170=2,"Core","Extended"))))</f>
        <v>Extended</v>
      </c>
      <c r="AC170" s="19" t="s">
        <v>9</v>
      </c>
      <c r="AD170" s="26" t="s">
        <v>2596</v>
      </c>
    </row>
    <row r="171" customFormat="false" ht="42" hidden="false" customHeight="true" outlineLevel="0" collapsed="false">
      <c r="A171" s="7" t="s">
        <v>2597</v>
      </c>
      <c r="B171" s="26" t="s">
        <v>2572</v>
      </c>
      <c r="C171" s="7" t="s">
        <v>40</v>
      </c>
      <c r="D171" s="7" t="s">
        <v>100</v>
      </c>
      <c r="E171" s="7" t="s">
        <v>2573</v>
      </c>
      <c r="F171" s="26" t="s">
        <v>2574</v>
      </c>
      <c r="G171" s="26" t="s">
        <v>2598</v>
      </c>
      <c r="H171" s="26" t="s">
        <v>2599</v>
      </c>
      <c r="I171" s="7" t="s">
        <v>59</v>
      </c>
      <c r="J171" s="15" t="s">
        <v>18</v>
      </c>
      <c r="K171" s="19" t="n">
        <v>3</v>
      </c>
      <c r="L171" s="7" t="s">
        <v>62</v>
      </c>
      <c r="M171" s="26" t="s">
        <v>1169</v>
      </c>
      <c r="N171" s="26" t="s">
        <v>130</v>
      </c>
      <c r="O171" s="26" t="s">
        <v>2600</v>
      </c>
      <c r="P171" s="26" t="s">
        <v>2601</v>
      </c>
      <c r="Q171" s="26" t="s">
        <v>2602</v>
      </c>
      <c r="R171" s="7" t="s">
        <v>134</v>
      </c>
      <c r="S171" s="26" t="s">
        <v>2580</v>
      </c>
      <c r="T171" s="7" t="s">
        <v>269</v>
      </c>
      <c r="U171" s="7" t="s">
        <v>2581</v>
      </c>
      <c r="V171" s="26" t="s">
        <v>138</v>
      </c>
      <c r="W171" s="26" t="s">
        <v>160</v>
      </c>
      <c r="X171" s="7" t="s">
        <v>44</v>
      </c>
      <c r="Y171" s="26" t="s">
        <v>4396</v>
      </c>
      <c r="Z171" s="7" t="s">
        <v>93</v>
      </c>
      <c r="AA171" s="26" t="s">
        <v>5610</v>
      </c>
      <c r="AB171" s="7" t="str">
        <f aca="false">IF(AC171="Reject","Not ready",IF(Z171="Possible",IF(K171=1,"Core","Extended"),IF(K171=1,"Smoke",IF(K171=2,"Core","Extended"))))</f>
        <v>Extended</v>
      </c>
      <c r="AC171" s="17" t="s">
        <v>7</v>
      </c>
      <c r="AD171" s="26" t="s">
        <v>2603</v>
      </c>
    </row>
    <row r="172" customFormat="false" ht="42" hidden="false" customHeight="true" outlineLevel="0" collapsed="false">
      <c r="A172" s="7" t="s">
        <v>2604</v>
      </c>
      <c r="B172" s="26" t="s">
        <v>2572</v>
      </c>
      <c r="C172" s="7" t="s">
        <v>40</v>
      </c>
      <c r="D172" s="7" t="s">
        <v>100</v>
      </c>
      <c r="E172" s="7" t="s">
        <v>2573</v>
      </c>
      <c r="F172" s="26" t="s">
        <v>2574</v>
      </c>
      <c r="G172" s="26" t="s">
        <v>2605</v>
      </c>
      <c r="H172" s="26" t="s">
        <v>2606</v>
      </c>
      <c r="I172" s="7" t="s">
        <v>51</v>
      </c>
      <c r="J172" s="15" t="s">
        <v>16</v>
      </c>
      <c r="K172" s="16" t="n">
        <v>1</v>
      </c>
      <c r="L172" s="7" t="s">
        <v>62</v>
      </c>
      <c r="M172" s="26" t="s">
        <v>2607</v>
      </c>
      <c r="N172" s="26" t="s">
        <v>130</v>
      </c>
      <c r="O172" s="26" t="s">
        <v>2608</v>
      </c>
      <c r="P172" s="26" t="s">
        <v>2609</v>
      </c>
      <c r="Q172" s="26" t="s">
        <v>2610</v>
      </c>
      <c r="R172" s="7" t="s">
        <v>134</v>
      </c>
      <c r="S172" s="26" t="s">
        <v>2580</v>
      </c>
      <c r="T172" s="7" t="s">
        <v>269</v>
      </c>
      <c r="U172" s="7" t="s">
        <v>2581</v>
      </c>
      <c r="V172" s="26" t="s">
        <v>2611</v>
      </c>
      <c r="W172" s="26" t="s">
        <v>160</v>
      </c>
      <c r="X172" s="7" t="s">
        <v>44</v>
      </c>
      <c r="Y172" s="26" t="s">
        <v>4396</v>
      </c>
      <c r="Z172" s="7" t="s">
        <v>93</v>
      </c>
      <c r="AA172" s="26" t="s">
        <v>5610</v>
      </c>
      <c r="AB172" s="7" t="str">
        <f aca="false">IF(AC172="Reject","Not ready",IF(Z172="Possible",IF(K172=1,"Core","Extended"),IF(K172=1,"Smoke",IF(K172=2,"Core","Extended"))))</f>
        <v>Smoke</v>
      </c>
      <c r="AC172" s="19" t="s">
        <v>9</v>
      </c>
      <c r="AD172" s="26" t="s">
        <v>2612</v>
      </c>
    </row>
    <row r="173" customFormat="false" ht="42" hidden="false" customHeight="true" outlineLevel="0" collapsed="false">
      <c r="A173" s="7" t="s">
        <v>2613</v>
      </c>
      <c r="B173" s="26" t="s">
        <v>2572</v>
      </c>
      <c r="C173" s="7" t="s">
        <v>40</v>
      </c>
      <c r="D173" s="7" t="s">
        <v>100</v>
      </c>
      <c r="E173" s="7" t="s">
        <v>2573</v>
      </c>
      <c r="F173" s="26" t="s">
        <v>2574</v>
      </c>
      <c r="G173" s="26" t="s">
        <v>2614</v>
      </c>
      <c r="H173" s="26" t="s">
        <v>2615</v>
      </c>
      <c r="I173" s="7" t="s">
        <v>51</v>
      </c>
      <c r="J173" s="15" t="s">
        <v>16</v>
      </c>
      <c r="K173" s="16" t="n">
        <v>1</v>
      </c>
      <c r="L173" s="7" t="s">
        <v>62</v>
      </c>
      <c r="M173" s="26" t="s">
        <v>2616</v>
      </c>
      <c r="N173" s="26" t="s">
        <v>130</v>
      </c>
      <c r="O173" s="26" t="s">
        <v>2617</v>
      </c>
      <c r="P173" s="26" t="s">
        <v>2618</v>
      </c>
      <c r="Q173" s="26" t="s">
        <v>2619</v>
      </c>
      <c r="R173" s="7" t="s">
        <v>134</v>
      </c>
      <c r="S173" s="26" t="s">
        <v>2580</v>
      </c>
      <c r="T173" s="7" t="s">
        <v>269</v>
      </c>
      <c r="U173" s="7" t="s">
        <v>2581</v>
      </c>
      <c r="V173" s="26" t="s">
        <v>2620</v>
      </c>
      <c r="W173" s="26" t="s">
        <v>160</v>
      </c>
      <c r="X173" s="7" t="s">
        <v>44</v>
      </c>
      <c r="Y173" s="26" t="s">
        <v>4396</v>
      </c>
      <c r="Z173" s="7" t="s">
        <v>93</v>
      </c>
      <c r="AA173" s="26" t="s">
        <v>5610</v>
      </c>
      <c r="AB173" s="7" t="str">
        <f aca="false">IF(AC173="Reject","Not ready",IF(Z173="Possible",IF(K173=1,"Core","Extended"),IF(K173=1,"Smoke",IF(K173=2,"Core","Extended"))))</f>
        <v>Smoke</v>
      </c>
      <c r="AC173" s="19" t="s">
        <v>9</v>
      </c>
      <c r="AD173" s="26" t="s">
        <v>2612</v>
      </c>
    </row>
    <row r="174" customFormat="false" ht="42" hidden="false" customHeight="true" outlineLevel="0" collapsed="false">
      <c r="A174" s="7" t="s">
        <v>3076</v>
      </c>
      <c r="B174" s="26" t="s">
        <v>3077</v>
      </c>
      <c r="C174" s="7" t="s">
        <v>40</v>
      </c>
      <c r="D174" s="7" t="s">
        <v>100</v>
      </c>
      <c r="E174" s="7" t="s">
        <v>3078</v>
      </c>
      <c r="F174" s="26" t="s">
        <v>3079</v>
      </c>
      <c r="G174" s="26" t="s">
        <v>3080</v>
      </c>
      <c r="H174" s="26" t="s">
        <v>3081</v>
      </c>
      <c r="I174" s="7" t="s">
        <v>59</v>
      </c>
      <c r="J174" s="15" t="s">
        <v>17</v>
      </c>
      <c r="K174" s="18" t="n">
        <v>2</v>
      </c>
      <c r="L174" s="7" t="s">
        <v>62</v>
      </c>
      <c r="M174" s="26" t="s">
        <v>3082</v>
      </c>
      <c r="N174" s="26" t="s">
        <v>130</v>
      </c>
      <c r="O174" s="26" t="s">
        <v>3083</v>
      </c>
      <c r="P174" s="26" t="s">
        <v>3084</v>
      </c>
      <c r="Q174" s="26" t="s">
        <v>3085</v>
      </c>
      <c r="R174" s="7" t="s">
        <v>134</v>
      </c>
      <c r="S174" s="26" t="s">
        <v>3086</v>
      </c>
      <c r="T174" s="7" t="s">
        <v>269</v>
      </c>
      <c r="U174" s="7" t="s">
        <v>3087</v>
      </c>
      <c r="V174" s="26" t="s">
        <v>643</v>
      </c>
      <c r="W174" s="26" t="s">
        <v>160</v>
      </c>
      <c r="X174" s="7" t="s">
        <v>44</v>
      </c>
      <c r="Y174" s="26" t="s">
        <v>4396</v>
      </c>
      <c r="Z174" s="7" t="s">
        <v>93</v>
      </c>
      <c r="AA174" s="26" t="s">
        <v>5610</v>
      </c>
      <c r="AB174" s="7" t="str">
        <f aca="false">IF(AC174="Reject","Not ready",IF(Z174="Possible",IF(K174=1,"Core","Extended"),IF(K174=1,"Smoke",IF(K174=2,"Core","Extended"))))</f>
        <v>Core</v>
      </c>
      <c r="AC174" s="19" t="s">
        <v>9</v>
      </c>
      <c r="AD174" s="26" t="s">
        <v>3088</v>
      </c>
    </row>
    <row r="175" customFormat="false" ht="42" hidden="false" customHeight="true" outlineLevel="0" collapsed="false">
      <c r="A175" s="7" t="s">
        <v>3089</v>
      </c>
      <c r="B175" s="26" t="s">
        <v>3077</v>
      </c>
      <c r="C175" s="7" t="s">
        <v>40</v>
      </c>
      <c r="D175" s="7" t="s">
        <v>100</v>
      </c>
      <c r="E175" s="7" t="s">
        <v>3078</v>
      </c>
      <c r="F175" s="26" t="s">
        <v>3079</v>
      </c>
      <c r="G175" s="26" t="s">
        <v>3090</v>
      </c>
      <c r="H175" s="26" t="s">
        <v>3091</v>
      </c>
      <c r="I175" s="7" t="s">
        <v>59</v>
      </c>
      <c r="J175" s="15" t="s">
        <v>17</v>
      </c>
      <c r="K175" s="18" t="n">
        <v>2</v>
      </c>
      <c r="L175" s="7" t="s">
        <v>62</v>
      </c>
      <c r="M175" s="26" t="s">
        <v>3092</v>
      </c>
      <c r="N175" s="26" t="s">
        <v>130</v>
      </c>
      <c r="O175" s="26" t="s">
        <v>3093</v>
      </c>
      <c r="P175" s="26" t="s">
        <v>3094</v>
      </c>
      <c r="Q175" s="26" t="s">
        <v>3095</v>
      </c>
      <c r="R175" s="7" t="s">
        <v>134</v>
      </c>
      <c r="S175" s="26" t="s">
        <v>3086</v>
      </c>
      <c r="T175" s="7" t="s">
        <v>269</v>
      </c>
      <c r="U175" s="7" t="s">
        <v>3087</v>
      </c>
      <c r="V175" s="26" t="s">
        <v>3096</v>
      </c>
      <c r="W175" s="26" t="s">
        <v>160</v>
      </c>
      <c r="X175" s="7" t="s">
        <v>44</v>
      </c>
      <c r="Y175" s="26" t="s">
        <v>4396</v>
      </c>
      <c r="Z175" s="7" t="s">
        <v>93</v>
      </c>
      <c r="AA175" s="26" t="s">
        <v>5610</v>
      </c>
      <c r="AB175" s="7" t="str">
        <f aca="false">IF(AC175="Reject","Not ready",IF(Z175="Possible",IF(K175=1,"Core","Extended"),IF(K175=1,"Smoke",IF(K175=2,"Core","Extended"))))</f>
        <v>Core</v>
      </c>
      <c r="AC175" s="19" t="s">
        <v>9</v>
      </c>
      <c r="AD175" s="26" t="s">
        <v>3097</v>
      </c>
    </row>
    <row r="176" customFormat="false" ht="42" hidden="false" customHeight="true" outlineLevel="0" collapsed="false">
      <c r="A176" s="7" t="s">
        <v>3098</v>
      </c>
      <c r="B176" s="26" t="s">
        <v>3077</v>
      </c>
      <c r="C176" s="7" t="s">
        <v>40</v>
      </c>
      <c r="D176" s="7" t="s">
        <v>100</v>
      </c>
      <c r="E176" s="7" t="s">
        <v>3078</v>
      </c>
      <c r="F176" s="26" t="s">
        <v>3079</v>
      </c>
      <c r="G176" s="26" t="s">
        <v>3099</v>
      </c>
      <c r="H176" s="26" t="s">
        <v>3100</v>
      </c>
      <c r="I176" s="7" t="s">
        <v>59</v>
      </c>
      <c r="J176" s="15" t="s">
        <v>17</v>
      </c>
      <c r="K176" s="18" t="n">
        <v>2</v>
      </c>
      <c r="L176" s="7" t="s">
        <v>62</v>
      </c>
      <c r="M176" s="26" t="s">
        <v>3101</v>
      </c>
      <c r="N176" s="26" t="s">
        <v>130</v>
      </c>
      <c r="O176" s="26" t="s">
        <v>3102</v>
      </c>
      <c r="P176" s="26" t="s">
        <v>3103</v>
      </c>
      <c r="Q176" s="26" t="s">
        <v>3104</v>
      </c>
      <c r="R176" s="7" t="s">
        <v>134</v>
      </c>
      <c r="S176" s="26" t="s">
        <v>3086</v>
      </c>
      <c r="T176" s="7" t="s">
        <v>269</v>
      </c>
      <c r="U176" s="7" t="s">
        <v>3087</v>
      </c>
      <c r="V176" s="26" t="s">
        <v>643</v>
      </c>
      <c r="W176" s="26" t="s">
        <v>160</v>
      </c>
      <c r="X176" s="7" t="s">
        <v>44</v>
      </c>
      <c r="Y176" s="26" t="s">
        <v>4396</v>
      </c>
      <c r="Z176" s="7" t="s">
        <v>93</v>
      </c>
      <c r="AA176" s="26" t="s">
        <v>5610</v>
      </c>
      <c r="AB176" s="7" t="str">
        <f aca="false">IF(AC176="Reject","Not ready",IF(Z176="Possible",IF(K176=1,"Core","Extended"),IF(K176=1,"Smoke",IF(K176=2,"Core","Extended"))))</f>
        <v>Core</v>
      </c>
      <c r="AC176" s="19" t="s">
        <v>9</v>
      </c>
      <c r="AD176" s="26" t="s">
        <v>3105</v>
      </c>
    </row>
    <row r="177" customFormat="false" ht="42" hidden="false" customHeight="true" outlineLevel="0" collapsed="false">
      <c r="A177" s="7" t="s">
        <v>3353</v>
      </c>
      <c r="B177" s="26" t="s">
        <v>3354</v>
      </c>
      <c r="C177" s="7" t="s">
        <v>40</v>
      </c>
      <c r="D177" s="7" t="s">
        <v>36</v>
      </c>
      <c r="E177" s="7" t="s">
        <v>3355</v>
      </c>
      <c r="F177" s="26" t="s">
        <v>3356</v>
      </c>
      <c r="G177" s="26" t="s">
        <v>3357</v>
      </c>
      <c r="H177" s="26" t="s">
        <v>3358</v>
      </c>
      <c r="I177" s="7" t="s">
        <v>59</v>
      </c>
      <c r="J177" s="15" t="s">
        <v>18</v>
      </c>
      <c r="K177" s="18" t="n">
        <v>2</v>
      </c>
      <c r="L177" s="7" t="s">
        <v>62</v>
      </c>
      <c r="M177" s="26" t="s">
        <v>3359</v>
      </c>
      <c r="N177" s="26" t="s">
        <v>130</v>
      </c>
      <c r="O177" s="26" t="s">
        <v>1715</v>
      </c>
      <c r="P177" s="26" t="s">
        <v>3360</v>
      </c>
      <c r="Q177" s="26" t="s">
        <v>3361</v>
      </c>
      <c r="R177" s="7" t="s">
        <v>134</v>
      </c>
      <c r="S177" s="26" t="s">
        <v>3362</v>
      </c>
      <c r="T177" s="7" t="s">
        <v>136</v>
      </c>
      <c r="U177" s="7" t="s">
        <v>3363</v>
      </c>
      <c r="V177" s="26" t="s">
        <v>3364</v>
      </c>
      <c r="W177" s="26" t="s">
        <v>160</v>
      </c>
      <c r="X177" s="7" t="s">
        <v>45</v>
      </c>
      <c r="Y177" s="26" t="s">
        <v>4396</v>
      </c>
      <c r="Z177" s="7" t="s">
        <v>93</v>
      </c>
      <c r="AA177" s="26" t="s">
        <v>5610</v>
      </c>
      <c r="AB177" s="7" t="str">
        <f aca="false">IF(AC177="Reject","Not ready",IF(Z177="Possible",IF(K177=1,"Core","Extended"),IF(K177=1,"Smoke",IF(K177=2,"Core","Extended"))))</f>
        <v>Core</v>
      </c>
      <c r="AC177" s="19" t="s">
        <v>9</v>
      </c>
      <c r="AD177" s="26" t="s">
        <v>3365</v>
      </c>
    </row>
    <row r="178" customFormat="false" ht="42" hidden="false" customHeight="true" outlineLevel="0" collapsed="false">
      <c r="A178" s="7" t="s">
        <v>3366</v>
      </c>
      <c r="B178" s="26" t="s">
        <v>3354</v>
      </c>
      <c r="C178" s="7" t="s">
        <v>40</v>
      </c>
      <c r="D178" s="7" t="s">
        <v>36</v>
      </c>
      <c r="E178" s="7" t="s">
        <v>3355</v>
      </c>
      <c r="F178" s="26" t="s">
        <v>3356</v>
      </c>
      <c r="G178" s="26" t="s">
        <v>3367</v>
      </c>
      <c r="H178" s="26" t="s">
        <v>3368</v>
      </c>
      <c r="I178" s="7" t="s">
        <v>59</v>
      </c>
      <c r="J178" s="15" t="s">
        <v>18</v>
      </c>
      <c r="K178" s="18" t="n">
        <v>2</v>
      </c>
      <c r="L178" s="7" t="s">
        <v>62</v>
      </c>
      <c r="M178" s="26" t="s">
        <v>3369</v>
      </c>
      <c r="N178" s="26" t="s">
        <v>130</v>
      </c>
      <c r="O178" s="26" t="s">
        <v>1715</v>
      </c>
      <c r="P178" s="26" t="s">
        <v>3370</v>
      </c>
      <c r="Q178" s="26" t="s">
        <v>3371</v>
      </c>
      <c r="R178" s="7" t="s">
        <v>134</v>
      </c>
      <c r="S178" s="26" t="s">
        <v>3362</v>
      </c>
      <c r="T178" s="7" t="s">
        <v>136</v>
      </c>
      <c r="U178" s="7" t="s">
        <v>3363</v>
      </c>
      <c r="V178" s="26" t="s">
        <v>3364</v>
      </c>
      <c r="W178" s="26" t="s">
        <v>160</v>
      </c>
      <c r="X178" s="7" t="s">
        <v>45</v>
      </c>
      <c r="Y178" s="26" t="s">
        <v>4396</v>
      </c>
      <c r="Z178" s="7" t="s">
        <v>93</v>
      </c>
      <c r="AA178" s="26" t="s">
        <v>5610</v>
      </c>
      <c r="AB178" s="7" t="str">
        <f aca="false">IF(AC178="Reject","Not ready",IF(Z178="Possible",IF(K178=1,"Core","Extended"),IF(K178=1,"Smoke",IF(K178=2,"Core","Extended"))))</f>
        <v>Core</v>
      </c>
      <c r="AC178" s="19" t="s">
        <v>9</v>
      </c>
      <c r="AD178" s="26" t="s">
        <v>3372</v>
      </c>
    </row>
    <row r="179" customFormat="false" ht="54.75" hidden="false" customHeight="true" outlineLevel="0" collapsed="false">
      <c r="A179" s="7" t="s">
        <v>3373</v>
      </c>
      <c r="B179" s="26" t="s">
        <v>3374</v>
      </c>
      <c r="C179" s="7" t="s">
        <v>40</v>
      </c>
      <c r="D179" s="7" t="s">
        <v>36</v>
      </c>
      <c r="E179" s="7" t="s">
        <v>3375</v>
      </c>
      <c r="F179" s="26" t="s">
        <v>3376</v>
      </c>
      <c r="G179" s="26" t="s">
        <v>3377</v>
      </c>
      <c r="H179" s="26" t="s">
        <v>3378</v>
      </c>
      <c r="I179" s="7" t="s">
        <v>51</v>
      </c>
      <c r="J179" s="15" t="s">
        <v>18</v>
      </c>
      <c r="K179" s="18" t="n">
        <v>2</v>
      </c>
      <c r="L179" s="7" t="s">
        <v>62</v>
      </c>
      <c r="M179" s="26" t="s">
        <v>1265</v>
      </c>
      <c r="N179" s="26" t="s">
        <v>130</v>
      </c>
      <c r="O179" s="26" t="s">
        <v>3379</v>
      </c>
      <c r="P179" s="26" t="s">
        <v>3380</v>
      </c>
      <c r="Q179" s="26" t="s">
        <v>3381</v>
      </c>
      <c r="R179" s="7" t="s">
        <v>134</v>
      </c>
      <c r="S179" s="26" t="s">
        <v>3382</v>
      </c>
      <c r="T179" s="7" t="s">
        <v>136</v>
      </c>
      <c r="U179" s="7" t="s">
        <v>3383</v>
      </c>
      <c r="V179" s="26" t="s">
        <v>3364</v>
      </c>
      <c r="W179" s="26" t="s">
        <v>160</v>
      </c>
      <c r="X179" s="7" t="s">
        <v>45</v>
      </c>
      <c r="Y179" s="26" t="s">
        <v>4396</v>
      </c>
      <c r="Z179" s="7" t="s">
        <v>93</v>
      </c>
      <c r="AA179" s="26" t="s">
        <v>5610</v>
      </c>
      <c r="AB179" s="7" t="str">
        <f aca="false">IF(AC179="Reject","Not ready",IF(Z179="Possible",IF(K179=1,"Core","Extended"),IF(K179=1,"Smoke",IF(K179=2,"Core","Extended"))))</f>
        <v>Core</v>
      </c>
      <c r="AC179" s="19" t="s">
        <v>9</v>
      </c>
      <c r="AD179" s="26" t="s">
        <v>3384</v>
      </c>
    </row>
    <row r="180" customFormat="false" ht="54.75" hidden="false" customHeight="true" outlineLevel="0" collapsed="false">
      <c r="A180" s="7" t="s">
        <v>3385</v>
      </c>
      <c r="B180" s="26" t="s">
        <v>3374</v>
      </c>
      <c r="C180" s="7" t="s">
        <v>40</v>
      </c>
      <c r="D180" s="7" t="s">
        <v>36</v>
      </c>
      <c r="E180" s="7" t="s">
        <v>3375</v>
      </c>
      <c r="F180" s="26" t="s">
        <v>3376</v>
      </c>
      <c r="G180" s="26" t="s">
        <v>3386</v>
      </c>
      <c r="H180" s="26" t="s">
        <v>3387</v>
      </c>
      <c r="I180" s="7" t="s">
        <v>51</v>
      </c>
      <c r="J180" s="15" t="s">
        <v>18</v>
      </c>
      <c r="K180" s="18" t="n">
        <v>2</v>
      </c>
      <c r="L180" s="7" t="s">
        <v>62</v>
      </c>
      <c r="M180" s="26" t="s">
        <v>3388</v>
      </c>
      <c r="N180" s="26" t="s">
        <v>130</v>
      </c>
      <c r="O180" s="26" t="s">
        <v>3389</v>
      </c>
      <c r="P180" s="26" t="s">
        <v>3390</v>
      </c>
      <c r="Q180" s="26" t="s">
        <v>3391</v>
      </c>
      <c r="R180" s="7" t="s">
        <v>134</v>
      </c>
      <c r="S180" s="26" t="s">
        <v>3382</v>
      </c>
      <c r="T180" s="7" t="s">
        <v>136</v>
      </c>
      <c r="U180" s="7" t="s">
        <v>3383</v>
      </c>
      <c r="V180" s="26" t="s">
        <v>3364</v>
      </c>
      <c r="W180" s="26" t="s">
        <v>160</v>
      </c>
      <c r="X180" s="7" t="s">
        <v>45</v>
      </c>
      <c r="Y180" s="26" t="s">
        <v>4396</v>
      </c>
      <c r="Z180" s="7" t="s">
        <v>93</v>
      </c>
      <c r="AA180" s="26" t="s">
        <v>5610</v>
      </c>
      <c r="AB180" s="7" t="str">
        <f aca="false">IF(AC180="Reject","Not ready",IF(Z180="Possible",IF(K180=1,"Core","Extended"),IF(K180=1,"Smoke",IF(K180=2,"Core","Extended"))))</f>
        <v>Core</v>
      </c>
      <c r="AC180" s="19" t="s">
        <v>9</v>
      </c>
      <c r="AD180" s="26" t="s">
        <v>3392</v>
      </c>
    </row>
    <row r="181" customFormat="false" ht="42" hidden="false" customHeight="true" outlineLevel="0" collapsed="false">
      <c r="A181" s="7" t="s">
        <v>3393</v>
      </c>
      <c r="B181" s="26" t="s">
        <v>3394</v>
      </c>
      <c r="C181" s="7" t="s">
        <v>40</v>
      </c>
      <c r="D181" s="7" t="s">
        <v>100</v>
      </c>
      <c r="E181" s="7" t="s">
        <v>3395</v>
      </c>
      <c r="F181" s="26" t="s">
        <v>3396</v>
      </c>
      <c r="G181" s="26" t="s">
        <v>3397</v>
      </c>
      <c r="H181" s="26" t="s">
        <v>3398</v>
      </c>
      <c r="I181" s="7" t="s">
        <v>57</v>
      </c>
      <c r="J181" s="15" t="s">
        <v>17</v>
      </c>
      <c r="K181" s="18" t="n">
        <v>2</v>
      </c>
      <c r="L181" s="7" t="s">
        <v>62</v>
      </c>
      <c r="M181" s="26" t="s">
        <v>3399</v>
      </c>
      <c r="N181" s="26" t="s">
        <v>130</v>
      </c>
      <c r="O181" s="26" t="s">
        <v>3400</v>
      </c>
      <c r="P181" s="26" t="s">
        <v>3401</v>
      </c>
      <c r="Q181" s="26" t="s">
        <v>3402</v>
      </c>
      <c r="R181" s="7" t="s">
        <v>134</v>
      </c>
      <c r="S181" s="26" t="s">
        <v>3403</v>
      </c>
      <c r="T181" s="7" t="s">
        <v>300</v>
      </c>
      <c r="U181" s="7" t="s">
        <v>3404</v>
      </c>
      <c r="V181" s="26" t="s">
        <v>3364</v>
      </c>
      <c r="W181" s="26" t="s">
        <v>160</v>
      </c>
      <c r="X181" s="7" t="s">
        <v>45</v>
      </c>
      <c r="Y181" s="26" t="s">
        <v>4396</v>
      </c>
      <c r="Z181" s="7" t="s">
        <v>93</v>
      </c>
      <c r="AA181" s="26" t="s">
        <v>5610</v>
      </c>
      <c r="AB181" s="7" t="str">
        <f aca="false">IF(AC181="Reject","Not ready",IF(Z181="Possible",IF(K181=1,"Core","Extended"),IF(K181=1,"Smoke",IF(K181=2,"Core","Extended"))))</f>
        <v>Core</v>
      </c>
      <c r="AC181" s="19" t="s">
        <v>9</v>
      </c>
      <c r="AD181" s="26" t="s">
        <v>3405</v>
      </c>
    </row>
    <row r="182" customFormat="false" ht="42" hidden="false" customHeight="true" outlineLevel="0" collapsed="false">
      <c r="A182" s="7" t="s">
        <v>3406</v>
      </c>
      <c r="B182" s="26" t="s">
        <v>3394</v>
      </c>
      <c r="C182" s="7" t="s">
        <v>40</v>
      </c>
      <c r="D182" s="7" t="s">
        <v>100</v>
      </c>
      <c r="E182" s="7" t="s">
        <v>3395</v>
      </c>
      <c r="F182" s="26" t="s">
        <v>3396</v>
      </c>
      <c r="G182" s="26" t="s">
        <v>3407</v>
      </c>
      <c r="H182" s="26" t="s">
        <v>3408</v>
      </c>
      <c r="I182" s="7" t="s">
        <v>57</v>
      </c>
      <c r="J182" s="15" t="s">
        <v>17</v>
      </c>
      <c r="K182" s="18" t="n">
        <v>2</v>
      </c>
      <c r="L182" s="7" t="s">
        <v>63</v>
      </c>
      <c r="M182" s="26" t="s">
        <v>3399</v>
      </c>
      <c r="N182" s="26" t="s">
        <v>130</v>
      </c>
      <c r="O182" s="26" t="s">
        <v>3409</v>
      </c>
      <c r="P182" s="26" t="s">
        <v>3410</v>
      </c>
      <c r="Q182" s="26" t="s">
        <v>3411</v>
      </c>
      <c r="R182" s="7" t="s">
        <v>134</v>
      </c>
      <c r="S182" s="26" t="s">
        <v>3403</v>
      </c>
      <c r="T182" s="7" t="s">
        <v>300</v>
      </c>
      <c r="U182" s="7" t="s">
        <v>3404</v>
      </c>
      <c r="V182" s="26" t="s">
        <v>3364</v>
      </c>
      <c r="W182" s="26" t="s">
        <v>160</v>
      </c>
      <c r="X182" s="7" t="s">
        <v>45</v>
      </c>
      <c r="Y182" s="26" t="s">
        <v>4396</v>
      </c>
      <c r="Z182" s="7" t="s">
        <v>93</v>
      </c>
      <c r="AA182" s="26" t="s">
        <v>5610</v>
      </c>
      <c r="AB182" s="7" t="str">
        <f aca="false">IF(AC182="Reject","Not ready",IF(Z182="Possible",IF(K182=1,"Core","Extended"),IF(K182=1,"Smoke",IF(K182=2,"Core","Extended"))))</f>
        <v>Core</v>
      </c>
      <c r="AC182" s="19" t="s">
        <v>9</v>
      </c>
      <c r="AD182" s="26" t="s">
        <v>3412</v>
      </c>
    </row>
    <row r="183" customFormat="false" ht="54.75" hidden="false" customHeight="true" outlineLevel="0" collapsed="false">
      <c r="A183" s="7" t="s">
        <v>819</v>
      </c>
      <c r="B183" s="26" t="s">
        <v>820</v>
      </c>
      <c r="C183" s="7" t="s">
        <v>39</v>
      </c>
      <c r="D183" s="7" t="s">
        <v>101</v>
      </c>
      <c r="E183" s="7" t="s">
        <v>821</v>
      </c>
      <c r="F183" s="26" t="s">
        <v>822</v>
      </c>
      <c r="G183" s="26" t="s">
        <v>823</v>
      </c>
      <c r="H183" s="26" t="s">
        <v>824</v>
      </c>
      <c r="I183" s="7" t="s">
        <v>48</v>
      </c>
      <c r="J183" s="15" t="s">
        <v>17</v>
      </c>
      <c r="K183" s="16" t="n">
        <v>1</v>
      </c>
      <c r="L183" s="7" t="s">
        <v>64</v>
      </c>
      <c r="M183" s="26" t="s">
        <v>825</v>
      </c>
      <c r="N183" s="26" t="s">
        <v>130</v>
      </c>
      <c r="O183" s="26" t="s">
        <v>826</v>
      </c>
      <c r="P183" s="26" t="s">
        <v>827</v>
      </c>
      <c r="Q183" s="26" t="s">
        <v>828</v>
      </c>
      <c r="R183" s="7" t="s">
        <v>134</v>
      </c>
      <c r="S183" s="26" t="s">
        <v>829</v>
      </c>
      <c r="T183" s="7" t="s">
        <v>256</v>
      </c>
      <c r="U183" s="7" t="s">
        <v>830</v>
      </c>
      <c r="V183" s="26" t="s">
        <v>809</v>
      </c>
      <c r="W183" s="26" t="s">
        <v>160</v>
      </c>
      <c r="X183" s="7" t="s">
        <v>44</v>
      </c>
      <c r="Y183" s="26" t="s">
        <v>4443</v>
      </c>
      <c r="Z183" s="7" t="s">
        <v>93</v>
      </c>
      <c r="AA183" s="26" t="s">
        <v>5612</v>
      </c>
      <c r="AB183" s="7" t="str">
        <f aca="false">IF(AC183="Reject","Not ready",IF(Z183="Possible",IF(K183=1,"Core","Extended"),IF(K183=1,"Smoke",IF(K183=2,"Core","Extended"))))</f>
        <v>Smoke</v>
      </c>
      <c r="AC183" s="19" t="s">
        <v>9</v>
      </c>
      <c r="AD183" s="26" t="s">
        <v>831</v>
      </c>
    </row>
    <row r="184" customFormat="false" ht="42" hidden="false" customHeight="true" outlineLevel="0" collapsed="false">
      <c r="A184" s="7" t="s">
        <v>832</v>
      </c>
      <c r="B184" s="26" t="s">
        <v>820</v>
      </c>
      <c r="C184" s="7" t="s">
        <v>39</v>
      </c>
      <c r="D184" s="7" t="s">
        <v>101</v>
      </c>
      <c r="E184" s="7" t="s">
        <v>821</v>
      </c>
      <c r="F184" s="26" t="s">
        <v>822</v>
      </c>
      <c r="G184" s="26" t="s">
        <v>833</v>
      </c>
      <c r="H184" s="26" t="s">
        <v>834</v>
      </c>
      <c r="I184" s="7" t="s">
        <v>51</v>
      </c>
      <c r="J184" s="15" t="s">
        <v>17</v>
      </c>
      <c r="K184" s="16" t="n">
        <v>1</v>
      </c>
      <c r="L184" s="7" t="s">
        <v>62</v>
      </c>
      <c r="M184" s="26" t="s">
        <v>835</v>
      </c>
      <c r="N184" s="26" t="s">
        <v>130</v>
      </c>
      <c r="O184" s="26" t="s">
        <v>836</v>
      </c>
      <c r="P184" s="26" t="s">
        <v>837</v>
      </c>
      <c r="Q184" s="26" t="s">
        <v>838</v>
      </c>
      <c r="R184" s="7" t="s">
        <v>134</v>
      </c>
      <c r="S184" s="26" t="s">
        <v>829</v>
      </c>
      <c r="T184" s="7" t="s">
        <v>136</v>
      </c>
      <c r="U184" s="7" t="s">
        <v>830</v>
      </c>
      <c r="V184" s="26" t="s">
        <v>809</v>
      </c>
      <c r="W184" s="26" t="s">
        <v>160</v>
      </c>
      <c r="X184" s="7" t="s">
        <v>44</v>
      </c>
      <c r="Y184" s="26" t="s">
        <v>4443</v>
      </c>
      <c r="Z184" s="7" t="s">
        <v>93</v>
      </c>
      <c r="AA184" s="26" t="s">
        <v>5612</v>
      </c>
      <c r="AB184" s="7" t="str">
        <f aca="false">IF(AC184="Reject","Not ready",IF(Z184="Possible",IF(K184=1,"Core","Extended"),IF(K184=1,"Smoke",IF(K184=2,"Core","Extended"))))</f>
        <v>Smoke</v>
      </c>
      <c r="AC184" s="19" t="s">
        <v>9</v>
      </c>
      <c r="AD184" s="26" t="s">
        <v>839</v>
      </c>
    </row>
    <row r="185" customFormat="false" ht="54.75" hidden="false" customHeight="true" outlineLevel="0" collapsed="false">
      <c r="A185" s="7" t="s">
        <v>902</v>
      </c>
      <c r="B185" s="26" t="s">
        <v>903</v>
      </c>
      <c r="C185" s="7" t="s">
        <v>39</v>
      </c>
      <c r="D185" s="7" t="s">
        <v>101</v>
      </c>
      <c r="E185" s="7" t="s">
        <v>904</v>
      </c>
      <c r="F185" s="26" t="s">
        <v>905</v>
      </c>
      <c r="G185" s="26" t="s">
        <v>906</v>
      </c>
      <c r="H185" s="26" t="s">
        <v>907</v>
      </c>
      <c r="I185" s="7" t="s">
        <v>57</v>
      </c>
      <c r="J185" s="15" t="s">
        <v>18</v>
      </c>
      <c r="K185" s="18" t="n">
        <v>2</v>
      </c>
      <c r="L185" s="7" t="s">
        <v>62</v>
      </c>
      <c r="M185" s="26" t="s">
        <v>908</v>
      </c>
      <c r="N185" s="26" t="s">
        <v>130</v>
      </c>
      <c r="O185" s="26" t="s">
        <v>177</v>
      </c>
      <c r="P185" s="26" t="s">
        <v>909</v>
      </c>
      <c r="Q185" s="26" t="s">
        <v>910</v>
      </c>
      <c r="R185" s="7" t="s">
        <v>134</v>
      </c>
      <c r="S185" s="26" t="s">
        <v>911</v>
      </c>
      <c r="T185" s="7" t="s">
        <v>269</v>
      </c>
      <c r="U185" s="7" t="s">
        <v>912</v>
      </c>
      <c r="V185" s="26" t="s">
        <v>913</v>
      </c>
      <c r="W185" s="26" t="s">
        <v>160</v>
      </c>
      <c r="X185" s="7" t="s">
        <v>44</v>
      </c>
      <c r="Y185" s="26" t="s">
        <v>4443</v>
      </c>
      <c r="Z185" s="7" t="s">
        <v>93</v>
      </c>
      <c r="AA185" s="26" t="s">
        <v>5612</v>
      </c>
      <c r="AB185" s="7" t="str">
        <f aca="false">IF(AC185="Reject","Not ready",IF(Z185="Possible",IF(K185=1,"Core","Extended"),IF(K185=1,"Smoke",IF(K185=2,"Core","Extended"))))</f>
        <v>Core</v>
      </c>
      <c r="AC185" s="19" t="s">
        <v>9</v>
      </c>
      <c r="AD185" s="26" t="s">
        <v>914</v>
      </c>
    </row>
    <row r="186" customFormat="false" ht="42" hidden="false" customHeight="true" outlineLevel="0" collapsed="false">
      <c r="A186" s="7" t="s">
        <v>915</v>
      </c>
      <c r="B186" s="26" t="s">
        <v>903</v>
      </c>
      <c r="C186" s="7" t="s">
        <v>39</v>
      </c>
      <c r="D186" s="7" t="s">
        <v>101</v>
      </c>
      <c r="E186" s="7" t="s">
        <v>904</v>
      </c>
      <c r="F186" s="26" t="s">
        <v>905</v>
      </c>
      <c r="G186" s="26" t="s">
        <v>916</v>
      </c>
      <c r="H186" s="26" t="s">
        <v>917</v>
      </c>
      <c r="I186" s="7" t="s">
        <v>57</v>
      </c>
      <c r="J186" s="15" t="s">
        <v>18</v>
      </c>
      <c r="K186" s="18" t="n">
        <v>2</v>
      </c>
      <c r="L186" s="7" t="s">
        <v>63</v>
      </c>
      <c r="M186" s="26" t="s">
        <v>918</v>
      </c>
      <c r="N186" s="26" t="s">
        <v>176</v>
      </c>
      <c r="O186" s="26" t="s">
        <v>558</v>
      </c>
      <c r="P186" s="26" t="s">
        <v>919</v>
      </c>
      <c r="Q186" s="26" t="s">
        <v>920</v>
      </c>
      <c r="R186" s="7" t="s">
        <v>134</v>
      </c>
      <c r="S186" s="26" t="s">
        <v>911</v>
      </c>
      <c r="T186" s="7" t="s">
        <v>269</v>
      </c>
      <c r="U186" s="7" t="s">
        <v>912</v>
      </c>
      <c r="V186" s="26" t="s">
        <v>913</v>
      </c>
      <c r="W186" s="26" t="s">
        <v>160</v>
      </c>
      <c r="X186" s="7" t="s">
        <v>44</v>
      </c>
      <c r="Y186" s="26" t="s">
        <v>4443</v>
      </c>
      <c r="Z186" s="7" t="s">
        <v>93</v>
      </c>
      <c r="AA186" s="26" t="s">
        <v>5612</v>
      </c>
      <c r="AB186" s="7" t="str">
        <f aca="false">IF(AC186="Reject","Not ready",IF(Z186="Possible",IF(K186=1,"Core","Extended"),IF(K186=1,"Smoke",IF(K186=2,"Core","Extended"))))</f>
        <v>Core</v>
      </c>
      <c r="AC186" s="19" t="s">
        <v>9</v>
      </c>
      <c r="AD186" s="26" t="s">
        <v>921</v>
      </c>
    </row>
    <row r="187" customFormat="false" ht="42" hidden="false" customHeight="true" outlineLevel="0" collapsed="false">
      <c r="A187" s="7" t="s">
        <v>2653</v>
      </c>
      <c r="B187" s="26" t="s">
        <v>2654</v>
      </c>
      <c r="C187" s="7" t="s">
        <v>39</v>
      </c>
      <c r="D187" s="7" t="s">
        <v>101</v>
      </c>
      <c r="E187" s="7" t="s">
        <v>2655</v>
      </c>
      <c r="F187" s="26" t="s">
        <v>2656</v>
      </c>
      <c r="G187" s="26" t="s">
        <v>2657</v>
      </c>
      <c r="H187" s="26" t="s">
        <v>2658</v>
      </c>
      <c r="I187" s="7" t="s">
        <v>51</v>
      </c>
      <c r="J187" s="15" t="s">
        <v>17</v>
      </c>
      <c r="K187" s="16" t="n">
        <v>1</v>
      </c>
      <c r="L187" s="7" t="s">
        <v>62</v>
      </c>
      <c r="M187" s="26" t="s">
        <v>2659</v>
      </c>
      <c r="N187" s="26" t="s">
        <v>130</v>
      </c>
      <c r="O187" s="26" t="s">
        <v>2660</v>
      </c>
      <c r="P187" s="26" t="s">
        <v>2661</v>
      </c>
      <c r="Q187" s="26" t="s">
        <v>2662</v>
      </c>
      <c r="R187" s="7" t="s">
        <v>134</v>
      </c>
      <c r="S187" s="26" t="s">
        <v>2663</v>
      </c>
      <c r="T187" s="7" t="s">
        <v>136</v>
      </c>
      <c r="U187" s="7" t="s">
        <v>2664</v>
      </c>
      <c r="V187" s="26" t="s">
        <v>913</v>
      </c>
      <c r="W187" s="26" t="s">
        <v>160</v>
      </c>
      <c r="X187" s="7" t="s">
        <v>44</v>
      </c>
      <c r="Y187" s="26" t="s">
        <v>4443</v>
      </c>
      <c r="Z187" s="7" t="s">
        <v>93</v>
      </c>
      <c r="AA187" s="26" t="s">
        <v>5612</v>
      </c>
      <c r="AB187" s="7" t="str">
        <f aca="false">IF(AC187="Reject","Not ready",IF(Z187="Possible",IF(K187=1,"Core","Extended"),IF(K187=1,"Smoke",IF(K187=2,"Core","Extended"))))</f>
        <v>Smoke</v>
      </c>
      <c r="AC187" s="19" t="s">
        <v>9</v>
      </c>
      <c r="AD187" s="26" t="s">
        <v>2665</v>
      </c>
    </row>
    <row r="188" customFormat="false" ht="42" hidden="false" customHeight="true" outlineLevel="0" collapsed="false">
      <c r="A188" s="7" t="s">
        <v>2666</v>
      </c>
      <c r="B188" s="26" t="s">
        <v>2654</v>
      </c>
      <c r="C188" s="7" t="s">
        <v>39</v>
      </c>
      <c r="D188" s="7" t="s">
        <v>101</v>
      </c>
      <c r="E188" s="7" t="s">
        <v>2655</v>
      </c>
      <c r="F188" s="26" t="s">
        <v>2656</v>
      </c>
      <c r="G188" s="26" t="s">
        <v>2667</v>
      </c>
      <c r="H188" s="26" t="s">
        <v>2668</v>
      </c>
      <c r="I188" s="7" t="s">
        <v>51</v>
      </c>
      <c r="J188" s="15" t="s">
        <v>18</v>
      </c>
      <c r="K188" s="18" t="n">
        <v>2</v>
      </c>
      <c r="L188" s="7" t="s">
        <v>62</v>
      </c>
      <c r="M188" s="26" t="s">
        <v>2669</v>
      </c>
      <c r="N188" s="26" t="s">
        <v>130</v>
      </c>
      <c r="O188" s="26" t="s">
        <v>2670</v>
      </c>
      <c r="P188" s="26" t="s">
        <v>2671</v>
      </c>
      <c r="Q188" s="26" t="s">
        <v>2672</v>
      </c>
      <c r="R188" s="7" t="s">
        <v>134</v>
      </c>
      <c r="S188" s="26" t="s">
        <v>2663</v>
      </c>
      <c r="T188" s="7" t="s">
        <v>136</v>
      </c>
      <c r="U188" s="7" t="s">
        <v>2664</v>
      </c>
      <c r="V188" s="26" t="s">
        <v>913</v>
      </c>
      <c r="W188" s="26" t="s">
        <v>160</v>
      </c>
      <c r="X188" s="7" t="s">
        <v>44</v>
      </c>
      <c r="Y188" s="26" t="s">
        <v>4443</v>
      </c>
      <c r="Z188" s="7" t="s">
        <v>93</v>
      </c>
      <c r="AA188" s="26" t="s">
        <v>5612</v>
      </c>
      <c r="AB188" s="7" t="str">
        <f aca="false">IF(AC188="Reject","Not ready",IF(Z188="Possible",IF(K188=1,"Core","Extended"),IF(K188=1,"Smoke",IF(K188=2,"Core","Extended"))))</f>
        <v>Core</v>
      </c>
      <c r="AC188" s="19" t="s">
        <v>9</v>
      </c>
      <c r="AD188" s="26" t="s">
        <v>2673</v>
      </c>
    </row>
    <row r="189" customFormat="false" ht="67.5" hidden="false" customHeight="true" outlineLevel="0" collapsed="false">
      <c r="A189" s="7" t="s">
        <v>2674</v>
      </c>
      <c r="B189" s="26" t="s">
        <v>2675</v>
      </c>
      <c r="C189" s="7" t="s">
        <v>39</v>
      </c>
      <c r="D189" s="7" t="s">
        <v>101</v>
      </c>
      <c r="E189" s="7" t="s">
        <v>2676</v>
      </c>
      <c r="F189" s="26" t="s">
        <v>2677</v>
      </c>
      <c r="G189" s="26" t="s">
        <v>2678</v>
      </c>
      <c r="H189" s="26" t="s">
        <v>2679</v>
      </c>
      <c r="I189" s="7" t="s">
        <v>48</v>
      </c>
      <c r="J189" s="15" t="s">
        <v>17</v>
      </c>
      <c r="K189" s="16" t="n">
        <v>1</v>
      </c>
      <c r="L189" s="7" t="s">
        <v>64</v>
      </c>
      <c r="M189" s="26" t="s">
        <v>2680</v>
      </c>
      <c r="N189" s="26" t="s">
        <v>130</v>
      </c>
      <c r="O189" s="26" t="s">
        <v>2681</v>
      </c>
      <c r="P189" s="26" t="s">
        <v>2682</v>
      </c>
      <c r="Q189" s="26" t="s">
        <v>2683</v>
      </c>
      <c r="R189" s="7" t="s">
        <v>134</v>
      </c>
      <c r="S189" s="26" t="s">
        <v>2684</v>
      </c>
      <c r="T189" s="7" t="s">
        <v>256</v>
      </c>
      <c r="U189" s="7" t="s">
        <v>2685</v>
      </c>
      <c r="V189" s="26" t="s">
        <v>913</v>
      </c>
      <c r="W189" s="26" t="s">
        <v>160</v>
      </c>
      <c r="X189" s="7" t="s">
        <v>44</v>
      </c>
      <c r="Y189" s="26" t="s">
        <v>4443</v>
      </c>
      <c r="Z189" s="7" t="s">
        <v>93</v>
      </c>
      <c r="AA189" s="26" t="s">
        <v>5612</v>
      </c>
      <c r="AB189" s="7" t="str">
        <f aca="false">IF(AC189="Reject","Not ready",IF(Z189="Possible",IF(K189=1,"Core","Extended"),IF(K189=1,"Smoke",IF(K189=2,"Core","Extended"))))</f>
        <v>Smoke</v>
      </c>
      <c r="AC189" s="19" t="s">
        <v>9</v>
      </c>
      <c r="AD189" s="26" t="s">
        <v>2686</v>
      </c>
    </row>
    <row r="190" customFormat="false" ht="42" hidden="false" customHeight="true" outlineLevel="0" collapsed="false">
      <c r="A190" s="7" t="s">
        <v>2687</v>
      </c>
      <c r="B190" s="26" t="s">
        <v>2675</v>
      </c>
      <c r="C190" s="7" t="s">
        <v>39</v>
      </c>
      <c r="D190" s="7" t="s">
        <v>101</v>
      </c>
      <c r="E190" s="7" t="s">
        <v>2676</v>
      </c>
      <c r="F190" s="26" t="s">
        <v>2677</v>
      </c>
      <c r="G190" s="26" t="s">
        <v>2688</v>
      </c>
      <c r="H190" s="26" t="s">
        <v>2689</v>
      </c>
      <c r="I190" s="7" t="s">
        <v>48</v>
      </c>
      <c r="J190" s="15" t="s">
        <v>17</v>
      </c>
      <c r="K190" s="16" t="n">
        <v>1</v>
      </c>
      <c r="L190" s="7" t="s">
        <v>64</v>
      </c>
      <c r="M190" s="26" t="s">
        <v>2690</v>
      </c>
      <c r="N190" s="26" t="s">
        <v>176</v>
      </c>
      <c r="O190" s="26" t="s">
        <v>2691</v>
      </c>
      <c r="P190" s="26" t="s">
        <v>2692</v>
      </c>
      <c r="Q190" s="26" t="s">
        <v>2693</v>
      </c>
      <c r="R190" s="7" t="s">
        <v>134</v>
      </c>
      <c r="S190" s="26" t="s">
        <v>2684</v>
      </c>
      <c r="T190" s="7" t="s">
        <v>256</v>
      </c>
      <c r="U190" s="7" t="s">
        <v>2685</v>
      </c>
      <c r="V190" s="26" t="s">
        <v>913</v>
      </c>
      <c r="W190" s="26" t="s">
        <v>160</v>
      </c>
      <c r="X190" s="7" t="s">
        <v>44</v>
      </c>
      <c r="Y190" s="26" t="s">
        <v>4443</v>
      </c>
      <c r="Z190" s="7" t="s">
        <v>93</v>
      </c>
      <c r="AA190" s="26" t="s">
        <v>5612</v>
      </c>
      <c r="AB190" s="7" t="str">
        <f aca="false">IF(AC190="Reject","Not ready",IF(Z190="Possible",IF(K190=1,"Core","Extended"),IF(K190=1,"Smoke",IF(K190=2,"Core","Extended"))))</f>
        <v>Smoke</v>
      </c>
      <c r="AC190" s="19" t="s">
        <v>9</v>
      </c>
      <c r="AD190" s="26" t="s">
        <v>2694</v>
      </c>
    </row>
    <row r="191" customFormat="false" ht="42" hidden="false" customHeight="true" outlineLevel="0" collapsed="false">
      <c r="A191" s="7" t="s">
        <v>2869</v>
      </c>
      <c r="B191" s="26" t="s">
        <v>2870</v>
      </c>
      <c r="C191" s="7" t="s">
        <v>39</v>
      </c>
      <c r="D191" s="7" t="s">
        <v>101</v>
      </c>
      <c r="E191" s="7" t="s">
        <v>2871</v>
      </c>
      <c r="F191" s="26" t="s">
        <v>2872</v>
      </c>
      <c r="G191" s="26" t="s">
        <v>2873</v>
      </c>
      <c r="H191" s="26" t="s">
        <v>2874</v>
      </c>
      <c r="I191" s="7" t="s">
        <v>59</v>
      </c>
      <c r="J191" s="15" t="s">
        <v>17</v>
      </c>
      <c r="K191" s="16" t="n">
        <v>1</v>
      </c>
      <c r="L191" s="7" t="s">
        <v>62</v>
      </c>
      <c r="M191" s="26" t="s">
        <v>2875</v>
      </c>
      <c r="N191" s="26" t="s">
        <v>176</v>
      </c>
      <c r="O191" s="26" t="s">
        <v>453</v>
      </c>
      <c r="P191" s="26" t="s">
        <v>2876</v>
      </c>
      <c r="Q191" s="26" t="s">
        <v>2877</v>
      </c>
      <c r="R191" s="7" t="s">
        <v>134</v>
      </c>
      <c r="S191" s="26" t="s">
        <v>2878</v>
      </c>
      <c r="T191" s="7" t="s">
        <v>136</v>
      </c>
      <c r="U191" s="7" t="s">
        <v>2879</v>
      </c>
      <c r="V191" s="26" t="s">
        <v>138</v>
      </c>
      <c r="W191" s="26" t="s">
        <v>139</v>
      </c>
      <c r="X191" s="7" t="s">
        <v>45</v>
      </c>
      <c r="Y191" s="26" t="s">
        <v>4443</v>
      </c>
      <c r="Z191" s="7" t="s">
        <v>93</v>
      </c>
      <c r="AA191" s="26" t="s">
        <v>5612</v>
      </c>
      <c r="AB191" s="7" t="str">
        <f aca="false">IF(AC191="Reject","Not ready",IF(Z191="Possible",IF(K191=1,"Core","Extended"),IF(K191=1,"Smoke",IF(K191=2,"Core","Extended"))))</f>
        <v>Smoke</v>
      </c>
      <c r="AC191" s="19" t="s">
        <v>9</v>
      </c>
      <c r="AD191" s="26" t="s">
        <v>2880</v>
      </c>
    </row>
    <row r="192" customFormat="false" ht="42" hidden="false" customHeight="true" outlineLevel="0" collapsed="false">
      <c r="A192" s="7" t="s">
        <v>2881</v>
      </c>
      <c r="B192" s="26" t="s">
        <v>2870</v>
      </c>
      <c r="C192" s="7" t="s">
        <v>39</v>
      </c>
      <c r="D192" s="7" t="s">
        <v>101</v>
      </c>
      <c r="E192" s="7" t="s">
        <v>2871</v>
      </c>
      <c r="F192" s="26" t="s">
        <v>2872</v>
      </c>
      <c r="G192" s="26" t="s">
        <v>2882</v>
      </c>
      <c r="H192" s="26" t="s">
        <v>2883</v>
      </c>
      <c r="I192" s="7" t="s">
        <v>52</v>
      </c>
      <c r="J192" s="15" t="s">
        <v>18</v>
      </c>
      <c r="K192" s="18" t="n">
        <v>2</v>
      </c>
      <c r="L192" s="7" t="s">
        <v>65</v>
      </c>
      <c r="M192" s="26" t="s">
        <v>2259</v>
      </c>
      <c r="N192" s="26" t="s">
        <v>176</v>
      </c>
      <c r="O192" s="26" t="s">
        <v>453</v>
      </c>
      <c r="P192" s="26" t="s">
        <v>2884</v>
      </c>
      <c r="Q192" s="26" t="s">
        <v>2885</v>
      </c>
      <c r="R192" s="7" t="s">
        <v>134</v>
      </c>
      <c r="S192" s="26" t="s">
        <v>2878</v>
      </c>
      <c r="T192" s="7" t="s">
        <v>136</v>
      </c>
      <c r="U192" s="7" t="s">
        <v>2879</v>
      </c>
      <c r="V192" s="26" t="s">
        <v>616</v>
      </c>
      <c r="W192" s="26" t="s">
        <v>139</v>
      </c>
      <c r="X192" s="7" t="s">
        <v>45</v>
      </c>
      <c r="Y192" s="26" t="s">
        <v>4443</v>
      </c>
      <c r="Z192" s="7" t="s">
        <v>93</v>
      </c>
      <c r="AA192" s="26" t="s">
        <v>5612</v>
      </c>
      <c r="AB192" s="7" t="str">
        <f aca="false">IF(AC192="Reject","Not ready",IF(Z192="Possible",IF(K192=1,"Core","Extended"),IF(K192=1,"Smoke",IF(K192=2,"Core","Extended"))))</f>
        <v>Core</v>
      </c>
      <c r="AC192" s="19" t="s">
        <v>9</v>
      </c>
      <c r="AD192" s="26" t="s">
        <v>2886</v>
      </c>
    </row>
    <row r="193" customFormat="false" ht="54.75" hidden="false" customHeight="true" outlineLevel="0" collapsed="false">
      <c r="A193" s="7" t="s">
        <v>562</v>
      </c>
      <c r="B193" s="26" t="s">
        <v>563</v>
      </c>
      <c r="C193" s="7" t="s">
        <v>40</v>
      </c>
      <c r="D193" s="7" t="s">
        <v>100</v>
      </c>
      <c r="E193" s="7" t="s">
        <v>564</v>
      </c>
      <c r="F193" s="26" t="s">
        <v>565</v>
      </c>
      <c r="G193" s="26" t="s">
        <v>566</v>
      </c>
      <c r="H193" s="26" t="s">
        <v>567</v>
      </c>
      <c r="I193" s="7" t="s">
        <v>48</v>
      </c>
      <c r="J193" s="15" t="s">
        <v>16</v>
      </c>
      <c r="K193" s="16" t="n">
        <v>1</v>
      </c>
      <c r="L193" s="7" t="s">
        <v>64</v>
      </c>
      <c r="M193" s="26" t="s">
        <v>568</v>
      </c>
      <c r="N193" s="26" t="s">
        <v>130</v>
      </c>
      <c r="O193" s="26" t="s">
        <v>569</v>
      </c>
      <c r="P193" s="26" t="s">
        <v>570</v>
      </c>
      <c r="Q193" s="26" t="s">
        <v>571</v>
      </c>
      <c r="R193" s="7" t="s">
        <v>134</v>
      </c>
      <c r="S193" s="26" t="s">
        <v>572</v>
      </c>
      <c r="T193" s="7" t="s">
        <v>256</v>
      </c>
      <c r="U193" s="7" t="s">
        <v>573</v>
      </c>
      <c r="V193" s="26" t="s">
        <v>574</v>
      </c>
      <c r="W193" s="26" t="s">
        <v>160</v>
      </c>
      <c r="X193" s="7" t="s">
        <v>44</v>
      </c>
      <c r="Y193" s="26" t="s">
        <v>4443</v>
      </c>
      <c r="Z193" s="7" t="s">
        <v>93</v>
      </c>
      <c r="AA193" s="26" t="s">
        <v>5612</v>
      </c>
      <c r="AB193" s="7" t="str">
        <f aca="false">IF(AC193="Reject","Not ready",IF(Z193="Possible",IF(K193=1,"Core","Extended"),IF(K193=1,"Smoke",IF(K193=2,"Core","Extended"))))</f>
        <v>Smoke</v>
      </c>
      <c r="AC193" s="19" t="s">
        <v>9</v>
      </c>
      <c r="AD193" s="26" t="s">
        <v>575</v>
      </c>
    </row>
    <row r="194" customFormat="false" ht="54.75" hidden="false" customHeight="true" outlineLevel="0" collapsed="false">
      <c r="A194" s="7" t="s">
        <v>576</v>
      </c>
      <c r="B194" s="26" t="s">
        <v>563</v>
      </c>
      <c r="C194" s="7" t="s">
        <v>40</v>
      </c>
      <c r="D194" s="7" t="s">
        <v>100</v>
      </c>
      <c r="E194" s="7" t="s">
        <v>564</v>
      </c>
      <c r="F194" s="26" t="s">
        <v>565</v>
      </c>
      <c r="G194" s="26" t="s">
        <v>577</v>
      </c>
      <c r="H194" s="26" t="s">
        <v>578</v>
      </c>
      <c r="I194" s="7" t="s">
        <v>48</v>
      </c>
      <c r="J194" s="15" t="s">
        <v>16</v>
      </c>
      <c r="K194" s="16" t="n">
        <v>1</v>
      </c>
      <c r="L194" s="7" t="s">
        <v>64</v>
      </c>
      <c r="M194" s="26" t="s">
        <v>568</v>
      </c>
      <c r="N194" s="26" t="s">
        <v>130</v>
      </c>
      <c r="O194" s="26" t="s">
        <v>579</v>
      </c>
      <c r="P194" s="26" t="s">
        <v>580</v>
      </c>
      <c r="Q194" s="26" t="s">
        <v>581</v>
      </c>
      <c r="R194" s="7" t="s">
        <v>134</v>
      </c>
      <c r="S194" s="26" t="s">
        <v>572</v>
      </c>
      <c r="T194" s="7" t="s">
        <v>256</v>
      </c>
      <c r="U194" s="7" t="s">
        <v>573</v>
      </c>
      <c r="V194" s="26" t="s">
        <v>138</v>
      </c>
      <c r="W194" s="26" t="s">
        <v>160</v>
      </c>
      <c r="X194" s="7" t="s">
        <v>44</v>
      </c>
      <c r="Y194" s="26" t="s">
        <v>4443</v>
      </c>
      <c r="Z194" s="7" t="s">
        <v>93</v>
      </c>
      <c r="AA194" s="26" t="s">
        <v>5612</v>
      </c>
      <c r="AB194" s="7" t="str">
        <f aca="false">IF(AC194="Reject","Not ready",IF(Z194="Possible",IF(K194=1,"Core","Extended"),IF(K194=1,"Smoke",IF(K194=2,"Core","Extended"))))</f>
        <v>Smoke</v>
      </c>
      <c r="AC194" s="17" t="s">
        <v>7</v>
      </c>
      <c r="AD194" s="26" t="s">
        <v>582</v>
      </c>
    </row>
    <row r="195" customFormat="false" ht="54.75" hidden="false" customHeight="true" outlineLevel="0" collapsed="false">
      <c r="A195" s="7" t="s">
        <v>583</v>
      </c>
      <c r="B195" s="26" t="s">
        <v>563</v>
      </c>
      <c r="C195" s="7" t="s">
        <v>40</v>
      </c>
      <c r="D195" s="7" t="s">
        <v>100</v>
      </c>
      <c r="E195" s="7" t="s">
        <v>564</v>
      </c>
      <c r="F195" s="26" t="s">
        <v>565</v>
      </c>
      <c r="G195" s="26" t="s">
        <v>584</v>
      </c>
      <c r="H195" s="26" t="s">
        <v>585</v>
      </c>
      <c r="I195" s="7" t="s">
        <v>54</v>
      </c>
      <c r="J195" s="15" t="s">
        <v>16</v>
      </c>
      <c r="K195" s="16" t="n">
        <v>1</v>
      </c>
      <c r="L195" s="7" t="s">
        <v>63</v>
      </c>
      <c r="M195" s="26" t="s">
        <v>568</v>
      </c>
      <c r="N195" s="26" t="s">
        <v>130</v>
      </c>
      <c r="O195" s="26" t="s">
        <v>586</v>
      </c>
      <c r="P195" s="26" t="s">
        <v>587</v>
      </c>
      <c r="Q195" s="26" t="s">
        <v>581</v>
      </c>
      <c r="R195" s="7" t="s">
        <v>134</v>
      </c>
      <c r="S195" s="26" t="s">
        <v>572</v>
      </c>
      <c r="T195" s="7" t="s">
        <v>269</v>
      </c>
      <c r="U195" s="7" t="s">
        <v>573</v>
      </c>
      <c r="V195" s="26" t="s">
        <v>138</v>
      </c>
      <c r="W195" s="26" t="s">
        <v>160</v>
      </c>
      <c r="X195" s="7" t="s">
        <v>44</v>
      </c>
      <c r="Y195" s="26" t="s">
        <v>4443</v>
      </c>
      <c r="Z195" s="7" t="s">
        <v>93</v>
      </c>
      <c r="AA195" s="26" t="s">
        <v>5612</v>
      </c>
      <c r="AB195" s="7" t="str">
        <f aca="false">IF(AC195="Reject","Not ready",IF(Z195="Possible",IF(K195=1,"Core","Extended"),IF(K195=1,"Smoke",IF(K195=2,"Core","Extended"))))</f>
        <v>Smoke</v>
      </c>
      <c r="AC195" s="17" t="s">
        <v>7</v>
      </c>
      <c r="AD195" s="26" t="s">
        <v>588</v>
      </c>
    </row>
    <row r="196" customFormat="false" ht="42" hidden="false" customHeight="true" outlineLevel="0" collapsed="false">
      <c r="A196" s="7" t="s">
        <v>589</v>
      </c>
      <c r="B196" s="26" t="s">
        <v>590</v>
      </c>
      <c r="C196" s="7" t="s">
        <v>40</v>
      </c>
      <c r="D196" s="7" t="s">
        <v>100</v>
      </c>
      <c r="E196" s="7" t="s">
        <v>591</v>
      </c>
      <c r="F196" s="26" t="s">
        <v>592</v>
      </c>
      <c r="G196" s="26" t="s">
        <v>593</v>
      </c>
      <c r="H196" s="26" t="s">
        <v>594</v>
      </c>
      <c r="I196" s="7" t="s">
        <v>59</v>
      </c>
      <c r="J196" s="15" t="s">
        <v>17</v>
      </c>
      <c r="K196" s="18" t="n">
        <v>2</v>
      </c>
      <c r="L196" s="7" t="s">
        <v>62</v>
      </c>
      <c r="M196" s="26" t="s">
        <v>595</v>
      </c>
      <c r="N196" s="26" t="s">
        <v>130</v>
      </c>
      <c r="O196" s="26" t="s">
        <v>453</v>
      </c>
      <c r="P196" s="26" t="s">
        <v>596</v>
      </c>
      <c r="Q196" s="26" t="s">
        <v>597</v>
      </c>
      <c r="R196" s="7" t="s">
        <v>134</v>
      </c>
      <c r="S196" s="26" t="s">
        <v>598</v>
      </c>
      <c r="T196" s="7" t="s">
        <v>136</v>
      </c>
      <c r="U196" s="7" t="s">
        <v>599</v>
      </c>
      <c r="V196" s="26" t="s">
        <v>138</v>
      </c>
      <c r="W196" s="26" t="s">
        <v>139</v>
      </c>
      <c r="X196" s="7" t="s">
        <v>45</v>
      </c>
      <c r="Y196" s="26" t="s">
        <v>4443</v>
      </c>
      <c r="Z196" s="7" t="s">
        <v>93</v>
      </c>
      <c r="AA196" s="26" t="s">
        <v>5612</v>
      </c>
      <c r="AB196" s="7" t="str">
        <f aca="false">IF(AC196="Reject","Not ready",IF(Z196="Possible",IF(K196=1,"Core","Extended"),IF(K196=1,"Smoke",IF(K196=2,"Core","Extended"))))</f>
        <v>Core</v>
      </c>
      <c r="AC196" s="19" t="s">
        <v>9</v>
      </c>
      <c r="AD196" s="26" t="s">
        <v>600</v>
      </c>
    </row>
    <row r="197" customFormat="false" ht="42" hidden="false" customHeight="true" outlineLevel="0" collapsed="false">
      <c r="A197" s="7" t="s">
        <v>601</v>
      </c>
      <c r="B197" s="26" t="s">
        <v>590</v>
      </c>
      <c r="C197" s="7" t="s">
        <v>40</v>
      </c>
      <c r="D197" s="7" t="s">
        <v>100</v>
      </c>
      <c r="E197" s="7" t="s">
        <v>591</v>
      </c>
      <c r="F197" s="26" t="s">
        <v>592</v>
      </c>
      <c r="G197" s="26" t="s">
        <v>602</v>
      </c>
      <c r="H197" s="26" t="s">
        <v>603</v>
      </c>
      <c r="I197" s="7" t="s">
        <v>54</v>
      </c>
      <c r="J197" s="15" t="s">
        <v>17</v>
      </c>
      <c r="K197" s="18" t="n">
        <v>2</v>
      </c>
      <c r="L197" s="7" t="s">
        <v>63</v>
      </c>
      <c r="M197" s="26" t="s">
        <v>604</v>
      </c>
      <c r="N197" s="26" t="s">
        <v>130</v>
      </c>
      <c r="O197" s="26" t="s">
        <v>605</v>
      </c>
      <c r="P197" s="26" t="s">
        <v>606</v>
      </c>
      <c r="Q197" s="26" t="s">
        <v>607</v>
      </c>
      <c r="R197" s="7" t="s">
        <v>134</v>
      </c>
      <c r="S197" s="26" t="s">
        <v>598</v>
      </c>
      <c r="T197" s="7" t="s">
        <v>136</v>
      </c>
      <c r="U197" s="7" t="s">
        <v>599</v>
      </c>
      <c r="V197" s="26" t="s">
        <v>138</v>
      </c>
      <c r="W197" s="26" t="s">
        <v>139</v>
      </c>
      <c r="X197" s="7" t="s">
        <v>45</v>
      </c>
      <c r="Y197" s="26" t="s">
        <v>4443</v>
      </c>
      <c r="Z197" s="7" t="s">
        <v>93</v>
      </c>
      <c r="AA197" s="26" t="s">
        <v>5612</v>
      </c>
      <c r="AB197" s="7" t="str">
        <f aca="false">IF(AC197="Reject","Not ready",IF(Z197="Possible",IF(K197=1,"Core","Extended"),IF(K197=1,"Smoke",IF(K197=2,"Core","Extended"))))</f>
        <v>Core</v>
      </c>
      <c r="AC197" s="19" t="s">
        <v>9</v>
      </c>
      <c r="AD197" s="26" t="s">
        <v>608</v>
      </c>
    </row>
    <row r="198" customFormat="false" ht="54.75" hidden="false" customHeight="true" outlineLevel="0" collapsed="false">
      <c r="A198" s="7" t="s">
        <v>609</v>
      </c>
      <c r="B198" s="26" t="s">
        <v>590</v>
      </c>
      <c r="C198" s="7" t="s">
        <v>40</v>
      </c>
      <c r="D198" s="7" t="s">
        <v>100</v>
      </c>
      <c r="E198" s="7" t="s">
        <v>591</v>
      </c>
      <c r="F198" s="26" t="s">
        <v>592</v>
      </c>
      <c r="G198" s="26" t="s">
        <v>610</v>
      </c>
      <c r="H198" s="26" t="s">
        <v>611</v>
      </c>
      <c r="I198" s="7" t="s">
        <v>52</v>
      </c>
      <c r="J198" s="15" t="s">
        <v>17</v>
      </c>
      <c r="K198" s="18" t="n">
        <v>2</v>
      </c>
      <c r="L198" s="7" t="s">
        <v>65</v>
      </c>
      <c r="M198" s="26" t="s">
        <v>612</v>
      </c>
      <c r="N198" s="26" t="s">
        <v>130</v>
      </c>
      <c r="O198" s="26" t="s">
        <v>613</v>
      </c>
      <c r="P198" s="26" t="s">
        <v>614</v>
      </c>
      <c r="Q198" s="26" t="s">
        <v>615</v>
      </c>
      <c r="R198" s="7" t="s">
        <v>134</v>
      </c>
      <c r="S198" s="26" t="s">
        <v>598</v>
      </c>
      <c r="T198" s="7" t="s">
        <v>136</v>
      </c>
      <c r="U198" s="7" t="s">
        <v>599</v>
      </c>
      <c r="V198" s="26" t="s">
        <v>616</v>
      </c>
      <c r="W198" s="26" t="s">
        <v>160</v>
      </c>
      <c r="X198" s="7" t="s">
        <v>45</v>
      </c>
      <c r="Y198" s="26" t="s">
        <v>4443</v>
      </c>
      <c r="Z198" s="7" t="s">
        <v>93</v>
      </c>
      <c r="AA198" s="26" t="s">
        <v>5612</v>
      </c>
      <c r="AB198" s="7" t="str">
        <f aca="false">IF(AC198="Reject","Not ready",IF(Z198="Possible",IF(K198=1,"Core","Extended"),IF(K198=1,"Smoke",IF(K198=2,"Core","Extended"))))</f>
        <v>Core</v>
      </c>
      <c r="AC198" s="19" t="s">
        <v>9</v>
      </c>
      <c r="AD198" s="26" t="s">
        <v>617</v>
      </c>
    </row>
    <row r="199" customFormat="false" ht="54.75" hidden="false" customHeight="true" outlineLevel="0" collapsed="false">
      <c r="A199" s="7" t="s">
        <v>148</v>
      </c>
      <c r="B199" s="26" t="s">
        <v>149</v>
      </c>
      <c r="C199" s="7" t="s">
        <v>38</v>
      </c>
      <c r="D199" s="7" t="s">
        <v>99</v>
      </c>
      <c r="E199" s="7" t="s">
        <v>150</v>
      </c>
      <c r="F199" s="26" t="s">
        <v>151</v>
      </c>
      <c r="G199" s="26" t="s">
        <v>152</v>
      </c>
      <c r="H199" s="26" t="s">
        <v>153</v>
      </c>
      <c r="I199" s="7" t="s">
        <v>53</v>
      </c>
      <c r="J199" s="15" t="s">
        <v>16</v>
      </c>
      <c r="K199" s="18" t="n">
        <v>2</v>
      </c>
      <c r="L199" s="7" t="s">
        <v>62</v>
      </c>
      <c r="M199" s="26" t="s">
        <v>154</v>
      </c>
      <c r="N199" s="26" t="s">
        <v>130</v>
      </c>
      <c r="O199" s="26" t="s">
        <v>155</v>
      </c>
      <c r="P199" s="26" t="s">
        <v>156</v>
      </c>
      <c r="Q199" s="26" t="s">
        <v>157</v>
      </c>
      <c r="R199" s="7" t="s">
        <v>134</v>
      </c>
      <c r="S199" s="26" t="s">
        <v>158</v>
      </c>
      <c r="T199" s="7" t="s">
        <v>136</v>
      </c>
      <c r="U199" s="7" t="s">
        <v>159</v>
      </c>
      <c r="V199" s="26" t="s">
        <v>138</v>
      </c>
      <c r="W199" s="26" t="s">
        <v>160</v>
      </c>
      <c r="X199" s="7" t="s">
        <v>44</v>
      </c>
      <c r="Y199" s="26" t="s">
        <v>4388</v>
      </c>
      <c r="Z199" s="19" t="s">
        <v>94</v>
      </c>
      <c r="AA199" s="26" t="s">
        <v>5613</v>
      </c>
      <c r="AB199" s="7" t="str">
        <f aca="false">IF(AC199="Reject","Not ready",IF(Z199="Possible",IF(K199=1,"Core","Extended"),IF(K199=1,"Smoke",IF(K199=2,"Core","Extended"))))</f>
        <v>Extended</v>
      </c>
      <c r="AC199" s="17" t="s">
        <v>7</v>
      </c>
      <c r="AD199" s="26" t="s">
        <v>161</v>
      </c>
    </row>
    <row r="200" customFormat="false" ht="54.75" hidden="false" customHeight="true" outlineLevel="0" collapsed="false">
      <c r="A200" s="7" t="s">
        <v>162</v>
      </c>
      <c r="B200" s="26" t="s">
        <v>149</v>
      </c>
      <c r="C200" s="7" t="s">
        <v>38</v>
      </c>
      <c r="D200" s="7" t="s">
        <v>99</v>
      </c>
      <c r="E200" s="7" t="s">
        <v>150</v>
      </c>
      <c r="F200" s="26" t="s">
        <v>151</v>
      </c>
      <c r="G200" s="26" t="s">
        <v>163</v>
      </c>
      <c r="H200" s="26" t="s">
        <v>164</v>
      </c>
      <c r="I200" s="7" t="s">
        <v>54</v>
      </c>
      <c r="J200" s="15" t="s">
        <v>16</v>
      </c>
      <c r="K200" s="18" t="n">
        <v>2</v>
      </c>
      <c r="L200" s="7" t="s">
        <v>63</v>
      </c>
      <c r="M200" s="26" t="s">
        <v>154</v>
      </c>
      <c r="N200" s="26" t="s">
        <v>130</v>
      </c>
      <c r="O200" s="26" t="s">
        <v>165</v>
      </c>
      <c r="P200" s="26" t="s">
        <v>166</v>
      </c>
      <c r="Q200" s="26" t="s">
        <v>167</v>
      </c>
      <c r="R200" s="7" t="s">
        <v>134</v>
      </c>
      <c r="S200" s="26" t="s">
        <v>158</v>
      </c>
      <c r="T200" s="7" t="s">
        <v>136</v>
      </c>
      <c r="U200" s="7" t="s">
        <v>159</v>
      </c>
      <c r="V200" s="26" t="s">
        <v>146</v>
      </c>
      <c r="W200" s="26" t="s">
        <v>160</v>
      </c>
      <c r="X200" s="7" t="s">
        <v>44</v>
      </c>
      <c r="Y200" s="26" t="s">
        <v>4388</v>
      </c>
      <c r="Z200" s="19" t="s">
        <v>94</v>
      </c>
      <c r="AA200" s="26" t="s">
        <v>5613</v>
      </c>
      <c r="AB200" s="7" t="str">
        <f aca="false">IF(AC200="Reject","Not ready",IF(Z200="Possible",IF(K200=1,"Core","Extended"),IF(K200=1,"Smoke",IF(K200=2,"Core","Extended"))))</f>
        <v>Extended</v>
      </c>
      <c r="AC200" s="19" t="s">
        <v>9</v>
      </c>
      <c r="AD200" s="26" t="s">
        <v>168</v>
      </c>
    </row>
    <row r="201" customFormat="false" ht="54.75" hidden="false" customHeight="true" outlineLevel="0" collapsed="false">
      <c r="A201" s="7" t="s">
        <v>1290</v>
      </c>
      <c r="B201" s="26" t="s">
        <v>1291</v>
      </c>
      <c r="C201" s="7" t="s">
        <v>38</v>
      </c>
      <c r="D201" s="7" t="s">
        <v>99</v>
      </c>
      <c r="E201" s="7" t="s">
        <v>1292</v>
      </c>
      <c r="F201" s="26" t="s">
        <v>1293</v>
      </c>
      <c r="G201" s="26" t="s">
        <v>1294</v>
      </c>
      <c r="H201" s="26" t="s">
        <v>1295</v>
      </c>
      <c r="I201" s="7" t="s">
        <v>56</v>
      </c>
      <c r="J201" s="15" t="s">
        <v>16</v>
      </c>
      <c r="K201" s="18" t="n">
        <v>2</v>
      </c>
      <c r="L201" s="7" t="s">
        <v>62</v>
      </c>
      <c r="M201" s="26" t="s">
        <v>1296</v>
      </c>
      <c r="N201" s="26" t="s">
        <v>130</v>
      </c>
      <c r="O201" s="26" t="s">
        <v>1297</v>
      </c>
      <c r="P201" s="26" t="s">
        <v>1298</v>
      </c>
      <c r="Q201" s="26" t="s">
        <v>1299</v>
      </c>
      <c r="R201" s="7" t="s">
        <v>134</v>
      </c>
      <c r="S201" s="26" t="s">
        <v>1300</v>
      </c>
      <c r="T201" s="7" t="s">
        <v>136</v>
      </c>
      <c r="U201" s="7" t="s">
        <v>1301</v>
      </c>
      <c r="V201" s="26" t="s">
        <v>138</v>
      </c>
      <c r="W201" s="26" t="s">
        <v>160</v>
      </c>
      <c r="X201" s="7" t="s">
        <v>44</v>
      </c>
      <c r="Y201" s="26" t="s">
        <v>4388</v>
      </c>
      <c r="Z201" s="19" t="s">
        <v>94</v>
      </c>
      <c r="AA201" s="26" t="s">
        <v>5614</v>
      </c>
      <c r="AB201" s="7" t="str">
        <f aca="false">IF(AC201="Reject","Not ready",IF(Z201="Possible",IF(K201=1,"Core","Extended"),IF(K201=1,"Smoke",IF(K201=2,"Core","Extended"))))</f>
        <v>Extended</v>
      </c>
      <c r="AC201" s="17" t="s">
        <v>7</v>
      </c>
      <c r="AD201" s="26" t="s">
        <v>1302</v>
      </c>
    </row>
    <row r="202" customFormat="false" ht="54.75" hidden="false" customHeight="true" outlineLevel="0" collapsed="false">
      <c r="A202" s="7" t="s">
        <v>1303</v>
      </c>
      <c r="B202" s="26" t="s">
        <v>1291</v>
      </c>
      <c r="C202" s="7" t="s">
        <v>38</v>
      </c>
      <c r="D202" s="7" t="s">
        <v>99</v>
      </c>
      <c r="E202" s="7" t="s">
        <v>1292</v>
      </c>
      <c r="F202" s="26" t="s">
        <v>1293</v>
      </c>
      <c r="G202" s="26" t="s">
        <v>1304</v>
      </c>
      <c r="H202" s="26" t="s">
        <v>1305</v>
      </c>
      <c r="I202" s="7" t="s">
        <v>54</v>
      </c>
      <c r="J202" s="15" t="s">
        <v>16</v>
      </c>
      <c r="K202" s="18" t="n">
        <v>2</v>
      </c>
      <c r="L202" s="7" t="s">
        <v>63</v>
      </c>
      <c r="M202" s="26" t="s">
        <v>1306</v>
      </c>
      <c r="N202" s="26" t="s">
        <v>176</v>
      </c>
      <c r="O202" s="26" t="s">
        <v>1307</v>
      </c>
      <c r="P202" s="26" t="s">
        <v>1308</v>
      </c>
      <c r="Q202" s="26" t="s">
        <v>1309</v>
      </c>
      <c r="R202" s="7" t="s">
        <v>134</v>
      </c>
      <c r="S202" s="26" t="s">
        <v>1300</v>
      </c>
      <c r="T202" s="7" t="s">
        <v>136</v>
      </c>
      <c r="U202" s="7" t="s">
        <v>1301</v>
      </c>
      <c r="V202" s="26" t="s">
        <v>1310</v>
      </c>
      <c r="W202" s="26" t="s">
        <v>160</v>
      </c>
      <c r="X202" s="7" t="s">
        <v>44</v>
      </c>
      <c r="Y202" s="26" t="s">
        <v>4388</v>
      </c>
      <c r="Z202" s="19" t="s">
        <v>94</v>
      </c>
      <c r="AA202" s="26" t="s">
        <v>5614</v>
      </c>
      <c r="AB202" s="7" t="str">
        <f aca="false">IF(AC202="Reject","Not ready",IF(Z202="Possible",IF(K202=1,"Core","Extended"),IF(K202=1,"Smoke",IF(K202=2,"Core","Extended"))))</f>
        <v>Extended</v>
      </c>
      <c r="AC202" s="19" t="s">
        <v>9</v>
      </c>
      <c r="AD202" s="26" t="s">
        <v>1311</v>
      </c>
    </row>
    <row r="203" customFormat="false" ht="93" hidden="false" customHeight="true" outlineLevel="0" collapsed="false">
      <c r="A203" s="7" t="s">
        <v>1312</v>
      </c>
      <c r="B203" s="26" t="s">
        <v>1313</v>
      </c>
      <c r="C203" s="7" t="s">
        <v>38</v>
      </c>
      <c r="D203" s="7" t="s">
        <v>99</v>
      </c>
      <c r="E203" s="7" t="s">
        <v>1314</v>
      </c>
      <c r="F203" s="26" t="s">
        <v>1315</v>
      </c>
      <c r="G203" s="26" t="s">
        <v>1316</v>
      </c>
      <c r="H203" s="26" t="s">
        <v>1317</v>
      </c>
      <c r="I203" s="7" t="s">
        <v>49</v>
      </c>
      <c r="J203" s="15" t="s">
        <v>16</v>
      </c>
      <c r="K203" s="16" t="n">
        <v>1</v>
      </c>
      <c r="L203" s="7" t="s">
        <v>62</v>
      </c>
      <c r="M203" s="26" t="s">
        <v>1086</v>
      </c>
      <c r="N203" s="26" t="s">
        <v>130</v>
      </c>
      <c r="O203" s="26" t="s">
        <v>1318</v>
      </c>
      <c r="P203" s="26" t="s">
        <v>1319</v>
      </c>
      <c r="Q203" s="26" t="s">
        <v>1320</v>
      </c>
      <c r="R203" s="7" t="s">
        <v>134</v>
      </c>
      <c r="S203" s="26" t="s">
        <v>1321</v>
      </c>
      <c r="T203" s="7" t="s">
        <v>269</v>
      </c>
      <c r="U203" s="7" t="s">
        <v>1322</v>
      </c>
      <c r="V203" s="26" t="s">
        <v>1323</v>
      </c>
      <c r="W203" s="26" t="s">
        <v>160</v>
      </c>
      <c r="X203" s="7" t="s">
        <v>44</v>
      </c>
      <c r="Y203" s="26" t="s">
        <v>4388</v>
      </c>
      <c r="Z203" s="19" t="s">
        <v>94</v>
      </c>
      <c r="AA203" s="26" t="s">
        <v>5615</v>
      </c>
      <c r="AB203" s="7" t="str">
        <f aca="false">IF(AC203="Reject","Not ready",IF(Z203="Possible",IF(K203=1,"Core","Extended"),IF(K203=1,"Smoke",IF(K203=2,"Core","Extended"))))</f>
        <v>Core</v>
      </c>
      <c r="AC203" s="19" t="s">
        <v>9</v>
      </c>
      <c r="AD203" s="26" t="s">
        <v>1324</v>
      </c>
    </row>
    <row r="204" customFormat="false" ht="54.75" hidden="false" customHeight="true" outlineLevel="0" collapsed="false">
      <c r="A204" s="7" t="s">
        <v>1325</v>
      </c>
      <c r="B204" s="26" t="s">
        <v>1313</v>
      </c>
      <c r="C204" s="7" t="s">
        <v>38</v>
      </c>
      <c r="D204" s="7" t="s">
        <v>99</v>
      </c>
      <c r="E204" s="7" t="s">
        <v>1314</v>
      </c>
      <c r="F204" s="26" t="s">
        <v>1315</v>
      </c>
      <c r="G204" s="26" t="s">
        <v>1326</v>
      </c>
      <c r="H204" s="26" t="s">
        <v>1327</v>
      </c>
      <c r="I204" s="7" t="s">
        <v>54</v>
      </c>
      <c r="J204" s="15" t="s">
        <v>16</v>
      </c>
      <c r="K204" s="16" t="n">
        <v>1</v>
      </c>
      <c r="L204" s="7" t="s">
        <v>63</v>
      </c>
      <c r="M204" s="26" t="s">
        <v>1086</v>
      </c>
      <c r="N204" s="26" t="s">
        <v>130</v>
      </c>
      <c r="O204" s="26" t="s">
        <v>1318</v>
      </c>
      <c r="P204" s="26" t="s">
        <v>1328</v>
      </c>
      <c r="Q204" s="26" t="s">
        <v>1329</v>
      </c>
      <c r="R204" s="7" t="s">
        <v>134</v>
      </c>
      <c r="S204" s="26" t="s">
        <v>1321</v>
      </c>
      <c r="T204" s="7" t="s">
        <v>269</v>
      </c>
      <c r="U204" s="7" t="s">
        <v>1322</v>
      </c>
      <c r="V204" s="26" t="s">
        <v>1323</v>
      </c>
      <c r="W204" s="26" t="s">
        <v>160</v>
      </c>
      <c r="X204" s="7" t="s">
        <v>44</v>
      </c>
      <c r="Y204" s="26" t="s">
        <v>4388</v>
      </c>
      <c r="Z204" s="19" t="s">
        <v>94</v>
      </c>
      <c r="AA204" s="26" t="s">
        <v>5615</v>
      </c>
      <c r="AB204" s="7" t="str">
        <f aca="false">IF(AC204="Reject","Not ready",IF(Z204="Possible",IF(K204=1,"Core","Extended"),IF(K204=1,"Smoke",IF(K204=2,"Core","Extended"))))</f>
        <v>Core</v>
      </c>
      <c r="AC204" s="19" t="s">
        <v>9</v>
      </c>
      <c r="AD204" s="26" t="s">
        <v>1330</v>
      </c>
    </row>
    <row r="205" customFormat="false" ht="67.5" hidden="false" customHeight="true" outlineLevel="0" collapsed="false">
      <c r="A205" s="7" t="s">
        <v>1331</v>
      </c>
      <c r="B205" s="26" t="s">
        <v>1313</v>
      </c>
      <c r="C205" s="7" t="s">
        <v>38</v>
      </c>
      <c r="D205" s="7" t="s">
        <v>99</v>
      </c>
      <c r="E205" s="7" t="s">
        <v>1314</v>
      </c>
      <c r="F205" s="26" t="s">
        <v>1315</v>
      </c>
      <c r="G205" s="26" t="s">
        <v>1332</v>
      </c>
      <c r="H205" s="26" t="s">
        <v>1333</v>
      </c>
      <c r="I205" s="7" t="s">
        <v>49</v>
      </c>
      <c r="J205" s="15" t="s">
        <v>16</v>
      </c>
      <c r="K205" s="18" t="n">
        <v>2</v>
      </c>
      <c r="L205" s="7" t="s">
        <v>62</v>
      </c>
      <c r="M205" s="26" t="s">
        <v>1334</v>
      </c>
      <c r="N205" s="26" t="s">
        <v>176</v>
      </c>
      <c r="O205" s="26" t="s">
        <v>1335</v>
      </c>
      <c r="P205" s="26" t="s">
        <v>1336</v>
      </c>
      <c r="Q205" s="26" t="s">
        <v>1337</v>
      </c>
      <c r="R205" s="7" t="s">
        <v>134</v>
      </c>
      <c r="S205" s="26" t="s">
        <v>1321</v>
      </c>
      <c r="T205" s="7" t="s">
        <v>269</v>
      </c>
      <c r="U205" s="7" t="s">
        <v>1322</v>
      </c>
      <c r="V205" s="26" t="s">
        <v>1323</v>
      </c>
      <c r="W205" s="26" t="s">
        <v>160</v>
      </c>
      <c r="X205" s="7" t="s">
        <v>44</v>
      </c>
      <c r="Y205" s="26" t="s">
        <v>4388</v>
      </c>
      <c r="Z205" s="19" t="s">
        <v>94</v>
      </c>
      <c r="AA205" s="26" t="s">
        <v>5615</v>
      </c>
      <c r="AB205" s="7" t="str">
        <f aca="false">IF(AC205="Reject","Not ready",IF(Z205="Possible",IF(K205=1,"Core","Extended"),IF(K205=1,"Smoke",IF(K205=2,"Core","Extended"))))</f>
        <v>Extended</v>
      </c>
      <c r="AC205" s="19" t="s">
        <v>9</v>
      </c>
      <c r="AD205" s="26" t="s">
        <v>1338</v>
      </c>
    </row>
    <row r="206" customFormat="false" ht="80.25" hidden="false" customHeight="true" outlineLevel="0" collapsed="false">
      <c r="A206" s="7" t="s">
        <v>1386</v>
      </c>
      <c r="B206" s="26" t="s">
        <v>1387</v>
      </c>
      <c r="C206" s="7" t="s">
        <v>38</v>
      </c>
      <c r="D206" s="7" t="s">
        <v>99</v>
      </c>
      <c r="E206" s="7" t="s">
        <v>1388</v>
      </c>
      <c r="F206" s="26" t="s">
        <v>1389</v>
      </c>
      <c r="G206" s="26" t="s">
        <v>1390</v>
      </c>
      <c r="H206" s="26" t="s">
        <v>1391</v>
      </c>
      <c r="I206" s="7" t="s">
        <v>57</v>
      </c>
      <c r="J206" s="15" t="s">
        <v>16</v>
      </c>
      <c r="K206" s="18" t="n">
        <v>2</v>
      </c>
      <c r="L206" s="7" t="s">
        <v>62</v>
      </c>
      <c r="M206" s="26" t="s">
        <v>1086</v>
      </c>
      <c r="N206" s="26" t="s">
        <v>130</v>
      </c>
      <c r="O206" s="26" t="s">
        <v>1392</v>
      </c>
      <c r="P206" s="26" t="s">
        <v>1393</v>
      </c>
      <c r="Q206" s="26" t="s">
        <v>1394</v>
      </c>
      <c r="R206" s="7" t="s">
        <v>134</v>
      </c>
      <c r="S206" s="26" t="s">
        <v>1395</v>
      </c>
      <c r="T206" s="7" t="s">
        <v>300</v>
      </c>
      <c r="U206" s="7" t="s">
        <v>1396</v>
      </c>
      <c r="V206" s="26" t="s">
        <v>1397</v>
      </c>
      <c r="W206" s="26" t="s">
        <v>160</v>
      </c>
      <c r="X206" s="7" t="s">
        <v>44</v>
      </c>
      <c r="Y206" s="26" t="s">
        <v>4388</v>
      </c>
      <c r="Z206" s="19" t="s">
        <v>94</v>
      </c>
      <c r="AA206" s="26" t="s">
        <v>5616</v>
      </c>
      <c r="AB206" s="7" t="str">
        <f aca="false">IF(AC206="Reject","Not ready",IF(Z206="Possible",IF(K206=1,"Core","Extended"),IF(K206=1,"Smoke",IF(K206=2,"Core","Extended"))))</f>
        <v>Extended</v>
      </c>
      <c r="AC206" s="19" t="s">
        <v>9</v>
      </c>
      <c r="AD206" s="26" t="s">
        <v>1398</v>
      </c>
    </row>
    <row r="207" customFormat="false" ht="42" hidden="false" customHeight="true" outlineLevel="0" collapsed="false">
      <c r="A207" s="7" t="s">
        <v>1399</v>
      </c>
      <c r="B207" s="26" t="s">
        <v>1387</v>
      </c>
      <c r="C207" s="7" t="s">
        <v>38</v>
      </c>
      <c r="D207" s="7" t="s">
        <v>99</v>
      </c>
      <c r="E207" s="7" t="s">
        <v>1388</v>
      </c>
      <c r="F207" s="26" t="s">
        <v>1389</v>
      </c>
      <c r="G207" s="26" t="s">
        <v>1400</v>
      </c>
      <c r="H207" s="26" t="s">
        <v>1401</v>
      </c>
      <c r="I207" s="7" t="s">
        <v>54</v>
      </c>
      <c r="J207" s="15" t="s">
        <v>17</v>
      </c>
      <c r="K207" s="19" t="n">
        <v>3</v>
      </c>
      <c r="L207" s="7" t="s">
        <v>62</v>
      </c>
      <c r="M207" s="26" t="s">
        <v>1086</v>
      </c>
      <c r="N207" s="26" t="s">
        <v>130</v>
      </c>
      <c r="O207" s="26" t="s">
        <v>1402</v>
      </c>
      <c r="P207" s="26" t="s">
        <v>1403</v>
      </c>
      <c r="Q207" s="26" t="s">
        <v>1404</v>
      </c>
      <c r="R207" s="7" t="s">
        <v>134</v>
      </c>
      <c r="S207" s="26" t="s">
        <v>1395</v>
      </c>
      <c r="T207" s="7" t="s">
        <v>136</v>
      </c>
      <c r="U207" s="7" t="s">
        <v>1396</v>
      </c>
      <c r="V207" s="26" t="s">
        <v>138</v>
      </c>
      <c r="W207" s="26" t="s">
        <v>160</v>
      </c>
      <c r="X207" s="7" t="s">
        <v>44</v>
      </c>
      <c r="Y207" s="26" t="s">
        <v>4388</v>
      </c>
      <c r="Z207" s="19" t="s">
        <v>94</v>
      </c>
      <c r="AA207" s="26" t="s">
        <v>5616</v>
      </c>
      <c r="AB207" s="7" t="str">
        <f aca="false">IF(AC207="Reject","Not ready",IF(Z207="Possible",IF(K207=1,"Core","Extended"),IF(K207=1,"Smoke",IF(K207=2,"Core","Extended"))))</f>
        <v>Extended</v>
      </c>
      <c r="AC207" s="17" t="s">
        <v>7</v>
      </c>
      <c r="AD207" s="26" t="s">
        <v>1405</v>
      </c>
    </row>
    <row r="208" customFormat="false" ht="54.75" hidden="false" customHeight="true" outlineLevel="0" collapsed="false">
      <c r="A208" s="7" t="s">
        <v>1594</v>
      </c>
      <c r="B208" s="26" t="s">
        <v>1595</v>
      </c>
      <c r="C208" s="7" t="s">
        <v>38</v>
      </c>
      <c r="D208" s="7" t="s">
        <v>99</v>
      </c>
      <c r="E208" s="7" t="s">
        <v>1596</v>
      </c>
      <c r="F208" s="26" t="s">
        <v>1597</v>
      </c>
      <c r="G208" s="26" t="s">
        <v>1598</v>
      </c>
      <c r="H208" s="26" t="s">
        <v>1599</v>
      </c>
      <c r="I208" s="7" t="s">
        <v>51</v>
      </c>
      <c r="J208" s="15" t="s">
        <v>17</v>
      </c>
      <c r="K208" s="19" t="n">
        <v>3</v>
      </c>
      <c r="L208" s="7" t="s">
        <v>62</v>
      </c>
      <c r="M208" s="26" t="s">
        <v>1600</v>
      </c>
      <c r="N208" s="26" t="s">
        <v>130</v>
      </c>
      <c r="O208" s="26" t="s">
        <v>1601</v>
      </c>
      <c r="P208" s="26" t="s">
        <v>1602</v>
      </c>
      <c r="Q208" s="26" t="s">
        <v>1603</v>
      </c>
      <c r="R208" s="7" t="s">
        <v>134</v>
      </c>
      <c r="S208" s="26" t="s">
        <v>1604</v>
      </c>
      <c r="T208" s="7" t="s">
        <v>136</v>
      </c>
      <c r="U208" s="7" t="s">
        <v>1605</v>
      </c>
      <c r="V208" s="26" t="s">
        <v>138</v>
      </c>
      <c r="W208" s="26" t="s">
        <v>160</v>
      </c>
      <c r="X208" s="7" t="s">
        <v>44</v>
      </c>
      <c r="Y208" s="26" t="s">
        <v>4388</v>
      </c>
      <c r="Z208" s="19" t="s">
        <v>94</v>
      </c>
      <c r="AA208" s="26" t="s">
        <v>5617</v>
      </c>
      <c r="AB208" s="7" t="str">
        <f aca="false">IF(AC208="Reject","Not ready",IF(Z208="Possible",IF(K208=1,"Core","Extended"),IF(K208=1,"Smoke",IF(K208=2,"Core","Extended"))))</f>
        <v>Extended</v>
      </c>
      <c r="AC208" s="17" t="s">
        <v>7</v>
      </c>
      <c r="AD208" s="26" t="s">
        <v>1606</v>
      </c>
    </row>
    <row r="209" customFormat="false" ht="54.75" hidden="false" customHeight="true" outlineLevel="0" collapsed="false">
      <c r="A209" s="7" t="s">
        <v>1743</v>
      </c>
      <c r="B209" s="26" t="s">
        <v>1744</v>
      </c>
      <c r="C209" s="7" t="s">
        <v>38</v>
      </c>
      <c r="D209" s="7" t="s">
        <v>100</v>
      </c>
      <c r="E209" s="7" t="s">
        <v>1745</v>
      </c>
      <c r="F209" s="26" t="s">
        <v>1746</v>
      </c>
      <c r="G209" s="26" t="s">
        <v>1747</v>
      </c>
      <c r="H209" s="26" t="s">
        <v>1748</v>
      </c>
      <c r="I209" s="7" t="s">
        <v>56</v>
      </c>
      <c r="J209" s="15" t="s">
        <v>17</v>
      </c>
      <c r="K209" s="18" t="n">
        <v>2</v>
      </c>
      <c r="L209" s="7" t="s">
        <v>62</v>
      </c>
      <c r="M209" s="26" t="s">
        <v>1749</v>
      </c>
      <c r="N209" s="26" t="s">
        <v>130</v>
      </c>
      <c r="O209" s="26" t="s">
        <v>1750</v>
      </c>
      <c r="P209" s="26" t="s">
        <v>1751</v>
      </c>
      <c r="Q209" s="26" t="s">
        <v>1752</v>
      </c>
      <c r="R209" s="7" t="s">
        <v>134</v>
      </c>
      <c r="S209" s="26" t="s">
        <v>1753</v>
      </c>
      <c r="T209" s="7" t="s">
        <v>136</v>
      </c>
      <c r="U209" s="7" t="s">
        <v>1754</v>
      </c>
      <c r="V209" s="26" t="s">
        <v>138</v>
      </c>
      <c r="W209" s="26" t="s">
        <v>160</v>
      </c>
      <c r="X209" s="7" t="s">
        <v>44</v>
      </c>
      <c r="Y209" s="26" t="s">
        <v>4388</v>
      </c>
      <c r="Z209" s="19" t="s">
        <v>94</v>
      </c>
      <c r="AA209" s="26" t="s">
        <v>5618</v>
      </c>
      <c r="AB209" s="7" t="str">
        <f aca="false">IF(AC209="Reject","Not ready",IF(Z209="Possible",IF(K209=1,"Core","Extended"),IF(K209=1,"Smoke",IF(K209=2,"Core","Extended"))))</f>
        <v>Extended</v>
      </c>
      <c r="AC209" s="17" t="s">
        <v>7</v>
      </c>
      <c r="AD209" s="26" t="s">
        <v>1755</v>
      </c>
    </row>
    <row r="210" customFormat="false" ht="42" hidden="false" customHeight="true" outlineLevel="0" collapsed="false">
      <c r="A210" s="7" t="s">
        <v>1756</v>
      </c>
      <c r="B210" s="26" t="s">
        <v>1744</v>
      </c>
      <c r="C210" s="7" t="s">
        <v>38</v>
      </c>
      <c r="D210" s="7" t="s">
        <v>100</v>
      </c>
      <c r="E210" s="7" t="s">
        <v>1745</v>
      </c>
      <c r="F210" s="26" t="s">
        <v>1746</v>
      </c>
      <c r="G210" s="26" t="s">
        <v>1757</v>
      </c>
      <c r="H210" s="26" t="s">
        <v>1758</v>
      </c>
      <c r="I210" s="7" t="s">
        <v>53</v>
      </c>
      <c r="J210" s="15" t="s">
        <v>17</v>
      </c>
      <c r="K210" s="18" t="n">
        <v>2</v>
      </c>
      <c r="L210" s="7" t="s">
        <v>62</v>
      </c>
      <c r="M210" s="26" t="s">
        <v>1759</v>
      </c>
      <c r="N210" s="26" t="s">
        <v>130</v>
      </c>
      <c r="O210" s="26" t="s">
        <v>1286</v>
      </c>
      <c r="P210" s="26" t="s">
        <v>1760</v>
      </c>
      <c r="Q210" s="26" t="s">
        <v>1761</v>
      </c>
      <c r="R210" s="7" t="s">
        <v>134</v>
      </c>
      <c r="S210" s="26" t="s">
        <v>1753</v>
      </c>
      <c r="T210" s="7" t="s">
        <v>136</v>
      </c>
      <c r="U210" s="7" t="s">
        <v>1754</v>
      </c>
      <c r="V210" s="26" t="s">
        <v>138</v>
      </c>
      <c r="W210" s="26" t="s">
        <v>160</v>
      </c>
      <c r="X210" s="7" t="s">
        <v>44</v>
      </c>
      <c r="Y210" s="26" t="s">
        <v>4388</v>
      </c>
      <c r="Z210" s="19" t="s">
        <v>94</v>
      </c>
      <c r="AA210" s="26" t="s">
        <v>5618</v>
      </c>
      <c r="AB210" s="7" t="str">
        <f aca="false">IF(AC210="Reject","Not ready",IF(Z210="Possible",IF(K210=1,"Core","Extended"),IF(K210=1,"Smoke",IF(K210=2,"Core","Extended"))))</f>
        <v>Extended</v>
      </c>
      <c r="AC210" s="17" t="s">
        <v>7</v>
      </c>
      <c r="AD210" s="26" t="s">
        <v>1762</v>
      </c>
    </row>
    <row r="211" customFormat="false" ht="54.75" hidden="false" customHeight="true" outlineLevel="0" collapsed="false">
      <c r="A211" s="7" t="s">
        <v>1080</v>
      </c>
      <c r="B211" s="26" t="s">
        <v>1081</v>
      </c>
      <c r="C211" s="7" t="s">
        <v>38</v>
      </c>
      <c r="D211" s="7" t="s">
        <v>99</v>
      </c>
      <c r="E211" s="7" t="s">
        <v>1082</v>
      </c>
      <c r="F211" s="26" t="s">
        <v>1083</v>
      </c>
      <c r="G211" s="26" t="s">
        <v>1084</v>
      </c>
      <c r="H211" s="26" t="s">
        <v>1085</v>
      </c>
      <c r="I211" s="7" t="s">
        <v>54</v>
      </c>
      <c r="J211" s="15" t="s">
        <v>16</v>
      </c>
      <c r="K211" s="18" t="n">
        <v>2</v>
      </c>
      <c r="L211" s="7" t="s">
        <v>63</v>
      </c>
      <c r="M211" s="26" t="s">
        <v>1086</v>
      </c>
      <c r="N211" s="26" t="s">
        <v>130</v>
      </c>
      <c r="O211" s="26" t="s">
        <v>1087</v>
      </c>
      <c r="P211" s="26" t="s">
        <v>1088</v>
      </c>
      <c r="Q211" s="26" t="s">
        <v>1089</v>
      </c>
      <c r="R211" s="7" t="s">
        <v>134</v>
      </c>
      <c r="S211" s="26" t="s">
        <v>1090</v>
      </c>
      <c r="T211" s="7" t="s">
        <v>136</v>
      </c>
      <c r="U211" s="7" t="s">
        <v>1091</v>
      </c>
      <c r="V211" s="26" t="s">
        <v>1092</v>
      </c>
      <c r="W211" s="26" t="s">
        <v>160</v>
      </c>
      <c r="X211" s="7" t="s">
        <v>44</v>
      </c>
      <c r="Y211" s="26" t="s">
        <v>4472</v>
      </c>
      <c r="Z211" s="19" t="s">
        <v>94</v>
      </c>
      <c r="AA211" s="26" t="s">
        <v>5619</v>
      </c>
      <c r="AB211" s="7" t="str">
        <f aca="false">IF(AC211="Reject","Not ready",IF(Z211="Possible",IF(K211=1,"Core","Extended"),IF(K211=1,"Smoke",IF(K211=2,"Core","Extended"))))</f>
        <v>Extended</v>
      </c>
      <c r="AC211" s="19" t="s">
        <v>9</v>
      </c>
      <c r="AD211" s="26" t="s">
        <v>1093</v>
      </c>
    </row>
    <row r="212" customFormat="false" ht="54.75" hidden="false" customHeight="true" outlineLevel="0" collapsed="false">
      <c r="A212" s="7" t="s">
        <v>1094</v>
      </c>
      <c r="B212" s="26" t="s">
        <v>1081</v>
      </c>
      <c r="C212" s="7" t="s">
        <v>38</v>
      </c>
      <c r="D212" s="7" t="s">
        <v>99</v>
      </c>
      <c r="E212" s="7" t="s">
        <v>1082</v>
      </c>
      <c r="F212" s="26" t="s">
        <v>1083</v>
      </c>
      <c r="G212" s="26" t="s">
        <v>1095</v>
      </c>
      <c r="H212" s="26" t="s">
        <v>1096</v>
      </c>
      <c r="I212" s="7" t="s">
        <v>54</v>
      </c>
      <c r="J212" s="15" t="s">
        <v>16</v>
      </c>
      <c r="K212" s="18" t="n">
        <v>2</v>
      </c>
      <c r="L212" s="7" t="s">
        <v>63</v>
      </c>
      <c r="M212" s="26" t="s">
        <v>1086</v>
      </c>
      <c r="N212" s="26" t="s">
        <v>130</v>
      </c>
      <c r="O212" s="26" t="s">
        <v>1097</v>
      </c>
      <c r="P212" s="26" t="s">
        <v>1098</v>
      </c>
      <c r="Q212" s="26" t="s">
        <v>1099</v>
      </c>
      <c r="R212" s="7" t="s">
        <v>134</v>
      </c>
      <c r="S212" s="26" t="s">
        <v>1090</v>
      </c>
      <c r="T212" s="7" t="s">
        <v>136</v>
      </c>
      <c r="U212" s="7" t="s">
        <v>1091</v>
      </c>
      <c r="V212" s="26" t="s">
        <v>1092</v>
      </c>
      <c r="W212" s="26" t="s">
        <v>160</v>
      </c>
      <c r="X212" s="7" t="s">
        <v>44</v>
      </c>
      <c r="Y212" s="26" t="s">
        <v>4472</v>
      </c>
      <c r="Z212" s="19" t="s">
        <v>94</v>
      </c>
      <c r="AA212" s="26" t="s">
        <v>5619</v>
      </c>
      <c r="AB212" s="7" t="str">
        <f aca="false">IF(AC212="Reject","Not ready",IF(Z212="Possible",IF(K212=1,"Core","Extended"),IF(K212=1,"Smoke",IF(K212=2,"Core","Extended"))))</f>
        <v>Extended</v>
      </c>
      <c r="AC212" s="19" t="s">
        <v>9</v>
      </c>
      <c r="AD212" s="26" t="s">
        <v>1100</v>
      </c>
    </row>
    <row r="213" customFormat="false" ht="67.5" hidden="false" customHeight="true" outlineLevel="0" collapsed="false">
      <c r="A213" s="7" t="s">
        <v>1101</v>
      </c>
      <c r="B213" s="26" t="s">
        <v>1081</v>
      </c>
      <c r="C213" s="7" t="s">
        <v>38</v>
      </c>
      <c r="D213" s="7" t="s">
        <v>99</v>
      </c>
      <c r="E213" s="7" t="s">
        <v>1082</v>
      </c>
      <c r="F213" s="26" t="s">
        <v>1083</v>
      </c>
      <c r="G213" s="26" t="s">
        <v>1102</v>
      </c>
      <c r="H213" s="26" t="s">
        <v>1103</v>
      </c>
      <c r="I213" s="7" t="s">
        <v>48</v>
      </c>
      <c r="J213" s="15" t="s">
        <v>17</v>
      </c>
      <c r="K213" s="19" t="n">
        <v>3</v>
      </c>
      <c r="L213" s="7" t="s">
        <v>64</v>
      </c>
      <c r="M213" s="26" t="s">
        <v>1104</v>
      </c>
      <c r="N213" s="26" t="s">
        <v>130</v>
      </c>
      <c r="O213" s="26" t="s">
        <v>1105</v>
      </c>
      <c r="P213" s="26" t="s">
        <v>1106</v>
      </c>
      <c r="Q213" s="26" t="s">
        <v>1107</v>
      </c>
      <c r="R213" s="7" t="s">
        <v>134</v>
      </c>
      <c r="S213" s="26" t="s">
        <v>1090</v>
      </c>
      <c r="T213" s="7" t="s">
        <v>256</v>
      </c>
      <c r="U213" s="7" t="s">
        <v>1091</v>
      </c>
      <c r="V213" s="26" t="s">
        <v>1092</v>
      </c>
      <c r="W213" s="26" t="s">
        <v>160</v>
      </c>
      <c r="X213" s="7" t="s">
        <v>44</v>
      </c>
      <c r="Y213" s="26" t="s">
        <v>4472</v>
      </c>
      <c r="Z213" s="19" t="s">
        <v>94</v>
      </c>
      <c r="AA213" s="26" t="s">
        <v>5619</v>
      </c>
      <c r="AB213" s="7" t="str">
        <f aca="false">IF(AC213="Reject","Not ready",IF(Z213="Possible",IF(K213=1,"Core","Extended"),IF(K213=1,"Smoke",IF(K213=2,"Core","Extended"))))</f>
        <v>Extended</v>
      </c>
      <c r="AC213" s="19" t="s">
        <v>9</v>
      </c>
      <c r="AD213" s="26" t="s">
        <v>1108</v>
      </c>
    </row>
    <row r="214" customFormat="false" ht="54.75" hidden="false" customHeight="true" outlineLevel="0" collapsed="false">
      <c r="A214" s="7" t="s">
        <v>1909</v>
      </c>
      <c r="B214" s="26" t="s">
        <v>1910</v>
      </c>
      <c r="C214" s="7" t="s">
        <v>38</v>
      </c>
      <c r="D214" s="7" t="s">
        <v>100</v>
      </c>
      <c r="E214" s="7" t="s">
        <v>1911</v>
      </c>
      <c r="F214" s="26" t="s">
        <v>1912</v>
      </c>
      <c r="G214" s="26" t="s">
        <v>1913</v>
      </c>
      <c r="H214" s="26" t="s">
        <v>1914</v>
      </c>
      <c r="I214" s="7" t="s">
        <v>59</v>
      </c>
      <c r="J214" s="15" t="s">
        <v>18</v>
      </c>
      <c r="K214" s="19" t="n">
        <v>3</v>
      </c>
      <c r="L214" s="7" t="s">
        <v>62</v>
      </c>
      <c r="M214" s="26" t="s">
        <v>1915</v>
      </c>
      <c r="N214" s="26" t="s">
        <v>130</v>
      </c>
      <c r="O214" s="26" t="s">
        <v>1916</v>
      </c>
      <c r="P214" s="26" t="s">
        <v>1917</v>
      </c>
      <c r="Q214" s="26" t="s">
        <v>1918</v>
      </c>
      <c r="R214" s="7" t="s">
        <v>134</v>
      </c>
      <c r="S214" s="26" t="s">
        <v>1919</v>
      </c>
      <c r="T214" s="7" t="s">
        <v>136</v>
      </c>
      <c r="U214" s="7" t="s">
        <v>1920</v>
      </c>
      <c r="V214" s="26" t="s">
        <v>1921</v>
      </c>
      <c r="W214" s="26" t="s">
        <v>160</v>
      </c>
      <c r="X214" s="7" t="s">
        <v>44</v>
      </c>
      <c r="Y214" s="26" t="s">
        <v>4472</v>
      </c>
      <c r="Z214" s="19" t="s">
        <v>94</v>
      </c>
      <c r="AA214" s="26" t="s">
        <v>5620</v>
      </c>
      <c r="AB214" s="7" t="str">
        <f aca="false">IF(AC214="Reject","Not ready",IF(Z214="Possible",IF(K214=1,"Core","Extended"),IF(K214=1,"Smoke",IF(K214=2,"Core","Extended"))))</f>
        <v>Extended</v>
      </c>
      <c r="AC214" s="19" t="s">
        <v>9</v>
      </c>
      <c r="AD214" s="26" t="s">
        <v>1922</v>
      </c>
    </row>
    <row r="215" customFormat="false" ht="54.75" hidden="false" customHeight="true" outlineLevel="0" collapsed="false">
      <c r="A215" s="7" t="s">
        <v>183</v>
      </c>
      <c r="B215" s="26" t="s">
        <v>184</v>
      </c>
      <c r="C215" s="7" t="s">
        <v>38</v>
      </c>
      <c r="D215" s="7" t="s">
        <v>99</v>
      </c>
      <c r="E215" s="7" t="s">
        <v>185</v>
      </c>
      <c r="F215" s="26" t="s">
        <v>186</v>
      </c>
      <c r="G215" s="26" t="s">
        <v>187</v>
      </c>
      <c r="H215" s="26" t="s">
        <v>188</v>
      </c>
      <c r="I215" s="7" t="s">
        <v>53</v>
      </c>
      <c r="J215" s="15" t="s">
        <v>16</v>
      </c>
      <c r="K215" s="18" t="n">
        <v>2</v>
      </c>
      <c r="L215" s="7" t="s">
        <v>62</v>
      </c>
      <c r="M215" s="26" t="s">
        <v>189</v>
      </c>
      <c r="N215" s="26" t="s">
        <v>130</v>
      </c>
      <c r="O215" s="26" t="s">
        <v>190</v>
      </c>
      <c r="P215" s="26" t="s">
        <v>191</v>
      </c>
      <c r="Q215" s="26" t="s">
        <v>192</v>
      </c>
      <c r="R215" s="7" t="s">
        <v>134</v>
      </c>
      <c r="S215" s="26" t="s">
        <v>193</v>
      </c>
      <c r="T215" s="7" t="s">
        <v>136</v>
      </c>
      <c r="U215" s="7" t="s">
        <v>194</v>
      </c>
      <c r="V215" s="26" t="s">
        <v>138</v>
      </c>
      <c r="W215" s="26" t="s">
        <v>160</v>
      </c>
      <c r="X215" s="7" t="s">
        <v>44</v>
      </c>
      <c r="Y215" s="26" t="s">
        <v>4402</v>
      </c>
      <c r="Z215" s="19" t="s">
        <v>94</v>
      </c>
      <c r="AA215" s="26" t="s">
        <v>5621</v>
      </c>
      <c r="AB215" s="7" t="str">
        <f aca="false">IF(AC215="Reject","Not ready",IF(Z215="Possible",IF(K215=1,"Core","Extended"),IF(K215=1,"Smoke",IF(K215=2,"Core","Extended"))))</f>
        <v>Extended</v>
      </c>
      <c r="AC215" s="17" t="s">
        <v>7</v>
      </c>
      <c r="AD215" s="26" t="s">
        <v>195</v>
      </c>
    </row>
    <row r="216" customFormat="false" ht="54.75" hidden="false" customHeight="true" outlineLevel="0" collapsed="false">
      <c r="A216" s="7" t="s">
        <v>196</v>
      </c>
      <c r="B216" s="26" t="s">
        <v>184</v>
      </c>
      <c r="C216" s="7" t="s">
        <v>38</v>
      </c>
      <c r="D216" s="7" t="s">
        <v>99</v>
      </c>
      <c r="E216" s="7" t="s">
        <v>185</v>
      </c>
      <c r="F216" s="26" t="s">
        <v>186</v>
      </c>
      <c r="G216" s="26" t="s">
        <v>197</v>
      </c>
      <c r="H216" s="26" t="s">
        <v>198</v>
      </c>
      <c r="I216" s="7" t="s">
        <v>53</v>
      </c>
      <c r="J216" s="15" t="s">
        <v>16</v>
      </c>
      <c r="K216" s="18" t="n">
        <v>2</v>
      </c>
      <c r="L216" s="7" t="s">
        <v>62</v>
      </c>
      <c r="M216" s="26" t="s">
        <v>189</v>
      </c>
      <c r="N216" s="26" t="s">
        <v>130</v>
      </c>
      <c r="O216" s="26" t="s">
        <v>190</v>
      </c>
      <c r="P216" s="26" t="s">
        <v>199</v>
      </c>
      <c r="Q216" s="26" t="s">
        <v>200</v>
      </c>
      <c r="R216" s="7" t="s">
        <v>134</v>
      </c>
      <c r="S216" s="26" t="s">
        <v>193</v>
      </c>
      <c r="T216" s="7" t="s">
        <v>136</v>
      </c>
      <c r="U216" s="7" t="s">
        <v>194</v>
      </c>
      <c r="V216" s="26" t="s">
        <v>138</v>
      </c>
      <c r="W216" s="26" t="s">
        <v>160</v>
      </c>
      <c r="X216" s="7" t="s">
        <v>44</v>
      </c>
      <c r="Y216" s="26" t="s">
        <v>4402</v>
      </c>
      <c r="Z216" s="19" t="s">
        <v>94</v>
      </c>
      <c r="AA216" s="26" t="s">
        <v>5621</v>
      </c>
      <c r="AB216" s="7" t="str">
        <f aca="false">IF(AC216="Reject","Not ready",IF(Z216="Possible",IF(K216=1,"Core","Extended"),IF(K216=1,"Smoke",IF(K216=2,"Core","Extended"))))</f>
        <v>Extended</v>
      </c>
      <c r="AC216" s="17" t="s">
        <v>7</v>
      </c>
      <c r="AD216" s="26" t="s">
        <v>201</v>
      </c>
    </row>
    <row r="217" customFormat="false" ht="54.75" hidden="false" customHeight="true" outlineLevel="0" collapsed="false">
      <c r="A217" s="7" t="s">
        <v>1428</v>
      </c>
      <c r="B217" s="26" t="s">
        <v>1429</v>
      </c>
      <c r="C217" s="7" t="s">
        <v>38</v>
      </c>
      <c r="D217" s="7" t="s">
        <v>99</v>
      </c>
      <c r="E217" s="7" t="s">
        <v>1430</v>
      </c>
      <c r="F217" s="26" t="s">
        <v>1431</v>
      </c>
      <c r="G217" s="26" t="s">
        <v>1432</v>
      </c>
      <c r="H217" s="26" t="s">
        <v>1433</v>
      </c>
      <c r="I217" s="7" t="s">
        <v>53</v>
      </c>
      <c r="J217" s="15" t="s">
        <v>16</v>
      </c>
      <c r="K217" s="18" t="n">
        <v>2</v>
      </c>
      <c r="L217" s="7" t="s">
        <v>62</v>
      </c>
      <c r="M217" s="26" t="s">
        <v>1434</v>
      </c>
      <c r="N217" s="26" t="s">
        <v>130</v>
      </c>
      <c r="O217" s="26" t="s">
        <v>1435</v>
      </c>
      <c r="P217" s="26" t="s">
        <v>1436</v>
      </c>
      <c r="Q217" s="26" t="s">
        <v>1437</v>
      </c>
      <c r="R217" s="7" t="s">
        <v>134</v>
      </c>
      <c r="S217" s="26" t="s">
        <v>1438</v>
      </c>
      <c r="T217" s="7" t="s">
        <v>136</v>
      </c>
      <c r="U217" s="7" t="s">
        <v>1439</v>
      </c>
      <c r="V217" s="26" t="s">
        <v>138</v>
      </c>
      <c r="W217" s="26" t="s">
        <v>160</v>
      </c>
      <c r="X217" s="7" t="s">
        <v>44</v>
      </c>
      <c r="Y217" s="26" t="s">
        <v>4402</v>
      </c>
      <c r="Z217" s="19" t="s">
        <v>94</v>
      </c>
      <c r="AA217" s="26" t="s">
        <v>5622</v>
      </c>
      <c r="AB217" s="7" t="str">
        <f aca="false">IF(AC217="Reject","Not ready",IF(Z217="Possible",IF(K217=1,"Core","Extended"),IF(K217=1,"Smoke",IF(K217=2,"Core","Extended"))))</f>
        <v>Extended</v>
      </c>
      <c r="AC217" s="17" t="s">
        <v>7</v>
      </c>
      <c r="AD217" s="26" t="s">
        <v>1440</v>
      </c>
    </row>
    <row r="218" customFormat="false" ht="54.75" hidden="false" customHeight="true" outlineLevel="0" collapsed="false">
      <c r="A218" s="7" t="s">
        <v>1441</v>
      </c>
      <c r="B218" s="26" t="s">
        <v>1429</v>
      </c>
      <c r="C218" s="7" t="s">
        <v>38</v>
      </c>
      <c r="D218" s="7" t="s">
        <v>99</v>
      </c>
      <c r="E218" s="7" t="s">
        <v>1430</v>
      </c>
      <c r="F218" s="26" t="s">
        <v>1431</v>
      </c>
      <c r="G218" s="26" t="s">
        <v>1442</v>
      </c>
      <c r="H218" s="26" t="s">
        <v>1443</v>
      </c>
      <c r="I218" s="7" t="s">
        <v>53</v>
      </c>
      <c r="J218" s="15" t="s">
        <v>16</v>
      </c>
      <c r="K218" s="18" t="n">
        <v>2</v>
      </c>
      <c r="L218" s="7" t="s">
        <v>62</v>
      </c>
      <c r="M218" s="26" t="s">
        <v>1434</v>
      </c>
      <c r="N218" s="26" t="s">
        <v>130</v>
      </c>
      <c r="O218" s="26" t="s">
        <v>1444</v>
      </c>
      <c r="P218" s="26" t="s">
        <v>1445</v>
      </c>
      <c r="Q218" s="26" t="s">
        <v>1446</v>
      </c>
      <c r="R218" s="7" t="s">
        <v>134</v>
      </c>
      <c r="S218" s="26" t="s">
        <v>1438</v>
      </c>
      <c r="T218" s="7" t="s">
        <v>136</v>
      </c>
      <c r="U218" s="7" t="s">
        <v>1439</v>
      </c>
      <c r="V218" s="26" t="s">
        <v>138</v>
      </c>
      <c r="W218" s="26" t="s">
        <v>160</v>
      </c>
      <c r="X218" s="7" t="s">
        <v>44</v>
      </c>
      <c r="Y218" s="26" t="s">
        <v>4402</v>
      </c>
      <c r="Z218" s="19" t="s">
        <v>94</v>
      </c>
      <c r="AA218" s="26" t="s">
        <v>5622</v>
      </c>
      <c r="AB218" s="7" t="str">
        <f aca="false">IF(AC218="Reject","Not ready",IF(Z218="Possible",IF(K218=1,"Core","Extended"),IF(K218=1,"Smoke",IF(K218=2,"Core","Extended"))))</f>
        <v>Extended</v>
      </c>
      <c r="AC218" s="17" t="s">
        <v>7</v>
      </c>
      <c r="AD218" s="26" t="s">
        <v>1447</v>
      </c>
    </row>
    <row r="219" customFormat="false" ht="42" hidden="false" customHeight="true" outlineLevel="0" collapsed="false">
      <c r="A219" s="7" t="s">
        <v>1627</v>
      </c>
      <c r="B219" s="26" t="s">
        <v>1628</v>
      </c>
      <c r="C219" s="7" t="s">
        <v>40</v>
      </c>
      <c r="D219" s="7" t="s">
        <v>101</v>
      </c>
      <c r="E219" s="7" t="s">
        <v>1629</v>
      </c>
      <c r="F219" s="26" t="s">
        <v>1630</v>
      </c>
      <c r="G219" s="26" t="s">
        <v>1631</v>
      </c>
      <c r="H219" s="26" t="s">
        <v>1632</v>
      </c>
      <c r="I219" s="7" t="s">
        <v>50</v>
      </c>
      <c r="J219" s="15" t="s">
        <v>19</v>
      </c>
      <c r="K219" s="19" t="n">
        <v>3</v>
      </c>
      <c r="L219" s="7" t="s">
        <v>62</v>
      </c>
      <c r="M219" s="26" t="s">
        <v>1633</v>
      </c>
      <c r="N219" s="26" t="s">
        <v>176</v>
      </c>
      <c r="O219" s="26" t="s">
        <v>379</v>
      </c>
      <c r="P219" s="26" t="s">
        <v>1634</v>
      </c>
      <c r="Q219" s="26" t="s">
        <v>1635</v>
      </c>
      <c r="R219" s="7" t="s">
        <v>134</v>
      </c>
      <c r="S219" s="26" t="s">
        <v>1636</v>
      </c>
      <c r="T219" s="7" t="s">
        <v>136</v>
      </c>
      <c r="U219" s="7" t="s">
        <v>1637</v>
      </c>
      <c r="V219" s="26" t="s">
        <v>1638</v>
      </c>
      <c r="W219" s="26" t="s">
        <v>160</v>
      </c>
      <c r="X219" s="7" t="s">
        <v>44</v>
      </c>
      <c r="Y219" s="26" t="s">
        <v>4402</v>
      </c>
      <c r="Z219" s="19" t="s">
        <v>94</v>
      </c>
      <c r="AA219" s="26" t="s">
        <v>5623</v>
      </c>
      <c r="AB219" s="7" t="str">
        <f aca="false">IF(AC219="Reject","Not ready",IF(Z219="Possible",IF(K219=1,"Core","Extended"),IF(K219=1,"Smoke",IF(K219=2,"Core","Extended"))))</f>
        <v>Extended</v>
      </c>
      <c r="AC219" s="19" t="s">
        <v>9</v>
      </c>
      <c r="AD219" s="26" t="s">
        <v>1639</v>
      </c>
    </row>
    <row r="220" customFormat="false" ht="42" hidden="false" customHeight="true" outlineLevel="0" collapsed="false">
      <c r="A220" s="7" t="s">
        <v>1640</v>
      </c>
      <c r="B220" s="26" t="s">
        <v>1628</v>
      </c>
      <c r="C220" s="7" t="s">
        <v>40</v>
      </c>
      <c r="D220" s="7" t="s">
        <v>101</v>
      </c>
      <c r="E220" s="7" t="s">
        <v>1629</v>
      </c>
      <c r="F220" s="26" t="s">
        <v>1630</v>
      </c>
      <c r="G220" s="26" t="s">
        <v>1641</v>
      </c>
      <c r="H220" s="26" t="s">
        <v>1642</v>
      </c>
      <c r="I220" s="7" t="s">
        <v>54</v>
      </c>
      <c r="J220" s="15" t="s">
        <v>19</v>
      </c>
      <c r="K220" s="21" t="n">
        <v>4</v>
      </c>
      <c r="L220" s="7" t="s">
        <v>63</v>
      </c>
      <c r="M220" s="26" t="s">
        <v>1643</v>
      </c>
      <c r="N220" s="26" t="s">
        <v>176</v>
      </c>
      <c r="O220" s="26" t="s">
        <v>1345</v>
      </c>
      <c r="P220" s="26" t="s">
        <v>1644</v>
      </c>
      <c r="Q220" s="26" t="s">
        <v>1645</v>
      </c>
      <c r="R220" s="7" t="s">
        <v>134</v>
      </c>
      <c r="S220" s="26" t="s">
        <v>1636</v>
      </c>
      <c r="T220" s="7" t="s">
        <v>136</v>
      </c>
      <c r="U220" s="7" t="s">
        <v>1637</v>
      </c>
      <c r="V220" s="26" t="s">
        <v>1638</v>
      </c>
      <c r="W220" s="26" t="s">
        <v>160</v>
      </c>
      <c r="X220" s="7" t="s">
        <v>44</v>
      </c>
      <c r="Y220" s="26" t="s">
        <v>4402</v>
      </c>
      <c r="Z220" s="19" t="s">
        <v>94</v>
      </c>
      <c r="AA220" s="26" t="s">
        <v>5623</v>
      </c>
      <c r="AB220" s="7" t="str">
        <f aca="false">IF(AC220="Reject","Not ready",IF(Z220="Possible",IF(K220=1,"Core","Extended"),IF(K220=1,"Smoke",IF(K220=2,"Core","Extended"))))</f>
        <v>Extended</v>
      </c>
      <c r="AC220" s="19" t="s">
        <v>9</v>
      </c>
      <c r="AD220" s="26" t="s">
        <v>1646</v>
      </c>
    </row>
    <row r="221" customFormat="false" ht="42" hidden="false" customHeight="true" outlineLevel="0" collapsed="false">
      <c r="A221" s="7" t="s">
        <v>1763</v>
      </c>
      <c r="B221" s="26" t="s">
        <v>1764</v>
      </c>
      <c r="C221" s="7" t="s">
        <v>38</v>
      </c>
      <c r="D221" s="7" t="s">
        <v>100</v>
      </c>
      <c r="E221" s="7" t="s">
        <v>1765</v>
      </c>
      <c r="F221" s="26" t="s">
        <v>1766</v>
      </c>
      <c r="G221" s="26" t="s">
        <v>1767</v>
      </c>
      <c r="H221" s="26" t="s">
        <v>1768</v>
      </c>
      <c r="I221" s="7" t="s">
        <v>53</v>
      </c>
      <c r="J221" s="15" t="s">
        <v>17</v>
      </c>
      <c r="K221" s="18" t="n">
        <v>2</v>
      </c>
      <c r="L221" s="7" t="s">
        <v>62</v>
      </c>
      <c r="M221" s="26" t="s">
        <v>1334</v>
      </c>
      <c r="N221" s="26" t="s">
        <v>130</v>
      </c>
      <c r="O221" s="26" t="s">
        <v>1769</v>
      </c>
      <c r="P221" s="26" t="s">
        <v>1770</v>
      </c>
      <c r="Q221" s="26" t="s">
        <v>1771</v>
      </c>
      <c r="R221" s="7" t="s">
        <v>134</v>
      </c>
      <c r="S221" s="26" t="s">
        <v>1772</v>
      </c>
      <c r="T221" s="7" t="s">
        <v>136</v>
      </c>
      <c r="U221" s="7" t="s">
        <v>1773</v>
      </c>
      <c r="V221" s="26" t="s">
        <v>1774</v>
      </c>
      <c r="W221" s="26" t="s">
        <v>160</v>
      </c>
      <c r="X221" s="7" t="s">
        <v>44</v>
      </c>
      <c r="Y221" s="26" t="s">
        <v>4402</v>
      </c>
      <c r="Z221" s="19" t="s">
        <v>94</v>
      </c>
      <c r="AA221" s="26" t="s">
        <v>5624</v>
      </c>
      <c r="AB221" s="7" t="str">
        <f aca="false">IF(AC221="Reject","Not ready",IF(Z221="Possible",IF(K221=1,"Core","Extended"),IF(K221=1,"Smoke",IF(K221=2,"Core","Extended"))))</f>
        <v>Extended</v>
      </c>
      <c r="AC221" s="19" t="s">
        <v>9</v>
      </c>
      <c r="AD221" s="26" t="s">
        <v>1775</v>
      </c>
    </row>
    <row r="222" customFormat="false" ht="42" hidden="false" customHeight="true" outlineLevel="0" collapsed="false">
      <c r="A222" s="7" t="s">
        <v>1776</v>
      </c>
      <c r="B222" s="26" t="s">
        <v>1764</v>
      </c>
      <c r="C222" s="7" t="s">
        <v>38</v>
      </c>
      <c r="D222" s="7" t="s">
        <v>100</v>
      </c>
      <c r="E222" s="7" t="s">
        <v>1765</v>
      </c>
      <c r="F222" s="26" t="s">
        <v>1766</v>
      </c>
      <c r="G222" s="26" t="s">
        <v>1777</v>
      </c>
      <c r="H222" s="26" t="s">
        <v>1778</v>
      </c>
      <c r="I222" s="7" t="s">
        <v>54</v>
      </c>
      <c r="J222" s="15" t="s">
        <v>17</v>
      </c>
      <c r="K222" s="18" t="n">
        <v>2</v>
      </c>
      <c r="L222" s="7" t="s">
        <v>63</v>
      </c>
      <c r="M222" s="26" t="s">
        <v>1334</v>
      </c>
      <c r="N222" s="26" t="s">
        <v>130</v>
      </c>
      <c r="O222" s="26" t="s">
        <v>1779</v>
      </c>
      <c r="P222" s="26" t="s">
        <v>1780</v>
      </c>
      <c r="Q222" s="26" t="s">
        <v>1781</v>
      </c>
      <c r="R222" s="7" t="s">
        <v>134</v>
      </c>
      <c r="S222" s="26" t="s">
        <v>1772</v>
      </c>
      <c r="T222" s="7" t="s">
        <v>136</v>
      </c>
      <c r="U222" s="7" t="s">
        <v>1773</v>
      </c>
      <c r="V222" s="26" t="s">
        <v>1774</v>
      </c>
      <c r="W222" s="26" t="s">
        <v>160</v>
      </c>
      <c r="X222" s="7" t="s">
        <v>44</v>
      </c>
      <c r="Y222" s="26" t="s">
        <v>4402</v>
      </c>
      <c r="Z222" s="19" t="s">
        <v>94</v>
      </c>
      <c r="AA222" s="26" t="s">
        <v>5624</v>
      </c>
      <c r="AB222" s="7" t="str">
        <f aca="false">IF(AC222="Reject","Not ready",IF(Z222="Possible",IF(K222=1,"Core","Extended"),IF(K222=1,"Smoke",IF(K222=2,"Core","Extended"))))</f>
        <v>Extended</v>
      </c>
      <c r="AC222" s="19" t="s">
        <v>9</v>
      </c>
      <c r="AD222" s="26" t="s">
        <v>1782</v>
      </c>
    </row>
    <row r="223" customFormat="false" ht="54.75" hidden="false" customHeight="true" outlineLevel="0" collapsed="false">
      <c r="A223" s="7" t="s">
        <v>1856</v>
      </c>
      <c r="B223" s="26" t="s">
        <v>1857</v>
      </c>
      <c r="C223" s="7" t="s">
        <v>38</v>
      </c>
      <c r="D223" s="7" t="s">
        <v>100</v>
      </c>
      <c r="E223" s="7" t="s">
        <v>1858</v>
      </c>
      <c r="F223" s="26" t="s">
        <v>1859</v>
      </c>
      <c r="G223" s="26" t="s">
        <v>1860</v>
      </c>
      <c r="H223" s="26" t="s">
        <v>1861</v>
      </c>
      <c r="I223" s="7" t="s">
        <v>54</v>
      </c>
      <c r="J223" s="15" t="s">
        <v>17</v>
      </c>
      <c r="K223" s="18" t="n">
        <v>2</v>
      </c>
      <c r="L223" s="7" t="s">
        <v>63</v>
      </c>
      <c r="M223" s="26" t="s">
        <v>1334</v>
      </c>
      <c r="N223" s="26" t="s">
        <v>130</v>
      </c>
      <c r="O223" s="26" t="s">
        <v>1779</v>
      </c>
      <c r="P223" s="26" t="s">
        <v>1862</v>
      </c>
      <c r="Q223" s="26" t="s">
        <v>1781</v>
      </c>
      <c r="R223" s="7" t="s">
        <v>134</v>
      </c>
      <c r="S223" s="26" t="s">
        <v>1863</v>
      </c>
      <c r="T223" s="7" t="s">
        <v>136</v>
      </c>
      <c r="U223" s="7" t="s">
        <v>1864</v>
      </c>
      <c r="V223" s="26" t="s">
        <v>1774</v>
      </c>
      <c r="W223" s="26" t="s">
        <v>160</v>
      </c>
      <c r="X223" s="7" t="s">
        <v>44</v>
      </c>
      <c r="Y223" s="26" t="s">
        <v>4402</v>
      </c>
      <c r="Z223" s="19" t="s">
        <v>94</v>
      </c>
      <c r="AA223" s="26" t="s">
        <v>5625</v>
      </c>
      <c r="AB223" s="7" t="str">
        <f aca="false">IF(AC223="Reject","Not ready",IF(Z223="Possible",IF(K223=1,"Core","Extended"),IF(K223=1,"Smoke",IF(K223=2,"Core","Extended"))))</f>
        <v>Extended</v>
      </c>
      <c r="AC223" s="19" t="s">
        <v>9</v>
      </c>
      <c r="AD223" s="26" t="s">
        <v>1865</v>
      </c>
    </row>
    <row r="224" customFormat="false" ht="67.5" hidden="false" customHeight="true" outlineLevel="0" collapsed="false">
      <c r="A224" s="7" t="s">
        <v>3156</v>
      </c>
      <c r="B224" s="26" t="s">
        <v>3157</v>
      </c>
      <c r="C224" s="7" t="s">
        <v>40</v>
      </c>
      <c r="D224" s="7" t="s">
        <v>101</v>
      </c>
      <c r="E224" s="7" t="s">
        <v>3158</v>
      </c>
      <c r="F224" s="26" t="s">
        <v>3159</v>
      </c>
      <c r="G224" s="26" t="s">
        <v>3160</v>
      </c>
      <c r="H224" s="26" t="s">
        <v>3161</v>
      </c>
      <c r="I224" s="7" t="s">
        <v>50</v>
      </c>
      <c r="J224" s="15" t="s">
        <v>18</v>
      </c>
      <c r="K224" s="18" t="n">
        <v>2</v>
      </c>
      <c r="L224" s="7" t="s">
        <v>62</v>
      </c>
      <c r="M224" s="26" t="s">
        <v>3162</v>
      </c>
      <c r="N224" s="26" t="s">
        <v>130</v>
      </c>
      <c r="O224" s="26" t="s">
        <v>177</v>
      </c>
      <c r="P224" s="26" t="s">
        <v>3163</v>
      </c>
      <c r="Q224" s="26" t="s">
        <v>3164</v>
      </c>
      <c r="R224" s="7" t="s">
        <v>134</v>
      </c>
      <c r="S224" s="26" t="s">
        <v>3165</v>
      </c>
      <c r="T224" s="7" t="s">
        <v>136</v>
      </c>
      <c r="U224" s="7" t="s">
        <v>3166</v>
      </c>
      <c r="V224" s="26" t="s">
        <v>138</v>
      </c>
      <c r="W224" s="26" t="s">
        <v>160</v>
      </c>
      <c r="X224" s="7" t="s">
        <v>44</v>
      </c>
      <c r="Y224" s="26" t="s">
        <v>4402</v>
      </c>
      <c r="Z224" s="19" t="s">
        <v>94</v>
      </c>
      <c r="AA224" s="26" t="s">
        <v>5626</v>
      </c>
      <c r="AB224" s="7" t="str">
        <f aca="false">IF(AC224="Reject","Not ready",IF(Z224="Possible",IF(K224=1,"Core","Extended"),IF(K224=1,"Smoke",IF(K224=2,"Core","Extended"))))</f>
        <v>Extended</v>
      </c>
      <c r="AC224" s="17" t="s">
        <v>7</v>
      </c>
      <c r="AD224" s="26" t="s">
        <v>3167</v>
      </c>
    </row>
    <row r="225" customFormat="false" ht="30" hidden="false" customHeight="true" outlineLevel="0" collapsed="false">
      <c r="A225" s="7" t="s">
        <v>3168</v>
      </c>
      <c r="B225" s="26" t="s">
        <v>3157</v>
      </c>
      <c r="C225" s="7" t="s">
        <v>40</v>
      </c>
      <c r="D225" s="7" t="s">
        <v>101</v>
      </c>
      <c r="E225" s="7" t="s">
        <v>3158</v>
      </c>
      <c r="F225" s="26" t="s">
        <v>3159</v>
      </c>
      <c r="G225" s="26" t="s">
        <v>3169</v>
      </c>
      <c r="H225" s="26" t="s">
        <v>3170</v>
      </c>
      <c r="I225" s="7" t="s">
        <v>54</v>
      </c>
      <c r="J225" s="15" t="s">
        <v>19</v>
      </c>
      <c r="K225" s="19" t="n">
        <v>3</v>
      </c>
      <c r="L225" s="7" t="s">
        <v>63</v>
      </c>
      <c r="M225" s="26" t="s">
        <v>3162</v>
      </c>
      <c r="N225" s="26" t="s">
        <v>176</v>
      </c>
      <c r="O225" s="26" t="s">
        <v>1345</v>
      </c>
      <c r="P225" s="26" t="s">
        <v>3171</v>
      </c>
      <c r="Q225" s="26" t="s">
        <v>3172</v>
      </c>
      <c r="R225" s="7" t="s">
        <v>134</v>
      </c>
      <c r="S225" s="26" t="s">
        <v>3165</v>
      </c>
      <c r="T225" s="7" t="s">
        <v>136</v>
      </c>
      <c r="U225" s="7" t="s">
        <v>3166</v>
      </c>
      <c r="V225" s="26" t="s">
        <v>138</v>
      </c>
      <c r="W225" s="26" t="s">
        <v>160</v>
      </c>
      <c r="X225" s="7" t="s">
        <v>44</v>
      </c>
      <c r="Y225" s="26" t="s">
        <v>4402</v>
      </c>
      <c r="Z225" s="19" t="s">
        <v>94</v>
      </c>
      <c r="AA225" s="26" t="s">
        <v>5626</v>
      </c>
      <c r="AB225" s="7" t="str">
        <f aca="false">IF(AC225="Reject","Not ready",IF(Z225="Possible",IF(K225=1,"Core","Extended"),IF(K225=1,"Smoke",IF(K225=2,"Core","Extended"))))</f>
        <v>Extended</v>
      </c>
      <c r="AC225" s="17" t="s">
        <v>7</v>
      </c>
      <c r="AD225" s="26" t="s">
        <v>3173</v>
      </c>
    </row>
    <row r="226" customFormat="false" ht="42" hidden="false" customHeight="true" outlineLevel="0" collapsed="false">
      <c r="A226" s="7" t="s">
        <v>3174</v>
      </c>
      <c r="B226" s="26" t="s">
        <v>3175</v>
      </c>
      <c r="C226" s="7" t="s">
        <v>40</v>
      </c>
      <c r="D226" s="7" t="s">
        <v>101</v>
      </c>
      <c r="E226" s="7" t="s">
        <v>3176</v>
      </c>
      <c r="F226" s="26" t="s">
        <v>3177</v>
      </c>
      <c r="G226" s="26" t="s">
        <v>3178</v>
      </c>
      <c r="H226" s="26" t="s">
        <v>3179</v>
      </c>
      <c r="I226" s="7" t="s">
        <v>51</v>
      </c>
      <c r="J226" s="27" t="s">
        <v>17</v>
      </c>
      <c r="K226" s="28" t="n">
        <v>1</v>
      </c>
      <c r="L226" s="7" t="s">
        <v>62</v>
      </c>
      <c r="M226" s="26" t="s">
        <v>3180</v>
      </c>
      <c r="N226" s="26" t="s">
        <v>130</v>
      </c>
      <c r="O226" s="26" t="s">
        <v>3181</v>
      </c>
      <c r="P226" s="26" t="s">
        <v>3182</v>
      </c>
      <c r="Q226" s="26" t="s">
        <v>3183</v>
      </c>
      <c r="R226" s="7" t="s">
        <v>134</v>
      </c>
      <c r="S226" s="26" t="s">
        <v>3184</v>
      </c>
      <c r="T226" s="7" t="s">
        <v>136</v>
      </c>
      <c r="U226" s="7" t="s">
        <v>3185</v>
      </c>
      <c r="V226" s="26" t="s">
        <v>1638</v>
      </c>
      <c r="W226" s="26" t="s">
        <v>160</v>
      </c>
      <c r="X226" s="7" t="s">
        <v>44</v>
      </c>
      <c r="Y226" s="26" t="s">
        <v>4402</v>
      </c>
      <c r="Z226" s="19" t="s">
        <v>94</v>
      </c>
      <c r="AA226" s="26" t="s">
        <v>5627</v>
      </c>
      <c r="AB226" s="7" t="str">
        <f aca="false">IF(AC226="Reject","Not ready",IF(Z226="Possible",IF(K226=1,"Core","Extended"),IF(K226=1,"Smoke",IF(K226=2,"Core","Extended"))))</f>
        <v>Core</v>
      </c>
      <c r="AC226" s="19" t="s">
        <v>9</v>
      </c>
      <c r="AD226" s="26" t="s">
        <v>3186</v>
      </c>
    </row>
    <row r="227" customFormat="false" ht="42" hidden="false" customHeight="true" outlineLevel="0" collapsed="false">
      <c r="A227" s="7" t="s">
        <v>3187</v>
      </c>
      <c r="B227" s="26" t="s">
        <v>3175</v>
      </c>
      <c r="C227" s="7" t="s">
        <v>40</v>
      </c>
      <c r="D227" s="7" t="s">
        <v>101</v>
      </c>
      <c r="E227" s="7" t="s">
        <v>3176</v>
      </c>
      <c r="F227" s="26" t="s">
        <v>3177</v>
      </c>
      <c r="G227" s="26" t="s">
        <v>3188</v>
      </c>
      <c r="H227" s="26" t="s">
        <v>3189</v>
      </c>
      <c r="I227" s="7" t="s">
        <v>48</v>
      </c>
      <c r="J227" s="15" t="s">
        <v>18</v>
      </c>
      <c r="K227" s="18" t="n">
        <v>2</v>
      </c>
      <c r="L227" s="7" t="s">
        <v>64</v>
      </c>
      <c r="M227" s="26" t="s">
        <v>3180</v>
      </c>
      <c r="N227" s="26" t="s">
        <v>130</v>
      </c>
      <c r="O227" s="26" t="s">
        <v>3190</v>
      </c>
      <c r="P227" s="26" t="s">
        <v>3191</v>
      </c>
      <c r="Q227" s="26" t="s">
        <v>3192</v>
      </c>
      <c r="R227" s="7" t="s">
        <v>134</v>
      </c>
      <c r="S227" s="26" t="s">
        <v>3184</v>
      </c>
      <c r="T227" s="7" t="s">
        <v>256</v>
      </c>
      <c r="U227" s="7" t="s">
        <v>3185</v>
      </c>
      <c r="V227" s="26" t="s">
        <v>1638</v>
      </c>
      <c r="W227" s="26" t="s">
        <v>160</v>
      </c>
      <c r="X227" s="7" t="s">
        <v>44</v>
      </c>
      <c r="Y227" s="26" t="s">
        <v>4402</v>
      </c>
      <c r="Z227" s="19" t="s">
        <v>94</v>
      </c>
      <c r="AA227" s="26" t="s">
        <v>5628</v>
      </c>
      <c r="AB227" s="7" t="str">
        <f aca="false">IF(AC227="Reject","Not ready",IF(Z227="Possible",IF(K227=1,"Core","Extended"),IF(K227=1,"Smoke",IF(K227=2,"Core","Extended"))))</f>
        <v>Extended</v>
      </c>
      <c r="AC227" s="19" t="s">
        <v>9</v>
      </c>
      <c r="AD227" s="26" t="s">
        <v>3193</v>
      </c>
    </row>
    <row r="228" customFormat="false" ht="42" hidden="false" customHeight="true" outlineLevel="0" collapsed="false">
      <c r="A228" s="7" t="s">
        <v>3233</v>
      </c>
      <c r="B228" s="26" t="s">
        <v>3234</v>
      </c>
      <c r="C228" s="7" t="s">
        <v>40</v>
      </c>
      <c r="D228" s="7" t="s">
        <v>99</v>
      </c>
      <c r="E228" s="7" t="s">
        <v>3235</v>
      </c>
      <c r="F228" s="26" t="s">
        <v>3236</v>
      </c>
      <c r="G228" s="26" t="s">
        <v>3237</v>
      </c>
      <c r="H228" s="26" t="s">
        <v>3238</v>
      </c>
      <c r="I228" s="7" t="s">
        <v>59</v>
      </c>
      <c r="J228" s="15" t="s">
        <v>16</v>
      </c>
      <c r="K228" s="18" t="n">
        <v>2</v>
      </c>
      <c r="L228" s="7" t="s">
        <v>62</v>
      </c>
      <c r="M228" s="26" t="s">
        <v>3239</v>
      </c>
      <c r="N228" s="26" t="s">
        <v>130</v>
      </c>
      <c r="O228" s="26" t="s">
        <v>3240</v>
      </c>
      <c r="P228" s="26" t="s">
        <v>3241</v>
      </c>
      <c r="Q228" s="26" t="s">
        <v>3242</v>
      </c>
      <c r="R228" s="7" t="s">
        <v>134</v>
      </c>
      <c r="S228" s="26" t="s">
        <v>3243</v>
      </c>
      <c r="T228" s="7" t="s">
        <v>136</v>
      </c>
      <c r="U228" s="7" t="s">
        <v>3244</v>
      </c>
      <c r="V228" s="26" t="s">
        <v>138</v>
      </c>
      <c r="W228" s="26" t="s">
        <v>139</v>
      </c>
      <c r="X228" s="7" t="s">
        <v>45</v>
      </c>
      <c r="Y228" s="26" t="s">
        <v>4402</v>
      </c>
      <c r="Z228" s="19" t="s">
        <v>94</v>
      </c>
      <c r="AA228" s="26" t="s">
        <v>5629</v>
      </c>
      <c r="AB228" s="7" t="str">
        <f aca="false">IF(AC228="Reject","Not ready",IF(Z228="Possible",IF(K228=1,"Core","Extended"),IF(K228=1,"Smoke",IF(K228=2,"Core","Extended"))))</f>
        <v>Extended</v>
      </c>
      <c r="AC228" s="19" t="s">
        <v>9</v>
      </c>
      <c r="AD228" s="26" t="s">
        <v>3245</v>
      </c>
    </row>
    <row r="229" customFormat="false" ht="42" hidden="false" customHeight="true" outlineLevel="0" collapsed="false">
      <c r="A229" s="7" t="s">
        <v>3246</v>
      </c>
      <c r="B229" s="26" t="s">
        <v>3234</v>
      </c>
      <c r="C229" s="7" t="s">
        <v>40</v>
      </c>
      <c r="D229" s="7" t="s">
        <v>99</v>
      </c>
      <c r="E229" s="7" t="s">
        <v>3235</v>
      </c>
      <c r="F229" s="26" t="s">
        <v>3236</v>
      </c>
      <c r="G229" s="26" t="s">
        <v>3247</v>
      </c>
      <c r="H229" s="26" t="s">
        <v>3248</v>
      </c>
      <c r="I229" s="7" t="s">
        <v>59</v>
      </c>
      <c r="J229" s="15" t="s">
        <v>16</v>
      </c>
      <c r="K229" s="18" t="n">
        <v>2</v>
      </c>
      <c r="L229" s="7" t="s">
        <v>62</v>
      </c>
      <c r="M229" s="26" t="s">
        <v>3249</v>
      </c>
      <c r="N229" s="26" t="s">
        <v>130</v>
      </c>
      <c r="O229" s="26" t="s">
        <v>3250</v>
      </c>
      <c r="P229" s="26" t="s">
        <v>3251</v>
      </c>
      <c r="Q229" s="26" t="s">
        <v>3252</v>
      </c>
      <c r="R229" s="7" t="s">
        <v>134</v>
      </c>
      <c r="S229" s="26" t="s">
        <v>3243</v>
      </c>
      <c r="T229" s="7" t="s">
        <v>136</v>
      </c>
      <c r="U229" s="7" t="s">
        <v>3244</v>
      </c>
      <c r="V229" s="26" t="s">
        <v>138</v>
      </c>
      <c r="W229" s="26" t="s">
        <v>139</v>
      </c>
      <c r="X229" s="7" t="s">
        <v>45</v>
      </c>
      <c r="Y229" s="26" t="s">
        <v>4402</v>
      </c>
      <c r="Z229" s="19" t="s">
        <v>94</v>
      </c>
      <c r="AA229" s="26" t="s">
        <v>5629</v>
      </c>
      <c r="AB229" s="7" t="str">
        <f aca="false">IF(AC229="Reject","Not ready",IF(Z229="Possible",IF(K229=1,"Core","Extended"),IF(K229=1,"Smoke",IF(K229=2,"Core","Extended"))))</f>
        <v>Extended</v>
      </c>
      <c r="AC229" s="19" t="s">
        <v>9</v>
      </c>
      <c r="AD229" s="26" t="s">
        <v>3245</v>
      </c>
    </row>
    <row r="230" customFormat="false" ht="67.5" hidden="false" customHeight="true" outlineLevel="0" collapsed="false">
      <c r="A230" s="7" t="s">
        <v>1066</v>
      </c>
      <c r="B230" s="26" t="s">
        <v>1067</v>
      </c>
      <c r="C230" s="7" t="s">
        <v>38</v>
      </c>
      <c r="D230" s="7" t="s">
        <v>99</v>
      </c>
      <c r="E230" s="7" t="s">
        <v>1068</v>
      </c>
      <c r="F230" s="26" t="s">
        <v>1069</v>
      </c>
      <c r="G230" s="26" t="s">
        <v>1070</v>
      </c>
      <c r="H230" s="26" t="s">
        <v>1071</v>
      </c>
      <c r="I230" s="7" t="s">
        <v>53</v>
      </c>
      <c r="J230" s="15" t="s">
        <v>16</v>
      </c>
      <c r="K230" s="18" t="n">
        <v>2</v>
      </c>
      <c r="L230" s="7" t="s">
        <v>62</v>
      </c>
      <c r="M230" s="26" t="s">
        <v>1072</v>
      </c>
      <c r="N230" s="26" t="s">
        <v>130</v>
      </c>
      <c r="O230" s="26" t="s">
        <v>1073</v>
      </c>
      <c r="P230" s="26" t="s">
        <v>1074</v>
      </c>
      <c r="Q230" s="26" t="s">
        <v>1075</v>
      </c>
      <c r="R230" s="7" t="s">
        <v>134</v>
      </c>
      <c r="S230" s="26" t="s">
        <v>1076</v>
      </c>
      <c r="T230" s="7" t="s">
        <v>136</v>
      </c>
      <c r="U230" s="7" t="s">
        <v>1077</v>
      </c>
      <c r="V230" s="26" t="s">
        <v>1078</v>
      </c>
      <c r="W230" s="26" t="s">
        <v>160</v>
      </c>
      <c r="X230" s="7" t="s">
        <v>44</v>
      </c>
      <c r="Y230" s="26" t="s">
        <v>4529</v>
      </c>
      <c r="Z230" s="19" t="s">
        <v>94</v>
      </c>
      <c r="AA230" s="26" t="s">
        <v>5630</v>
      </c>
      <c r="AB230" s="7" t="str">
        <f aca="false">IF(AC230="Reject","Not ready",IF(Z230="Possible",IF(K230=1,"Core","Extended"),IF(K230=1,"Smoke",IF(K230=2,"Core","Extended"))))</f>
        <v>Extended</v>
      </c>
      <c r="AC230" s="19" t="s">
        <v>9</v>
      </c>
      <c r="AD230" s="26" t="s">
        <v>1079</v>
      </c>
    </row>
    <row r="231" customFormat="false" ht="30" hidden="false" customHeight="true" outlineLevel="0" collapsed="false">
      <c r="A231" s="7" t="s">
        <v>1270</v>
      </c>
      <c r="B231" s="26" t="s">
        <v>1271</v>
      </c>
      <c r="C231" s="7" t="s">
        <v>38</v>
      </c>
      <c r="D231" s="7" t="s">
        <v>101</v>
      </c>
      <c r="E231" s="7" t="s">
        <v>1272</v>
      </c>
      <c r="F231" s="26" t="s">
        <v>1273</v>
      </c>
      <c r="G231" s="26" t="s">
        <v>1274</v>
      </c>
      <c r="H231" s="26" t="s">
        <v>1275</v>
      </c>
      <c r="I231" s="7" t="s">
        <v>59</v>
      </c>
      <c r="J231" s="15" t="s">
        <v>19</v>
      </c>
      <c r="K231" s="19" t="n">
        <v>3</v>
      </c>
      <c r="L231" s="7" t="s">
        <v>62</v>
      </c>
      <c r="M231" s="26" t="s">
        <v>1276</v>
      </c>
      <c r="N231" s="26" t="s">
        <v>176</v>
      </c>
      <c r="O231" s="26" t="s">
        <v>177</v>
      </c>
      <c r="P231" s="26" t="s">
        <v>1277</v>
      </c>
      <c r="Q231" s="26" t="s">
        <v>1278</v>
      </c>
      <c r="R231" s="7" t="s">
        <v>134</v>
      </c>
      <c r="S231" s="26" t="s">
        <v>1279</v>
      </c>
      <c r="T231" s="7" t="s">
        <v>136</v>
      </c>
      <c r="U231" s="7" t="s">
        <v>1280</v>
      </c>
      <c r="V231" s="26" t="s">
        <v>966</v>
      </c>
      <c r="W231" s="26" t="s">
        <v>160</v>
      </c>
      <c r="X231" s="7" t="s">
        <v>44</v>
      </c>
      <c r="Y231" s="26" t="s">
        <v>4529</v>
      </c>
      <c r="Z231" s="19" t="s">
        <v>94</v>
      </c>
      <c r="AA231" s="26" t="s">
        <v>5631</v>
      </c>
      <c r="AB231" s="7" t="str">
        <f aca="false">IF(AC231="Reject","Not ready",IF(Z231="Possible",IF(K231=1,"Core","Extended"),IF(K231=1,"Smoke",IF(K231=2,"Core","Extended"))))</f>
        <v>Extended</v>
      </c>
      <c r="AC231" s="19" t="s">
        <v>9</v>
      </c>
      <c r="AD231" s="26" t="s">
        <v>1281</v>
      </c>
    </row>
    <row r="232" customFormat="false" ht="42" hidden="false" customHeight="true" outlineLevel="0" collapsed="false">
      <c r="A232" s="7" t="s">
        <v>1282</v>
      </c>
      <c r="B232" s="26" t="s">
        <v>1271</v>
      </c>
      <c r="C232" s="7" t="s">
        <v>38</v>
      </c>
      <c r="D232" s="7" t="s">
        <v>101</v>
      </c>
      <c r="E232" s="7" t="s">
        <v>1272</v>
      </c>
      <c r="F232" s="26" t="s">
        <v>1273</v>
      </c>
      <c r="G232" s="26" t="s">
        <v>1283</v>
      </c>
      <c r="H232" s="26" t="s">
        <v>1284</v>
      </c>
      <c r="I232" s="7" t="s">
        <v>59</v>
      </c>
      <c r="J232" s="15" t="s">
        <v>19</v>
      </c>
      <c r="K232" s="19" t="n">
        <v>3</v>
      </c>
      <c r="L232" s="7" t="s">
        <v>62</v>
      </c>
      <c r="M232" s="26" t="s">
        <v>1285</v>
      </c>
      <c r="N232" s="26" t="s">
        <v>176</v>
      </c>
      <c r="O232" s="26" t="s">
        <v>1286</v>
      </c>
      <c r="P232" s="26" t="s">
        <v>1287</v>
      </c>
      <c r="Q232" s="26" t="s">
        <v>1288</v>
      </c>
      <c r="R232" s="7" t="s">
        <v>134</v>
      </c>
      <c r="S232" s="26" t="s">
        <v>1279</v>
      </c>
      <c r="T232" s="7" t="s">
        <v>136</v>
      </c>
      <c r="U232" s="7" t="s">
        <v>1280</v>
      </c>
      <c r="V232" s="26" t="s">
        <v>966</v>
      </c>
      <c r="W232" s="26" t="s">
        <v>160</v>
      </c>
      <c r="X232" s="7" t="s">
        <v>44</v>
      </c>
      <c r="Y232" s="26" t="s">
        <v>4529</v>
      </c>
      <c r="Z232" s="19" t="s">
        <v>94</v>
      </c>
      <c r="AA232" s="26" t="s">
        <v>5631</v>
      </c>
      <c r="AB232" s="7" t="str">
        <f aca="false">IF(AC232="Reject","Not ready",IF(Z232="Possible",IF(K232=1,"Core","Extended"),IF(K232=1,"Smoke",IF(K232=2,"Core","Extended"))))</f>
        <v>Extended</v>
      </c>
      <c r="AC232" s="19" t="s">
        <v>9</v>
      </c>
      <c r="AD232" s="26" t="s">
        <v>1289</v>
      </c>
    </row>
    <row r="233" customFormat="false" ht="54.75" hidden="false" customHeight="true" outlineLevel="0" collapsed="false">
      <c r="A233" s="7" t="s">
        <v>1971</v>
      </c>
      <c r="B233" s="26" t="s">
        <v>1972</v>
      </c>
      <c r="C233" s="7" t="s">
        <v>38</v>
      </c>
      <c r="D233" s="7" t="s">
        <v>100</v>
      </c>
      <c r="E233" s="7" t="s">
        <v>1973</v>
      </c>
      <c r="F233" s="26" t="s">
        <v>1974</v>
      </c>
      <c r="G233" s="26" t="s">
        <v>1975</v>
      </c>
      <c r="H233" s="26" t="s">
        <v>1976</v>
      </c>
      <c r="I233" s="7" t="s">
        <v>59</v>
      </c>
      <c r="J233" s="15" t="s">
        <v>17</v>
      </c>
      <c r="K233" s="18" t="n">
        <v>2</v>
      </c>
      <c r="L233" s="7" t="s">
        <v>62</v>
      </c>
      <c r="M233" s="26" t="s">
        <v>1977</v>
      </c>
      <c r="N233" s="26" t="s">
        <v>130</v>
      </c>
      <c r="O233" s="26" t="s">
        <v>1978</v>
      </c>
      <c r="P233" s="26" t="s">
        <v>1979</v>
      </c>
      <c r="Q233" s="26" t="s">
        <v>1980</v>
      </c>
      <c r="R233" s="7" t="s">
        <v>134</v>
      </c>
      <c r="S233" s="26" t="s">
        <v>1981</v>
      </c>
      <c r="T233" s="7" t="s">
        <v>136</v>
      </c>
      <c r="U233" s="7" t="s">
        <v>1982</v>
      </c>
      <c r="V233" s="26" t="s">
        <v>1983</v>
      </c>
      <c r="W233" s="26" t="s">
        <v>160</v>
      </c>
      <c r="X233" s="7" t="s">
        <v>44</v>
      </c>
      <c r="Y233" s="26" t="s">
        <v>4529</v>
      </c>
      <c r="Z233" s="19" t="s">
        <v>94</v>
      </c>
      <c r="AA233" s="26" t="s">
        <v>5632</v>
      </c>
      <c r="AB233" s="7" t="str">
        <f aca="false">IF(AC233="Reject","Not ready",IF(Z233="Possible",IF(K233=1,"Core","Extended"),IF(K233=1,"Smoke",IF(K233=2,"Core","Extended"))))</f>
        <v>Extended</v>
      </c>
      <c r="AC233" s="19" t="s">
        <v>9</v>
      </c>
      <c r="AD233" s="26" t="s">
        <v>1984</v>
      </c>
    </row>
    <row r="234" customFormat="false" ht="54.75" hidden="false" customHeight="true" outlineLevel="0" collapsed="false">
      <c r="A234" s="7" t="s">
        <v>2064</v>
      </c>
      <c r="B234" s="26" t="s">
        <v>2065</v>
      </c>
      <c r="C234" s="7" t="s">
        <v>38</v>
      </c>
      <c r="D234" s="7" t="s">
        <v>100</v>
      </c>
      <c r="E234" s="7" t="s">
        <v>2066</v>
      </c>
      <c r="F234" s="26" t="s">
        <v>2067</v>
      </c>
      <c r="G234" s="26" t="s">
        <v>2068</v>
      </c>
      <c r="H234" s="26" t="s">
        <v>2069</v>
      </c>
      <c r="I234" s="7" t="s">
        <v>59</v>
      </c>
      <c r="J234" s="15" t="s">
        <v>18</v>
      </c>
      <c r="K234" s="19" t="n">
        <v>3</v>
      </c>
      <c r="L234" s="7" t="s">
        <v>62</v>
      </c>
      <c r="M234" s="26" t="s">
        <v>2070</v>
      </c>
      <c r="N234" s="26" t="s">
        <v>130</v>
      </c>
      <c r="O234" s="26" t="s">
        <v>2071</v>
      </c>
      <c r="P234" s="26" t="s">
        <v>2072</v>
      </c>
      <c r="Q234" s="26" t="s">
        <v>2073</v>
      </c>
      <c r="R234" s="7" t="s">
        <v>134</v>
      </c>
      <c r="S234" s="26" t="s">
        <v>2074</v>
      </c>
      <c r="T234" s="7" t="s">
        <v>136</v>
      </c>
      <c r="U234" s="7" t="s">
        <v>2075</v>
      </c>
      <c r="V234" s="26" t="s">
        <v>138</v>
      </c>
      <c r="W234" s="26" t="s">
        <v>160</v>
      </c>
      <c r="X234" s="7" t="s">
        <v>44</v>
      </c>
      <c r="Y234" s="26" t="s">
        <v>4529</v>
      </c>
      <c r="Z234" s="19" t="s">
        <v>94</v>
      </c>
      <c r="AA234" s="26" t="s">
        <v>5633</v>
      </c>
      <c r="AB234" s="7" t="str">
        <f aca="false">IF(AC234="Reject","Not ready",IF(Z234="Possible",IF(K234=1,"Core","Extended"),IF(K234=1,"Smoke",IF(K234=2,"Core","Extended"))))</f>
        <v>Extended</v>
      </c>
      <c r="AC234" s="17" t="s">
        <v>7</v>
      </c>
      <c r="AD234" s="26" t="s">
        <v>2076</v>
      </c>
    </row>
    <row r="235" customFormat="false" ht="42" hidden="false" customHeight="true" outlineLevel="0" collapsed="false">
      <c r="A235" s="7" t="s">
        <v>2077</v>
      </c>
      <c r="B235" s="26" t="s">
        <v>2065</v>
      </c>
      <c r="C235" s="7" t="s">
        <v>38</v>
      </c>
      <c r="D235" s="7" t="s">
        <v>100</v>
      </c>
      <c r="E235" s="7" t="s">
        <v>2066</v>
      </c>
      <c r="F235" s="26" t="s">
        <v>2067</v>
      </c>
      <c r="G235" s="26" t="s">
        <v>2078</v>
      </c>
      <c r="H235" s="26" t="s">
        <v>2079</v>
      </c>
      <c r="I235" s="7" t="s">
        <v>59</v>
      </c>
      <c r="J235" s="15" t="s">
        <v>18</v>
      </c>
      <c r="K235" s="19" t="n">
        <v>3</v>
      </c>
      <c r="L235" s="7" t="s">
        <v>62</v>
      </c>
      <c r="M235" s="26" t="s">
        <v>2080</v>
      </c>
      <c r="N235" s="26" t="s">
        <v>130</v>
      </c>
      <c r="O235" s="26" t="s">
        <v>2081</v>
      </c>
      <c r="P235" s="26" t="s">
        <v>2082</v>
      </c>
      <c r="Q235" s="26" t="s">
        <v>2083</v>
      </c>
      <c r="R235" s="7" t="s">
        <v>134</v>
      </c>
      <c r="S235" s="26" t="s">
        <v>2074</v>
      </c>
      <c r="T235" s="7" t="s">
        <v>136</v>
      </c>
      <c r="U235" s="7" t="s">
        <v>2075</v>
      </c>
      <c r="V235" s="26" t="s">
        <v>138</v>
      </c>
      <c r="W235" s="26" t="s">
        <v>160</v>
      </c>
      <c r="X235" s="7" t="s">
        <v>44</v>
      </c>
      <c r="Y235" s="26" t="s">
        <v>4529</v>
      </c>
      <c r="Z235" s="19" t="s">
        <v>94</v>
      </c>
      <c r="AA235" s="26" t="s">
        <v>5633</v>
      </c>
      <c r="AB235" s="7" t="str">
        <f aca="false">IF(AC235="Reject","Not ready",IF(Z235="Possible",IF(K235=1,"Core","Extended"),IF(K235=1,"Smoke",IF(K235=2,"Core","Extended"))))</f>
        <v>Extended</v>
      </c>
      <c r="AC235" s="17" t="s">
        <v>7</v>
      </c>
      <c r="AD235" s="26" t="s">
        <v>2084</v>
      </c>
    </row>
    <row r="236" customFormat="false" ht="42" hidden="false" customHeight="true" outlineLevel="0" collapsed="false">
      <c r="A236" s="7" t="s">
        <v>2243</v>
      </c>
      <c r="B236" s="26" t="s">
        <v>2244</v>
      </c>
      <c r="C236" s="7" t="s">
        <v>38</v>
      </c>
      <c r="D236" s="7" t="s">
        <v>100</v>
      </c>
      <c r="E236" s="7" t="s">
        <v>2245</v>
      </c>
      <c r="F236" s="26" t="s">
        <v>2246</v>
      </c>
      <c r="G236" s="26" t="s">
        <v>2247</v>
      </c>
      <c r="H236" s="26" t="s">
        <v>2248</v>
      </c>
      <c r="I236" s="7" t="s">
        <v>59</v>
      </c>
      <c r="J236" s="15" t="s">
        <v>16</v>
      </c>
      <c r="K236" s="16" t="n">
        <v>1</v>
      </c>
      <c r="L236" s="7" t="s">
        <v>62</v>
      </c>
      <c r="M236" s="26" t="s">
        <v>2249</v>
      </c>
      <c r="N236" s="26" t="s">
        <v>176</v>
      </c>
      <c r="O236" s="26" t="s">
        <v>2250</v>
      </c>
      <c r="P236" s="26" t="s">
        <v>2251</v>
      </c>
      <c r="Q236" s="26" t="s">
        <v>2252</v>
      </c>
      <c r="R236" s="7" t="s">
        <v>134</v>
      </c>
      <c r="S236" s="26" t="s">
        <v>2253</v>
      </c>
      <c r="T236" s="7" t="s">
        <v>136</v>
      </c>
      <c r="U236" s="7" t="s">
        <v>2254</v>
      </c>
      <c r="V236" s="26" t="s">
        <v>138</v>
      </c>
      <c r="W236" s="26" t="s">
        <v>139</v>
      </c>
      <c r="X236" s="7" t="s">
        <v>45</v>
      </c>
      <c r="Y236" s="26" t="s">
        <v>4529</v>
      </c>
      <c r="Z236" s="19" t="s">
        <v>94</v>
      </c>
      <c r="AA236" s="26" t="s">
        <v>5634</v>
      </c>
      <c r="AB236" s="7" t="str">
        <f aca="false">IF(AC236="Reject","Not ready",IF(Z236="Possible",IF(K236=1,"Core","Extended"),IF(K236=1,"Smoke",IF(K236=2,"Core","Extended"))))</f>
        <v>Core</v>
      </c>
      <c r="AC236" s="19" t="s">
        <v>9</v>
      </c>
      <c r="AD236" s="26" t="s">
        <v>2255</v>
      </c>
    </row>
    <row r="237" customFormat="false" ht="42" hidden="false" customHeight="true" outlineLevel="0" collapsed="false">
      <c r="A237" s="7" t="s">
        <v>2256</v>
      </c>
      <c r="B237" s="26" t="s">
        <v>2244</v>
      </c>
      <c r="C237" s="7" t="s">
        <v>38</v>
      </c>
      <c r="D237" s="7" t="s">
        <v>100</v>
      </c>
      <c r="E237" s="7" t="s">
        <v>2245</v>
      </c>
      <c r="F237" s="26" t="s">
        <v>2246</v>
      </c>
      <c r="G237" s="26" t="s">
        <v>2257</v>
      </c>
      <c r="H237" s="26" t="s">
        <v>2258</v>
      </c>
      <c r="I237" s="7" t="s">
        <v>52</v>
      </c>
      <c r="J237" s="15" t="s">
        <v>17</v>
      </c>
      <c r="K237" s="18" t="n">
        <v>2</v>
      </c>
      <c r="L237" s="7" t="s">
        <v>65</v>
      </c>
      <c r="M237" s="26" t="s">
        <v>2259</v>
      </c>
      <c r="N237" s="26" t="s">
        <v>176</v>
      </c>
      <c r="O237" s="26" t="s">
        <v>2260</v>
      </c>
      <c r="P237" s="26" t="s">
        <v>2261</v>
      </c>
      <c r="Q237" s="26" t="s">
        <v>2262</v>
      </c>
      <c r="R237" s="7" t="s">
        <v>134</v>
      </c>
      <c r="S237" s="26" t="s">
        <v>2253</v>
      </c>
      <c r="T237" s="7" t="s">
        <v>136</v>
      </c>
      <c r="U237" s="7" t="s">
        <v>2254</v>
      </c>
      <c r="V237" s="26" t="s">
        <v>616</v>
      </c>
      <c r="W237" s="26" t="s">
        <v>139</v>
      </c>
      <c r="X237" s="7" t="s">
        <v>45</v>
      </c>
      <c r="Y237" s="26" t="s">
        <v>4529</v>
      </c>
      <c r="Z237" s="19" t="s">
        <v>94</v>
      </c>
      <c r="AA237" s="26" t="s">
        <v>5634</v>
      </c>
      <c r="AB237" s="7" t="str">
        <f aca="false">IF(AC237="Reject","Not ready",IF(Z237="Possible",IF(K237=1,"Core","Extended"),IF(K237=1,"Smoke",IF(K237=2,"Core","Extended"))))</f>
        <v>Extended</v>
      </c>
      <c r="AC237" s="19" t="s">
        <v>9</v>
      </c>
      <c r="AD237" s="26" t="s">
        <v>2263</v>
      </c>
    </row>
    <row r="238" customFormat="false" ht="42" hidden="false" customHeight="true" outlineLevel="0" collapsed="false">
      <c r="A238" s="7" t="s">
        <v>2133</v>
      </c>
      <c r="B238" s="26" t="s">
        <v>2134</v>
      </c>
      <c r="C238" s="7" t="s">
        <v>38</v>
      </c>
      <c r="D238" s="7" t="s">
        <v>100</v>
      </c>
      <c r="E238" s="7" t="s">
        <v>2135</v>
      </c>
      <c r="F238" s="26" t="s">
        <v>2136</v>
      </c>
      <c r="G238" s="26" t="s">
        <v>2137</v>
      </c>
      <c r="H238" s="26" t="s">
        <v>2138</v>
      </c>
      <c r="I238" s="7" t="s">
        <v>59</v>
      </c>
      <c r="J238" s="15" t="s">
        <v>17</v>
      </c>
      <c r="K238" s="18" t="n">
        <v>2</v>
      </c>
      <c r="L238" s="7" t="s">
        <v>62</v>
      </c>
      <c r="M238" s="26" t="s">
        <v>2139</v>
      </c>
      <c r="N238" s="26" t="s">
        <v>130</v>
      </c>
      <c r="O238" s="26" t="s">
        <v>177</v>
      </c>
      <c r="P238" s="26" t="s">
        <v>2140</v>
      </c>
      <c r="Q238" s="26" t="s">
        <v>2141</v>
      </c>
      <c r="R238" s="7" t="s">
        <v>134</v>
      </c>
      <c r="S238" s="26" t="s">
        <v>2142</v>
      </c>
      <c r="T238" s="7" t="s">
        <v>300</v>
      </c>
      <c r="U238" s="7" t="s">
        <v>2143</v>
      </c>
      <c r="V238" s="26" t="s">
        <v>2116</v>
      </c>
      <c r="W238" s="26" t="s">
        <v>160</v>
      </c>
      <c r="X238" s="7" t="s">
        <v>44</v>
      </c>
      <c r="Y238" s="26" t="s">
        <v>4396</v>
      </c>
      <c r="Z238" s="19" t="s">
        <v>94</v>
      </c>
      <c r="AA238" s="26" t="s">
        <v>5635</v>
      </c>
      <c r="AB238" s="7" t="str">
        <f aca="false">IF(AC238="Reject","Not ready",IF(Z238="Possible",IF(K238=1,"Core","Extended"),IF(K238=1,"Smoke",IF(K238=2,"Core","Extended"))))</f>
        <v>Extended</v>
      </c>
      <c r="AC238" s="19" t="s">
        <v>9</v>
      </c>
      <c r="AD238" s="26" t="s">
        <v>2144</v>
      </c>
    </row>
    <row r="239" customFormat="false" ht="42" hidden="false" customHeight="true" outlineLevel="0" collapsed="false">
      <c r="A239" s="7" t="s">
        <v>2145</v>
      </c>
      <c r="B239" s="26" t="s">
        <v>2134</v>
      </c>
      <c r="C239" s="7" t="s">
        <v>38</v>
      </c>
      <c r="D239" s="7" t="s">
        <v>100</v>
      </c>
      <c r="E239" s="7" t="s">
        <v>2135</v>
      </c>
      <c r="F239" s="26" t="s">
        <v>2136</v>
      </c>
      <c r="G239" s="26" t="s">
        <v>2146</v>
      </c>
      <c r="H239" s="26" t="s">
        <v>2147</v>
      </c>
      <c r="I239" s="7" t="s">
        <v>54</v>
      </c>
      <c r="J239" s="15" t="s">
        <v>17</v>
      </c>
      <c r="K239" s="18" t="n">
        <v>2</v>
      </c>
      <c r="L239" s="7" t="s">
        <v>63</v>
      </c>
      <c r="M239" s="26" t="s">
        <v>2139</v>
      </c>
      <c r="N239" s="26" t="s">
        <v>130</v>
      </c>
      <c r="O239" s="26" t="s">
        <v>177</v>
      </c>
      <c r="P239" s="26" t="s">
        <v>2148</v>
      </c>
      <c r="Q239" s="26" t="s">
        <v>2149</v>
      </c>
      <c r="R239" s="7" t="s">
        <v>134</v>
      </c>
      <c r="S239" s="26" t="s">
        <v>2142</v>
      </c>
      <c r="T239" s="7" t="s">
        <v>300</v>
      </c>
      <c r="U239" s="7" t="s">
        <v>2143</v>
      </c>
      <c r="V239" s="26" t="s">
        <v>2116</v>
      </c>
      <c r="W239" s="26" t="s">
        <v>160</v>
      </c>
      <c r="X239" s="7" t="s">
        <v>44</v>
      </c>
      <c r="Y239" s="26" t="s">
        <v>4396</v>
      </c>
      <c r="Z239" s="19" t="s">
        <v>94</v>
      </c>
      <c r="AA239" s="26" t="s">
        <v>5635</v>
      </c>
      <c r="AB239" s="7" t="str">
        <f aca="false">IF(AC239="Reject","Not ready",IF(Z239="Possible",IF(K239=1,"Core","Extended"),IF(K239=1,"Smoke",IF(K239=2,"Core","Extended"))))</f>
        <v>Extended</v>
      </c>
      <c r="AC239" s="19" t="s">
        <v>9</v>
      </c>
      <c r="AD239" s="26" t="s">
        <v>2150</v>
      </c>
    </row>
    <row r="240" customFormat="false" ht="42" hidden="false" customHeight="true" outlineLevel="0" collapsed="false">
      <c r="A240" s="7" t="s">
        <v>2151</v>
      </c>
      <c r="B240" s="26" t="s">
        <v>2152</v>
      </c>
      <c r="C240" s="7" t="s">
        <v>38</v>
      </c>
      <c r="D240" s="7" t="s">
        <v>100</v>
      </c>
      <c r="E240" s="7" t="s">
        <v>2153</v>
      </c>
      <c r="F240" s="26" t="s">
        <v>2154</v>
      </c>
      <c r="G240" s="26" t="s">
        <v>2155</v>
      </c>
      <c r="H240" s="26" t="s">
        <v>2156</v>
      </c>
      <c r="I240" s="7" t="s">
        <v>57</v>
      </c>
      <c r="J240" s="15" t="s">
        <v>17</v>
      </c>
      <c r="K240" s="18" t="n">
        <v>2</v>
      </c>
      <c r="L240" s="7" t="s">
        <v>62</v>
      </c>
      <c r="M240" s="26" t="s">
        <v>1115</v>
      </c>
      <c r="N240" s="26" t="s">
        <v>130</v>
      </c>
      <c r="O240" s="26" t="s">
        <v>177</v>
      </c>
      <c r="P240" s="26" t="s">
        <v>2157</v>
      </c>
      <c r="Q240" s="26" t="s">
        <v>2158</v>
      </c>
      <c r="R240" s="7" t="s">
        <v>134</v>
      </c>
      <c r="S240" s="26" t="s">
        <v>2159</v>
      </c>
      <c r="T240" s="7" t="s">
        <v>300</v>
      </c>
      <c r="U240" s="7" t="s">
        <v>2160</v>
      </c>
      <c r="V240" s="26" t="s">
        <v>2116</v>
      </c>
      <c r="W240" s="26" t="s">
        <v>160</v>
      </c>
      <c r="X240" s="7" t="s">
        <v>44</v>
      </c>
      <c r="Y240" s="26" t="s">
        <v>4396</v>
      </c>
      <c r="Z240" s="19" t="s">
        <v>94</v>
      </c>
      <c r="AA240" s="26" t="s">
        <v>5636</v>
      </c>
      <c r="AB240" s="7" t="str">
        <f aca="false">IF(AC240="Reject","Not ready",IF(Z240="Possible",IF(K240=1,"Core","Extended"),IF(K240=1,"Smoke",IF(K240=2,"Core","Extended"))))</f>
        <v>Extended</v>
      </c>
      <c r="AC240" s="19" t="s">
        <v>9</v>
      </c>
      <c r="AD240" s="26" t="s">
        <v>2161</v>
      </c>
    </row>
    <row r="241" customFormat="false" ht="42" hidden="false" customHeight="true" outlineLevel="0" collapsed="false">
      <c r="A241" s="7" t="s">
        <v>2162</v>
      </c>
      <c r="B241" s="26" t="s">
        <v>2152</v>
      </c>
      <c r="C241" s="7" t="s">
        <v>38</v>
      </c>
      <c r="D241" s="7" t="s">
        <v>100</v>
      </c>
      <c r="E241" s="7" t="s">
        <v>2153</v>
      </c>
      <c r="F241" s="26" t="s">
        <v>2154</v>
      </c>
      <c r="G241" s="26" t="s">
        <v>2163</v>
      </c>
      <c r="H241" s="26" t="s">
        <v>2164</v>
      </c>
      <c r="I241" s="7" t="s">
        <v>54</v>
      </c>
      <c r="J241" s="15" t="s">
        <v>17</v>
      </c>
      <c r="K241" s="18" t="n">
        <v>2</v>
      </c>
      <c r="L241" s="7" t="s">
        <v>63</v>
      </c>
      <c r="M241" s="26" t="s">
        <v>1115</v>
      </c>
      <c r="N241" s="26" t="s">
        <v>130</v>
      </c>
      <c r="O241" s="26" t="s">
        <v>177</v>
      </c>
      <c r="P241" s="26" t="s">
        <v>2165</v>
      </c>
      <c r="Q241" s="26" t="s">
        <v>2166</v>
      </c>
      <c r="R241" s="7" t="s">
        <v>134</v>
      </c>
      <c r="S241" s="26" t="s">
        <v>2159</v>
      </c>
      <c r="T241" s="7" t="s">
        <v>300</v>
      </c>
      <c r="U241" s="7" t="s">
        <v>2160</v>
      </c>
      <c r="V241" s="26" t="s">
        <v>2116</v>
      </c>
      <c r="W241" s="26" t="s">
        <v>160</v>
      </c>
      <c r="X241" s="7" t="s">
        <v>44</v>
      </c>
      <c r="Y241" s="26" t="s">
        <v>4396</v>
      </c>
      <c r="Z241" s="19" t="s">
        <v>94</v>
      </c>
      <c r="AA241" s="26" t="s">
        <v>5636</v>
      </c>
      <c r="AB241" s="7" t="str">
        <f aca="false">IF(AC241="Reject","Not ready",IF(Z241="Possible",IF(K241=1,"Core","Extended"),IF(K241=1,"Smoke",IF(K241=2,"Core","Extended"))))</f>
        <v>Extended</v>
      </c>
      <c r="AC241" s="19" t="s">
        <v>9</v>
      </c>
      <c r="AD241" s="26" t="s">
        <v>2167</v>
      </c>
    </row>
    <row r="242" customFormat="false" ht="54.75" hidden="false" customHeight="true" outlineLevel="0" collapsed="false">
      <c r="A242" s="7" t="s">
        <v>2359</v>
      </c>
      <c r="B242" s="26" t="s">
        <v>2360</v>
      </c>
      <c r="C242" s="7" t="s">
        <v>38</v>
      </c>
      <c r="D242" s="7" t="s">
        <v>101</v>
      </c>
      <c r="E242" s="7" t="s">
        <v>2361</v>
      </c>
      <c r="F242" s="26" t="s">
        <v>2362</v>
      </c>
      <c r="G242" s="26" t="s">
        <v>2363</v>
      </c>
      <c r="H242" s="26" t="s">
        <v>2364</v>
      </c>
      <c r="I242" s="7" t="s">
        <v>59</v>
      </c>
      <c r="J242" s="15" t="s">
        <v>18</v>
      </c>
      <c r="K242" s="18" t="n">
        <v>2</v>
      </c>
      <c r="L242" s="7" t="s">
        <v>62</v>
      </c>
      <c r="M242" s="26" t="s">
        <v>2365</v>
      </c>
      <c r="N242" s="26" t="s">
        <v>176</v>
      </c>
      <c r="O242" s="26" t="s">
        <v>177</v>
      </c>
      <c r="P242" s="26" t="s">
        <v>2366</v>
      </c>
      <c r="Q242" s="26" t="s">
        <v>2367</v>
      </c>
      <c r="R242" s="7" t="s">
        <v>134</v>
      </c>
      <c r="S242" s="26" t="s">
        <v>2368</v>
      </c>
      <c r="T242" s="7" t="s">
        <v>136</v>
      </c>
      <c r="U242" s="7" t="s">
        <v>2369</v>
      </c>
      <c r="V242" s="26" t="s">
        <v>2370</v>
      </c>
      <c r="W242" s="26" t="s">
        <v>160</v>
      </c>
      <c r="X242" s="7" t="s">
        <v>44</v>
      </c>
      <c r="Y242" s="26" t="s">
        <v>4396</v>
      </c>
      <c r="Z242" s="19" t="s">
        <v>94</v>
      </c>
      <c r="AA242" s="26" t="s">
        <v>5637</v>
      </c>
      <c r="AB242" s="7" t="str">
        <f aca="false">IF(AC242="Reject","Not ready",IF(Z242="Possible",IF(K242=1,"Core","Extended"),IF(K242=1,"Smoke",IF(K242=2,"Core","Extended"))))</f>
        <v>Extended</v>
      </c>
      <c r="AC242" s="19" t="s">
        <v>9</v>
      </c>
      <c r="AD242" s="26" t="s">
        <v>2371</v>
      </c>
    </row>
    <row r="243" customFormat="false" ht="42" hidden="false" customHeight="true" outlineLevel="0" collapsed="false">
      <c r="A243" s="7" t="s">
        <v>2420</v>
      </c>
      <c r="B243" s="26" t="s">
        <v>2421</v>
      </c>
      <c r="C243" s="7" t="s">
        <v>40</v>
      </c>
      <c r="D243" s="7" t="s">
        <v>517</v>
      </c>
      <c r="E243" s="7" t="s">
        <v>2422</v>
      </c>
      <c r="F243" s="26" t="s">
        <v>2423</v>
      </c>
      <c r="G243" s="26" t="s">
        <v>2424</v>
      </c>
      <c r="H243" s="26" t="s">
        <v>2425</v>
      </c>
      <c r="I243" s="7" t="s">
        <v>51</v>
      </c>
      <c r="J243" s="15" t="s">
        <v>17</v>
      </c>
      <c r="K243" s="18" t="n">
        <v>2</v>
      </c>
      <c r="L243" s="7" t="s">
        <v>62</v>
      </c>
      <c r="M243" s="26" t="s">
        <v>2426</v>
      </c>
      <c r="N243" s="26" t="s">
        <v>130</v>
      </c>
      <c r="O243" s="26" t="s">
        <v>2427</v>
      </c>
      <c r="P243" s="26" t="s">
        <v>2428</v>
      </c>
      <c r="Q243" s="26" t="s">
        <v>2429</v>
      </c>
      <c r="R243" s="7" t="s">
        <v>134</v>
      </c>
      <c r="S243" s="26" t="s">
        <v>2430</v>
      </c>
      <c r="T243" s="7" t="s">
        <v>136</v>
      </c>
      <c r="U243" s="7" t="s">
        <v>2431</v>
      </c>
      <c r="V243" s="26" t="s">
        <v>2402</v>
      </c>
      <c r="W243" s="26" t="s">
        <v>160</v>
      </c>
      <c r="X243" s="7" t="s">
        <v>44</v>
      </c>
      <c r="Y243" s="26" t="s">
        <v>4396</v>
      </c>
      <c r="Z243" s="19" t="s">
        <v>94</v>
      </c>
      <c r="AA243" s="26" t="s">
        <v>5638</v>
      </c>
      <c r="AB243" s="7" t="str">
        <f aca="false">IF(AC243="Reject","Not ready",IF(Z243="Possible",IF(K243=1,"Core","Extended"),IF(K243=1,"Smoke",IF(K243=2,"Core","Extended"))))</f>
        <v>Extended</v>
      </c>
      <c r="AC243" s="19" t="s">
        <v>9</v>
      </c>
      <c r="AD243" s="26" t="s">
        <v>2432</v>
      </c>
    </row>
    <row r="244" customFormat="false" ht="54.75" hidden="false" customHeight="true" outlineLevel="0" collapsed="false">
      <c r="A244" s="7" t="s">
        <v>2433</v>
      </c>
      <c r="B244" s="26" t="s">
        <v>2421</v>
      </c>
      <c r="C244" s="7" t="s">
        <v>40</v>
      </c>
      <c r="D244" s="7" t="s">
        <v>517</v>
      </c>
      <c r="E244" s="7" t="s">
        <v>2422</v>
      </c>
      <c r="F244" s="26" t="s">
        <v>2423</v>
      </c>
      <c r="G244" s="26" t="s">
        <v>2434</v>
      </c>
      <c r="H244" s="26" t="s">
        <v>2435</v>
      </c>
      <c r="I244" s="7" t="s">
        <v>50</v>
      </c>
      <c r="J244" s="15" t="s">
        <v>19</v>
      </c>
      <c r="K244" s="21" t="n">
        <v>4</v>
      </c>
      <c r="L244" s="7" t="s">
        <v>62</v>
      </c>
      <c r="M244" s="26" t="s">
        <v>2436</v>
      </c>
      <c r="N244" s="26" t="s">
        <v>130</v>
      </c>
      <c r="O244" s="26" t="s">
        <v>2437</v>
      </c>
      <c r="P244" s="26" t="s">
        <v>2438</v>
      </c>
      <c r="Q244" s="26" t="s">
        <v>2439</v>
      </c>
      <c r="R244" s="7" t="s">
        <v>134</v>
      </c>
      <c r="S244" s="26" t="s">
        <v>2430</v>
      </c>
      <c r="T244" s="7" t="s">
        <v>136</v>
      </c>
      <c r="U244" s="7" t="s">
        <v>2431</v>
      </c>
      <c r="V244" s="26" t="s">
        <v>138</v>
      </c>
      <c r="W244" s="26" t="s">
        <v>160</v>
      </c>
      <c r="X244" s="7" t="s">
        <v>44</v>
      </c>
      <c r="Y244" s="26" t="s">
        <v>4396</v>
      </c>
      <c r="Z244" s="19" t="s">
        <v>94</v>
      </c>
      <c r="AA244" s="26" t="s">
        <v>5638</v>
      </c>
      <c r="AB244" s="7" t="str">
        <f aca="false">IF(AC244="Reject","Not ready",IF(Z244="Possible",IF(K244=1,"Core","Extended"),IF(K244=1,"Smoke",IF(K244=2,"Core","Extended"))))</f>
        <v>Extended</v>
      </c>
      <c r="AC244" s="17" t="s">
        <v>7</v>
      </c>
      <c r="AD244" s="26" t="s">
        <v>2440</v>
      </c>
    </row>
    <row r="245" customFormat="false" ht="42" hidden="false" customHeight="true" outlineLevel="0" collapsed="false">
      <c r="A245" s="7" t="s">
        <v>2441</v>
      </c>
      <c r="B245" s="26" t="s">
        <v>2421</v>
      </c>
      <c r="C245" s="7" t="s">
        <v>40</v>
      </c>
      <c r="D245" s="7" t="s">
        <v>517</v>
      </c>
      <c r="E245" s="7" t="s">
        <v>2422</v>
      </c>
      <c r="F245" s="26" t="s">
        <v>2423</v>
      </c>
      <c r="G245" s="26" t="s">
        <v>2442</v>
      </c>
      <c r="H245" s="26" t="s">
        <v>2443</v>
      </c>
      <c r="I245" s="7" t="s">
        <v>59</v>
      </c>
      <c r="J245" s="15" t="s">
        <v>18</v>
      </c>
      <c r="K245" s="19" t="n">
        <v>3</v>
      </c>
      <c r="L245" s="7" t="s">
        <v>62</v>
      </c>
      <c r="M245" s="26" t="s">
        <v>2444</v>
      </c>
      <c r="N245" s="26" t="s">
        <v>130</v>
      </c>
      <c r="O245" s="26" t="s">
        <v>2445</v>
      </c>
      <c r="P245" s="26" t="s">
        <v>2446</v>
      </c>
      <c r="Q245" s="26" t="s">
        <v>2447</v>
      </c>
      <c r="R245" s="7" t="s">
        <v>134</v>
      </c>
      <c r="S245" s="26" t="s">
        <v>2430</v>
      </c>
      <c r="T245" s="7" t="s">
        <v>136</v>
      </c>
      <c r="U245" s="7" t="s">
        <v>2431</v>
      </c>
      <c r="V245" s="26" t="s">
        <v>2402</v>
      </c>
      <c r="W245" s="26" t="s">
        <v>160</v>
      </c>
      <c r="X245" s="7" t="s">
        <v>44</v>
      </c>
      <c r="Y245" s="26" t="s">
        <v>4396</v>
      </c>
      <c r="Z245" s="19" t="s">
        <v>94</v>
      </c>
      <c r="AA245" s="26" t="s">
        <v>5638</v>
      </c>
      <c r="AB245" s="7" t="str">
        <f aca="false">IF(AC245="Reject","Not ready",IF(Z245="Possible",IF(K245=1,"Core","Extended"),IF(K245=1,"Smoke",IF(K245=2,"Core","Extended"))))</f>
        <v>Extended</v>
      </c>
      <c r="AC245" s="19" t="s">
        <v>9</v>
      </c>
      <c r="AD245" s="26" t="s">
        <v>2448</v>
      </c>
    </row>
    <row r="246" customFormat="false" ht="42" hidden="false" customHeight="true" outlineLevel="0" collapsed="false">
      <c r="A246" s="7" t="s">
        <v>2449</v>
      </c>
      <c r="B246" s="26" t="s">
        <v>2421</v>
      </c>
      <c r="C246" s="7" t="s">
        <v>40</v>
      </c>
      <c r="D246" s="7" t="s">
        <v>517</v>
      </c>
      <c r="E246" s="7" t="s">
        <v>2422</v>
      </c>
      <c r="F246" s="26" t="s">
        <v>2423</v>
      </c>
      <c r="G246" s="26" t="s">
        <v>2450</v>
      </c>
      <c r="H246" s="26" t="s">
        <v>2451</v>
      </c>
      <c r="I246" s="7" t="s">
        <v>59</v>
      </c>
      <c r="J246" s="15" t="s">
        <v>18</v>
      </c>
      <c r="K246" s="19" t="n">
        <v>3</v>
      </c>
      <c r="L246" s="7" t="s">
        <v>62</v>
      </c>
      <c r="M246" s="26" t="s">
        <v>2444</v>
      </c>
      <c r="N246" s="26" t="s">
        <v>130</v>
      </c>
      <c r="O246" s="26" t="s">
        <v>2452</v>
      </c>
      <c r="P246" s="26" t="s">
        <v>2453</v>
      </c>
      <c r="Q246" s="26" t="s">
        <v>2454</v>
      </c>
      <c r="R246" s="7" t="s">
        <v>134</v>
      </c>
      <c r="S246" s="26" t="s">
        <v>2430</v>
      </c>
      <c r="T246" s="7" t="s">
        <v>136</v>
      </c>
      <c r="U246" s="7" t="s">
        <v>2431</v>
      </c>
      <c r="V246" s="26" t="s">
        <v>2402</v>
      </c>
      <c r="W246" s="26" t="s">
        <v>160</v>
      </c>
      <c r="X246" s="7" t="s">
        <v>44</v>
      </c>
      <c r="Y246" s="26" t="s">
        <v>4396</v>
      </c>
      <c r="Z246" s="19" t="s">
        <v>94</v>
      </c>
      <c r="AA246" s="26" t="s">
        <v>5638</v>
      </c>
      <c r="AB246" s="7" t="str">
        <f aca="false">IF(AC246="Reject","Not ready",IF(Z246="Possible",IF(K246=1,"Core","Extended"),IF(K246=1,"Smoke",IF(K246=2,"Core","Extended"))))</f>
        <v>Extended</v>
      </c>
      <c r="AC246" s="19" t="s">
        <v>9</v>
      </c>
      <c r="AD246" s="26" t="s">
        <v>2448</v>
      </c>
    </row>
    <row r="247" customFormat="false" ht="42" hidden="false" customHeight="true" outlineLevel="0" collapsed="false">
      <c r="A247" s="7" t="s">
        <v>3106</v>
      </c>
      <c r="B247" s="26" t="s">
        <v>3107</v>
      </c>
      <c r="C247" s="7" t="s">
        <v>40</v>
      </c>
      <c r="D247" s="7" t="s">
        <v>101</v>
      </c>
      <c r="E247" s="7" t="s">
        <v>3108</v>
      </c>
      <c r="F247" s="26" t="s">
        <v>3109</v>
      </c>
      <c r="G247" s="26" t="s">
        <v>3110</v>
      </c>
      <c r="H247" s="26" t="s">
        <v>3111</v>
      </c>
      <c r="I247" s="7" t="s">
        <v>51</v>
      </c>
      <c r="J247" s="15" t="s">
        <v>18</v>
      </c>
      <c r="K247" s="18" t="n">
        <v>2</v>
      </c>
      <c r="L247" s="7" t="s">
        <v>62</v>
      </c>
      <c r="M247" s="26" t="s">
        <v>3112</v>
      </c>
      <c r="N247" s="26" t="s">
        <v>130</v>
      </c>
      <c r="O247" s="26" t="s">
        <v>3113</v>
      </c>
      <c r="P247" s="26" t="s">
        <v>3114</v>
      </c>
      <c r="Q247" s="26" t="s">
        <v>3115</v>
      </c>
      <c r="R247" s="7" t="s">
        <v>134</v>
      </c>
      <c r="S247" s="26" t="s">
        <v>3116</v>
      </c>
      <c r="T247" s="7" t="s">
        <v>269</v>
      </c>
      <c r="U247" s="7" t="s">
        <v>3117</v>
      </c>
      <c r="V247" s="26" t="s">
        <v>3118</v>
      </c>
      <c r="W247" s="26" t="s">
        <v>160</v>
      </c>
      <c r="X247" s="7" t="s">
        <v>44</v>
      </c>
      <c r="Y247" s="26" t="s">
        <v>4396</v>
      </c>
      <c r="Z247" s="19" t="s">
        <v>94</v>
      </c>
      <c r="AA247" s="26" t="s">
        <v>5639</v>
      </c>
      <c r="AB247" s="7" t="str">
        <f aca="false">IF(AC247="Reject","Not ready",IF(Z247="Possible",IF(K247=1,"Core","Extended"),IF(K247=1,"Smoke",IF(K247=2,"Core","Extended"))))</f>
        <v>Extended</v>
      </c>
      <c r="AC247" s="19" t="s">
        <v>9</v>
      </c>
      <c r="AD247" s="26" t="s">
        <v>3119</v>
      </c>
    </row>
    <row r="248" customFormat="false" ht="54.75" hidden="false" customHeight="true" outlineLevel="0" collapsed="false">
      <c r="A248" s="7" t="s">
        <v>3120</v>
      </c>
      <c r="B248" s="26" t="s">
        <v>3107</v>
      </c>
      <c r="C248" s="7" t="s">
        <v>40</v>
      </c>
      <c r="D248" s="7" t="s">
        <v>101</v>
      </c>
      <c r="E248" s="7" t="s">
        <v>3108</v>
      </c>
      <c r="F248" s="26" t="s">
        <v>3109</v>
      </c>
      <c r="G248" s="26" t="s">
        <v>3121</v>
      </c>
      <c r="H248" s="26" t="s">
        <v>3122</v>
      </c>
      <c r="I248" s="7" t="s">
        <v>51</v>
      </c>
      <c r="J248" s="15" t="s">
        <v>18</v>
      </c>
      <c r="K248" s="18" t="n">
        <v>2</v>
      </c>
      <c r="L248" s="7" t="s">
        <v>62</v>
      </c>
      <c r="M248" s="26" t="s">
        <v>3123</v>
      </c>
      <c r="N248" s="26" t="s">
        <v>130</v>
      </c>
      <c r="O248" s="26" t="s">
        <v>3124</v>
      </c>
      <c r="P248" s="26" t="s">
        <v>3125</v>
      </c>
      <c r="Q248" s="26" t="s">
        <v>3126</v>
      </c>
      <c r="R248" s="7" t="s">
        <v>134</v>
      </c>
      <c r="S248" s="26" t="s">
        <v>3116</v>
      </c>
      <c r="T248" s="7" t="s">
        <v>269</v>
      </c>
      <c r="U248" s="7" t="s">
        <v>3117</v>
      </c>
      <c r="V248" s="26" t="s">
        <v>3118</v>
      </c>
      <c r="W248" s="26" t="s">
        <v>160</v>
      </c>
      <c r="X248" s="7" t="s">
        <v>44</v>
      </c>
      <c r="Y248" s="26" t="s">
        <v>4396</v>
      </c>
      <c r="Z248" s="19" t="s">
        <v>94</v>
      </c>
      <c r="AA248" s="26" t="s">
        <v>5639</v>
      </c>
      <c r="AB248" s="7" t="str">
        <f aca="false">IF(AC248="Reject","Not ready",IF(Z248="Possible",IF(K248=1,"Core","Extended"),IF(K248=1,"Smoke",IF(K248=2,"Core","Extended"))))</f>
        <v>Extended</v>
      </c>
      <c r="AC248" s="19" t="s">
        <v>9</v>
      </c>
      <c r="AD248" s="26" t="s">
        <v>3127</v>
      </c>
    </row>
    <row r="249" customFormat="false" ht="54.75" hidden="false" customHeight="true" outlineLevel="0" collapsed="false">
      <c r="A249" s="7" t="s">
        <v>797</v>
      </c>
      <c r="B249" s="26" t="s">
        <v>798</v>
      </c>
      <c r="C249" s="7" t="s">
        <v>39</v>
      </c>
      <c r="D249" s="7" t="s">
        <v>101</v>
      </c>
      <c r="E249" s="7" t="s">
        <v>799</v>
      </c>
      <c r="F249" s="26" t="s">
        <v>800</v>
      </c>
      <c r="G249" s="26" t="s">
        <v>801</v>
      </c>
      <c r="H249" s="26" t="s">
        <v>802</v>
      </c>
      <c r="I249" s="7" t="s">
        <v>50</v>
      </c>
      <c r="J249" s="15" t="s">
        <v>18</v>
      </c>
      <c r="K249" s="18" t="n">
        <v>2</v>
      </c>
      <c r="L249" s="7" t="s">
        <v>62</v>
      </c>
      <c r="M249" s="26" t="s">
        <v>803</v>
      </c>
      <c r="N249" s="26" t="s">
        <v>130</v>
      </c>
      <c r="O249" s="26" t="s">
        <v>804</v>
      </c>
      <c r="P249" s="26" t="s">
        <v>805</v>
      </c>
      <c r="Q249" s="26" t="s">
        <v>806</v>
      </c>
      <c r="R249" s="7" t="s">
        <v>134</v>
      </c>
      <c r="S249" s="26" t="s">
        <v>807</v>
      </c>
      <c r="T249" s="7" t="s">
        <v>269</v>
      </c>
      <c r="U249" s="7" t="s">
        <v>808</v>
      </c>
      <c r="V249" s="26" t="s">
        <v>809</v>
      </c>
      <c r="W249" s="26" t="s">
        <v>160</v>
      </c>
      <c r="X249" s="7" t="s">
        <v>44</v>
      </c>
      <c r="Y249" s="26" t="s">
        <v>4443</v>
      </c>
      <c r="Z249" s="19" t="s">
        <v>94</v>
      </c>
      <c r="AA249" s="26" t="s">
        <v>5640</v>
      </c>
      <c r="AB249" s="7" t="str">
        <f aca="false">IF(AC249="Reject","Not ready",IF(Z249="Possible",IF(K249=1,"Core","Extended"),IF(K249=1,"Smoke",IF(K249=2,"Core","Extended"))))</f>
        <v>Extended</v>
      </c>
      <c r="AC249" s="19" t="s">
        <v>9</v>
      </c>
      <c r="AD249" s="26" t="s">
        <v>810</v>
      </c>
    </row>
    <row r="250" customFormat="false" ht="54.75" hidden="false" customHeight="true" outlineLevel="0" collapsed="false">
      <c r="A250" s="7" t="s">
        <v>811</v>
      </c>
      <c r="B250" s="26" t="s">
        <v>798</v>
      </c>
      <c r="C250" s="7" t="s">
        <v>39</v>
      </c>
      <c r="D250" s="7" t="s">
        <v>101</v>
      </c>
      <c r="E250" s="7" t="s">
        <v>799</v>
      </c>
      <c r="F250" s="26" t="s">
        <v>800</v>
      </c>
      <c r="G250" s="26" t="s">
        <v>812</v>
      </c>
      <c r="H250" s="26" t="s">
        <v>813</v>
      </c>
      <c r="I250" s="7" t="s">
        <v>48</v>
      </c>
      <c r="J250" s="15" t="s">
        <v>18</v>
      </c>
      <c r="K250" s="18" t="n">
        <v>2</v>
      </c>
      <c r="L250" s="7" t="s">
        <v>64</v>
      </c>
      <c r="M250" s="26" t="s">
        <v>814</v>
      </c>
      <c r="N250" s="26" t="s">
        <v>130</v>
      </c>
      <c r="O250" s="26" t="s">
        <v>815</v>
      </c>
      <c r="P250" s="26" t="s">
        <v>816</v>
      </c>
      <c r="Q250" s="26" t="s">
        <v>817</v>
      </c>
      <c r="R250" s="7" t="s">
        <v>134</v>
      </c>
      <c r="S250" s="26" t="s">
        <v>807</v>
      </c>
      <c r="T250" s="7" t="s">
        <v>256</v>
      </c>
      <c r="U250" s="7" t="s">
        <v>808</v>
      </c>
      <c r="V250" s="26" t="s">
        <v>809</v>
      </c>
      <c r="W250" s="26" t="s">
        <v>160</v>
      </c>
      <c r="X250" s="7" t="s">
        <v>44</v>
      </c>
      <c r="Y250" s="26" t="s">
        <v>4443</v>
      </c>
      <c r="Z250" s="19" t="s">
        <v>94</v>
      </c>
      <c r="AA250" s="26" t="s">
        <v>5640</v>
      </c>
      <c r="AB250" s="7" t="str">
        <f aca="false">IF(AC250="Reject","Not ready",IF(Z250="Possible",IF(K250=1,"Core","Extended"),IF(K250=1,"Smoke",IF(K250=2,"Core","Extended"))))</f>
        <v>Extended</v>
      </c>
      <c r="AC250" s="19" t="s">
        <v>9</v>
      </c>
      <c r="AD250" s="26" t="s">
        <v>818</v>
      </c>
    </row>
    <row r="251" customFormat="false" ht="54.75" hidden="false" customHeight="true" outlineLevel="0" collapsed="false">
      <c r="A251" s="7" t="s">
        <v>2621</v>
      </c>
      <c r="B251" s="26" t="s">
        <v>2622</v>
      </c>
      <c r="C251" s="7" t="s">
        <v>39</v>
      </c>
      <c r="D251" s="7" t="s">
        <v>101</v>
      </c>
      <c r="E251" s="7" t="s">
        <v>2623</v>
      </c>
      <c r="F251" s="26" t="s">
        <v>2624</v>
      </c>
      <c r="G251" s="26" t="s">
        <v>2625</v>
      </c>
      <c r="H251" s="26" t="s">
        <v>2626</v>
      </c>
      <c r="I251" s="7" t="s">
        <v>53</v>
      </c>
      <c r="J251" s="15" t="s">
        <v>18</v>
      </c>
      <c r="K251" s="18" t="n">
        <v>2</v>
      </c>
      <c r="L251" s="7" t="s">
        <v>62</v>
      </c>
      <c r="M251" s="26" t="s">
        <v>2627</v>
      </c>
      <c r="N251" s="26" t="s">
        <v>130</v>
      </c>
      <c r="O251" s="26" t="s">
        <v>177</v>
      </c>
      <c r="P251" s="26" t="s">
        <v>2628</v>
      </c>
      <c r="Q251" s="26" t="s">
        <v>2629</v>
      </c>
      <c r="R251" s="7" t="s">
        <v>134</v>
      </c>
      <c r="S251" s="26" t="s">
        <v>2630</v>
      </c>
      <c r="T251" s="7" t="s">
        <v>136</v>
      </c>
      <c r="U251" s="7" t="s">
        <v>2631</v>
      </c>
      <c r="V251" s="26" t="s">
        <v>2632</v>
      </c>
      <c r="W251" s="26" t="s">
        <v>160</v>
      </c>
      <c r="X251" s="7" t="s">
        <v>44</v>
      </c>
      <c r="Y251" s="26" t="s">
        <v>4443</v>
      </c>
      <c r="Z251" s="19" t="s">
        <v>94</v>
      </c>
      <c r="AA251" s="26" t="s">
        <v>5641</v>
      </c>
      <c r="AB251" s="7" t="str">
        <f aca="false">IF(AC251="Reject","Not ready",IF(Z251="Possible",IF(K251=1,"Core","Extended"),IF(K251=1,"Smoke",IF(K251=2,"Core","Extended"))))</f>
        <v>Extended</v>
      </c>
      <c r="AC251" s="19" t="s">
        <v>9</v>
      </c>
      <c r="AD251" s="26" t="s">
        <v>2633</v>
      </c>
    </row>
    <row r="252" customFormat="false" ht="54.75" hidden="false" customHeight="true" outlineLevel="0" collapsed="false">
      <c r="A252" s="7" t="s">
        <v>2634</v>
      </c>
      <c r="B252" s="26" t="s">
        <v>2622</v>
      </c>
      <c r="C252" s="7" t="s">
        <v>39</v>
      </c>
      <c r="D252" s="7" t="s">
        <v>101</v>
      </c>
      <c r="E252" s="7" t="s">
        <v>2623</v>
      </c>
      <c r="F252" s="26" t="s">
        <v>2624</v>
      </c>
      <c r="G252" s="26" t="s">
        <v>2635</v>
      </c>
      <c r="H252" s="26" t="s">
        <v>2636</v>
      </c>
      <c r="I252" s="7" t="s">
        <v>53</v>
      </c>
      <c r="J252" s="15" t="s">
        <v>19</v>
      </c>
      <c r="K252" s="19" t="n">
        <v>3</v>
      </c>
      <c r="L252" s="7" t="s">
        <v>62</v>
      </c>
      <c r="M252" s="26" t="s">
        <v>2637</v>
      </c>
      <c r="N252" s="26" t="s">
        <v>130</v>
      </c>
      <c r="O252" s="26" t="s">
        <v>177</v>
      </c>
      <c r="P252" s="26" t="s">
        <v>2638</v>
      </c>
      <c r="Q252" s="26" t="s">
        <v>2639</v>
      </c>
      <c r="R252" s="7" t="s">
        <v>134</v>
      </c>
      <c r="S252" s="26" t="s">
        <v>2630</v>
      </c>
      <c r="T252" s="7" t="s">
        <v>136</v>
      </c>
      <c r="U252" s="7" t="s">
        <v>2631</v>
      </c>
      <c r="V252" s="26" t="s">
        <v>2632</v>
      </c>
      <c r="W252" s="26" t="s">
        <v>160</v>
      </c>
      <c r="X252" s="7" t="s">
        <v>44</v>
      </c>
      <c r="Y252" s="26" t="s">
        <v>4443</v>
      </c>
      <c r="Z252" s="19" t="s">
        <v>94</v>
      </c>
      <c r="AA252" s="26" t="s">
        <v>5641</v>
      </c>
      <c r="AB252" s="7" t="str">
        <f aca="false">IF(AC252="Reject","Not ready",IF(Z252="Possible",IF(K252=1,"Core","Extended"),IF(K252=1,"Smoke",IF(K252=2,"Core","Extended"))))</f>
        <v>Extended</v>
      </c>
      <c r="AC252" s="19" t="s">
        <v>9</v>
      </c>
      <c r="AD252" s="26" t="s">
        <v>2640</v>
      </c>
    </row>
    <row r="253" customFormat="false" ht="54.75" hidden="false" customHeight="true" outlineLevel="0" collapsed="false">
      <c r="A253" s="7" t="s">
        <v>2641</v>
      </c>
      <c r="B253" s="26" t="s">
        <v>2642</v>
      </c>
      <c r="C253" s="7" t="s">
        <v>39</v>
      </c>
      <c r="D253" s="7" t="s">
        <v>101</v>
      </c>
      <c r="E253" s="7" t="s">
        <v>2643</v>
      </c>
      <c r="F253" s="26" t="s">
        <v>2644</v>
      </c>
      <c r="G253" s="26" t="s">
        <v>2645</v>
      </c>
      <c r="H253" s="26" t="s">
        <v>2646</v>
      </c>
      <c r="I253" s="7" t="s">
        <v>53</v>
      </c>
      <c r="J253" s="15" t="s">
        <v>18</v>
      </c>
      <c r="K253" s="18" t="n">
        <v>2</v>
      </c>
      <c r="L253" s="7" t="s">
        <v>62</v>
      </c>
      <c r="M253" s="26" t="s">
        <v>2647</v>
      </c>
      <c r="N253" s="26" t="s">
        <v>130</v>
      </c>
      <c r="O253" s="26" t="s">
        <v>1371</v>
      </c>
      <c r="P253" s="26" t="s">
        <v>2648</v>
      </c>
      <c r="Q253" s="26" t="s">
        <v>2649</v>
      </c>
      <c r="R253" s="7" t="s">
        <v>134</v>
      </c>
      <c r="S253" s="26" t="s">
        <v>2650</v>
      </c>
      <c r="T253" s="7" t="s">
        <v>136</v>
      </c>
      <c r="U253" s="7" t="s">
        <v>2651</v>
      </c>
      <c r="V253" s="26" t="s">
        <v>2632</v>
      </c>
      <c r="W253" s="26" t="s">
        <v>139</v>
      </c>
      <c r="X253" s="7" t="s">
        <v>45</v>
      </c>
      <c r="Y253" s="26" t="s">
        <v>4443</v>
      </c>
      <c r="Z253" s="19" t="s">
        <v>94</v>
      </c>
      <c r="AA253" s="26" t="s">
        <v>5642</v>
      </c>
      <c r="AB253" s="7" t="str">
        <f aca="false">IF(AC253="Reject","Not ready",IF(Z253="Possible",IF(K253=1,"Core","Extended"),IF(K253=1,"Smoke",IF(K253=2,"Core","Extended"))))</f>
        <v>Extended</v>
      </c>
      <c r="AC253" s="19" t="s">
        <v>9</v>
      </c>
      <c r="AD253" s="26" t="s">
        <v>2652</v>
      </c>
    </row>
    <row r="254" customFormat="false" ht="42" hidden="false" customHeight="true" outlineLevel="0" collapsed="false">
      <c r="A254" s="7" t="s">
        <v>2926</v>
      </c>
      <c r="B254" s="26" t="s">
        <v>2927</v>
      </c>
      <c r="C254" s="7" t="s">
        <v>39</v>
      </c>
      <c r="D254" s="7" t="s">
        <v>101</v>
      </c>
      <c r="E254" s="7" t="s">
        <v>2928</v>
      </c>
      <c r="F254" s="26" t="s">
        <v>2929</v>
      </c>
      <c r="G254" s="26" t="s">
        <v>2930</v>
      </c>
      <c r="H254" s="26" t="s">
        <v>2931</v>
      </c>
      <c r="I254" s="7" t="s">
        <v>49</v>
      </c>
      <c r="J254" s="15" t="s">
        <v>18</v>
      </c>
      <c r="K254" s="18" t="n">
        <v>2</v>
      </c>
      <c r="L254" s="7" t="s">
        <v>63</v>
      </c>
      <c r="M254" s="26" t="s">
        <v>2932</v>
      </c>
      <c r="N254" s="26" t="s">
        <v>130</v>
      </c>
      <c r="O254" s="26" t="s">
        <v>177</v>
      </c>
      <c r="P254" s="26" t="s">
        <v>2933</v>
      </c>
      <c r="Q254" s="26" t="s">
        <v>2934</v>
      </c>
      <c r="R254" s="7" t="s">
        <v>134</v>
      </c>
      <c r="S254" s="26" t="s">
        <v>2935</v>
      </c>
      <c r="T254" s="7" t="s">
        <v>269</v>
      </c>
      <c r="U254" s="7" t="s">
        <v>2936</v>
      </c>
      <c r="V254" s="26" t="s">
        <v>138</v>
      </c>
      <c r="W254" s="26" t="s">
        <v>160</v>
      </c>
      <c r="X254" s="7" t="s">
        <v>44</v>
      </c>
      <c r="Y254" s="26" t="s">
        <v>4443</v>
      </c>
      <c r="Z254" s="19" t="s">
        <v>94</v>
      </c>
      <c r="AA254" s="26" t="s">
        <v>5643</v>
      </c>
      <c r="AB254" s="7" t="str">
        <f aca="false">IF(AC254="Reject","Not ready",IF(Z254="Possible",IF(K254=1,"Core","Extended"),IF(K254=1,"Smoke",IF(K254=2,"Core","Extended"))))</f>
        <v>Extended</v>
      </c>
      <c r="AC254" s="17" t="s">
        <v>7</v>
      </c>
      <c r="AD254" s="26" t="s">
        <v>2937</v>
      </c>
    </row>
    <row r="255" customFormat="false" ht="54.75" hidden="false" customHeight="true" outlineLevel="0" collapsed="false">
      <c r="A255" s="7" t="s">
        <v>2938</v>
      </c>
      <c r="B255" s="26" t="s">
        <v>2927</v>
      </c>
      <c r="C255" s="7" t="s">
        <v>39</v>
      </c>
      <c r="D255" s="7" t="s">
        <v>101</v>
      </c>
      <c r="E255" s="7" t="s">
        <v>2928</v>
      </c>
      <c r="F255" s="26" t="s">
        <v>2929</v>
      </c>
      <c r="G255" s="26" t="s">
        <v>2939</v>
      </c>
      <c r="H255" s="26" t="s">
        <v>2940</v>
      </c>
      <c r="I255" s="7" t="s">
        <v>49</v>
      </c>
      <c r="J255" s="15" t="s">
        <v>18</v>
      </c>
      <c r="K255" s="18" t="n">
        <v>2</v>
      </c>
      <c r="L255" s="7" t="s">
        <v>62</v>
      </c>
      <c r="M255" s="26" t="s">
        <v>2941</v>
      </c>
      <c r="N255" s="26" t="s">
        <v>130</v>
      </c>
      <c r="O255" s="26" t="s">
        <v>177</v>
      </c>
      <c r="P255" s="26" t="s">
        <v>2942</v>
      </c>
      <c r="Q255" s="26" t="s">
        <v>2943</v>
      </c>
      <c r="R255" s="7" t="s">
        <v>134</v>
      </c>
      <c r="S255" s="26" t="s">
        <v>2935</v>
      </c>
      <c r="T255" s="7" t="s">
        <v>269</v>
      </c>
      <c r="U255" s="7" t="s">
        <v>2936</v>
      </c>
      <c r="V255" s="26" t="s">
        <v>138</v>
      </c>
      <c r="W255" s="26" t="s">
        <v>160</v>
      </c>
      <c r="X255" s="7" t="s">
        <v>44</v>
      </c>
      <c r="Y255" s="26" t="s">
        <v>4443</v>
      </c>
      <c r="Z255" s="19" t="s">
        <v>94</v>
      </c>
      <c r="AA255" s="26" t="s">
        <v>5643</v>
      </c>
      <c r="AB255" s="7" t="str">
        <f aca="false">IF(AC255="Reject","Not ready",IF(Z255="Possible",IF(K255=1,"Core","Extended"),IF(K255=1,"Smoke",IF(K255=2,"Core","Extended"))))</f>
        <v>Extended</v>
      </c>
      <c r="AC255" s="17" t="s">
        <v>7</v>
      </c>
      <c r="AD255" s="26" t="s">
        <v>2944</v>
      </c>
    </row>
    <row r="256" customFormat="false" ht="42" hidden="false" customHeight="true" outlineLevel="0" collapsed="false">
      <c r="A256" s="7" t="s">
        <v>2945</v>
      </c>
      <c r="B256" s="26" t="s">
        <v>2927</v>
      </c>
      <c r="C256" s="7" t="s">
        <v>39</v>
      </c>
      <c r="D256" s="7" t="s">
        <v>101</v>
      </c>
      <c r="E256" s="7" t="s">
        <v>2928</v>
      </c>
      <c r="F256" s="26" t="s">
        <v>2929</v>
      </c>
      <c r="G256" s="26" t="s">
        <v>2946</v>
      </c>
      <c r="H256" s="26" t="s">
        <v>2947</v>
      </c>
      <c r="I256" s="7" t="s">
        <v>53</v>
      </c>
      <c r="J256" s="15" t="s">
        <v>18</v>
      </c>
      <c r="K256" s="18" t="n">
        <v>2</v>
      </c>
      <c r="L256" s="7" t="s">
        <v>62</v>
      </c>
      <c r="M256" s="26" t="s">
        <v>2948</v>
      </c>
      <c r="N256" s="26" t="s">
        <v>130</v>
      </c>
      <c r="O256" s="26" t="s">
        <v>177</v>
      </c>
      <c r="P256" s="26" t="s">
        <v>2949</v>
      </c>
      <c r="Q256" s="26" t="s">
        <v>2950</v>
      </c>
      <c r="R256" s="7" t="s">
        <v>134</v>
      </c>
      <c r="S256" s="26" t="s">
        <v>2935</v>
      </c>
      <c r="T256" s="7" t="s">
        <v>269</v>
      </c>
      <c r="U256" s="7" t="s">
        <v>2936</v>
      </c>
      <c r="V256" s="26" t="s">
        <v>138</v>
      </c>
      <c r="W256" s="26" t="s">
        <v>160</v>
      </c>
      <c r="X256" s="7" t="s">
        <v>44</v>
      </c>
      <c r="Y256" s="26" t="s">
        <v>4443</v>
      </c>
      <c r="Z256" s="19" t="s">
        <v>94</v>
      </c>
      <c r="AA256" s="26" t="s">
        <v>5643</v>
      </c>
      <c r="AB256" s="7" t="str">
        <f aca="false">IF(AC256="Reject","Not ready",IF(Z256="Possible",IF(K256=1,"Core","Extended"),IF(K256=1,"Smoke",IF(K256=2,"Core","Extended"))))</f>
        <v>Extended</v>
      </c>
      <c r="AC256" s="17" t="s">
        <v>7</v>
      </c>
      <c r="AD256" s="26" t="s">
        <v>2951</v>
      </c>
    </row>
  </sheetData>
  <autoFilter ref="A31:AD256"/>
  <dataValidations count="3">
    <dataValidation allowBlank="true" errorStyle="stop" operator="between" showDropDown="false" showErrorMessage="false" showInputMessage="false" sqref="J3:J256" type="list">
      <formula1>"Critical,High,Medium,Low"</formula1>
      <formula2>0</formula2>
    </dataValidation>
    <dataValidation allowBlank="true" errorStyle="stop" operator="between" showDropDown="false" showErrorMessage="false" showInputMessage="false" sqref="K3:K256" type="list">
      <formula1>"1,2,3,4"</formula1>
      <formula2>0</formula2>
    </dataValidation>
    <dataValidation allowBlank="true" errorStyle="stop" operator="between" showDropDown="false" showErrorMessage="false" showInputMessage="false" sqref="AC3:AC256" type="list">
      <formula1>"Approve,Draft,Reject"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7C80"/>
    <pageSetUpPr fitToPage="false"/>
  </sheetPr>
  <dimension ref="A1:V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9"/>
    <col collapsed="false" customWidth="true" hidden="false" outlineLevel="0" max="4" min="4" style="0" width="10"/>
    <col collapsed="false" customWidth="true" hidden="false" outlineLevel="0" max="5" min="5" style="0" width="24"/>
    <col collapsed="false" customWidth="true" hidden="false" outlineLevel="0" max="7" min="6" style="0" width="16"/>
    <col collapsed="false" customWidth="true" hidden="false" outlineLevel="0" max="8" min="8" style="0" width="54"/>
    <col collapsed="false" customWidth="true" hidden="false" outlineLevel="0" max="12" min="9" style="0" width="10"/>
    <col collapsed="false" customWidth="true" hidden="false" outlineLevel="0" max="13" min="13" style="0" width="11"/>
    <col collapsed="false" customWidth="true" hidden="false" outlineLevel="0" max="14" min="14" style="0" width="20"/>
    <col collapsed="false" customWidth="true" hidden="false" outlineLevel="0" max="15" min="15" style="0" width="16"/>
    <col collapsed="false" customWidth="true" hidden="false" outlineLevel="0" max="16" min="16" style="0" width="34"/>
    <col collapsed="false" customWidth="true" hidden="false" outlineLevel="0" max="17" min="17" style="0" width="46"/>
    <col collapsed="false" customWidth="true" hidden="false" outlineLevel="0" max="19" min="18" style="0" width="40"/>
    <col collapsed="false" customWidth="true" hidden="false" outlineLevel="0" max="20" min="20" style="0" width="36"/>
    <col collapsed="false" customWidth="true" hidden="false" outlineLevel="0" max="21" min="21" style="0" width="46"/>
    <col collapsed="false" customWidth="true" hidden="false" outlineLevel="0" max="22" min="22" style="0" width="64"/>
  </cols>
  <sheetData>
    <row r="1" customFormat="false" ht="19.5" hidden="false" customHeight="true" outlineLevel="0" collapsed="false">
      <c r="A1" s="25" t="str">
        <f aca="false">"Table 1. New defects caused by the feature: "&amp;COUNTA(A3:A22)&amp;" potential defects"</f>
        <v>Table 1. New defects caused by the feature: 20 potential defects</v>
      </c>
    </row>
    <row r="2" customFormat="false" ht="34.5" hidden="false" customHeight="true" outlineLevel="0" collapsed="false">
      <c r="A2" s="5" t="s">
        <v>4376</v>
      </c>
      <c r="B2" s="5" t="s">
        <v>32</v>
      </c>
      <c r="C2" s="5" t="s">
        <v>106</v>
      </c>
      <c r="D2" s="5" t="s">
        <v>4377</v>
      </c>
      <c r="E2" s="5" t="s">
        <v>5330</v>
      </c>
      <c r="F2" s="5" t="s">
        <v>4379</v>
      </c>
      <c r="G2" s="5" t="s">
        <v>5644</v>
      </c>
      <c r="H2" s="5" t="s">
        <v>4380</v>
      </c>
      <c r="I2" s="5" t="s">
        <v>21</v>
      </c>
      <c r="J2" s="5" t="s">
        <v>82</v>
      </c>
      <c r="K2" s="5" t="s">
        <v>83</v>
      </c>
      <c r="L2" s="5" t="s">
        <v>15</v>
      </c>
      <c r="M2" s="5" t="s">
        <v>3</v>
      </c>
      <c r="N2" s="5" t="s">
        <v>4387</v>
      </c>
      <c r="O2" s="5" t="s">
        <v>4381</v>
      </c>
      <c r="P2" s="5" t="s">
        <v>4382</v>
      </c>
      <c r="Q2" s="5" t="s">
        <v>4383</v>
      </c>
      <c r="R2" s="5" t="s">
        <v>115</v>
      </c>
      <c r="S2" s="5" t="s">
        <v>4384</v>
      </c>
      <c r="T2" s="5" t="s">
        <v>4385</v>
      </c>
      <c r="U2" s="5" t="s">
        <v>4386</v>
      </c>
      <c r="V2" s="5" t="s">
        <v>3446</v>
      </c>
    </row>
    <row r="3" customFormat="false" ht="93" hidden="false" customHeight="true" outlineLevel="0" collapsed="false">
      <c r="A3" s="7" t="s">
        <v>5645</v>
      </c>
      <c r="B3" s="7" t="s">
        <v>38</v>
      </c>
      <c r="C3" s="7" t="s">
        <v>100</v>
      </c>
      <c r="D3" s="7" t="s">
        <v>1365</v>
      </c>
      <c r="E3" s="26" t="s">
        <v>4388</v>
      </c>
      <c r="F3" s="26" t="s">
        <v>5367</v>
      </c>
      <c r="G3" s="26" t="s">
        <v>345</v>
      </c>
      <c r="H3" s="26" t="s">
        <v>5646</v>
      </c>
      <c r="I3" s="16" t="n">
        <v>1</v>
      </c>
      <c r="J3" s="7" t="str">
        <f aca="false">IF(I3&lt;=2,"High","Low")</f>
        <v>High</v>
      </c>
      <c r="K3" s="15" t="s">
        <v>17</v>
      </c>
      <c r="L3" s="7" t="str">
        <f aca="false">IF(J3="High",IF(K3="High","Critical","High"),IF(K3="High","Medium","Low"))</f>
        <v>Critical</v>
      </c>
      <c r="M3" s="7" t="s">
        <v>4395</v>
      </c>
      <c r="N3" s="26" t="str">
        <f aca="false">IF(I3=1,"Smoke",IF(I3=2,"Regression Core","Regression Extended"))</f>
        <v>Smoke</v>
      </c>
      <c r="O3" s="26" t="s">
        <v>4390</v>
      </c>
      <c r="P3" s="26" t="s">
        <v>5647</v>
      </c>
      <c r="Q3" s="26" t="s">
        <v>5648</v>
      </c>
      <c r="R3" s="26" t="s">
        <v>5649</v>
      </c>
      <c r="S3" s="26" t="s">
        <v>5650</v>
      </c>
      <c r="T3" s="26" t="s">
        <v>5651</v>
      </c>
      <c r="U3" s="26" t="s">
        <v>5652</v>
      </c>
      <c r="V3" s="26" t="s">
        <v>5653</v>
      </c>
    </row>
    <row r="4" customFormat="false" ht="105.75" hidden="false" customHeight="true" outlineLevel="0" collapsed="false">
      <c r="A4" s="7" t="s">
        <v>5654</v>
      </c>
      <c r="B4" s="7" t="s">
        <v>38</v>
      </c>
      <c r="C4" s="7" t="s">
        <v>101</v>
      </c>
      <c r="D4" s="7" t="s">
        <v>2303</v>
      </c>
      <c r="E4" s="26" t="s">
        <v>4564</v>
      </c>
      <c r="F4" s="26" t="s">
        <v>5379</v>
      </c>
      <c r="G4" s="26" t="s">
        <v>1566</v>
      </c>
      <c r="H4" s="26" t="s">
        <v>5655</v>
      </c>
      <c r="I4" s="16" t="n">
        <v>1</v>
      </c>
      <c r="J4" s="7" t="str">
        <f aca="false">IF(I4&lt;=2,"High","Low")</f>
        <v>High</v>
      </c>
      <c r="K4" s="15" t="s">
        <v>17</v>
      </c>
      <c r="L4" s="7" t="str">
        <f aca="false">IF(J4="High",IF(K4="High","Critical","High"),IF(K4="High","Medium","Low"))</f>
        <v>Critical</v>
      </c>
      <c r="M4" s="7" t="s">
        <v>4395</v>
      </c>
      <c r="N4" s="26" t="str">
        <f aca="false">IF(I4=1,"Smoke",IF(I4=2,"Regression Core","Regression Extended"))</f>
        <v>Smoke</v>
      </c>
      <c r="O4" s="26" t="s">
        <v>4390</v>
      </c>
      <c r="P4" s="26" t="s">
        <v>5656</v>
      </c>
      <c r="Q4" s="26" t="s">
        <v>5657</v>
      </c>
      <c r="R4" s="26" t="s">
        <v>5658</v>
      </c>
      <c r="S4" s="26" t="s">
        <v>5659</v>
      </c>
      <c r="T4" s="26" t="s">
        <v>5660</v>
      </c>
      <c r="U4" s="26" t="s">
        <v>5661</v>
      </c>
      <c r="V4" s="26" t="s">
        <v>5662</v>
      </c>
    </row>
    <row r="5" customFormat="false" ht="80.25" hidden="false" customHeight="true" outlineLevel="0" collapsed="false">
      <c r="A5" s="7" t="s">
        <v>5663</v>
      </c>
      <c r="B5" s="7" t="s">
        <v>38</v>
      </c>
      <c r="C5" s="7" t="s">
        <v>100</v>
      </c>
      <c r="D5" s="7" t="s">
        <v>1950</v>
      </c>
      <c r="E5" s="26" t="s">
        <v>4472</v>
      </c>
      <c r="F5" s="26" t="s">
        <v>5399</v>
      </c>
      <c r="G5" s="26" t="s">
        <v>1709</v>
      </c>
      <c r="H5" s="26" t="s">
        <v>5664</v>
      </c>
      <c r="I5" s="16" t="n">
        <v>1</v>
      </c>
      <c r="J5" s="7" t="str">
        <f aca="false">IF(I5&lt;=2,"High","Low")</f>
        <v>High</v>
      </c>
      <c r="K5" s="15" t="s">
        <v>17</v>
      </c>
      <c r="L5" s="7" t="str">
        <f aca="false">IF(J5="High",IF(K5="High","Critical","High"),IF(K5="High","Medium","Low"))</f>
        <v>Critical</v>
      </c>
      <c r="M5" s="7" t="s">
        <v>4395</v>
      </c>
      <c r="N5" s="26" t="str">
        <f aca="false">IF(I5=1,"Smoke",IF(I5=2,"Regression Core","Regression Extended"))</f>
        <v>Smoke</v>
      </c>
      <c r="O5" s="26" t="s">
        <v>4390</v>
      </c>
      <c r="P5" s="26" t="s">
        <v>5665</v>
      </c>
      <c r="Q5" s="26" t="s">
        <v>5666</v>
      </c>
      <c r="R5" s="26" t="s">
        <v>5667</v>
      </c>
      <c r="S5" s="26" t="s">
        <v>5668</v>
      </c>
      <c r="T5" s="26" t="s">
        <v>5669</v>
      </c>
      <c r="U5" s="26" t="s">
        <v>5670</v>
      </c>
      <c r="V5" s="26" t="s">
        <v>5671</v>
      </c>
    </row>
    <row r="6" customFormat="false" ht="80.25" hidden="false" customHeight="true" outlineLevel="0" collapsed="false">
      <c r="A6" s="7" t="s">
        <v>5672</v>
      </c>
      <c r="B6" s="7" t="s">
        <v>38</v>
      </c>
      <c r="C6" s="7" t="s">
        <v>100</v>
      </c>
      <c r="D6" s="7" t="s">
        <v>1950</v>
      </c>
      <c r="E6" s="26" t="s">
        <v>4529</v>
      </c>
      <c r="F6" s="26" t="s">
        <v>5420</v>
      </c>
      <c r="G6" s="26" t="s">
        <v>1201</v>
      </c>
      <c r="H6" s="26" t="s">
        <v>5673</v>
      </c>
      <c r="I6" s="16" t="n">
        <v>1</v>
      </c>
      <c r="J6" s="7" t="str">
        <f aca="false">IF(I6&lt;=2,"High","Low")</f>
        <v>High</v>
      </c>
      <c r="K6" s="15" t="s">
        <v>17</v>
      </c>
      <c r="L6" s="7" t="str">
        <f aca="false">IF(J6="High",IF(K6="High","Critical","High"),IF(K6="High","Medium","Low"))</f>
        <v>Critical</v>
      </c>
      <c r="M6" s="7" t="s">
        <v>4395</v>
      </c>
      <c r="N6" s="26" t="str">
        <f aca="false">IF(I6=1,"Smoke",IF(I6=2,"Regression Core","Regression Extended"))</f>
        <v>Smoke</v>
      </c>
      <c r="O6" s="26" t="s">
        <v>4390</v>
      </c>
      <c r="P6" s="26" t="s">
        <v>5674</v>
      </c>
      <c r="Q6" s="26" t="s">
        <v>5675</v>
      </c>
      <c r="R6" s="26" t="s">
        <v>5676</v>
      </c>
      <c r="S6" s="26" t="s">
        <v>5677</v>
      </c>
      <c r="T6" s="26" t="s">
        <v>5678</v>
      </c>
      <c r="U6" s="26" t="s">
        <v>5679</v>
      </c>
      <c r="V6" s="26" t="s">
        <v>5680</v>
      </c>
    </row>
    <row r="7" customFormat="false" ht="118.5" hidden="false" customHeight="true" outlineLevel="0" collapsed="false">
      <c r="A7" s="7" t="s">
        <v>5681</v>
      </c>
      <c r="B7" s="7" t="s">
        <v>38</v>
      </c>
      <c r="C7" s="7" t="s">
        <v>100</v>
      </c>
      <c r="D7" s="7" t="s">
        <v>1986</v>
      </c>
      <c r="E7" s="26" t="s">
        <v>4529</v>
      </c>
      <c r="F7" s="26" t="s">
        <v>5461</v>
      </c>
      <c r="G7" s="26" t="s">
        <v>516</v>
      </c>
      <c r="H7" s="26" t="s">
        <v>5682</v>
      </c>
      <c r="I7" s="16" t="n">
        <v>1</v>
      </c>
      <c r="J7" s="7" t="str">
        <f aca="false">IF(I7&lt;=2,"High","Low")</f>
        <v>High</v>
      </c>
      <c r="K7" s="15" t="s">
        <v>17</v>
      </c>
      <c r="L7" s="7" t="str">
        <f aca="false">IF(J7="High",IF(K7="High","Critical","High"),IF(K7="High","Medium","Low"))</f>
        <v>Critical</v>
      </c>
      <c r="M7" s="7" t="s">
        <v>4395</v>
      </c>
      <c r="N7" s="26" t="str">
        <f aca="false">IF(I7=1,"Smoke",IF(I7=2,"Regression Core","Regression Extended"))</f>
        <v>Smoke</v>
      </c>
      <c r="O7" s="26" t="s">
        <v>4390</v>
      </c>
      <c r="P7" s="26" t="s">
        <v>5683</v>
      </c>
      <c r="Q7" s="26" t="s">
        <v>5684</v>
      </c>
      <c r="R7" s="26" t="s">
        <v>5685</v>
      </c>
      <c r="S7" s="26" t="s">
        <v>5686</v>
      </c>
      <c r="T7" s="26" t="s">
        <v>5687</v>
      </c>
      <c r="U7" s="26" t="s">
        <v>5688</v>
      </c>
      <c r="V7" s="26" t="s">
        <v>5689</v>
      </c>
    </row>
    <row r="8" customFormat="false" ht="157.5" hidden="false" customHeight="true" outlineLevel="0" collapsed="false">
      <c r="A8" s="7" t="s">
        <v>5690</v>
      </c>
      <c r="B8" s="7" t="s">
        <v>40</v>
      </c>
      <c r="C8" s="7" t="s">
        <v>101</v>
      </c>
      <c r="D8" s="7" t="s">
        <v>516</v>
      </c>
      <c r="E8" s="26" t="s">
        <v>4396</v>
      </c>
      <c r="F8" s="26" t="s">
        <v>5488</v>
      </c>
      <c r="G8" s="26" t="s">
        <v>5691</v>
      </c>
      <c r="H8" s="26" t="s">
        <v>5692</v>
      </c>
      <c r="I8" s="16" t="n">
        <v>1</v>
      </c>
      <c r="J8" s="7" t="str">
        <f aca="false">IF(I8&lt;=2,"High","Low")</f>
        <v>High</v>
      </c>
      <c r="K8" s="15" t="s">
        <v>17</v>
      </c>
      <c r="L8" s="7" t="str">
        <f aca="false">IF(J8="High",IF(K8="High","Critical","High"),IF(K8="High","Medium","Low"))</f>
        <v>Critical</v>
      </c>
      <c r="M8" s="7" t="s">
        <v>4395</v>
      </c>
      <c r="N8" s="26" t="str">
        <f aca="false">IF(I8=1,"Smoke",IF(I8=2,"Regression Core","Regression Extended"))</f>
        <v>Smoke</v>
      </c>
      <c r="O8" s="26" t="s">
        <v>4390</v>
      </c>
      <c r="P8" s="26" t="s">
        <v>5693</v>
      </c>
      <c r="Q8" s="26" t="s">
        <v>5694</v>
      </c>
      <c r="R8" s="26" t="s">
        <v>5695</v>
      </c>
      <c r="S8" s="26" t="s">
        <v>5696</v>
      </c>
      <c r="T8" s="26" t="s">
        <v>5697</v>
      </c>
      <c r="U8" s="26" t="s">
        <v>5698</v>
      </c>
      <c r="V8" s="26" t="s">
        <v>5699</v>
      </c>
    </row>
    <row r="9" customFormat="false" ht="80.25" hidden="false" customHeight="true" outlineLevel="0" collapsed="false">
      <c r="A9" s="7" t="s">
        <v>5700</v>
      </c>
      <c r="B9" s="7" t="s">
        <v>40</v>
      </c>
      <c r="C9" s="7" t="s">
        <v>100</v>
      </c>
      <c r="D9" s="7" t="s">
        <v>259</v>
      </c>
      <c r="E9" s="26" t="s">
        <v>4396</v>
      </c>
      <c r="F9" s="26" t="s">
        <v>5529</v>
      </c>
      <c r="G9" s="26" t="s">
        <v>1110</v>
      </c>
      <c r="H9" s="26" t="s">
        <v>5701</v>
      </c>
      <c r="I9" s="16" t="n">
        <v>1</v>
      </c>
      <c r="J9" s="7" t="str">
        <f aca="false">IF(I9&lt;=2,"High","Low")</f>
        <v>High</v>
      </c>
      <c r="K9" s="15" t="s">
        <v>17</v>
      </c>
      <c r="L9" s="7" t="str">
        <f aca="false">IF(J9="High",IF(K9="High","Critical","High"),IF(K9="High","Medium","Low"))</f>
        <v>Critical</v>
      </c>
      <c r="M9" s="7" t="s">
        <v>4395</v>
      </c>
      <c r="N9" s="26" t="str">
        <f aca="false">IF(I9=1,"Smoke",IF(I9=2,"Regression Core","Regression Extended"))</f>
        <v>Smoke</v>
      </c>
      <c r="O9" s="26" t="s">
        <v>4390</v>
      </c>
      <c r="P9" s="26" t="s">
        <v>5702</v>
      </c>
      <c r="Q9" s="26" t="s">
        <v>5703</v>
      </c>
      <c r="R9" s="26" t="s">
        <v>5704</v>
      </c>
      <c r="S9" s="26" t="s">
        <v>5705</v>
      </c>
      <c r="T9" s="26" t="s">
        <v>5706</v>
      </c>
      <c r="U9" s="26" t="s">
        <v>5707</v>
      </c>
      <c r="V9" s="26" t="s">
        <v>5708</v>
      </c>
    </row>
    <row r="10" customFormat="false" ht="93" hidden="false" customHeight="true" outlineLevel="0" collapsed="false">
      <c r="A10" s="7" t="s">
        <v>5709</v>
      </c>
      <c r="B10" s="7" t="s">
        <v>38</v>
      </c>
      <c r="C10" s="7" t="s">
        <v>100</v>
      </c>
      <c r="D10" s="7" t="s">
        <v>2244</v>
      </c>
      <c r="E10" s="26" t="s">
        <v>4529</v>
      </c>
      <c r="F10" s="26" t="s">
        <v>5443</v>
      </c>
      <c r="G10" s="26" t="s">
        <v>1986</v>
      </c>
      <c r="H10" s="26" t="s">
        <v>5710</v>
      </c>
      <c r="I10" s="16" t="n">
        <v>1</v>
      </c>
      <c r="J10" s="7" t="str">
        <f aca="false">IF(I10&lt;=2,"High","Low")</f>
        <v>High</v>
      </c>
      <c r="K10" s="15" t="s">
        <v>17</v>
      </c>
      <c r="L10" s="7" t="str">
        <f aca="false">IF(J10="High",IF(K10="High","Critical","High"),IF(K10="High","Medium","Low"))</f>
        <v>Critical</v>
      </c>
      <c r="M10" s="7" t="s">
        <v>4395</v>
      </c>
      <c r="N10" s="26" t="str">
        <f aca="false">IF(I10=1,"Smoke",IF(I10=2,"Regression Core","Regression Extended"))</f>
        <v>Smoke</v>
      </c>
      <c r="O10" s="26" t="s">
        <v>4390</v>
      </c>
      <c r="P10" s="26" t="s">
        <v>5711</v>
      </c>
      <c r="Q10" s="26" t="s">
        <v>5712</v>
      </c>
      <c r="R10" s="26" t="s">
        <v>5713</v>
      </c>
      <c r="S10" s="26" t="s">
        <v>5714</v>
      </c>
      <c r="T10" s="26" t="s">
        <v>5715</v>
      </c>
      <c r="U10" s="26" t="s">
        <v>5716</v>
      </c>
      <c r="V10" s="26" t="s">
        <v>5717</v>
      </c>
    </row>
    <row r="11" customFormat="false" ht="93" hidden="false" customHeight="true" outlineLevel="0" collapsed="false">
      <c r="A11" s="7" t="s">
        <v>5718</v>
      </c>
      <c r="B11" s="7" t="s">
        <v>40</v>
      </c>
      <c r="C11" s="7" t="s">
        <v>101</v>
      </c>
      <c r="D11" s="7" t="s">
        <v>563</v>
      </c>
      <c r="E11" s="26" t="s">
        <v>4443</v>
      </c>
      <c r="F11" s="26" t="s">
        <v>5551</v>
      </c>
      <c r="G11" s="26" t="s">
        <v>2927</v>
      </c>
      <c r="H11" s="26" t="s">
        <v>5719</v>
      </c>
      <c r="I11" s="16" t="n">
        <v>1</v>
      </c>
      <c r="J11" s="7" t="str">
        <f aca="false">IF(I11&lt;=2,"High","Low")</f>
        <v>High</v>
      </c>
      <c r="K11" s="15" t="s">
        <v>17</v>
      </c>
      <c r="L11" s="7" t="str">
        <f aca="false">IF(J11="High",IF(K11="High","Critical","High"),IF(K11="High","Medium","Low"))</f>
        <v>Critical</v>
      </c>
      <c r="M11" s="7" t="s">
        <v>4395</v>
      </c>
      <c r="N11" s="26" t="str">
        <f aca="false">IF(I11=1,"Smoke",IF(I11=2,"Regression Core","Regression Extended"))</f>
        <v>Smoke</v>
      </c>
      <c r="O11" s="26" t="s">
        <v>4390</v>
      </c>
      <c r="P11" s="26" t="s">
        <v>5720</v>
      </c>
      <c r="Q11" s="26" t="s">
        <v>5721</v>
      </c>
      <c r="R11" s="26" t="s">
        <v>5722</v>
      </c>
      <c r="S11" s="26" t="s">
        <v>5723</v>
      </c>
      <c r="T11" s="26" t="s">
        <v>5724</v>
      </c>
      <c r="U11" s="26" t="s">
        <v>5725</v>
      </c>
      <c r="V11" s="26" t="s">
        <v>5726</v>
      </c>
    </row>
    <row r="12" customFormat="false" ht="132" hidden="false" customHeight="true" outlineLevel="0" collapsed="false">
      <c r="A12" s="7" t="s">
        <v>5727</v>
      </c>
      <c r="B12" s="7" t="s">
        <v>38</v>
      </c>
      <c r="C12" s="7" t="s">
        <v>101</v>
      </c>
      <c r="D12" s="7" t="s">
        <v>2303</v>
      </c>
      <c r="E12" s="26" t="s">
        <v>4564</v>
      </c>
      <c r="F12" s="26" t="s">
        <v>5390</v>
      </c>
      <c r="G12" s="26" t="s">
        <v>1449</v>
      </c>
      <c r="H12" s="26" t="s">
        <v>5728</v>
      </c>
      <c r="I12" s="18" t="n">
        <v>2</v>
      </c>
      <c r="J12" s="7" t="str">
        <f aca="false">IF(I12&lt;=2,"High","Low")</f>
        <v>High</v>
      </c>
      <c r="K12" s="15" t="s">
        <v>19</v>
      </c>
      <c r="L12" s="7" t="str">
        <f aca="false">IF(J12="High",IF(K12="High","Critical","High"),IF(K12="High","Medium","Low"))</f>
        <v>High</v>
      </c>
      <c r="M12" s="7" t="s">
        <v>4395</v>
      </c>
      <c r="N12" s="26" t="str">
        <f aca="false">IF(I12=1,"Smoke",IF(I12=2,"Regression Core","Regression Extended"))</f>
        <v>Regression Core</v>
      </c>
      <c r="O12" s="26" t="s">
        <v>4390</v>
      </c>
      <c r="P12" s="26" t="s">
        <v>5729</v>
      </c>
      <c r="Q12" s="26" t="s">
        <v>5730</v>
      </c>
      <c r="R12" s="26" t="s">
        <v>5396</v>
      </c>
      <c r="S12" s="26" t="s">
        <v>5731</v>
      </c>
      <c r="T12" s="26" t="s">
        <v>5732</v>
      </c>
      <c r="U12" s="26" t="s">
        <v>5733</v>
      </c>
      <c r="V12" s="26" t="s">
        <v>5734</v>
      </c>
    </row>
    <row r="13" customFormat="false" ht="93" hidden="false" customHeight="true" outlineLevel="0" collapsed="false">
      <c r="A13" s="7" t="s">
        <v>5735</v>
      </c>
      <c r="B13" s="7" t="s">
        <v>38</v>
      </c>
      <c r="C13" s="7" t="s">
        <v>100</v>
      </c>
      <c r="D13" s="7" t="s">
        <v>1986</v>
      </c>
      <c r="E13" s="26" t="s">
        <v>4529</v>
      </c>
      <c r="F13" s="26" t="s">
        <v>5433</v>
      </c>
      <c r="G13" s="26" t="s">
        <v>1546</v>
      </c>
      <c r="H13" s="26" t="s">
        <v>5736</v>
      </c>
      <c r="I13" s="18" t="n">
        <v>2</v>
      </c>
      <c r="J13" s="7" t="str">
        <f aca="false">IF(I13&lt;=2,"High","Low")</f>
        <v>High</v>
      </c>
      <c r="K13" s="15" t="s">
        <v>17</v>
      </c>
      <c r="L13" s="7" t="str">
        <f aca="false">IF(J13="High",IF(K13="High","Critical","High"),IF(K13="High","Medium","Low"))</f>
        <v>Critical</v>
      </c>
      <c r="M13" s="7" t="s">
        <v>4395</v>
      </c>
      <c r="N13" s="26" t="str">
        <f aca="false">IF(I13=1,"Smoke",IF(I13=2,"Regression Core","Regression Extended"))</f>
        <v>Regression Core</v>
      </c>
      <c r="O13" s="26" t="s">
        <v>4390</v>
      </c>
      <c r="P13" s="26" t="s">
        <v>5737</v>
      </c>
      <c r="Q13" s="26" t="s">
        <v>5738</v>
      </c>
      <c r="R13" s="26" t="s">
        <v>5739</v>
      </c>
      <c r="S13" s="26" t="s">
        <v>5740</v>
      </c>
      <c r="T13" s="26" t="s">
        <v>5741</v>
      </c>
      <c r="U13" s="26" t="s">
        <v>5742</v>
      </c>
      <c r="V13" s="26" t="s">
        <v>5743</v>
      </c>
    </row>
    <row r="14" customFormat="false" ht="105.75" hidden="false" customHeight="true" outlineLevel="0" collapsed="false">
      <c r="A14" s="7" t="s">
        <v>5744</v>
      </c>
      <c r="B14" s="7" t="s">
        <v>40</v>
      </c>
      <c r="C14" s="7" t="s">
        <v>100</v>
      </c>
      <c r="D14" s="7" t="s">
        <v>2477</v>
      </c>
      <c r="E14" s="26" t="s">
        <v>4396</v>
      </c>
      <c r="F14" s="26" t="s">
        <v>5501</v>
      </c>
      <c r="G14" s="26" t="s">
        <v>1986</v>
      </c>
      <c r="H14" s="26" t="s">
        <v>5745</v>
      </c>
      <c r="I14" s="18" t="n">
        <v>2</v>
      </c>
      <c r="J14" s="7" t="str">
        <f aca="false">IF(I14&lt;=2,"High","Low")</f>
        <v>High</v>
      </c>
      <c r="K14" s="15" t="s">
        <v>17</v>
      </c>
      <c r="L14" s="7" t="str">
        <f aca="false">IF(J14="High",IF(K14="High","Critical","High"),IF(K14="High","Medium","Low"))</f>
        <v>Critical</v>
      </c>
      <c r="M14" s="7" t="s">
        <v>4395</v>
      </c>
      <c r="N14" s="26" t="str">
        <f aca="false">IF(I14=1,"Smoke",IF(I14=2,"Regression Core","Regression Extended"))</f>
        <v>Regression Core</v>
      </c>
      <c r="O14" s="26" t="s">
        <v>4390</v>
      </c>
      <c r="P14" s="26" t="s">
        <v>5746</v>
      </c>
      <c r="Q14" s="26" t="s">
        <v>5747</v>
      </c>
      <c r="R14" s="26" t="s">
        <v>5748</v>
      </c>
      <c r="S14" s="26" t="s">
        <v>5749</v>
      </c>
      <c r="T14" s="26" t="s">
        <v>5750</v>
      </c>
      <c r="U14" s="26" t="s">
        <v>5751</v>
      </c>
      <c r="V14" s="26" t="s">
        <v>5752</v>
      </c>
    </row>
    <row r="15" customFormat="false" ht="93" hidden="false" customHeight="true" outlineLevel="0" collapsed="false">
      <c r="A15" s="7" t="s">
        <v>5753</v>
      </c>
      <c r="B15" s="7" t="s">
        <v>40</v>
      </c>
      <c r="C15" s="7" t="s">
        <v>100</v>
      </c>
      <c r="D15" s="7" t="s">
        <v>303</v>
      </c>
      <c r="E15" s="26" t="s">
        <v>4396</v>
      </c>
      <c r="F15" s="26" t="s">
        <v>5510</v>
      </c>
      <c r="G15" s="26" t="s">
        <v>1449</v>
      </c>
      <c r="H15" s="26" t="s">
        <v>5754</v>
      </c>
      <c r="I15" s="18" t="n">
        <v>2</v>
      </c>
      <c r="J15" s="7" t="str">
        <f aca="false">IF(I15&lt;=2,"High","Low")</f>
        <v>High</v>
      </c>
      <c r="K15" s="15" t="s">
        <v>17</v>
      </c>
      <c r="L15" s="7" t="str">
        <f aca="false">IF(J15="High",IF(K15="High","Critical","High"),IF(K15="High","Medium","Low"))</f>
        <v>Critical</v>
      </c>
      <c r="M15" s="7" t="s">
        <v>4395</v>
      </c>
      <c r="N15" s="26" t="str">
        <f aca="false">IF(I15=1,"Smoke",IF(I15=2,"Regression Core","Regression Extended"))</f>
        <v>Regression Core</v>
      </c>
      <c r="O15" s="26" t="s">
        <v>4390</v>
      </c>
      <c r="P15" s="26" t="s">
        <v>5755</v>
      </c>
      <c r="Q15" s="26" t="s">
        <v>5756</v>
      </c>
      <c r="R15" s="26" t="s">
        <v>5757</v>
      </c>
      <c r="S15" s="26" t="s">
        <v>5758</v>
      </c>
      <c r="T15" s="26" t="s">
        <v>5759</v>
      </c>
      <c r="U15" s="26" t="s">
        <v>5760</v>
      </c>
      <c r="V15" s="26" t="s">
        <v>5761</v>
      </c>
    </row>
    <row r="16" customFormat="false" ht="105.75" hidden="false" customHeight="true" outlineLevel="0" collapsed="false">
      <c r="A16" s="7" t="s">
        <v>5762</v>
      </c>
      <c r="B16" s="7" t="s">
        <v>38</v>
      </c>
      <c r="C16" s="7" t="s">
        <v>100</v>
      </c>
      <c r="D16" s="7" t="s">
        <v>2134</v>
      </c>
      <c r="E16" s="26" t="s">
        <v>4529</v>
      </c>
      <c r="F16" s="26" t="s">
        <v>5541</v>
      </c>
      <c r="G16" s="26" t="s">
        <v>1986</v>
      </c>
      <c r="H16" s="26" t="s">
        <v>5763</v>
      </c>
      <c r="I16" s="18" t="n">
        <v>2</v>
      </c>
      <c r="J16" s="7" t="str">
        <f aca="false">IF(I16&lt;=2,"High","Low")</f>
        <v>High</v>
      </c>
      <c r="K16" s="15" t="s">
        <v>17</v>
      </c>
      <c r="L16" s="7" t="str">
        <f aca="false">IF(J16="High",IF(K16="High","Critical","High"),IF(K16="High","Medium","Low"))</f>
        <v>Critical</v>
      </c>
      <c r="M16" s="7" t="s">
        <v>4395</v>
      </c>
      <c r="N16" s="26" t="str">
        <f aca="false">IF(I16=1,"Smoke",IF(I16=2,"Regression Core","Regression Extended"))</f>
        <v>Regression Core</v>
      </c>
      <c r="O16" s="26" t="s">
        <v>4390</v>
      </c>
      <c r="P16" s="26" t="s">
        <v>5764</v>
      </c>
      <c r="Q16" s="26" t="s">
        <v>5765</v>
      </c>
      <c r="R16" s="26" t="s">
        <v>5766</v>
      </c>
      <c r="S16" s="26" t="s">
        <v>5767</v>
      </c>
      <c r="T16" s="26" t="s">
        <v>5768</v>
      </c>
      <c r="U16" s="26" t="s">
        <v>5769</v>
      </c>
      <c r="V16" s="26" t="s">
        <v>5770</v>
      </c>
    </row>
    <row r="17" customFormat="false" ht="105.75" hidden="false" customHeight="true" outlineLevel="0" collapsed="false">
      <c r="A17" s="7" t="s">
        <v>5771</v>
      </c>
      <c r="B17" s="7" t="s">
        <v>38</v>
      </c>
      <c r="C17" s="7" t="s">
        <v>100</v>
      </c>
      <c r="D17" s="7" t="s">
        <v>1910</v>
      </c>
      <c r="E17" s="26" t="s">
        <v>4472</v>
      </c>
      <c r="F17" s="26" t="s">
        <v>5410</v>
      </c>
      <c r="G17" s="26" t="s">
        <v>1950</v>
      </c>
      <c r="H17" s="26" t="s">
        <v>5772</v>
      </c>
      <c r="I17" s="18" t="n">
        <v>2</v>
      </c>
      <c r="J17" s="7" t="str">
        <f aca="false">IF(I17&lt;=2,"High","Low")</f>
        <v>High</v>
      </c>
      <c r="K17" s="15" t="s">
        <v>17</v>
      </c>
      <c r="L17" s="7" t="str">
        <f aca="false">IF(J17="High",IF(K17="High","Critical","High"),IF(K17="High","Medium","Low"))</f>
        <v>Critical</v>
      </c>
      <c r="M17" s="7" t="s">
        <v>4395</v>
      </c>
      <c r="N17" s="26" t="str">
        <f aca="false">IF(I17=1,"Smoke",IF(I17=2,"Regression Core","Regression Extended"))</f>
        <v>Regression Core</v>
      </c>
      <c r="O17" s="26" t="s">
        <v>4390</v>
      </c>
      <c r="P17" s="26" t="s">
        <v>5773</v>
      </c>
      <c r="Q17" s="26" t="s">
        <v>5774</v>
      </c>
      <c r="R17" s="26" t="s">
        <v>5775</v>
      </c>
      <c r="S17" s="26" t="s">
        <v>5776</v>
      </c>
      <c r="T17" s="26" t="s">
        <v>5777</v>
      </c>
      <c r="U17" s="26" t="s">
        <v>5778</v>
      </c>
      <c r="V17" s="26" t="s">
        <v>5779</v>
      </c>
    </row>
    <row r="18" customFormat="false" ht="132" hidden="false" customHeight="true" outlineLevel="0" collapsed="false">
      <c r="A18" s="7" t="s">
        <v>5780</v>
      </c>
      <c r="B18" s="7" t="s">
        <v>40</v>
      </c>
      <c r="C18" s="7" t="s">
        <v>100</v>
      </c>
      <c r="D18" s="7" t="s">
        <v>3077</v>
      </c>
      <c r="E18" s="26" t="s">
        <v>4396</v>
      </c>
      <c r="F18" s="26" t="s">
        <v>5520</v>
      </c>
      <c r="G18" s="26" t="s">
        <v>5781</v>
      </c>
      <c r="H18" s="26" t="s">
        <v>5782</v>
      </c>
      <c r="I18" s="16" t="n">
        <v>1</v>
      </c>
      <c r="J18" s="7" t="str">
        <f aca="false">IF(I18&lt;=2,"High","Low")</f>
        <v>High</v>
      </c>
      <c r="K18" s="15" t="s">
        <v>17</v>
      </c>
      <c r="L18" s="7" t="str">
        <f aca="false">IF(J18="High",IF(K18="High","Critical","High"),IF(K18="High","Medium","Low"))</f>
        <v>Critical</v>
      </c>
      <c r="M18" s="7" t="s">
        <v>4395</v>
      </c>
      <c r="N18" s="26" t="str">
        <f aca="false">IF(I18=1,"Smoke",IF(I18=2,"Regression Core","Regression Extended"))</f>
        <v>Smoke</v>
      </c>
      <c r="O18" s="26" t="s">
        <v>4390</v>
      </c>
      <c r="P18" s="26" t="s">
        <v>5783</v>
      </c>
      <c r="Q18" s="26" t="s">
        <v>5784</v>
      </c>
      <c r="R18" s="26" t="s">
        <v>5785</v>
      </c>
      <c r="S18" s="26" t="s">
        <v>5786</v>
      </c>
      <c r="T18" s="26" t="s">
        <v>5787</v>
      </c>
      <c r="U18" s="26" t="s">
        <v>5788</v>
      </c>
      <c r="V18" s="26" t="s">
        <v>5789</v>
      </c>
    </row>
    <row r="19" customFormat="false" ht="118.5" hidden="false" customHeight="true" outlineLevel="0" collapsed="false">
      <c r="A19" s="7" t="s">
        <v>5790</v>
      </c>
      <c r="B19" s="7" t="s">
        <v>39</v>
      </c>
      <c r="C19" s="7" t="s">
        <v>101</v>
      </c>
      <c r="D19" s="7" t="s">
        <v>2654</v>
      </c>
      <c r="E19" s="26" t="s">
        <v>4443</v>
      </c>
      <c r="F19" s="26" t="s">
        <v>5563</v>
      </c>
      <c r="G19" s="26" t="s">
        <v>5791</v>
      </c>
      <c r="H19" s="26" t="s">
        <v>5792</v>
      </c>
      <c r="I19" s="18" t="n">
        <v>2</v>
      </c>
      <c r="J19" s="7" t="str">
        <f aca="false">IF(I19&lt;=2,"High","Low")</f>
        <v>High</v>
      </c>
      <c r="K19" s="15" t="s">
        <v>19</v>
      </c>
      <c r="L19" s="7" t="str">
        <f aca="false">IF(J19="High",IF(K19="High","Critical","High"),IF(K19="High","Medium","Low"))</f>
        <v>High</v>
      </c>
      <c r="M19" s="7" t="s">
        <v>4395</v>
      </c>
      <c r="N19" s="26" t="str">
        <f aca="false">IF(I19=1,"Smoke",IF(I19=2,"Regression Core","Regression Extended"))</f>
        <v>Regression Core</v>
      </c>
      <c r="O19" s="26" t="s">
        <v>4390</v>
      </c>
      <c r="P19" s="26" t="s">
        <v>5793</v>
      </c>
      <c r="Q19" s="26" t="s">
        <v>5794</v>
      </c>
      <c r="R19" s="26" t="s">
        <v>5795</v>
      </c>
      <c r="S19" s="26" t="s">
        <v>5796</v>
      </c>
      <c r="T19" s="26" t="s">
        <v>5797</v>
      </c>
      <c r="U19" s="26" t="s">
        <v>5798</v>
      </c>
      <c r="V19" s="26" t="s">
        <v>5799</v>
      </c>
    </row>
    <row r="20" customFormat="false" ht="105.75" hidden="false" customHeight="true" outlineLevel="0" collapsed="false">
      <c r="A20" s="7" t="s">
        <v>5800</v>
      </c>
      <c r="B20" s="7" t="s">
        <v>38</v>
      </c>
      <c r="C20" s="7" t="s">
        <v>100</v>
      </c>
      <c r="D20" s="7" t="s">
        <v>1986</v>
      </c>
      <c r="E20" s="26" t="s">
        <v>4529</v>
      </c>
      <c r="F20" s="26" t="s">
        <v>5472</v>
      </c>
      <c r="G20" s="26" t="s">
        <v>1222</v>
      </c>
      <c r="H20" s="26" t="s">
        <v>5801</v>
      </c>
      <c r="I20" s="19" t="n">
        <v>3</v>
      </c>
      <c r="J20" s="7" t="str">
        <f aca="false">IF(I20&lt;=2,"High","Low")</f>
        <v>Low</v>
      </c>
      <c r="K20" s="15" t="s">
        <v>17</v>
      </c>
      <c r="L20" s="7" t="str">
        <f aca="false">IF(J20="High",IF(K20="High","Critical","High"),IF(K20="High","Medium","Low"))</f>
        <v>Medium</v>
      </c>
      <c r="M20" s="7" t="s">
        <v>4395</v>
      </c>
      <c r="N20" s="26" t="str">
        <f aca="false">IF(I20=1,"Smoke",IF(I20=2,"Regression Core","Regression Extended"))</f>
        <v>Regression Extended</v>
      </c>
      <c r="O20" s="26" t="s">
        <v>4390</v>
      </c>
      <c r="P20" s="26" t="s">
        <v>5802</v>
      </c>
      <c r="Q20" s="26" t="s">
        <v>5803</v>
      </c>
      <c r="R20" s="26" t="s">
        <v>5804</v>
      </c>
      <c r="S20" s="26" t="s">
        <v>5805</v>
      </c>
      <c r="T20" s="26" t="s">
        <v>5806</v>
      </c>
      <c r="U20" s="26" t="s">
        <v>5807</v>
      </c>
      <c r="V20" s="26" t="s">
        <v>5808</v>
      </c>
    </row>
    <row r="21" customFormat="false" ht="54.75" hidden="false" customHeight="true" outlineLevel="0" collapsed="false">
      <c r="A21" s="7" t="s">
        <v>5809</v>
      </c>
      <c r="B21" s="7" t="s">
        <v>38</v>
      </c>
      <c r="C21" s="7" t="s">
        <v>99</v>
      </c>
      <c r="D21" s="7" t="s">
        <v>1387</v>
      </c>
      <c r="E21" s="26" t="s">
        <v>4388</v>
      </c>
      <c r="F21" s="26" t="s">
        <v>5583</v>
      </c>
      <c r="G21" s="26" t="s">
        <v>5810</v>
      </c>
      <c r="H21" s="26" t="s">
        <v>5811</v>
      </c>
      <c r="I21" s="19" t="n">
        <v>3</v>
      </c>
      <c r="J21" s="7" t="str">
        <f aca="false">IF(I21&lt;=2,"High","Low")</f>
        <v>Low</v>
      </c>
      <c r="K21" s="15" t="s">
        <v>17</v>
      </c>
      <c r="L21" s="7" t="str">
        <f aca="false">IF(J21="High",IF(K21="High","Critical","High"),IF(K21="High","Medium","Low"))</f>
        <v>Medium</v>
      </c>
      <c r="M21" s="7" t="s">
        <v>4395</v>
      </c>
      <c r="N21" s="26" t="str">
        <f aca="false">IF(I21=1,"Smoke",IF(I21=2,"Regression Core","Regression Extended"))</f>
        <v>Regression Extended</v>
      </c>
      <c r="O21" s="26" t="s">
        <v>4390</v>
      </c>
      <c r="P21" s="26" t="s">
        <v>5812</v>
      </c>
      <c r="Q21" s="26" t="s">
        <v>5813</v>
      </c>
      <c r="R21" s="26" t="s">
        <v>5814</v>
      </c>
      <c r="S21" s="26" t="s">
        <v>5815</v>
      </c>
      <c r="T21" s="26" t="s">
        <v>5816</v>
      </c>
      <c r="U21" s="26" t="s">
        <v>5817</v>
      </c>
      <c r="V21" s="26" t="s">
        <v>3572</v>
      </c>
    </row>
    <row r="22" customFormat="false" ht="105.75" hidden="false" customHeight="true" outlineLevel="0" collapsed="false">
      <c r="A22" s="7" t="s">
        <v>5818</v>
      </c>
      <c r="B22" s="7" t="s">
        <v>38</v>
      </c>
      <c r="C22" s="7" t="s">
        <v>101</v>
      </c>
      <c r="D22" s="7" t="s">
        <v>1271</v>
      </c>
      <c r="E22" s="26" t="s">
        <v>4529</v>
      </c>
      <c r="F22" s="26" t="s">
        <v>5594</v>
      </c>
      <c r="G22" s="26" t="s">
        <v>2477</v>
      </c>
      <c r="H22" s="26" t="s">
        <v>5819</v>
      </c>
      <c r="I22" s="21" t="n">
        <v>4</v>
      </c>
      <c r="J22" s="7" t="str">
        <f aca="false">IF(I22&lt;=2,"High","Low")</f>
        <v>Low</v>
      </c>
      <c r="K22" s="15" t="s">
        <v>19</v>
      </c>
      <c r="L22" s="7" t="str">
        <f aca="false">IF(J22="High",IF(K22="High","Critical","High"),IF(K22="High","Medium","Low"))</f>
        <v>Low</v>
      </c>
      <c r="M22" s="7" t="s">
        <v>4395</v>
      </c>
      <c r="N22" s="26" t="str">
        <f aca="false">IF(I22=1,"Smoke",IF(I22=2,"Regression Core","Regression Extended"))</f>
        <v>Regression Extended</v>
      </c>
      <c r="O22" s="26" t="s">
        <v>4390</v>
      </c>
      <c r="P22" s="26" t="s">
        <v>5820</v>
      </c>
      <c r="Q22" s="26" t="s">
        <v>5821</v>
      </c>
      <c r="R22" s="26" t="s">
        <v>5600</v>
      </c>
      <c r="S22" s="26" t="s">
        <v>5822</v>
      </c>
      <c r="T22" s="26" t="s">
        <v>5823</v>
      </c>
      <c r="U22" s="26" t="s">
        <v>5824</v>
      </c>
      <c r="V22" s="26" t="s">
        <v>5825</v>
      </c>
    </row>
    <row r="24" customFormat="false" ht="19.5" hidden="false" customHeight="true" outlineLevel="0" collapsed="false">
      <c r="A24" s="25" t="str">
        <f aca="false">"Table 2. Existing defects changed by the feature: "&amp;COUNTA(A26:A36)&amp;" defects, severity and priority before and after"</f>
        <v>Table 2. Existing defects changed by the feature: 11 defects, severity and priority before and after</v>
      </c>
    </row>
    <row r="25" customFormat="false" ht="34.5" hidden="false" customHeight="true" outlineLevel="0" collapsed="false">
      <c r="A25" s="5" t="s">
        <v>4376</v>
      </c>
      <c r="B25" s="5" t="s">
        <v>32</v>
      </c>
      <c r="C25" s="5" t="s">
        <v>106</v>
      </c>
      <c r="D25" s="5" t="s">
        <v>4377</v>
      </c>
      <c r="E25" s="5" t="s">
        <v>5330</v>
      </c>
      <c r="F25" s="5" t="s">
        <v>4379</v>
      </c>
      <c r="G25" s="5" t="s">
        <v>5826</v>
      </c>
      <c r="H25" s="5" t="s">
        <v>4380</v>
      </c>
      <c r="I25" s="5" t="s">
        <v>5827</v>
      </c>
      <c r="J25" s="5" t="s">
        <v>5828</v>
      </c>
      <c r="K25" s="5" t="s">
        <v>5829</v>
      </c>
      <c r="L25" s="5" t="s">
        <v>5830</v>
      </c>
      <c r="M25" s="5" t="s">
        <v>5831</v>
      </c>
      <c r="N25" s="5" t="s">
        <v>5832</v>
      </c>
      <c r="O25" s="5" t="s">
        <v>3</v>
      </c>
      <c r="P25" s="5" t="s">
        <v>5833</v>
      </c>
      <c r="Q25" s="5" t="s">
        <v>5834</v>
      </c>
      <c r="R25" s="5" t="s">
        <v>5835</v>
      </c>
      <c r="S25" s="5" t="s">
        <v>3446</v>
      </c>
    </row>
    <row r="26" customFormat="false" ht="80.25" hidden="false" customHeight="true" outlineLevel="0" collapsed="false">
      <c r="A26" s="7" t="s">
        <v>3973</v>
      </c>
      <c r="B26" s="7" t="s">
        <v>40</v>
      </c>
      <c r="C26" s="7" t="s">
        <v>100</v>
      </c>
      <c r="D26" s="7" t="s">
        <v>1164</v>
      </c>
      <c r="E26" s="26" t="s">
        <v>4396</v>
      </c>
      <c r="F26" s="26" t="s">
        <v>1175</v>
      </c>
      <c r="G26" s="7" t="str">
        <f aca="false">"Severity "&amp;I26&amp;" to "&amp;J26</f>
        <v>Severity 2 to 1</v>
      </c>
      <c r="H26" s="26" t="s">
        <v>4524</v>
      </c>
      <c r="I26" s="18" t="n">
        <v>2</v>
      </c>
      <c r="J26" s="28" t="n">
        <v>1</v>
      </c>
      <c r="K26" s="7" t="s">
        <v>17</v>
      </c>
      <c r="L26" s="7" t="s">
        <v>17</v>
      </c>
      <c r="M26" s="7" t="str">
        <f aca="false">IF(I26&lt;=2,IF(K26="High","Critical","High"),IF(K26="High","Medium","Low"))</f>
        <v>Critical</v>
      </c>
      <c r="N26" s="7" t="str">
        <f aca="false">IF(J26&lt;=2,IF(L26="High","Critical","High"),IF(L26="High","Medium","Low"))</f>
        <v>Critical</v>
      </c>
      <c r="O26" s="7" t="s">
        <v>4395</v>
      </c>
      <c r="P26" s="26" t="str">
        <f aca="false">IF(J26=1,"Smoke",IF(J26=2,"Regression Core","Regression Extended"))</f>
        <v>Smoke</v>
      </c>
      <c r="Q26" s="26" t="s">
        <v>5836</v>
      </c>
      <c r="R26" s="26" t="s">
        <v>5837</v>
      </c>
      <c r="S26" s="26" t="s">
        <v>3547</v>
      </c>
    </row>
    <row r="27" customFormat="false" ht="54.75" hidden="false" customHeight="true" outlineLevel="0" collapsed="false">
      <c r="A27" s="7" t="s">
        <v>4011</v>
      </c>
      <c r="B27" s="7" t="s">
        <v>38</v>
      </c>
      <c r="C27" s="7" t="s">
        <v>99</v>
      </c>
      <c r="D27" s="7" t="s">
        <v>1365</v>
      </c>
      <c r="E27" s="26" t="s">
        <v>4388</v>
      </c>
      <c r="F27" s="26" t="s">
        <v>1364</v>
      </c>
      <c r="G27" s="7" t="str">
        <f aca="false">"Severity "&amp;I27&amp;" to "&amp;J27</f>
        <v>Severity 3 to 2</v>
      </c>
      <c r="H27" s="26" t="s">
        <v>4544</v>
      </c>
      <c r="I27" s="19" t="n">
        <v>3</v>
      </c>
      <c r="J27" s="29" t="n">
        <v>2</v>
      </c>
      <c r="K27" s="7" t="s">
        <v>17</v>
      </c>
      <c r="L27" s="7" t="s">
        <v>17</v>
      </c>
      <c r="M27" s="7" t="str">
        <f aca="false">IF(I27&lt;=2,IF(K27="High","Critical","High"),IF(K27="High","Medium","Low"))</f>
        <v>Medium</v>
      </c>
      <c r="N27" s="10" t="str">
        <f aca="false">IF(J27&lt;=2,IF(L27="High","Critical","High"),IF(L27="High","Medium","Low"))</f>
        <v>Critical</v>
      </c>
      <c r="O27" s="7" t="s">
        <v>4395</v>
      </c>
      <c r="P27" s="26" t="str">
        <f aca="false">IF(J27=1,"Smoke",IF(J27=2,"Regression Core","Regression Extended"))</f>
        <v>Regression Core</v>
      </c>
      <c r="Q27" s="26" t="s">
        <v>5838</v>
      </c>
      <c r="R27" s="26" t="s">
        <v>5839</v>
      </c>
      <c r="S27" s="26" t="s">
        <v>3569</v>
      </c>
    </row>
    <row r="28" customFormat="false" ht="54.75" hidden="false" customHeight="true" outlineLevel="0" collapsed="false">
      <c r="A28" s="7" t="s">
        <v>4042</v>
      </c>
      <c r="B28" s="7" t="s">
        <v>40</v>
      </c>
      <c r="C28" s="7" t="s">
        <v>100</v>
      </c>
      <c r="D28" s="7" t="s">
        <v>1546</v>
      </c>
      <c r="E28" s="26" t="s">
        <v>4402</v>
      </c>
      <c r="F28" s="26" t="s">
        <v>1545</v>
      </c>
      <c r="G28" s="7" t="str">
        <f aca="false">"Severity "&amp;I28&amp;" to "&amp;J28</f>
        <v>Severity 2 to 1</v>
      </c>
      <c r="H28" s="26" t="s">
        <v>4559</v>
      </c>
      <c r="I28" s="18" t="n">
        <v>2</v>
      </c>
      <c r="J28" s="28" t="n">
        <v>1</v>
      </c>
      <c r="K28" s="7" t="s">
        <v>17</v>
      </c>
      <c r="L28" s="7" t="s">
        <v>17</v>
      </c>
      <c r="M28" s="7" t="str">
        <f aca="false">IF(I28&lt;=2,IF(K28="High","Critical","High"),IF(K28="High","Medium","Low"))</f>
        <v>Critical</v>
      </c>
      <c r="N28" s="7" t="str">
        <f aca="false">IF(J28&lt;=2,IF(L28="High","Critical","High"),IF(L28="High","Medium","Low"))</f>
        <v>Critical</v>
      </c>
      <c r="O28" s="7" t="s">
        <v>4395</v>
      </c>
      <c r="P28" s="26" t="str">
        <f aca="false">IF(J28=1,"Smoke",IF(J28=2,"Regression Core","Regression Extended"))</f>
        <v>Smoke</v>
      </c>
      <c r="Q28" s="26" t="s">
        <v>5840</v>
      </c>
      <c r="R28" s="26" t="s">
        <v>5837</v>
      </c>
      <c r="S28" s="26" t="s">
        <v>3586</v>
      </c>
    </row>
    <row r="29" customFormat="false" ht="42" hidden="false" customHeight="true" outlineLevel="0" collapsed="false">
      <c r="A29" s="7" t="s">
        <v>4053</v>
      </c>
      <c r="B29" s="7" t="s">
        <v>40</v>
      </c>
      <c r="C29" s="7" t="s">
        <v>100</v>
      </c>
      <c r="D29" s="7" t="s">
        <v>1608</v>
      </c>
      <c r="E29" s="26" t="s">
        <v>4402</v>
      </c>
      <c r="F29" s="26" t="s">
        <v>1607</v>
      </c>
      <c r="G29" s="7" t="str">
        <f aca="false">"Severity "&amp;I29&amp;" to "&amp;J29</f>
        <v>Severity 3 to 2</v>
      </c>
      <c r="H29" s="26" t="s">
        <v>4570</v>
      </c>
      <c r="I29" s="19" t="n">
        <v>3</v>
      </c>
      <c r="J29" s="29" t="n">
        <v>2</v>
      </c>
      <c r="K29" s="7" t="s">
        <v>17</v>
      </c>
      <c r="L29" s="7" t="s">
        <v>17</v>
      </c>
      <c r="M29" s="7" t="str">
        <f aca="false">IF(I29&lt;=2,IF(K29="High","Critical","High"),IF(K29="High","Medium","Low"))</f>
        <v>Medium</v>
      </c>
      <c r="N29" s="10" t="str">
        <f aca="false">IF(J29&lt;=2,IF(L29="High","Critical","High"),IF(L29="High","Medium","Low"))</f>
        <v>Critical</v>
      </c>
      <c r="O29" s="7" t="s">
        <v>4395</v>
      </c>
      <c r="P29" s="26" t="str">
        <f aca="false">IF(J29=1,"Smoke",IF(J29=2,"Regression Core","Regression Extended"))</f>
        <v>Regression Core</v>
      </c>
      <c r="Q29" s="26" t="s">
        <v>5841</v>
      </c>
      <c r="R29" s="26" t="s">
        <v>5839</v>
      </c>
      <c r="S29" s="26" t="s">
        <v>3592</v>
      </c>
    </row>
    <row r="30" customFormat="false" ht="54.75" hidden="false" customHeight="true" outlineLevel="0" collapsed="false">
      <c r="A30" s="7" t="s">
        <v>4062</v>
      </c>
      <c r="B30" s="7" t="s">
        <v>40</v>
      </c>
      <c r="C30" s="7" t="s">
        <v>99</v>
      </c>
      <c r="D30" s="7" t="s">
        <v>1648</v>
      </c>
      <c r="E30" s="26" t="s">
        <v>4402</v>
      </c>
      <c r="F30" s="26" t="s">
        <v>1647</v>
      </c>
      <c r="G30" s="7" t="str">
        <f aca="false">"Severity "&amp;I30&amp;" to "&amp;J30</f>
        <v>Severity 2 to 1</v>
      </c>
      <c r="H30" s="26" t="s">
        <v>4580</v>
      </c>
      <c r="I30" s="18" t="n">
        <v>2</v>
      </c>
      <c r="J30" s="28" t="n">
        <v>1</v>
      </c>
      <c r="K30" s="7" t="s">
        <v>17</v>
      </c>
      <c r="L30" s="7" t="s">
        <v>17</v>
      </c>
      <c r="M30" s="7" t="str">
        <f aca="false">IF(I30&lt;=2,IF(K30="High","Critical","High"),IF(K30="High","Medium","Low"))</f>
        <v>Critical</v>
      </c>
      <c r="N30" s="7" t="str">
        <f aca="false">IF(J30&lt;=2,IF(L30="High","Critical","High"),IF(L30="High","Medium","Low"))</f>
        <v>Critical</v>
      </c>
      <c r="O30" s="7" t="s">
        <v>4395</v>
      </c>
      <c r="P30" s="26" t="str">
        <f aca="false">IF(J30=1,"Smoke",IF(J30=2,"Regression Core","Regression Extended"))</f>
        <v>Smoke</v>
      </c>
      <c r="Q30" s="26" t="s">
        <v>5842</v>
      </c>
      <c r="R30" s="26" t="s">
        <v>5837</v>
      </c>
      <c r="S30" s="26" t="s">
        <v>3596</v>
      </c>
    </row>
    <row r="31" customFormat="false" ht="54.75" hidden="false" customHeight="true" outlineLevel="0" collapsed="false">
      <c r="A31" s="7" t="s">
        <v>4067</v>
      </c>
      <c r="B31" s="7" t="s">
        <v>40</v>
      </c>
      <c r="C31" s="7" t="s">
        <v>101</v>
      </c>
      <c r="D31" s="7" t="s">
        <v>1669</v>
      </c>
      <c r="E31" s="26" t="s">
        <v>4402</v>
      </c>
      <c r="F31" s="26" t="s">
        <v>1681</v>
      </c>
      <c r="G31" s="7" t="str">
        <f aca="false">"Severity "&amp;I31&amp;" to "&amp;J31</f>
        <v>Severity 2 to 1</v>
      </c>
      <c r="H31" s="26" t="s">
        <v>4585</v>
      </c>
      <c r="I31" s="18" t="n">
        <v>2</v>
      </c>
      <c r="J31" s="28" t="n">
        <v>1</v>
      </c>
      <c r="K31" s="7" t="s">
        <v>19</v>
      </c>
      <c r="L31" s="10" t="s">
        <v>17</v>
      </c>
      <c r="M31" s="7" t="str">
        <f aca="false">IF(I31&lt;=2,IF(K31="High","Critical","High"),IF(K31="High","Medium","Low"))</f>
        <v>High</v>
      </c>
      <c r="N31" s="10" t="str">
        <f aca="false">IF(J31&lt;=2,IF(L31="High","Critical","High"),IF(L31="High","Medium","Low"))</f>
        <v>Critical</v>
      </c>
      <c r="O31" s="7" t="s">
        <v>4395</v>
      </c>
      <c r="P31" s="26" t="str">
        <f aca="false">IF(J31=1,"Smoke",IF(J31=2,"Regression Core","Regression Extended"))</f>
        <v>Smoke</v>
      </c>
      <c r="Q31" s="26" t="s">
        <v>5843</v>
      </c>
      <c r="R31" s="26" t="s">
        <v>5837</v>
      </c>
      <c r="S31" s="26" t="s">
        <v>3599</v>
      </c>
    </row>
    <row r="32" customFormat="false" ht="80.25" hidden="false" customHeight="true" outlineLevel="0" collapsed="false">
      <c r="A32" s="7" t="s">
        <v>4129</v>
      </c>
      <c r="B32" s="7" t="s">
        <v>38</v>
      </c>
      <c r="C32" s="7" t="s">
        <v>100</v>
      </c>
      <c r="D32" s="7" t="s">
        <v>1986</v>
      </c>
      <c r="E32" s="26" t="s">
        <v>4529</v>
      </c>
      <c r="F32" s="26" t="s">
        <v>1997</v>
      </c>
      <c r="G32" s="7" t="str">
        <f aca="false">"Severity "&amp;I32&amp;" to "&amp;J32</f>
        <v>Severity 3 to 2</v>
      </c>
      <c r="H32" s="26" t="s">
        <v>4605</v>
      </c>
      <c r="I32" s="19" t="n">
        <v>3</v>
      </c>
      <c r="J32" s="29" t="n">
        <v>2</v>
      </c>
      <c r="K32" s="7" t="s">
        <v>17</v>
      </c>
      <c r="L32" s="7" t="s">
        <v>17</v>
      </c>
      <c r="M32" s="7" t="str">
        <f aca="false">IF(I32&lt;=2,IF(K32="High","Critical","High"),IF(K32="High","Medium","Low"))</f>
        <v>Medium</v>
      </c>
      <c r="N32" s="10" t="str">
        <f aca="false">IF(J32&lt;=2,IF(L32="High","Critical","High"),IF(L32="High","Medium","Low"))</f>
        <v>Critical</v>
      </c>
      <c r="O32" s="7" t="s">
        <v>4395</v>
      </c>
      <c r="P32" s="26" t="str">
        <f aca="false">IF(J32=1,"Smoke",IF(J32=2,"Regression Core","Regression Extended"))</f>
        <v>Regression Core</v>
      </c>
      <c r="Q32" s="26" t="s">
        <v>5844</v>
      </c>
      <c r="R32" s="26" t="s">
        <v>5839</v>
      </c>
      <c r="S32" s="26" t="s">
        <v>3642</v>
      </c>
    </row>
    <row r="33" customFormat="false" ht="93" hidden="false" customHeight="true" outlineLevel="0" collapsed="false">
      <c r="A33" s="7" t="s">
        <v>4137</v>
      </c>
      <c r="B33" s="7" t="s">
        <v>38</v>
      </c>
      <c r="C33" s="7" t="s">
        <v>100</v>
      </c>
      <c r="D33" s="7" t="s">
        <v>2027</v>
      </c>
      <c r="E33" s="26" t="s">
        <v>4472</v>
      </c>
      <c r="F33" s="26" t="s">
        <v>2026</v>
      </c>
      <c r="G33" s="7" t="str">
        <f aca="false">"Severity "&amp;I33&amp;" to "&amp;J33</f>
        <v>Severity 2 to 1</v>
      </c>
      <c r="H33" s="26" t="s">
        <v>4610</v>
      </c>
      <c r="I33" s="18" t="n">
        <v>2</v>
      </c>
      <c r="J33" s="28" t="n">
        <v>1</v>
      </c>
      <c r="K33" s="7" t="s">
        <v>17</v>
      </c>
      <c r="L33" s="7" t="s">
        <v>17</v>
      </c>
      <c r="M33" s="7" t="str">
        <f aca="false">IF(I33&lt;=2,IF(K33="High","Critical","High"),IF(K33="High","Medium","Low"))</f>
        <v>Critical</v>
      </c>
      <c r="N33" s="7" t="str">
        <f aca="false">IF(J33&lt;=2,IF(L33="High","Critical","High"),IF(L33="High","Medium","Low"))</f>
        <v>Critical</v>
      </c>
      <c r="O33" s="7" t="s">
        <v>4395</v>
      </c>
      <c r="P33" s="26" t="str">
        <f aca="false">IF(J33=1,"Smoke",IF(J33=2,"Regression Core","Regression Extended"))</f>
        <v>Smoke</v>
      </c>
      <c r="Q33" s="26" t="s">
        <v>5845</v>
      </c>
      <c r="R33" s="26" t="s">
        <v>5837</v>
      </c>
      <c r="S33" s="26" t="s">
        <v>3647</v>
      </c>
    </row>
    <row r="34" customFormat="false" ht="105.75" hidden="false" customHeight="true" outlineLevel="0" collapsed="false">
      <c r="A34" s="7" t="s">
        <v>4177</v>
      </c>
      <c r="B34" s="7" t="s">
        <v>38</v>
      </c>
      <c r="C34" s="7" t="s">
        <v>101</v>
      </c>
      <c r="D34" s="7" t="s">
        <v>2265</v>
      </c>
      <c r="E34" s="26" t="s">
        <v>4564</v>
      </c>
      <c r="F34" s="26" t="s">
        <v>2278</v>
      </c>
      <c r="G34" s="7" t="str">
        <f aca="false">"Severity "&amp;I34&amp;" to "&amp;J34</f>
        <v>Severity 2 to 1</v>
      </c>
      <c r="H34" s="26" t="s">
        <v>4625</v>
      </c>
      <c r="I34" s="18" t="n">
        <v>2</v>
      </c>
      <c r="J34" s="28" t="n">
        <v>1</v>
      </c>
      <c r="K34" s="7" t="s">
        <v>19</v>
      </c>
      <c r="L34" s="10" t="s">
        <v>17</v>
      </c>
      <c r="M34" s="7" t="str">
        <f aca="false">IF(I34&lt;=2,IF(K34="High","Critical","High"),IF(K34="High","Medium","Low"))</f>
        <v>High</v>
      </c>
      <c r="N34" s="10" t="str">
        <f aca="false">IF(J34&lt;=2,IF(L34="High","Critical","High"),IF(L34="High","Medium","Low"))</f>
        <v>Critical</v>
      </c>
      <c r="O34" s="7" t="s">
        <v>4395</v>
      </c>
      <c r="P34" s="26" t="str">
        <f aca="false">IF(J34=1,"Smoke",IF(J34=2,"Regression Core","Regression Extended"))</f>
        <v>Smoke</v>
      </c>
      <c r="Q34" s="26" t="s">
        <v>5846</v>
      </c>
      <c r="R34" s="26" t="s">
        <v>5837</v>
      </c>
      <c r="S34" s="26" t="s">
        <v>3672</v>
      </c>
    </row>
    <row r="35" customFormat="false" ht="80.25" hidden="false" customHeight="true" outlineLevel="0" collapsed="false">
      <c r="A35" s="7" t="s">
        <v>4328</v>
      </c>
      <c r="B35" s="7" t="s">
        <v>40</v>
      </c>
      <c r="C35" s="7" t="s">
        <v>101</v>
      </c>
      <c r="D35" s="7" t="s">
        <v>3175</v>
      </c>
      <c r="E35" s="26" t="s">
        <v>4402</v>
      </c>
      <c r="F35" s="26" t="s">
        <v>3174</v>
      </c>
      <c r="G35" s="7" t="str">
        <f aca="false">"Severity "&amp;I35&amp;" to "&amp;J35</f>
        <v>Severity 2 to 1</v>
      </c>
      <c r="H35" s="26" t="s">
        <v>4726</v>
      </c>
      <c r="I35" s="18" t="n">
        <v>2</v>
      </c>
      <c r="J35" s="28" t="n">
        <v>1</v>
      </c>
      <c r="K35" s="7" t="s">
        <v>19</v>
      </c>
      <c r="L35" s="10" t="s">
        <v>17</v>
      </c>
      <c r="M35" s="7" t="str">
        <f aca="false">IF(I35&lt;=2,IF(K35="High","Critical","High"),IF(K35="High","Medium","Low"))</f>
        <v>High</v>
      </c>
      <c r="N35" s="10" t="str">
        <f aca="false">IF(J35&lt;=2,IF(L35="High","Critical","High"),IF(L35="High","Medium","Low"))</f>
        <v>Critical</v>
      </c>
      <c r="O35" s="7" t="s">
        <v>4395</v>
      </c>
      <c r="P35" s="26" t="str">
        <f aca="false">IF(J35=1,"Smoke",IF(J35=2,"Regression Core","Regression Extended"))</f>
        <v>Smoke</v>
      </c>
      <c r="Q35" s="26" t="s">
        <v>5847</v>
      </c>
      <c r="R35" s="26" t="s">
        <v>5837</v>
      </c>
      <c r="S35" s="26" t="s">
        <v>3765</v>
      </c>
    </row>
    <row r="36" customFormat="false" ht="42" hidden="false" customHeight="true" outlineLevel="0" collapsed="false">
      <c r="A36" s="7" t="s">
        <v>4342</v>
      </c>
      <c r="B36" s="7" t="s">
        <v>40</v>
      </c>
      <c r="C36" s="7" t="s">
        <v>346</v>
      </c>
      <c r="D36" s="7" t="s">
        <v>3254</v>
      </c>
      <c r="E36" s="26" t="s">
        <v>4402</v>
      </c>
      <c r="F36" s="26" t="s">
        <v>3253</v>
      </c>
      <c r="G36" s="7" t="str">
        <f aca="false">"Severity "&amp;I36&amp;" to "&amp;J36</f>
        <v>Severity 2 to 1</v>
      </c>
      <c r="H36" s="26" t="s">
        <v>4736</v>
      </c>
      <c r="I36" s="18" t="n">
        <v>2</v>
      </c>
      <c r="J36" s="28" t="n">
        <v>1</v>
      </c>
      <c r="K36" s="7" t="s">
        <v>17</v>
      </c>
      <c r="L36" s="7" t="s">
        <v>17</v>
      </c>
      <c r="M36" s="7" t="str">
        <f aca="false">IF(I36&lt;=2,IF(K36="High","Critical","High"),IF(K36="High","Medium","Low"))</f>
        <v>Critical</v>
      </c>
      <c r="N36" s="7" t="str">
        <f aca="false">IF(J36&lt;=2,IF(L36="High","Critical","High"),IF(L36="High","Medium","Low"))</f>
        <v>Critical</v>
      </c>
      <c r="O36" s="7" t="s">
        <v>4395</v>
      </c>
      <c r="P36" s="26" t="str">
        <f aca="false">IF(J36=1,"Smoke",IF(J36=2,"Regression Core","Regression Extended"))</f>
        <v>Smoke</v>
      </c>
      <c r="Q36" s="26" t="s">
        <v>5848</v>
      </c>
      <c r="R36" s="26" t="s">
        <v>5837</v>
      </c>
      <c r="S36" s="26" t="s">
        <v>3773</v>
      </c>
    </row>
  </sheetData>
  <dataValidations count="2">
    <dataValidation allowBlank="true" errorStyle="stop" operator="between" showDropDown="false" showErrorMessage="false" showInputMessage="false" sqref="I3:I22" type="list">
      <formula1>"1,2,3,4"</formula1>
      <formula2>0</formula2>
    </dataValidation>
    <dataValidation allowBlank="true" errorStyle="stop" operator="between" showDropDown="false" showErrorMessage="false" showInputMessage="false" sqref="K3:K22" type="list">
      <formula1>"High,Low"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22"/>
    <col collapsed="false" customWidth="true" hidden="false" outlineLevel="0" max="4" min="4" style="0" width="46"/>
    <col collapsed="false" customWidth="true" hidden="false" outlineLevel="0" max="5" min="5" style="0" width="56"/>
    <col collapsed="false" customWidth="true" hidden="false" outlineLevel="0" max="6" min="6" style="0" width="44"/>
    <col collapsed="false" customWidth="true" hidden="false" outlineLevel="0" max="8" min="7" style="0" width="38"/>
    <col collapsed="false" customWidth="true" hidden="false" outlineLevel="0" max="9" min="9" style="0" width="9"/>
    <col collapsed="false" customWidth="true" hidden="false" outlineLevel="0" max="10" min="10" style="0" width="34"/>
    <col collapsed="false" customWidth="true" hidden="false" outlineLevel="0" max="11" min="11" style="0" width="40"/>
    <col collapsed="false" customWidth="true" hidden="false" outlineLevel="0" max="12" min="12" style="0" width="24"/>
  </cols>
  <sheetData>
    <row r="1" customFormat="false" ht="15" hidden="false" customHeight="true" outlineLevel="0" collapsed="false">
      <c r="A1" s="5" t="s">
        <v>4755</v>
      </c>
      <c r="B1" s="5" t="s">
        <v>61</v>
      </c>
      <c r="C1" s="5" t="s">
        <v>4756</v>
      </c>
      <c r="D1" s="5" t="s">
        <v>4757</v>
      </c>
      <c r="E1" s="5" t="s">
        <v>4758</v>
      </c>
      <c r="F1" s="5" t="s">
        <v>4759</v>
      </c>
      <c r="G1" s="5" t="s">
        <v>122</v>
      </c>
      <c r="H1" s="5" t="s">
        <v>4760</v>
      </c>
      <c r="I1" s="5" t="s">
        <v>57</v>
      </c>
      <c r="J1" s="5" t="s">
        <v>4761</v>
      </c>
      <c r="K1" s="5" t="s">
        <v>4762</v>
      </c>
      <c r="L1" s="5" t="s">
        <v>4763</v>
      </c>
    </row>
    <row r="2" customFormat="false" ht="105.75" hidden="false" customHeight="true" outlineLevel="0" collapsed="false">
      <c r="A2" s="10" t="s">
        <v>5849</v>
      </c>
      <c r="B2" s="10" t="s">
        <v>4758</v>
      </c>
      <c r="C2" s="10" t="s">
        <v>5850</v>
      </c>
      <c r="D2" s="10" t="s">
        <v>5851</v>
      </c>
      <c r="E2" s="10" t="s">
        <v>5852</v>
      </c>
      <c r="F2" s="10" t="s">
        <v>5853</v>
      </c>
      <c r="G2" s="10" t="s">
        <v>5854</v>
      </c>
      <c r="H2" s="10" t="s">
        <v>5855</v>
      </c>
      <c r="I2" s="10" t="s">
        <v>4771</v>
      </c>
      <c r="J2" s="10" t="s">
        <v>5856</v>
      </c>
      <c r="K2" s="10" t="s">
        <v>5857</v>
      </c>
      <c r="L2" s="10"/>
    </row>
    <row r="3" customFormat="false" ht="54.75" hidden="false" customHeight="true" outlineLevel="0" collapsed="false">
      <c r="A3" s="10" t="s">
        <v>5858</v>
      </c>
      <c r="B3" s="10" t="s">
        <v>4758</v>
      </c>
      <c r="C3" s="10" t="s">
        <v>5850</v>
      </c>
      <c r="D3" s="10" t="s">
        <v>5859</v>
      </c>
      <c r="E3" s="10" t="s">
        <v>5860</v>
      </c>
      <c r="F3" s="10" t="s">
        <v>5861</v>
      </c>
      <c r="G3" s="10" t="s">
        <v>5862</v>
      </c>
      <c r="H3" s="10" t="s">
        <v>5863</v>
      </c>
      <c r="I3" s="10" t="s">
        <v>4771</v>
      </c>
      <c r="J3" s="10" t="s">
        <v>5864</v>
      </c>
      <c r="K3" s="10" t="s">
        <v>5865</v>
      </c>
      <c r="L3" s="10"/>
    </row>
    <row r="4" customFormat="false" ht="105.75" hidden="false" customHeight="true" outlineLevel="0" collapsed="false">
      <c r="A4" s="10" t="s">
        <v>5343</v>
      </c>
      <c r="B4" s="10" t="s">
        <v>4758</v>
      </c>
      <c r="C4" s="10" t="s">
        <v>5330</v>
      </c>
      <c r="D4" s="10" t="s">
        <v>5866</v>
      </c>
      <c r="E4" s="10" t="s">
        <v>5867</v>
      </c>
      <c r="F4" s="10" t="s">
        <v>5868</v>
      </c>
      <c r="G4" s="10" t="s">
        <v>5869</v>
      </c>
      <c r="H4" s="10" t="s">
        <v>5870</v>
      </c>
      <c r="I4" s="10" t="s">
        <v>4771</v>
      </c>
      <c r="J4" s="10" t="s">
        <v>5871</v>
      </c>
      <c r="K4" s="10" t="s">
        <v>5872</v>
      </c>
      <c r="L4" s="10"/>
    </row>
    <row r="5" customFormat="false" ht="67.5" hidden="false" customHeight="true" outlineLevel="0" collapsed="false">
      <c r="A5" s="10" t="s">
        <v>5873</v>
      </c>
      <c r="B5" s="10" t="s">
        <v>4758</v>
      </c>
      <c r="C5" s="10" t="s">
        <v>5850</v>
      </c>
      <c r="D5" s="10" t="s">
        <v>5874</v>
      </c>
      <c r="E5" s="10" t="s">
        <v>5875</v>
      </c>
      <c r="F5" s="10" t="s">
        <v>5876</v>
      </c>
      <c r="G5" s="10" t="s">
        <v>5877</v>
      </c>
      <c r="H5" s="10" t="s">
        <v>5878</v>
      </c>
      <c r="I5" s="10" t="s">
        <v>4771</v>
      </c>
      <c r="J5" s="10" t="s">
        <v>5879</v>
      </c>
      <c r="K5" s="10" t="s">
        <v>5880</v>
      </c>
      <c r="L5" s="10"/>
    </row>
    <row r="6" customFormat="false" ht="54.75" hidden="false" customHeight="true" outlineLevel="0" collapsed="false">
      <c r="A6" s="10" t="s">
        <v>5881</v>
      </c>
      <c r="B6" s="10" t="s">
        <v>4758</v>
      </c>
      <c r="C6" s="10" t="s">
        <v>5850</v>
      </c>
      <c r="D6" s="10" t="s">
        <v>5882</v>
      </c>
      <c r="E6" s="10" t="s">
        <v>5883</v>
      </c>
      <c r="F6" s="10" t="s">
        <v>5849</v>
      </c>
      <c r="G6" s="10" t="s">
        <v>5884</v>
      </c>
      <c r="H6" s="10" t="s">
        <v>5885</v>
      </c>
      <c r="I6" s="10" t="s">
        <v>4771</v>
      </c>
      <c r="J6" s="10" t="s">
        <v>5864</v>
      </c>
      <c r="K6" s="10" t="s">
        <v>5886</v>
      </c>
      <c r="L6" s="10"/>
    </row>
    <row r="7" customFormat="false" ht="105.75" hidden="false" customHeight="true" outlineLevel="0" collapsed="false">
      <c r="A7" s="10" t="s">
        <v>5887</v>
      </c>
      <c r="B7" s="10" t="s">
        <v>4758</v>
      </c>
      <c r="C7" s="10" t="s">
        <v>5888</v>
      </c>
      <c r="D7" s="10" t="s">
        <v>5889</v>
      </c>
      <c r="E7" s="10" t="s">
        <v>5890</v>
      </c>
      <c r="F7" s="10" t="s">
        <v>5891</v>
      </c>
      <c r="G7" s="10" t="s">
        <v>5892</v>
      </c>
      <c r="H7" s="10" t="s">
        <v>5893</v>
      </c>
      <c r="I7" s="10" t="s">
        <v>4771</v>
      </c>
      <c r="J7" s="10" t="s">
        <v>5894</v>
      </c>
      <c r="K7" s="10" t="s">
        <v>5895</v>
      </c>
      <c r="L7" s="10"/>
    </row>
    <row r="8" customFormat="false" ht="93" hidden="false" customHeight="true" outlineLevel="0" collapsed="false">
      <c r="A8" s="10" t="s">
        <v>5896</v>
      </c>
      <c r="B8" s="10" t="s">
        <v>4758</v>
      </c>
      <c r="C8" s="10" t="s">
        <v>5897</v>
      </c>
      <c r="D8" s="10" t="s">
        <v>5898</v>
      </c>
      <c r="E8" s="10" t="s">
        <v>5899</v>
      </c>
      <c r="F8" s="10" t="s">
        <v>5900</v>
      </c>
      <c r="G8" s="10" t="s">
        <v>5901</v>
      </c>
      <c r="H8" s="10" t="s">
        <v>5902</v>
      </c>
      <c r="I8" s="10" t="s">
        <v>4771</v>
      </c>
      <c r="J8" s="10" t="s">
        <v>5903</v>
      </c>
      <c r="K8" s="10" t="s">
        <v>5904</v>
      </c>
      <c r="L8" s="10"/>
    </row>
    <row r="9" customFormat="false" ht="144.75" hidden="false" customHeight="true" outlineLevel="0" collapsed="false">
      <c r="A9" s="10" t="s">
        <v>5905</v>
      </c>
      <c r="B9" s="10" t="s">
        <v>4758</v>
      </c>
      <c r="C9" s="10" t="s">
        <v>5906</v>
      </c>
      <c r="D9" s="10" t="s">
        <v>5907</v>
      </c>
      <c r="E9" s="10" t="s">
        <v>5908</v>
      </c>
      <c r="F9" s="10" t="s">
        <v>5909</v>
      </c>
      <c r="G9" s="10" t="s">
        <v>5910</v>
      </c>
      <c r="H9" s="10" t="s">
        <v>5911</v>
      </c>
      <c r="I9" s="10" t="s">
        <v>4771</v>
      </c>
      <c r="J9" s="10" t="s">
        <v>5912</v>
      </c>
      <c r="K9" s="10" t="s">
        <v>5913</v>
      </c>
      <c r="L9" s="10"/>
    </row>
    <row r="11" customFormat="false" ht="15" hidden="false" customHeight="false" outlineLevel="0" collapsed="false">
      <c r="A11" s="4" t="s">
        <v>5263</v>
      </c>
    </row>
    <row r="12" customFormat="false" ht="68.65" hidden="false" customHeight="false" outlineLevel="0" collapsed="false">
      <c r="A12" s="13" t="s">
        <v>5332</v>
      </c>
      <c r="C12" s="30" t="s">
        <v>5914</v>
      </c>
    </row>
    <row r="13" customFormat="false" ht="79.85" hidden="false" customHeight="false" outlineLevel="0" collapsed="false">
      <c r="A13" s="13" t="s">
        <v>5915</v>
      </c>
      <c r="C13" s="30" t="s">
        <v>5916</v>
      </c>
    </row>
    <row r="14" customFormat="false" ht="102.2" hidden="false" customHeight="false" outlineLevel="0" collapsed="false">
      <c r="A14" s="13" t="s">
        <v>5917</v>
      </c>
      <c r="C14" s="30" t="s">
        <v>5918</v>
      </c>
    </row>
    <row r="15" customFormat="false" ht="57.45" hidden="false" customHeight="false" outlineLevel="0" collapsed="false">
      <c r="A15" s="13" t="s">
        <v>5267</v>
      </c>
      <c r="C15" s="30" t="s">
        <v>5919</v>
      </c>
    </row>
    <row r="16" customFormat="false" ht="102.2" hidden="false" customHeight="false" outlineLevel="0" collapsed="false">
      <c r="A16" s="13" t="s">
        <v>5920</v>
      </c>
      <c r="C16" s="30" t="s">
        <v>5921</v>
      </c>
    </row>
    <row r="17" customFormat="false" ht="79.85" hidden="false" customHeight="false" outlineLevel="0" collapsed="false">
      <c r="A17" s="13" t="s">
        <v>5922</v>
      </c>
      <c r="C17" s="30" t="s">
        <v>5923</v>
      </c>
    </row>
    <row r="18" customFormat="false" ht="46.25" hidden="false" customHeight="false" outlineLevel="0" collapsed="false">
      <c r="A18" s="13" t="s">
        <v>5273</v>
      </c>
      <c r="C18" s="30" t="s">
        <v>5924</v>
      </c>
    </row>
    <row r="20" customFormat="false" ht="15" hidden="false" customHeight="false" outlineLevel="0" collapsed="false">
      <c r="A20" s="4" t="s">
        <v>5275</v>
      </c>
    </row>
    <row r="21" customFormat="false" ht="15" hidden="false" customHeight="false" outlineLevel="0" collapsed="false">
      <c r="A21" s="23" t="s">
        <v>5276</v>
      </c>
      <c r="C21" s="23" t="s">
        <v>5925</v>
      </c>
    </row>
    <row r="22" customFormat="false" ht="15" hidden="false" customHeight="false" outlineLevel="0" collapsed="false">
      <c r="A22" s="23" t="s">
        <v>5926</v>
      </c>
      <c r="C22" s="23" t="s">
        <v>5927</v>
      </c>
    </row>
    <row r="23" customFormat="false" ht="15" hidden="false" customHeight="false" outlineLevel="0" collapsed="false">
      <c r="A23" s="23" t="s">
        <v>5928</v>
      </c>
      <c r="C23" s="23" t="s">
        <v>5929</v>
      </c>
    </row>
    <row r="24" customFormat="false" ht="15" hidden="false" customHeight="false" outlineLevel="0" collapsed="false">
      <c r="A24" s="23" t="s">
        <v>5930</v>
      </c>
      <c r="C24" s="23" t="s">
        <v>5931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16"/>
    <col collapsed="false" customWidth="true" hidden="false" outlineLevel="0" max="4" min="4" style="1" width="60"/>
    <col collapsed="false" customWidth="true" hidden="false" outlineLevel="0" max="5" min="5" style="1" width="14"/>
    <col collapsed="false" customWidth="true" hidden="false" outlineLevel="0" max="6" min="6" style="1" width="16"/>
  </cols>
  <sheetData>
    <row r="1" customFormat="false" ht="17.25" hidden="false" customHeight="true" outlineLevel="0" collapsed="false">
      <c r="A1" s="2" t="s">
        <v>5932</v>
      </c>
    </row>
    <row r="2" customFormat="false" ht="15" hidden="false" customHeight="true" outlineLevel="0" collapsed="false">
      <c r="A2" s="3" t="s">
        <v>5933</v>
      </c>
    </row>
    <row r="4" customFormat="false" ht="15" hidden="false" customHeight="true" outlineLevel="0" collapsed="false">
      <c r="A4" s="5" t="s">
        <v>32</v>
      </c>
      <c r="B4" s="5" t="s">
        <v>33</v>
      </c>
      <c r="C4" s="5" t="s">
        <v>34</v>
      </c>
      <c r="D4" s="5" t="s">
        <v>35</v>
      </c>
      <c r="E4" s="5" t="s">
        <v>36</v>
      </c>
      <c r="F4" s="5" t="s">
        <v>5934</v>
      </c>
    </row>
    <row r="5" customFormat="false" ht="15" hidden="false" customHeight="true" outlineLevel="0" collapsed="false">
      <c r="A5" s="31" t="s">
        <v>38</v>
      </c>
      <c r="B5" s="32" t="n">
        <f aca="false">COUNTIFS('Sprint 1'!$A:$A,$A5)</f>
        <v>48</v>
      </c>
      <c r="C5" s="32" t="n">
        <f aca="false">COUNTIFS('Sprint 2'!$A:$A,$A5)</f>
        <v>63</v>
      </c>
      <c r="D5" s="32" t="n">
        <f aca="false">COUNTIFS('Sprint 3'!$A:$A,$A5)</f>
        <v>28</v>
      </c>
      <c r="E5" s="32" t="n">
        <f aca="false">COUNTIFS(Unscheduled!$A:$A,$A5)</f>
        <v>4</v>
      </c>
      <c r="F5" s="32" t="n">
        <f aca="false">SUM(B5:E5)</f>
        <v>143</v>
      </c>
    </row>
    <row r="6" customFormat="false" ht="15" hidden="false" customHeight="true" outlineLevel="0" collapsed="false">
      <c r="A6" s="33" t="s">
        <v>39</v>
      </c>
      <c r="B6" s="17" t="n">
        <f aca="false">COUNTIFS('Sprint 1'!$A:$A,$A6)</f>
        <v>6</v>
      </c>
      <c r="C6" s="17" t="n">
        <f aca="false">COUNTIFS('Sprint 2'!$A:$A,$A6)</f>
        <v>2</v>
      </c>
      <c r="D6" s="17" t="n">
        <f aca="false">COUNTIFS('Sprint 3'!$A:$A,$A6)</f>
        <v>52</v>
      </c>
      <c r="E6" s="17" t="n">
        <f aca="false">COUNTIFS(Unscheduled!$A:$A,$A6)</f>
        <v>1</v>
      </c>
      <c r="F6" s="17" t="n">
        <f aca="false">SUM(B6:E6)</f>
        <v>61</v>
      </c>
    </row>
    <row r="7" customFormat="false" ht="15" hidden="false" customHeight="true" outlineLevel="0" collapsed="false">
      <c r="A7" s="34" t="s">
        <v>40</v>
      </c>
      <c r="B7" s="35" t="n">
        <f aca="false">COUNTIFS('Sprint 1'!$A:$A,$A7)</f>
        <v>14</v>
      </c>
      <c r="C7" s="35" t="n">
        <f aca="false">COUNTIFS('Sprint 2'!$A:$A,$A7)</f>
        <v>67</v>
      </c>
      <c r="D7" s="35" t="n">
        <f aca="false">COUNTIFS('Sprint 3'!$A:$A,$A7)</f>
        <v>32</v>
      </c>
      <c r="E7" s="35" t="n">
        <f aca="false">COUNTIFS(Unscheduled!$A:$A,$A7)</f>
        <v>18</v>
      </c>
      <c r="F7" s="35" t="n">
        <f aca="false">SUM(B7:E7)</f>
        <v>131</v>
      </c>
    </row>
    <row r="8" customFormat="false" ht="15" hidden="false" customHeight="true" outlineLevel="0" collapsed="false">
      <c r="A8" s="36" t="s">
        <v>13</v>
      </c>
      <c r="B8" s="10" t="n">
        <f aca="false">SUM(B5:B7)</f>
        <v>68</v>
      </c>
      <c r="C8" s="10" t="n">
        <f aca="false">SUM(C5:C7)</f>
        <v>132</v>
      </c>
      <c r="D8" s="10" t="n">
        <f aca="false">SUM(D5:D7)</f>
        <v>112</v>
      </c>
      <c r="E8" s="10" t="n">
        <f aca="false">SUM(E5:E7)</f>
        <v>23</v>
      </c>
      <c r="F8" s="10" t="n">
        <f aca="false">SUM(F5:F7)</f>
        <v>335</v>
      </c>
    </row>
    <row r="9" customFormat="false" ht="15" hidden="false" customHeight="true" outlineLevel="0" collapsed="false">
      <c r="A9" s="3" t="s">
        <v>5935</v>
      </c>
    </row>
    <row r="11" customFormat="false" ht="15" hidden="false" customHeight="true" outlineLevel="0" collapsed="false">
      <c r="A11" s="5" t="s">
        <v>32</v>
      </c>
      <c r="B11" s="5" t="s">
        <v>5936</v>
      </c>
      <c r="C11" s="5" t="s">
        <v>5937</v>
      </c>
      <c r="D11" s="5" t="s">
        <v>6</v>
      </c>
    </row>
    <row r="12" customFormat="false" ht="43.5" hidden="false" customHeight="true" outlineLevel="0" collapsed="false">
      <c r="A12" s="37" t="s">
        <v>38</v>
      </c>
      <c r="B12" s="32" t="n">
        <f aca="false">COUNTIFS('Sprint 1'!$A:$A,$A12,'Sprint 1'!$B:$B,"Core")+COUNTIFS('Sprint 2'!$A:$A,$A12,'Sprint 2'!$B:$B,"Core")+COUNTIFS('Sprint 3'!$A:$A,$A12,'Sprint 3'!$B:$B,"Core")+COUNTIFS(Unscheduled!$A:$A,$A12,Unscheduled!$B:$B,"Core")</f>
        <v>117</v>
      </c>
      <c r="C12" s="32" t="n">
        <f aca="false">COUNTIFS('Sprint 1'!$A:$A,$A12,'Sprint 1'!$B:$B,"Supporting")+COUNTIFS('Sprint 2'!$A:$A,$A12,'Sprint 2'!$B:$B,"Supporting")+COUNTIFS('Sprint 3'!$A:$A,$A12,'Sprint 3'!$B:$B,"Supporting")+COUNTIFS(Unscheduled!$A:$A,$A12,Unscheduled!$B:$B,"Supporting")</f>
        <v>26</v>
      </c>
      <c r="D12" s="38" t="s">
        <v>5938</v>
      </c>
    </row>
    <row r="13" customFormat="false" ht="43.5" hidden="false" customHeight="true" outlineLevel="0" collapsed="false">
      <c r="A13" s="39" t="s">
        <v>39</v>
      </c>
      <c r="B13" s="17" t="n">
        <f aca="false">COUNTIFS('Sprint 1'!$A:$A,$A13,'Sprint 1'!$B:$B,"Core")+COUNTIFS('Sprint 2'!$A:$A,$A13,'Sprint 2'!$B:$B,"Core")+COUNTIFS('Sprint 3'!$A:$A,$A13,'Sprint 3'!$B:$B,"Core")+COUNTIFS(Unscheduled!$A:$A,$A13,Unscheduled!$B:$B,"Core")</f>
        <v>44</v>
      </c>
      <c r="C13" s="17" t="n">
        <f aca="false">COUNTIFS('Sprint 1'!$A:$A,$A13,'Sprint 1'!$B:$B,"Supporting")+COUNTIFS('Sprint 2'!$A:$A,$A13,'Sprint 2'!$B:$B,"Supporting")+COUNTIFS('Sprint 3'!$A:$A,$A13,'Sprint 3'!$B:$B,"Supporting")+COUNTIFS(Unscheduled!$A:$A,$A13,Unscheduled!$B:$B,"Supporting")</f>
        <v>17</v>
      </c>
      <c r="D13" s="40" t="s">
        <v>5939</v>
      </c>
    </row>
    <row r="14" customFormat="false" ht="43.5" hidden="false" customHeight="true" outlineLevel="0" collapsed="false">
      <c r="A14" s="41" t="s">
        <v>40</v>
      </c>
      <c r="B14" s="35" t="n">
        <f aca="false">COUNTIFS('Sprint 1'!$A:$A,$A14,'Sprint 1'!$B:$B,"Core")+COUNTIFS('Sprint 2'!$A:$A,$A14,'Sprint 2'!$B:$B,"Core")+COUNTIFS('Sprint 3'!$A:$A,$A14,'Sprint 3'!$B:$B,"Core")+COUNTIFS(Unscheduled!$A:$A,$A14,Unscheduled!$B:$B,"Core")</f>
        <v>89</v>
      </c>
      <c r="C14" s="35" t="n">
        <f aca="false">COUNTIFS('Sprint 1'!$A:$A,$A14,'Sprint 1'!$B:$B,"Supporting")+COUNTIFS('Sprint 2'!$A:$A,$A14,'Sprint 2'!$B:$B,"Supporting")+COUNTIFS('Sprint 3'!$A:$A,$A14,'Sprint 3'!$B:$B,"Supporting")+COUNTIFS(Unscheduled!$A:$A,$A14,Unscheduled!$B:$B,"Supporting")</f>
        <v>42</v>
      </c>
      <c r="D14" s="42" t="s">
        <v>5940</v>
      </c>
    </row>
    <row r="16" customFormat="false" ht="15" hidden="false" customHeight="true" outlineLevel="0" collapsed="false">
      <c r="A16" s="4" t="s">
        <v>5941</v>
      </c>
    </row>
    <row r="17" customFormat="false" ht="30" hidden="false" customHeight="true" outlineLevel="0" collapsed="false">
      <c r="A17" s="43" t="s">
        <v>5942</v>
      </c>
      <c r="B17" s="22" t="s">
        <v>5943</v>
      </c>
      <c r="C17" s="22"/>
      <c r="D17" s="22"/>
      <c r="E17" s="22"/>
      <c r="F17" s="22"/>
    </row>
    <row r="18" customFormat="false" ht="30" hidden="false" customHeight="true" outlineLevel="0" collapsed="false">
      <c r="A18" s="43" t="s">
        <v>36</v>
      </c>
      <c r="B18" s="22" t="s">
        <v>5944</v>
      </c>
      <c r="C18" s="22"/>
      <c r="D18" s="22"/>
      <c r="E18" s="22"/>
      <c r="F18" s="22"/>
    </row>
    <row r="19" customFormat="false" ht="30" hidden="false" customHeight="true" outlineLevel="0" collapsed="false">
      <c r="A19" s="43" t="s">
        <v>5945</v>
      </c>
      <c r="B19" s="22" t="s">
        <v>5946</v>
      </c>
      <c r="C19" s="22"/>
      <c r="D19" s="22"/>
      <c r="E19" s="22"/>
      <c r="F19" s="22"/>
    </row>
    <row r="20" customFormat="false" ht="43.5" hidden="false" customHeight="true" outlineLevel="0" collapsed="false">
      <c r="A20" s="43" t="s">
        <v>5947</v>
      </c>
      <c r="B20" s="22" t="s">
        <v>5948</v>
      </c>
      <c r="C20" s="22"/>
      <c r="D20" s="22"/>
      <c r="E20" s="22"/>
      <c r="F20" s="22"/>
    </row>
  </sheetData>
  <mergeCells count="4">
    <mergeCell ref="B17:F17"/>
    <mergeCell ref="B18:F18"/>
    <mergeCell ref="B19:F19"/>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16"/>
    <col collapsed="false" customWidth="true" hidden="false" outlineLevel="0" max="4" min="4" style="1" width="80"/>
    <col collapsed="false" customWidth="true" hidden="false" outlineLevel="0" max="5" min="5" style="1" width="40"/>
    <col collapsed="false" customWidth="true" hidden="false" outlineLevel="0" max="6" min="6" style="1" width="12"/>
    <col collapsed="false" customWidth="true" hidden="false" outlineLevel="0" max="7" min="7" style="1" width="26"/>
    <col collapsed="false" customWidth="true" hidden="false" outlineLevel="0" max="8" min="8" style="1" width="9"/>
    <col collapsed="false" customWidth="true" hidden="false" outlineLevel="0" max="9" min="9" style="1" width="44"/>
  </cols>
  <sheetData>
    <row r="1" customFormat="false" ht="17.25" hidden="false" customHeight="true" outlineLevel="0" collapsed="false">
      <c r="A1" s="2" t="s">
        <v>5949</v>
      </c>
    </row>
    <row r="2" customFormat="false" ht="15" hidden="false" customHeight="true" outlineLevel="0" collapsed="false">
      <c r="A2" s="3" t="s">
        <v>5950</v>
      </c>
    </row>
    <row r="4" customFormat="false" ht="23.25" hidden="false" customHeight="true" outlineLevel="0" collapsed="false">
      <c r="A4" s="5" t="s">
        <v>32</v>
      </c>
      <c r="B4" s="5" t="s">
        <v>5951</v>
      </c>
      <c r="C4" s="5" t="s">
        <v>5952</v>
      </c>
      <c r="D4" s="5" t="s">
        <v>5953</v>
      </c>
      <c r="E4" s="5" t="s">
        <v>5954</v>
      </c>
      <c r="F4" s="5" t="s">
        <v>5955</v>
      </c>
      <c r="G4" s="5" t="s">
        <v>5956</v>
      </c>
      <c r="H4" s="5" t="s">
        <v>5957</v>
      </c>
      <c r="I4" s="5" t="s">
        <v>5958</v>
      </c>
    </row>
    <row r="5" customFormat="false" ht="15" hidden="false" customHeight="true" outlineLevel="0" collapsed="false">
      <c r="A5" s="44" t="str">
        <f aca="false">"ENROLMENT MODULE: "&amp;COUNTIF($A$6:$A$53,"Enrolment")&amp;" Tender rows"</f>
        <v>ENROLMENT MODULE: 48 Tender rows</v>
      </c>
      <c r="B5" s="44"/>
      <c r="C5" s="44"/>
      <c r="D5" s="44"/>
      <c r="E5" s="44"/>
      <c r="F5" s="44"/>
      <c r="G5" s="44"/>
      <c r="H5" s="44"/>
      <c r="I5" s="44"/>
    </row>
    <row r="6" customFormat="false" ht="23.25" hidden="false" customHeight="true" outlineLevel="0" collapsed="false">
      <c r="A6" s="32" t="s">
        <v>38</v>
      </c>
      <c r="B6" s="32" t="s">
        <v>5959</v>
      </c>
      <c r="C6" s="38" t="s">
        <v>124</v>
      </c>
      <c r="D6" s="38" t="s">
        <v>5960</v>
      </c>
      <c r="E6" s="38"/>
      <c r="F6" s="32" t="s">
        <v>99</v>
      </c>
      <c r="G6" s="38" t="s">
        <v>4388</v>
      </c>
      <c r="H6" s="32" t="n">
        <v>24</v>
      </c>
      <c r="I6" s="38"/>
    </row>
    <row r="7" customFormat="false" ht="34.5" hidden="false" customHeight="true" outlineLevel="0" collapsed="false">
      <c r="A7" s="32" t="s">
        <v>38</v>
      </c>
      <c r="B7" s="32" t="s">
        <v>5959</v>
      </c>
      <c r="C7" s="38" t="s">
        <v>149</v>
      </c>
      <c r="D7" s="38" t="s">
        <v>5961</v>
      </c>
      <c r="E7" s="38"/>
      <c r="F7" s="32" t="s">
        <v>99</v>
      </c>
      <c r="G7" s="38"/>
      <c r="H7" s="32" t="n">
        <v>26</v>
      </c>
      <c r="I7" s="38"/>
    </row>
    <row r="8" customFormat="false" ht="34.5" hidden="false" customHeight="true" outlineLevel="0" collapsed="false">
      <c r="A8" s="32" t="s">
        <v>38</v>
      </c>
      <c r="B8" s="32" t="s">
        <v>5959</v>
      </c>
      <c r="C8" s="38" t="s">
        <v>170</v>
      </c>
      <c r="D8" s="38" t="s">
        <v>5962</v>
      </c>
      <c r="E8" s="38"/>
      <c r="F8" s="32" t="s">
        <v>99</v>
      </c>
      <c r="G8" s="38"/>
      <c r="H8" s="32" t="n">
        <v>180</v>
      </c>
      <c r="I8" s="38"/>
    </row>
    <row r="9" customFormat="false" ht="23.25" hidden="false" customHeight="true" outlineLevel="0" collapsed="false">
      <c r="A9" s="32" t="s">
        <v>38</v>
      </c>
      <c r="B9" s="32" t="s">
        <v>5959</v>
      </c>
      <c r="C9" s="38" t="s">
        <v>184</v>
      </c>
      <c r="D9" s="38" t="s">
        <v>5963</v>
      </c>
      <c r="E9" s="38"/>
      <c r="F9" s="32" t="s">
        <v>99</v>
      </c>
      <c r="G9" s="38"/>
      <c r="H9" s="32" t="n">
        <v>202</v>
      </c>
      <c r="I9" s="38"/>
    </row>
    <row r="10" customFormat="false" ht="34.5" hidden="false" customHeight="true" outlineLevel="0" collapsed="false">
      <c r="A10" s="32" t="s">
        <v>38</v>
      </c>
      <c r="B10" s="32" t="s">
        <v>5959</v>
      </c>
      <c r="C10" s="38" t="s">
        <v>981</v>
      </c>
      <c r="D10" s="38" t="s">
        <v>5964</v>
      </c>
      <c r="E10" s="38" t="s">
        <v>5965</v>
      </c>
      <c r="F10" s="32" t="s">
        <v>99</v>
      </c>
      <c r="G10" s="38"/>
      <c r="H10" s="32" t="n">
        <v>302</v>
      </c>
      <c r="I10" s="38"/>
    </row>
    <row r="11" customFormat="false" ht="34.5" hidden="false" customHeight="true" outlineLevel="0" collapsed="false">
      <c r="A11" s="32" t="s">
        <v>38</v>
      </c>
      <c r="B11" s="32" t="s">
        <v>5959</v>
      </c>
      <c r="C11" s="38" t="s">
        <v>981</v>
      </c>
      <c r="D11" s="38" t="s">
        <v>5966</v>
      </c>
      <c r="E11" s="38" t="s">
        <v>5965</v>
      </c>
      <c r="F11" s="32" t="s">
        <v>99</v>
      </c>
      <c r="G11" s="38"/>
      <c r="H11" s="32" t="n">
        <v>303</v>
      </c>
      <c r="I11" s="38"/>
    </row>
    <row r="12" customFormat="false" ht="34.5" hidden="false" customHeight="true" outlineLevel="0" collapsed="false">
      <c r="A12" s="32" t="s">
        <v>38</v>
      </c>
      <c r="B12" s="32" t="s">
        <v>5959</v>
      </c>
      <c r="C12" s="38" t="s">
        <v>1040</v>
      </c>
      <c r="D12" s="38" t="s">
        <v>5967</v>
      </c>
      <c r="E12" s="38"/>
      <c r="F12" s="32" t="s">
        <v>99</v>
      </c>
      <c r="G12" s="38"/>
      <c r="H12" s="32" t="n">
        <v>317</v>
      </c>
      <c r="I12" s="38"/>
    </row>
    <row r="13" customFormat="false" ht="23.25" hidden="false" customHeight="true" outlineLevel="0" collapsed="false">
      <c r="A13" s="32" t="s">
        <v>38</v>
      </c>
      <c r="B13" s="32" t="s">
        <v>5959</v>
      </c>
      <c r="C13" s="38" t="s">
        <v>1054</v>
      </c>
      <c r="D13" s="38" t="s">
        <v>5968</v>
      </c>
      <c r="E13" s="38"/>
      <c r="F13" s="32" t="s">
        <v>99</v>
      </c>
      <c r="G13" s="38"/>
      <c r="H13" s="32" t="n">
        <v>318</v>
      </c>
      <c r="I13" s="38"/>
    </row>
    <row r="14" customFormat="false" ht="15" hidden="false" customHeight="true" outlineLevel="0" collapsed="false">
      <c r="A14" s="32" t="s">
        <v>38</v>
      </c>
      <c r="B14" s="32" t="s">
        <v>5959</v>
      </c>
      <c r="C14" s="38" t="s">
        <v>1067</v>
      </c>
      <c r="D14" s="38" t="s">
        <v>5969</v>
      </c>
      <c r="E14" s="38"/>
      <c r="F14" s="32" t="s">
        <v>99</v>
      </c>
      <c r="G14" s="38"/>
      <c r="H14" s="32" t="n">
        <v>319</v>
      </c>
      <c r="I14" s="38"/>
    </row>
    <row r="15" customFormat="false" ht="23.25" hidden="false" customHeight="true" outlineLevel="0" collapsed="false">
      <c r="A15" s="32" t="s">
        <v>38</v>
      </c>
      <c r="B15" s="32" t="s">
        <v>5959</v>
      </c>
      <c r="C15" s="38" t="s">
        <v>1067</v>
      </c>
      <c r="D15" s="38" t="s">
        <v>5970</v>
      </c>
      <c r="E15" s="38" t="s">
        <v>5969</v>
      </c>
      <c r="F15" s="32" t="s">
        <v>99</v>
      </c>
      <c r="G15" s="38"/>
      <c r="H15" s="32" t="n">
        <v>320</v>
      </c>
      <c r="I15" s="38"/>
    </row>
    <row r="16" customFormat="false" ht="34.5" hidden="false" customHeight="true" outlineLevel="0" collapsed="false">
      <c r="A16" s="32" t="s">
        <v>38</v>
      </c>
      <c r="B16" s="32" t="s">
        <v>5959</v>
      </c>
      <c r="C16" s="38" t="s">
        <v>1081</v>
      </c>
      <c r="D16" s="38" t="s">
        <v>5971</v>
      </c>
      <c r="E16" s="38"/>
      <c r="F16" s="32" t="s">
        <v>99</v>
      </c>
      <c r="G16" s="38"/>
      <c r="H16" s="32" t="n">
        <v>321</v>
      </c>
      <c r="I16" s="38"/>
    </row>
    <row r="17" customFormat="false" ht="15" hidden="false" customHeight="true" outlineLevel="0" collapsed="false">
      <c r="A17" s="32" t="s">
        <v>38</v>
      </c>
      <c r="B17" s="32" t="s">
        <v>5959</v>
      </c>
      <c r="C17" s="38" t="s">
        <v>1139</v>
      </c>
      <c r="D17" s="38" t="s">
        <v>5972</v>
      </c>
      <c r="E17" s="38"/>
      <c r="F17" s="32" t="s">
        <v>99</v>
      </c>
      <c r="G17" s="38"/>
      <c r="H17" s="32" t="n">
        <v>323</v>
      </c>
      <c r="I17" s="38"/>
    </row>
    <row r="18" customFormat="false" ht="15" hidden="false" customHeight="true" outlineLevel="0" collapsed="false">
      <c r="A18" s="32" t="s">
        <v>38</v>
      </c>
      <c r="B18" s="32" t="s">
        <v>5959</v>
      </c>
      <c r="C18" s="38" t="s">
        <v>1152</v>
      </c>
      <c r="D18" s="38" t="s">
        <v>5973</v>
      </c>
      <c r="E18" s="38"/>
      <c r="F18" s="32" t="s">
        <v>99</v>
      </c>
      <c r="G18" s="38"/>
      <c r="H18" s="32" t="n">
        <v>324</v>
      </c>
      <c r="I18" s="38"/>
    </row>
    <row r="19" customFormat="false" ht="34.5" hidden="false" customHeight="true" outlineLevel="0" collapsed="false">
      <c r="A19" s="32" t="s">
        <v>38</v>
      </c>
      <c r="B19" s="32" t="s">
        <v>89</v>
      </c>
      <c r="C19" s="38" t="s">
        <v>1189</v>
      </c>
      <c r="D19" s="38" t="s">
        <v>5974</v>
      </c>
      <c r="E19" s="38"/>
      <c r="F19" s="32" t="s">
        <v>99</v>
      </c>
      <c r="G19" s="38"/>
      <c r="H19" s="32" t="n">
        <v>328</v>
      </c>
      <c r="I19" s="38"/>
    </row>
    <row r="20" customFormat="false" ht="23.25" hidden="false" customHeight="true" outlineLevel="0" collapsed="false">
      <c r="A20" s="32" t="s">
        <v>38</v>
      </c>
      <c r="B20" s="32" t="s">
        <v>89</v>
      </c>
      <c r="C20" s="38" t="s">
        <v>1201</v>
      </c>
      <c r="D20" s="38" t="s">
        <v>5975</v>
      </c>
      <c r="E20" s="38"/>
      <c r="F20" s="32" t="s">
        <v>99</v>
      </c>
      <c r="G20" s="38" t="s">
        <v>4529</v>
      </c>
      <c r="H20" s="32" t="n">
        <v>329</v>
      </c>
      <c r="I20" s="38"/>
    </row>
    <row r="21" customFormat="false" ht="34.5" hidden="false" customHeight="true" outlineLevel="0" collapsed="false">
      <c r="A21" s="32" t="s">
        <v>38</v>
      </c>
      <c r="B21" s="32" t="s">
        <v>89</v>
      </c>
      <c r="C21" s="38" t="s">
        <v>1222</v>
      </c>
      <c r="D21" s="38" t="s">
        <v>5976</v>
      </c>
      <c r="E21" s="38"/>
      <c r="F21" s="32" t="s">
        <v>99</v>
      </c>
      <c r="G21" s="38" t="s">
        <v>4529</v>
      </c>
      <c r="H21" s="32" t="n">
        <v>330</v>
      </c>
      <c r="I21" s="38"/>
    </row>
    <row r="22" customFormat="false" ht="23.25" hidden="false" customHeight="true" outlineLevel="0" collapsed="false">
      <c r="A22" s="32" t="s">
        <v>38</v>
      </c>
      <c r="B22" s="32" t="s">
        <v>89</v>
      </c>
      <c r="C22" s="38" t="s">
        <v>1236</v>
      </c>
      <c r="D22" s="38" t="s">
        <v>5977</v>
      </c>
      <c r="E22" s="38"/>
      <c r="F22" s="32" t="s">
        <v>99</v>
      </c>
      <c r="G22" s="38" t="s">
        <v>4529</v>
      </c>
      <c r="H22" s="32" t="n">
        <v>331</v>
      </c>
      <c r="I22" s="38"/>
    </row>
    <row r="23" customFormat="false" ht="23.25" hidden="false" customHeight="true" outlineLevel="0" collapsed="false">
      <c r="A23" s="32" t="s">
        <v>38</v>
      </c>
      <c r="B23" s="32" t="s">
        <v>89</v>
      </c>
      <c r="C23" s="38" t="s">
        <v>1291</v>
      </c>
      <c r="D23" s="38" t="s">
        <v>5978</v>
      </c>
      <c r="E23" s="38"/>
      <c r="F23" s="32" t="s">
        <v>99</v>
      </c>
      <c r="G23" s="38"/>
      <c r="H23" s="32" t="n">
        <v>339</v>
      </c>
      <c r="I23" s="38"/>
    </row>
    <row r="24" customFormat="false" ht="45.75" hidden="false" customHeight="true" outlineLevel="0" collapsed="false">
      <c r="A24" s="32" t="s">
        <v>38</v>
      </c>
      <c r="B24" s="32" t="s">
        <v>89</v>
      </c>
      <c r="C24" s="38" t="s">
        <v>1313</v>
      </c>
      <c r="D24" s="38" t="s">
        <v>5979</v>
      </c>
      <c r="E24" s="38"/>
      <c r="F24" s="32" t="s">
        <v>99</v>
      </c>
      <c r="G24" s="38"/>
      <c r="H24" s="32" t="n">
        <v>340</v>
      </c>
      <c r="I24" s="38"/>
    </row>
    <row r="25" customFormat="false" ht="45.75" hidden="false" customHeight="true" outlineLevel="0" collapsed="false">
      <c r="A25" s="32" t="s">
        <v>38</v>
      </c>
      <c r="B25" s="32" t="s">
        <v>89</v>
      </c>
      <c r="C25" s="38" t="s">
        <v>1313</v>
      </c>
      <c r="D25" s="38" t="s">
        <v>5980</v>
      </c>
      <c r="E25" s="38" t="s">
        <v>5981</v>
      </c>
      <c r="F25" s="32" t="s">
        <v>99</v>
      </c>
      <c r="G25" s="38"/>
      <c r="H25" s="32" t="n">
        <v>341</v>
      </c>
      <c r="I25" s="38"/>
    </row>
    <row r="26" customFormat="false" ht="15" hidden="false" customHeight="true" outlineLevel="0" collapsed="false">
      <c r="A26" s="32" t="s">
        <v>38</v>
      </c>
      <c r="B26" s="32" t="s">
        <v>89</v>
      </c>
      <c r="C26" s="38" t="s">
        <v>1340</v>
      </c>
      <c r="D26" s="38" t="s">
        <v>5982</v>
      </c>
      <c r="E26" s="38"/>
      <c r="F26" s="32" t="s">
        <v>99</v>
      </c>
      <c r="G26" s="38"/>
      <c r="H26" s="32" t="n">
        <v>342</v>
      </c>
      <c r="I26" s="38"/>
    </row>
    <row r="27" customFormat="false" ht="23.25" hidden="false" customHeight="true" outlineLevel="0" collapsed="false">
      <c r="A27" s="32" t="s">
        <v>38</v>
      </c>
      <c r="B27" s="32" t="s">
        <v>89</v>
      </c>
      <c r="C27" s="38" t="s">
        <v>1352</v>
      </c>
      <c r="D27" s="38" t="s">
        <v>5983</v>
      </c>
      <c r="E27" s="38"/>
      <c r="F27" s="32" t="s">
        <v>99</v>
      </c>
      <c r="G27" s="38" t="s">
        <v>4388</v>
      </c>
      <c r="H27" s="32" t="n">
        <v>343</v>
      </c>
      <c r="I27" s="38"/>
    </row>
    <row r="28" customFormat="false" ht="23.25" hidden="false" customHeight="true" outlineLevel="0" collapsed="false">
      <c r="A28" s="32" t="s">
        <v>38</v>
      </c>
      <c r="B28" s="32" t="s">
        <v>89</v>
      </c>
      <c r="C28" s="38" t="s">
        <v>1365</v>
      </c>
      <c r="D28" s="38" t="s">
        <v>5984</v>
      </c>
      <c r="E28" s="38"/>
      <c r="F28" s="32" t="s">
        <v>99</v>
      </c>
      <c r="G28" s="38" t="s">
        <v>4388</v>
      </c>
      <c r="H28" s="32" t="n">
        <v>344</v>
      </c>
      <c r="I28" s="38"/>
    </row>
    <row r="29" customFormat="false" ht="34.5" hidden="false" customHeight="true" outlineLevel="0" collapsed="false">
      <c r="A29" s="32" t="s">
        <v>38</v>
      </c>
      <c r="B29" s="32" t="s">
        <v>89</v>
      </c>
      <c r="C29" s="38" t="s">
        <v>1387</v>
      </c>
      <c r="D29" s="38" t="s">
        <v>5985</v>
      </c>
      <c r="E29" s="38"/>
      <c r="F29" s="32" t="s">
        <v>99</v>
      </c>
      <c r="G29" s="38"/>
      <c r="H29" s="32" t="n">
        <v>345</v>
      </c>
      <c r="I29" s="38"/>
    </row>
    <row r="30" customFormat="false" ht="34.5" hidden="false" customHeight="true" outlineLevel="0" collapsed="false">
      <c r="A30" s="32" t="s">
        <v>38</v>
      </c>
      <c r="B30" s="32" t="s">
        <v>89</v>
      </c>
      <c r="C30" s="38" t="s">
        <v>1407</v>
      </c>
      <c r="D30" s="38" t="s">
        <v>5986</v>
      </c>
      <c r="E30" s="38"/>
      <c r="F30" s="32" t="s">
        <v>99</v>
      </c>
      <c r="G30" s="38"/>
      <c r="H30" s="32" t="n">
        <v>346</v>
      </c>
      <c r="I30" s="38"/>
    </row>
    <row r="31" customFormat="false" ht="15" hidden="false" customHeight="true" outlineLevel="0" collapsed="false">
      <c r="A31" s="32" t="s">
        <v>38</v>
      </c>
      <c r="B31" s="32" t="s">
        <v>89</v>
      </c>
      <c r="C31" s="38" t="s">
        <v>1429</v>
      </c>
      <c r="D31" s="38" t="s">
        <v>5987</v>
      </c>
      <c r="E31" s="38"/>
      <c r="F31" s="32" t="s">
        <v>99</v>
      </c>
      <c r="G31" s="38"/>
      <c r="H31" s="32" t="n">
        <v>347</v>
      </c>
      <c r="I31" s="38"/>
    </row>
    <row r="32" customFormat="false" ht="23.25" hidden="false" customHeight="true" outlineLevel="0" collapsed="false">
      <c r="A32" s="32" t="s">
        <v>38</v>
      </c>
      <c r="B32" s="32" t="s">
        <v>89</v>
      </c>
      <c r="C32" s="38" t="s">
        <v>1477</v>
      </c>
      <c r="D32" s="38" t="s">
        <v>5988</v>
      </c>
      <c r="E32" s="38"/>
      <c r="F32" s="32" t="s">
        <v>99</v>
      </c>
      <c r="G32" s="38"/>
      <c r="H32" s="32" t="n">
        <v>349</v>
      </c>
      <c r="I32" s="38"/>
    </row>
    <row r="33" customFormat="false" ht="23.25" hidden="false" customHeight="true" outlineLevel="0" collapsed="false">
      <c r="A33" s="32" t="s">
        <v>38</v>
      </c>
      <c r="B33" s="32" t="s">
        <v>89</v>
      </c>
      <c r="C33" s="38" t="s">
        <v>1595</v>
      </c>
      <c r="D33" s="38" t="s">
        <v>5989</v>
      </c>
      <c r="E33" s="38"/>
      <c r="F33" s="32" t="s">
        <v>99</v>
      </c>
      <c r="G33" s="38"/>
      <c r="H33" s="32" t="n">
        <v>354</v>
      </c>
      <c r="I33" s="38"/>
    </row>
    <row r="34" customFormat="false" ht="34.5" hidden="false" customHeight="true" outlineLevel="0" collapsed="false">
      <c r="A34" s="32" t="s">
        <v>38</v>
      </c>
      <c r="B34" s="32" t="s">
        <v>89</v>
      </c>
      <c r="C34" s="38" t="s">
        <v>1690</v>
      </c>
      <c r="D34" s="38" t="s">
        <v>5990</v>
      </c>
      <c r="E34" s="38" t="s">
        <v>5991</v>
      </c>
      <c r="F34" s="32" t="s">
        <v>99</v>
      </c>
      <c r="G34" s="38"/>
      <c r="H34" s="32" t="n">
        <v>360</v>
      </c>
      <c r="I34" s="38" t="s">
        <v>5992</v>
      </c>
    </row>
    <row r="35" customFormat="false" ht="34.5" hidden="false" customHeight="true" outlineLevel="0" collapsed="false">
      <c r="A35" s="32" t="s">
        <v>38</v>
      </c>
      <c r="B35" s="32" t="s">
        <v>89</v>
      </c>
      <c r="C35" s="38" t="s">
        <v>1690</v>
      </c>
      <c r="D35" s="38" t="s">
        <v>5993</v>
      </c>
      <c r="E35" s="38" t="s">
        <v>5991</v>
      </c>
      <c r="F35" s="32" t="s">
        <v>99</v>
      </c>
      <c r="G35" s="38"/>
      <c r="H35" s="32" t="n">
        <v>361</v>
      </c>
      <c r="I35" s="38" t="s">
        <v>5992</v>
      </c>
    </row>
    <row r="36" customFormat="false" ht="34.5" hidden="false" customHeight="true" outlineLevel="0" collapsed="false">
      <c r="A36" s="32" t="s">
        <v>38</v>
      </c>
      <c r="B36" s="32" t="s">
        <v>89</v>
      </c>
      <c r="C36" s="38" t="s">
        <v>1690</v>
      </c>
      <c r="D36" s="38" t="s">
        <v>5994</v>
      </c>
      <c r="E36" s="38" t="s">
        <v>5991</v>
      </c>
      <c r="F36" s="32" t="s">
        <v>99</v>
      </c>
      <c r="G36" s="38"/>
      <c r="H36" s="32" t="n">
        <v>362</v>
      </c>
      <c r="I36" s="38" t="s">
        <v>5992</v>
      </c>
    </row>
    <row r="37" customFormat="false" ht="34.5" hidden="false" customHeight="true" outlineLevel="0" collapsed="false">
      <c r="A37" s="32" t="s">
        <v>38</v>
      </c>
      <c r="B37" s="32" t="s">
        <v>89</v>
      </c>
      <c r="C37" s="38" t="s">
        <v>1690</v>
      </c>
      <c r="D37" s="38" t="s">
        <v>5995</v>
      </c>
      <c r="E37" s="38" t="s">
        <v>5991</v>
      </c>
      <c r="F37" s="32" t="s">
        <v>99</v>
      </c>
      <c r="G37" s="38"/>
      <c r="H37" s="32" t="n">
        <v>363</v>
      </c>
      <c r="I37" s="38" t="s">
        <v>5992</v>
      </c>
    </row>
    <row r="38" customFormat="false" ht="34.5" hidden="false" customHeight="true" outlineLevel="0" collapsed="false">
      <c r="A38" s="32" t="s">
        <v>38</v>
      </c>
      <c r="B38" s="32" t="s">
        <v>89</v>
      </c>
      <c r="C38" s="38" t="s">
        <v>1690</v>
      </c>
      <c r="D38" s="38" t="s">
        <v>5996</v>
      </c>
      <c r="E38" s="38" t="s">
        <v>5991</v>
      </c>
      <c r="F38" s="32" t="s">
        <v>99</v>
      </c>
      <c r="G38" s="38"/>
      <c r="H38" s="32" t="n">
        <v>364</v>
      </c>
      <c r="I38" s="38" t="s">
        <v>5992</v>
      </c>
    </row>
    <row r="39" customFormat="false" ht="34.5" hidden="false" customHeight="true" outlineLevel="0" collapsed="false">
      <c r="A39" s="32" t="s">
        <v>38</v>
      </c>
      <c r="B39" s="32" t="s">
        <v>89</v>
      </c>
      <c r="C39" s="38" t="s">
        <v>1690</v>
      </c>
      <c r="D39" s="38" t="s">
        <v>5997</v>
      </c>
      <c r="E39" s="38" t="s">
        <v>5991</v>
      </c>
      <c r="F39" s="32" t="s">
        <v>99</v>
      </c>
      <c r="G39" s="38"/>
      <c r="H39" s="32" t="n">
        <v>365</v>
      </c>
      <c r="I39" s="38" t="s">
        <v>5992</v>
      </c>
    </row>
    <row r="40" customFormat="false" ht="34.5" hidden="false" customHeight="true" outlineLevel="0" collapsed="false">
      <c r="A40" s="32" t="s">
        <v>38</v>
      </c>
      <c r="B40" s="32" t="s">
        <v>89</v>
      </c>
      <c r="C40" s="38" t="s">
        <v>1690</v>
      </c>
      <c r="D40" s="38" t="s">
        <v>5998</v>
      </c>
      <c r="E40" s="38" t="s">
        <v>5991</v>
      </c>
      <c r="F40" s="32" t="s">
        <v>99</v>
      </c>
      <c r="G40" s="38"/>
      <c r="H40" s="32" t="n">
        <v>366</v>
      </c>
      <c r="I40" s="38" t="s">
        <v>5992</v>
      </c>
    </row>
    <row r="41" customFormat="false" ht="34.5" hidden="false" customHeight="true" outlineLevel="0" collapsed="false">
      <c r="A41" s="32" t="s">
        <v>38</v>
      </c>
      <c r="B41" s="32" t="s">
        <v>89</v>
      </c>
      <c r="C41" s="38" t="s">
        <v>1690</v>
      </c>
      <c r="D41" s="38" t="s">
        <v>5999</v>
      </c>
      <c r="E41" s="38" t="s">
        <v>5991</v>
      </c>
      <c r="F41" s="32" t="s">
        <v>99</v>
      </c>
      <c r="G41" s="38"/>
      <c r="H41" s="32" t="n">
        <v>367</v>
      </c>
      <c r="I41" s="38" t="s">
        <v>5992</v>
      </c>
    </row>
    <row r="42" customFormat="false" ht="34.5" hidden="false" customHeight="true" outlineLevel="0" collapsed="false">
      <c r="A42" s="32" t="s">
        <v>38</v>
      </c>
      <c r="B42" s="32" t="s">
        <v>89</v>
      </c>
      <c r="C42" s="38" t="s">
        <v>1690</v>
      </c>
      <c r="D42" s="38" t="s">
        <v>6000</v>
      </c>
      <c r="E42" s="38" t="s">
        <v>5991</v>
      </c>
      <c r="F42" s="32" t="s">
        <v>99</v>
      </c>
      <c r="G42" s="38"/>
      <c r="H42" s="32" t="n">
        <v>368</v>
      </c>
      <c r="I42" s="38" t="s">
        <v>5992</v>
      </c>
    </row>
    <row r="43" customFormat="false" ht="34.5" hidden="false" customHeight="true" outlineLevel="0" collapsed="false">
      <c r="A43" s="32" t="s">
        <v>38</v>
      </c>
      <c r="B43" s="32" t="s">
        <v>89</v>
      </c>
      <c r="C43" s="38" t="s">
        <v>1690</v>
      </c>
      <c r="D43" s="38" t="s">
        <v>6001</v>
      </c>
      <c r="E43" s="38" t="s">
        <v>5991</v>
      </c>
      <c r="F43" s="32" t="s">
        <v>99</v>
      </c>
      <c r="G43" s="38"/>
      <c r="H43" s="32" t="n">
        <v>369</v>
      </c>
      <c r="I43" s="38" t="s">
        <v>5992</v>
      </c>
    </row>
    <row r="44" customFormat="false" ht="34.5" hidden="false" customHeight="true" outlineLevel="0" collapsed="false">
      <c r="A44" s="32" t="s">
        <v>38</v>
      </c>
      <c r="B44" s="32" t="s">
        <v>89</v>
      </c>
      <c r="C44" s="38" t="s">
        <v>1690</v>
      </c>
      <c r="D44" s="38" t="s">
        <v>6002</v>
      </c>
      <c r="E44" s="38" t="s">
        <v>5991</v>
      </c>
      <c r="F44" s="32" t="s">
        <v>99</v>
      </c>
      <c r="G44" s="38"/>
      <c r="H44" s="32" t="n">
        <v>370</v>
      </c>
      <c r="I44" s="38" t="s">
        <v>5992</v>
      </c>
    </row>
    <row r="45" customFormat="false" ht="34.5" hidden="false" customHeight="true" outlineLevel="0" collapsed="false">
      <c r="A45" s="32" t="s">
        <v>38</v>
      </c>
      <c r="B45" s="32" t="s">
        <v>89</v>
      </c>
      <c r="C45" s="38" t="s">
        <v>1690</v>
      </c>
      <c r="D45" s="38" t="s">
        <v>6003</v>
      </c>
      <c r="E45" s="38" t="s">
        <v>5991</v>
      </c>
      <c r="F45" s="32" t="s">
        <v>99</v>
      </c>
      <c r="G45" s="38"/>
      <c r="H45" s="32" t="n">
        <v>371</v>
      </c>
      <c r="I45" s="38" t="s">
        <v>5992</v>
      </c>
    </row>
    <row r="46" customFormat="false" ht="34.5" hidden="false" customHeight="true" outlineLevel="0" collapsed="false">
      <c r="A46" s="32" t="s">
        <v>38</v>
      </c>
      <c r="B46" s="32" t="s">
        <v>89</v>
      </c>
      <c r="C46" s="38" t="s">
        <v>1690</v>
      </c>
      <c r="D46" s="38" t="s">
        <v>6004</v>
      </c>
      <c r="E46" s="38" t="s">
        <v>5991</v>
      </c>
      <c r="F46" s="32" t="s">
        <v>99</v>
      </c>
      <c r="G46" s="38"/>
      <c r="H46" s="32" t="n">
        <v>372</v>
      </c>
      <c r="I46" s="38" t="s">
        <v>5992</v>
      </c>
    </row>
    <row r="47" customFormat="false" ht="34.5" hidden="false" customHeight="true" outlineLevel="0" collapsed="false">
      <c r="A47" s="32" t="s">
        <v>38</v>
      </c>
      <c r="B47" s="32" t="s">
        <v>89</v>
      </c>
      <c r="C47" s="38" t="s">
        <v>1690</v>
      </c>
      <c r="D47" s="38" t="s">
        <v>6005</v>
      </c>
      <c r="E47" s="38" t="s">
        <v>5991</v>
      </c>
      <c r="F47" s="32" t="s">
        <v>99</v>
      </c>
      <c r="G47" s="38"/>
      <c r="H47" s="32" t="n">
        <v>373</v>
      </c>
      <c r="I47" s="38" t="s">
        <v>5992</v>
      </c>
    </row>
    <row r="48" customFormat="false" ht="34.5" hidden="false" customHeight="true" outlineLevel="0" collapsed="false">
      <c r="A48" s="32" t="s">
        <v>38</v>
      </c>
      <c r="B48" s="32" t="s">
        <v>89</v>
      </c>
      <c r="C48" s="38" t="s">
        <v>1690</v>
      </c>
      <c r="D48" s="38" t="s">
        <v>6006</v>
      </c>
      <c r="E48" s="38" t="s">
        <v>5991</v>
      </c>
      <c r="F48" s="32" t="s">
        <v>99</v>
      </c>
      <c r="G48" s="38"/>
      <c r="H48" s="32" t="n">
        <v>374</v>
      </c>
      <c r="I48" s="38" t="s">
        <v>5992</v>
      </c>
    </row>
    <row r="49" customFormat="false" ht="34.5" hidden="false" customHeight="true" outlineLevel="0" collapsed="false">
      <c r="A49" s="32" t="s">
        <v>38</v>
      </c>
      <c r="B49" s="32" t="s">
        <v>89</v>
      </c>
      <c r="C49" s="38" t="s">
        <v>1690</v>
      </c>
      <c r="D49" s="38" t="s">
        <v>6007</v>
      </c>
      <c r="E49" s="38" t="s">
        <v>5991</v>
      </c>
      <c r="F49" s="32" t="s">
        <v>99</v>
      </c>
      <c r="G49" s="38"/>
      <c r="H49" s="32" t="n">
        <v>375</v>
      </c>
      <c r="I49" s="38" t="s">
        <v>5992</v>
      </c>
    </row>
    <row r="50" customFormat="false" ht="34.5" hidden="false" customHeight="true" outlineLevel="0" collapsed="false">
      <c r="A50" s="32" t="s">
        <v>38</v>
      </c>
      <c r="B50" s="32" t="s">
        <v>89</v>
      </c>
      <c r="C50" s="38" t="s">
        <v>1690</v>
      </c>
      <c r="D50" s="38" t="s">
        <v>6008</v>
      </c>
      <c r="E50" s="38" t="s">
        <v>5991</v>
      </c>
      <c r="F50" s="32" t="s">
        <v>99</v>
      </c>
      <c r="G50" s="38"/>
      <c r="H50" s="32" t="n">
        <v>376</v>
      </c>
      <c r="I50" s="38" t="s">
        <v>5992</v>
      </c>
    </row>
    <row r="51" customFormat="false" ht="45.75" hidden="false" customHeight="true" outlineLevel="0" collapsed="false">
      <c r="A51" s="32" t="s">
        <v>38</v>
      </c>
      <c r="B51" s="32" t="s">
        <v>5959</v>
      </c>
      <c r="C51" s="38" t="s">
        <v>3254</v>
      </c>
      <c r="D51" s="38" t="s">
        <v>6009</v>
      </c>
      <c r="E51" s="38" t="s">
        <v>6010</v>
      </c>
      <c r="F51" s="32" t="s">
        <v>346</v>
      </c>
      <c r="G51" s="38"/>
      <c r="H51" s="32" t="n">
        <v>952</v>
      </c>
      <c r="I51" s="38"/>
    </row>
    <row r="52" customFormat="false" ht="15" hidden="false" customHeight="true" outlineLevel="0" collapsed="false">
      <c r="A52" s="32" t="s">
        <v>38</v>
      </c>
      <c r="B52" s="32" t="s">
        <v>5959</v>
      </c>
      <c r="C52" s="38" t="s">
        <v>3311</v>
      </c>
      <c r="D52" s="38" t="s">
        <v>6011</v>
      </c>
      <c r="E52" s="38"/>
      <c r="F52" s="32" t="s">
        <v>99</v>
      </c>
      <c r="G52" s="38" t="s">
        <v>4388</v>
      </c>
      <c r="H52" s="32" t="n">
        <v>960</v>
      </c>
      <c r="I52" s="38"/>
    </row>
    <row r="53" customFormat="false" ht="15" hidden="false" customHeight="true" outlineLevel="0" collapsed="false">
      <c r="A53" s="32" t="s">
        <v>38</v>
      </c>
      <c r="B53" s="32" t="s">
        <v>5959</v>
      </c>
      <c r="C53" s="38" t="s">
        <v>3323</v>
      </c>
      <c r="D53" s="38" t="s">
        <v>6012</v>
      </c>
      <c r="E53" s="38"/>
      <c r="F53" s="32" t="s">
        <v>99</v>
      </c>
      <c r="G53" s="38" t="s">
        <v>4388</v>
      </c>
      <c r="H53" s="32" t="n">
        <v>961</v>
      </c>
      <c r="I53" s="38"/>
    </row>
    <row r="54" customFormat="false" ht="15" hidden="false" customHeight="true" outlineLevel="0" collapsed="false">
      <c r="A54" s="45" t="str">
        <f aca="false">"ASSESSMENT MODULE: "&amp;COUNTIF($A$55:$A$60,"Assessment")&amp;" Tender rows"</f>
        <v>ASSESSMENT MODULE: 6 Tender rows</v>
      </c>
      <c r="B54" s="45"/>
      <c r="C54" s="45"/>
      <c r="D54" s="45"/>
      <c r="E54" s="45"/>
      <c r="F54" s="45"/>
      <c r="G54" s="45"/>
      <c r="H54" s="45"/>
      <c r="I54" s="45"/>
    </row>
    <row r="55" customFormat="false" ht="34.5" hidden="false" customHeight="true" outlineLevel="0" collapsed="false">
      <c r="A55" s="17" t="s">
        <v>39</v>
      </c>
      <c r="B55" s="17" t="s">
        <v>5959</v>
      </c>
      <c r="C55" s="40" t="s">
        <v>981</v>
      </c>
      <c r="D55" s="40" t="s">
        <v>6013</v>
      </c>
      <c r="E55" s="40" t="s">
        <v>5965</v>
      </c>
      <c r="F55" s="17" t="s">
        <v>99</v>
      </c>
      <c r="G55" s="40"/>
      <c r="H55" s="17" t="n">
        <v>306</v>
      </c>
      <c r="I55" s="40"/>
    </row>
    <row r="56" customFormat="false" ht="15" hidden="false" customHeight="true" outlineLevel="0" collapsed="false">
      <c r="A56" s="17" t="s">
        <v>39</v>
      </c>
      <c r="B56" s="17" t="s">
        <v>5959</v>
      </c>
      <c r="C56" s="40" t="s">
        <v>1014</v>
      </c>
      <c r="D56" s="40" t="s">
        <v>6014</v>
      </c>
      <c r="E56" s="40"/>
      <c r="F56" s="17" t="s">
        <v>99</v>
      </c>
      <c r="G56" s="40"/>
      <c r="H56" s="17" t="n">
        <v>311</v>
      </c>
      <c r="I56" s="40"/>
    </row>
    <row r="57" customFormat="false" ht="23.25" hidden="false" customHeight="true" outlineLevel="0" collapsed="false">
      <c r="A57" s="17" t="s">
        <v>39</v>
      </c>
      <c r="B57" s="17" t="s">
        <v>5959</v>
      </c>
      <c r="C57" s="40" t="s">
        <v>1027</v>
      </c>
      <c r="D57" s="40" t="s">
        <v>6015</v>
      </c>
      <c r="E57" s="40"/>
      <c r="F57" s="17" t="s">
        <v>99</v>
      </c>
      <c r="G57" s="40"/>
      <c r="H57" s="17" t="n">
        <v>312</v>
      </c>
      <c r="I57" s="40"/>
    </row>
    <row r="58" customFormat="false" ht="34.5" hidden="false" customHeight="true" outlineLevel="0" collapsed="false">
      <c r="A58" s="17" t="s">
        <v>39</v>
      </c>
      <c r="B58" s="17" t="s">
        <v>89</v>
      </c>
      <c r="C58" s="40" t="s">
        <v>2978</v>
      </c>
      <c r="D58" s="40" t="s">
        <v>6016</v>
      </c>
      <c r="E58" s="40"/>
      <c r="F58" s="17" t="s">
        <v>99</v>
      </c>
      <c r="G58" s="40"/>
      <c r="H58" s="17" t="n">
        <v>577</v>
      </c>
      <c r="I58" s="40"/>
    </row>
    <row r="59" customFormat="false" ht="45.75" hidden="false" customHeight="true" outlineLevel="0" collapsed="false">
      <c r="A59" s="17" t="s">
        <v>39</v>
      </c>
      <c r="B59" s="17" t="s">
        <v>5959</v>
      </c>
      <c r="C59" s="40" t="s">
        <v>3254</v>
      </c>
      <c r="D59" s="40" t="s">
        <v>6017</v>
      </c>
      <c r="E59" s="40" t="s">
        <v>6010</v>
      </c>
      <c r="F59" s="17" t="s">
        <v>346</v>
      </c>
      <c r="G59" s="40"/>
      <c r="H59" s="17" t="n">
        <v>953</v>
      </c>
      <c r="I59" s="40"/>
    </row>
    <row r="60" customFormat="false" ht="45.75" hidden="false" customHeight="true" outlineLevel="0" collapsed="false">
      <c r="A60" s="17" t="s">
        <v>39</v>
      </c>
      <c r="B60" s="17" t="s">
        <v>5959</v>
      </c>
      <c r="C60" s="40" t="s">
        <v>3254</v>
      </c>
      <c r="D60" s="40" t="s">
        <v>6018</v>
      </c>
      <c r="E60" s="40" t="s">
        <v>6010</v>
      </c>
      <c r="F60" s="17" t="s">
        <v>346</v>
      </c>
      <c r="G60" s="40"/>
      <c r="H60" s="17" t="n">
        <v>954</v>
      </c>
      <c r="I60" s="40"/>
    </row>
    <row r="61" customFormat="false" ht="15" hidden="false" customHeight="true" outlineLevel="0" collapsed="false">
      <c r="A61" s="46" t="str">
        <f aca="false">"FUNDING MODULE: "&amp;COUNTIF($A$62:$A$75,"Funding")&amp;" Tender rows"</f>
        <v>FUNDING MODULE: 14 Tender rows</v>
      </c>
      <c r="B61" s="46"/>
      <c r="C61" s="46"/>
      <c r="D61" s="46"/>
      <c r="E61" s="46"/>
      <c r="F61" s="46"/>
      <c r="G61" s="46"/>
      <c r="H61" s="46"/>
      <c r="I61" s="46"/>
    </row>
    <row r="62" customFormat="false" ht="23.25" hidden="false" customHeight="true" outlineLevel="0" collapsed="false">
      <c r="A62" s="35" t="s">
        <v>40</v>
      </c>
      <c r="B62" s="35" t="s">
        <v>89</v>
      </c>
      <c r="C62" s="42" t="s">
        <v>216</v>
      </c>
      <c r="D62" s="42" t="s">
        <v>6019</v>
      </c>
      <c r="E62" s="42"/>
      <c r="F62" s="35" t="s">
        <v>99</v>
      </c>
      <c r="G62" s="42"/>
      <c r="H62" s="35" t="n">
        <v>222</v>
      </c>
      <c r="I62" s="42"/>
    </row>
    <row r="63" customFormat="false" ht="15" hidden="false" customHeight="true" outlineLevel="0" collapsed="false">
      <c r="A63" s="35" t="s">
        <v>40</v>
      </c>
      <c r="B63" s="35" t="s">
        <v>89</v>
      </c>
      <c r="C63" s="42" t="s">
        <v>237</v>
      </c>
      <c r="D63" s="42" t="s">
        <v>6020</v>
      </c>
      <c r="E63" s="42"/>
      <c r="F63" s="35" t="s">
        <v>99</v>
      </c>
      <c r="G63" s="42"/>
      <c r="H63" s="35" t="n">
        <v>223</v>
      </c>
      <c r="I63" s="42"/>
    </row>
    <row r="64" customFormat="false" ht="34.5" hidden="false" customHeight="true" outlineLevel="0" collapsed="false">
      <c r="A64" s="35" t="s">
        <v>40</v>
      </c>
      <c r="B64" s="35" t="s">
        <v>89</v>
      </c>
      <c r="C64" s="42" t="s">
        <v>345</v>
      </c>
      <c r="D64" s="42" t="s">
        <v>6021</v>
      </c>
      <c r="E64" s="42" t="s">
        <v>6022</v>
      </c>
      <c r="F64" s="35" t="s">
        <v>99</v>
      </c>
      <c r="G64" s="42"/>
      <c r="H64" s="35" t="n">
        <v>240</v>
      </c>
      <c r="I64" s="42"/>
    </row>
    <row r="65" customFormat="false" ht="45.75" hidden="false" customHeight="true" outlineLevel="0" collapsed="false">
      <c r="A65" s="35" t="s">
        <v>40</v>
      </c>
      <c r="B65" s="35" t="s">
        <v>89</v>
      </c>
      <c r="C65" s="42" t="s">
        <v>447</v>
      </c>
      <c r="D65" s="42" t="s">
        <v>6023</v>
      </c>
      <c r="E65" s="42"/>
      <c r="F65" s="35" t="s">
        <v>99</v>
      </c>
      <c r="G65" s="42" t="s">
        <v>4402</v>
      </c>
      <c r="H65" s="35" t="n">
        <v>243</v>
      </c>
      <c r="I65" s="42"/>
    </row>
    <row r="66" customFormat="false" ht="45.75" hidden="false" customHeight="true" outlineLevel="0" collapsed="false">
      <c r="A66" s="35" t="s">
        <v>40</v>
      </c>
      <c r="B66" s="35" t="s">
        <v>89</v>
      </c>
      <c r="C66" s="42" t="s">
        <v>468</v>
      </c>
      <c r="D66" s="42" t="s">
        <v>6024</v>
      </c>
      <c r="E66" s="42" t="s">
        <v>6025</v>
      </c>
      <c r="F66" s="35" t="s">
        <v>99</v>
      </c>
      <c r="G66" s="42"/>
      <c r="H66" s="35" t="n">
        <v>247</v>
      </c>
      <c r="I66" s="42"/>
    </row>
    <row r="67" customFormat="false" ht="45.75" hidden="false" customHeight="true" outlineLevel="0" collapsed="false">
      <c r="A67" s="35" t="s">
        <v>40</v>
      </c>
      <c r="B67" s="35" t="s">
        <v>89</v>
      </c>
      <c r="C67" s="42" t="s">
        <v>468</v>
      </c>
      <c r="D67" s="42" t="s">
        <v>6026</v>
      </c>
      <c r="E67" s="42" t="s">
        <v>6025</v>
      </c>
      <c r="F67" s="35" t="s">
        <v>99</v>
      </c>
      <c r="G67" s="42"/>
      <c r="H67" s="35" t="n">
        <v>248</v>
      </c>
      <c r="I67" s="42"/>
    </row>
    <row r="68" customFormat="false" ht="34.5" hidden="false" customHeight="true" outlineLevel="0" collapsed="false">
      <c r="A68" s="35" t="s">
        <v>40</v>
      </c>
      <c r="B68" s="35" t="s">
        <v>89</v>
      </c>
      <c r="C68" s="42" t="s">
        <v>619</v>
      </c>
      <c r="D68" s="42" t="s">
        <v>6027</v>
      </c>
      <c r="E68" s="42"/>
      <c r="F68" s="35" t="s">
        <v>469</v>
      </c>
      <c r="G68" s="42"/>
      <c r="H68" s="35" t="n">
        <v>256</v>
      </c>
      <c r="I68" s="42"/>
    </row>
    <row r="69" customFormat="false" ht="34.5" hidden="false" customHeight="true" outlineLevel="0" collapsed="false">
      <c r="A69" s="35" t="s">
        <v>40</v>
      </c>
      <c r="B69" s="35" t="s">
        <v>89</v>
      </c>
      <c r="C69" s="42" t="s">
        <v>768</v>
      </c>
      <c r="D69" s="42" t="s">
        <v>6028</v>
      </c>
      <c r="E69" s="42" t="s">
        <v>6029</v>
      </c>
      <c r="F69" s="35" t="s">
        <v>99</v>
      </c>
      <c r="G69" s="42"/>
      <c r="H69" s="35" t="n">
        <v>270</v>
      </c>
      <c r="I69" s="42"/>
    </row>
    <row r="70" customFormat="false" ht="34.5" hidden="false" customHeight="true" outlineLevel="0" collapsed="false">
      <c r="A70" s="35" t="s">
        <v>40</v>
      </c>
      <c r="B70" s="35" t="s">
        <v>5959</v>
      </c>
      <c r="C70" s="42" t="s">
        <v>1449</v>
      </c>
      <c r="D70" s="42" t="s">
        <v>6030</v>
      </c>
      <c r="E70" s="42"/>
      <c r="F70" s="35" t="s">
        <v>99</v>
      </c>
      <c r="G70" s="42" t="s">
        <v>4402</v>
      </c>
      <c r="H70" s="35" t="n">
        <v>348</v>
      </c>
      <c r="I70" s="42"/>
    </row>
    <row r="71" customFormat="false" ht="23.25" hidden="false" customHeight="true" outlineLevel="0" collapsed="false">
      <c r="A71" s="35" t="s">
        <v>40</v>
      </c>
      <c r="B71" s="35" t="s">
        <v>89</v>
      </c>
      <c r="C71" s="42" t="s">
        <v>1648</v>
      </c>
      <c r="D71" s="42" t="s">
        <v>6031</v>
      </c>
      <c r="E71" s="42"/>
      <c r="F71" s="35" t="s">
        <v>99</v>
      </c>
      <c r="G71" s="42" t="s">
        <v>4402</v>
      </c>
      <c r="H71" s="35" t="n">
        <v>357</v>
      </c>
      <c r="I71" s="42"/>
    </row>
    <row r="72" customFormat="false" ht="23.25" hidden="false" customHeight="true" outlineLevel="0" collapsed="false">
      <c r="A72" s="35" t="s">
        <v>40</v>
      </c>
      <c r="B72" s="35" t="s">
        <v>5959</v>
      </c>
      <c r="C72" s="42" t="s">
        <v>3234</v>
      </c>
      <c r="D72" s="42" t="s">
        <v>6032</v>
      </c>
      <c r="E72" s="42"/>
      <c r="F72" s="35" t="s">
        <v>346</v>
      </c>
      <c r="G72" s="42"/>
      <c r="H72" s="35" t="n">
        <v>947</v>
      </c>
      <c r="I72" s="42"/>
    </row>
    <row r="73" customFormat="false" ht="45.75" hidden="false" customHeight="true" outlineLevel="0" collapsed="false">
      <c r="A73" s="35" t="s">
        <v>40</v>
      </c>
      <c r="B73" s="35" t="s">
        <v>89</v>
      </c>
      <c r="C73" s="42" t="s">
        <v>3254</v>
      </c>
      <c r="D73" s="42" t="s">
        <v>6033</v>
      </c>
      <c r="E73" s="42" t="s">
        <v>6010</v>
      </c>
      <c r="F73" s="35" t="s">
        <v>346</v>
      </c>
      <c r="G73" s="42"/>
      <c r="H73" s="35" t="n">
        <v>950</v>
      </c>
      <c r="I73" s="42"/>
    </row>
    <row r="74" customFormat="false" ht="45.75" hidden="false" customHeight="true" outlineLevel="0" collapsed="false">
      <c r="A74" s="35" t="s">
        <v>40</v>
      </c>
      <c r="B74" s="35" t="s">
        <v>89</v>
      </c>
      <c r="C74" s="42" t="s">
        <v>3254</v>
      </c>
      <c r="D74" s="42" t="s">
        <v>6034</v>
      </c>
      <c r="E74" s="42" t="s">
        <v>6010</v>
      </c>
      <c r="F74" s="35" t="s">
        <v>346</v>
      </c>
      <c r="G74" s="42"/>
      <c r="H74" s="35" t="n">
        <v>951</v>
      </c>
      <c r="I74" s="42"/>
    </row>
    <row r="75" customFormat="false" ht="45.75" hidden="false" customHeight="true" outlineLevel="0" collapsed="false">
      <c r="A75" s="35" t="s">
        <v>40</v>
      </c>
      <c r="B75" s="35" t="s">
        <v>89</v>
      </c>
      <c r="C75" s="42" t="s">
        <v>3254</v>
      </c>
      <c r="D75" s="42" t="s">
        <v>6035</v>
      </c>
      <c r="E75" s="42" t="s">
        <v>6010</v>
      </c>
      <c r="F75" s="35" t="s">
        <v>346</v>
      </c>
      <c r="G75" s="42"/>
      <c r="H75" s="35" t="n">
        <v>956</v>
      </c>
      <c r="I75" s="42"/>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3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16"/>
    <col collapsed="false" customWidth="true" hidden="false" outlineLevel="0" max="4" min="4" style="1" width="80"/>
    <col collapsed="false" customWidth="true" hidden="false" outlineLevel="0" max="5" min="5" style="1" width="40"/>
    <col collapsed="false" customWidth="true" hidden="false" outlineLevel="0" max="6" min="6" style="1" width="12"/>
    <col collapsed="false" customWidth="true" hidden="false" outlineLevel="0" max="7" min="7" style="1" width="26"/>
    <col collapsed="false" customWidth="true" hidden="false" outlineLevel="0" max="8" min="8" style="1" width="9"/>
    <col collapsed="false" customWidth="true" hidden="false" outlineLevel="0" max="9" min="9" style="1" width="44"/>
  </cols>
  <sheetData>
    <row r="1" customFormat="false" ht="17.25" hidden="false" customHeight="true" outlineLevel="0" collapsed="false">
      <c r="A1" s="2" t="s">
        <v>6036</v>
      </c>
    </row>
    <row r="2" customFormat="false" ht="15" hidden="false" customHeight="true" outlineLevel="0" collapsed="false">
      <c r="A2" s="3" t="s">
        <v>5950</v>
      </c>
    </row>
    <row r="4" customFormat="false" ht="23.25" hidden="false" customHeight="true" outlineLevel="0" collapsed="false">
      <c r="A4" s="5" t="s">
        <v>32</v>
      </c>
      <c r="B4" s="5" t="s">
        <v>5951</v>
      </c>
      <c r="C4" s="5" t="s">
        <v>5952</v>
      </c>
      <c r="D4" s="5" t="s">
        <v>5953</v>
      </c>
      <c r="E4" s="5" t="s">
        <v>5954</v>
      </c>
      <c r="F4" s="5" t="s">
        <v>5955</v>
      </c>
      <c r="G4" s="5" t="s">
        <v>5956</v>
      </c>
      <c r="H4" s="5" t="s">
        <v>5957</v>
      </c>
      <c r="I4" s="5" t="s">
        <v>5958</v>
      </c>
    </row>
    <row r="5" customFormat="false" ht="15" hidden="false" customHeight="true" outlineLevel="0" collapsed="false">
      <c r="A5" s="44" t="str">
        <f aca="false">"ENROLMENT MODULE: "&amp;COUNTIF($A$6:$A$68,"Enrolment")&amp;" Tender rows"</f>
        <v>ENROLMENT MODULE: 63 Tender rows</v>
      </c>
      <c r="B5" s="44"/>
      <c r="C5" s="44"/>
      <c r="D5" s="44"/>
      <c r="E5" s="44"/>
      <c r="F5" s="44"/>
      <c r="G5" s="44"/>
      <c r="H5" s="44"/>
      <c r="I5" s="44"/>
    </row>
    <row r="6" customFormat="false" ht="45.75" hidden="false" customHeight="true" outlineLevel="0" collapsed="false">
      <c r="A6" s="32" t="s">
        <v>38</v>
      </c>
      <c r="B6" s="32" t="s">
        <v>5959</v>
      </c>
      <c r="C6" s="38" t="s">
        <v>1110</v>
      </c>
      <c r="D6" s="38" t="s">
        <v>6037</v>
      </c>
      <c r="E6" s="38"/>
      <c r="F6" s="32" t="s">
        <v>100</v>
      </c>
      <c r="G6" s="38"/>
      <c r="H6" s="32" t="n">
        <v>322</v>
      </c>
      <c r="I6" s="38"/>
    </row>
    <row r="7" customFormat="false" ht="23.25" hidden="false" customHeight="true" outlineLevel="0" collapsed="false">
      <c r="A7" s="32" t="s">
        <v>38</v>
      </c>
      <c r="B7" s="32" t="s">
        <v>89</v>
      </c>
      <c r="C7" s="38" t="s">
        <v>1498</v>
      </c>
      <c r="D7" s="38" t="s">
        <v>6038</v>
      </c>
      <c r="E7" s="38"/>
      <c r="F7" s="32" t="s">
        <v>100</v>
      </c>
      <c r="G7" s="38"/>
      <c r="H7" s="32" t="n">
        <v>350</v>
      </c>
      <c r="I7" s="38"/>
    </row>
    <row r="8" customFormat="false" ht="23.25" hidden="false" customHeight="true" outlineLevel="0" collapsed="false">
      <c r="A8" s="32" t="s">
        <v>38</v>
      </c>
      <c r="B8" s="32" t="s">
        <v>89</v>
      </c>
      <c r="C8" s="38" t="s">
        <v>1518</v>
      </c>
      <c r="D8" s="38" t="s">
        <v>6039</v>
      </c>
      <c r="E8" s="38"/>
      <c r="F8" s="32" t="s">
        <v>100</v>
      </c>
      <c r="G8" s="38"/>
      <c r="H8" s="32" t="n">
        <v>351</v>
      </c>
      <c r="I8" s="38"/>
    </row>
    <row r="9" customFormat="false" ht="23.25" hidden="false" customHeight="true" outlineLevel="0" collapsed="false">
      <c r="A9" s="32" t="s">
        <v>38</v>
      </c>
      <c r="B9" s="32" t="s">
        <v>89</v>
      </c>
      <c r="C9" s="38" t="s">
        <v>1566</v>
      </c>
      <c r="D9" s="38" t="s">
        <v>6040</v>
      </c>
      <c r="E9" s="38"/>
      <c r="F9" s="32" t="s">
        <v>100</v>
      </c>
      <c r="G9" s="38" t="s">
        <v>4564</v>
      </c>
      <c r="H9" s="32" t="n">
        <v>353</v>
      </c>
      <c r="I9" s="38"/>
    </row>
    <row r="10" customFormat="false" ht="34.5" hidden="false" customHeight="true" outlineLevel="0" collapsed="false">
      <c r="A10" s="32" t="s">
        <v>38</v>
      </c>
      <c r="B10" s="32" t="s">
        <v>89</v>
      </c>
      <c r="C10" s="38" t="s">
        <v>1690</v>
      </c>
      <c r="D10" s="38" t="s">
        <v>6041</v>
      </c>
      <c r="E10" s="38" t="s">
        <v>5991</v>
      </c>
      <c r="F10" s="32" t="s">
        <v>100</v>
      </c>
      <c r="G10" s="38"/>
      <c r="H10" s="32" t="n">
        <v>377</v>
      </c>
      <c r="I10" s="38" t="s">
        <v>5992</v>
      </c>
    </row>
    <row r="11" customFormat="false" ht="34.5" hidden="false" customHeight="true" outlineLevel="0" collapsed="false">
      <c r="A11" s="32" t="s">
        <v>38</v>
      </c>
      <c r="B11" s="32" t="s">
        <v>89</v>
      </c>
      <c r="C11" s="38" t="s">
        <v>1690</v>
      </c>
      <c r="D11" s="38" t="s">
        <v>6042</v>
      </c>
      <c r="E11" s="38" t="s">
        <v>5991</v>
      </c>
      <c r="F11" s="32" t="s">
        <v>100</v>
      </c>
      <c r="G11" s="38"/>
      <c r="H11" s="32" t="n">
        <v>378</v>
      </c>
      <c r="I11" s="38" t="s">
        <v>5992</v>
      </c>
    </row>
    <row r="12" customFormat="false" ht="34.5" hidden="false" customHeight="true" outlineLevel="0" collapsed="false">
      <c r="A12" s="32" t="s">
        <v>38</v>
      </c>
      <c r="B12" s="32" t="s">
        <v>89</v>
      </c>
      <c r="C12" s="38" t="s">
        <v>1709</v>
      </c>
      <c r="D12" s="38" t="s">
        <v>6043</v>
      </c>
      <c r="E12" s="38"/>
      <c r="F12" s="32" t="s">
        <v>100</v>
      </c>
      <c r="G12" s="38" t="s">
        <v>4472</v>
      </c>
      <c r="H12" s="32" t="n">
        <v>379</v>
      </c>
      <c r="I12" s="38"/>
    </row>
    <row r="13" customFormat="false" ht="34.5" hidden="false" customHeight="true" outlineLevel="0" collapsed="false">
      <c r="A13" s="32" t="s">
        <v>38</v>
      </c>
      <c r="B13" s="32" t="s">
        <v>89</v>
      </c>
      <c r="C13" s="38" t="s">
        <v>1731</v>
      </c>
      <c r="D13" s="38" t="s">
        <v>6044</v>
      </c>
      <c r="E13" s="38" t="s">
        <v>6045</v>
      </c>
      <c r="F13" s="32" t="s">
        <v>100</v>
      </c>
      <c r="G13" s="38"/>
      <c r="H13" s="32" t="n">
        <v>382</v>
      </c>
      <c r="I13" s="38"/>
    </row>
    <row r="14" customFormat="false" ht="34.5" hidden="false" customHeight="true" outlineLevel="0" collapsed="false">
      <c r="A14" s="32" t="s">
        <v>38</v>
      </c>
      <c r="B14" s="32" t="s">
        <v>89</v>
      </c>
      <c r="C14" s="38" t="s">
        <v>1731</v>
      </c>
      <c r="D14" s="38" t="s">
        <v>6046</v>
      </c>
      <c r="E14" s="38" t="s">
        <v>6045</v>
      </c>
      <c r="F14" s="32" t="s">
        <v>100</v>
      </c>
      <c r="G14" s="38"/>
      <c r="H14" s="32" t="n">
        <v>383</v>
      </c>
      <c r="I14" s="38"/>
    </row>
    <row r="15" customFormat="false" ht="34.5" hidden="false" customHeight="true" outlineLevel="0" collapsed="false">
      <c r="A15" s="32" t="s">
        <v>38</v>
      </c>
      <c r="B15" s="32" t="s">
        <v>89</v>
      </c>
      <c r="C15" s="38" t="s">
        <v>1731</v>
      </c>
      <c r="D15" s="38" t="s">
        <v>6047</v>
      </c>
      <c r="E15" s="38" t="s">
        <v>6045</v>
      </c>
      <c r="F15" s="32" t="s">
        <v>100</v>
      </c>
      <c r="G15" s="38"/>
      <c r="H15" s="32" t="n">
        <v>384</v>
      </c>
      <c r="I15" s="38"/>
    </row>
    <row r="16" customFormat="false" ht="34.5" hidden="false" customHeight="true" outlineLevel="0" collapsed="false">
      <c r="A16" s="32" t="s">
        <v>38</v>
      </c>
      <c r="B16" s="32" t="s">
        <v>89</v>
      </c>
      <c r="C16" s="38" t="s">
        <v>1731</v>
      </c>
      <c r="D16" s="38" t="s">
        <v>6048</v>
      </c>
      <c r="E16" s="38" t="s">
        <v>6045</v>
      </c>
      <c r="F16" s="32" t="s">
        <v>100</v>
      </c>
      <c r="G16" s="38"/>
      <c r="H16" s="32" t="n">
        <v>385</v>
      </c>
      <c r="I16" s="38"/>
    </row>
    <row r="17" customFormat="false" ht="34.5" hidden="false" customHeight="true" outlineLevel="0" collapsed="false">
      <c r="A17" s="32" t="s">
        <v>38</v>
      </c>
      <c r="B17" s="32" t="s">
        <v>89</v>
      </c>
      <c r="C17" s="38" t="s">
        <v>1731</v>
      </c>
      <c r="D17" s="38" t="s">
        <v>6049</v>
      </c>
      <c r="E17" s="38" t="s">
        <v>6045</v>
      </c>
      <c r="F17" s="32" t="s">
        <v>100</v>
      </c>
      <c r="G17" s="38"/>
      <c r="H17" s="32" t="n">
        <v>386</v>
      </c>
      <c r="I17" s="38"/>
    </row>
    <row r="18" customFormat="false" ht="34.5" hidden="false" customHeight="true" outlineLevel="0" collapsed="false">
      <c r="A18" s="32" t="s">
        <v>38</v>
      </c>
      <c r="B18" s="32" t="s">
        <v>89</v>
      </c>
      <c r="C18" s="38" t="s">
        <v>1731</v>
      </c>
      <c r="D18" s="38" t="s">
        <v>6050</v>
      </c>
      <c r="E18" s="38" t="s">
        <v>6045</v>
      </c>
      <c r="F18" s="32" t="s">
        <v>100</v>
      </c>
      <c r="G18" s="38"/>
      <c r="H18" s="32" t="n">
        <v>387</v>
      </c>
      <c r="I18" s="38"/>
    </row>
    <row r="19" customFormat="false" ht="34.5" hidden="false" customHeight="true" outlineLevel="0" collapsed="false">
      <c r="A19" s="32" t="s">
        <v>38</v>
      </c>
      <c r="B19" s="32" t="s">
        <v>89</v>
      </c>
      <c r="C19" s="38" t="s">
        <v>1731</v>
      </c>
      <c r="D19" s="38" t="s">
        <v>6051</v>
      </c>
      <c r="E19" s="38" t="s">
        <v>6045</v>
      </c>
      <c r="F19" s="32" t="s">
        <v>100</v>
      </c>
      <c r="G19" s="38"/>
      <c r="H19" s="32" t="n">
        <v>388</v>
      </c>
      <c r="I19" s="38"/>
    </row>
    <row r="20" customFormat="false" ht="34.5" hidden="false" customHeight="true" outlineLevel="0" collapsed="false">
      <c r="A20" s="32" t="s">
        <v>38</v>
      </c>
      <c r="B20" s="32" t="s">
        <v>89</v>
      </c>
      <c r="C20" s="38" t="s">
        <v>1731</v>
      </c>
      <c r="D20" s="38" t="s">
        <v>6052</v>
      </c>
      <c r="E20" s="38" t="s">
        <v>6045</v>
      </c>
      <c r="F20" s="32" t="s">
        <v>100</v>
      </c>
      <c r="G20" s="38"/>
      <c r="H20" s="32" t="n">
        <v>389</v>
      </c>
      <c r="I20" s="38"/>
    </row>
    <row r="21" customFormat="false" ht="34.5" hidden="false" customHeight="true" outlineLevel="0" collapsed="false">
      <c r="A21" s="32" t="s">
        <v>38</v>
      </c>
      <c r="B21" s="32" t="s">
        <v>89</v>
      </c>
      <c r="C21" s="38" t="s">
        <v>1731</v>
      </c>
      <c r="D21" s="38" t="s">
        <v>6053</v>
      </c>
      <c r="E21" s="38" t="s">
        <v>6045</v>
      </c>
      <c r="F21" s="32" t="s">
        <v>100</v>
      </c>
      <c r="G21" s="38"/>
      <c r="H21" s="32" t="n">
        <v>390</v>
      </c>
      <c r="I21" s="38"/>
    </row>
    <row r="22" customFormat="false" ht="34.5" hidden="false" customHeight="true" outlineLevel="0" collapsed="false">
      <c r="A22" s="32" t="s">
        <v>38</v>
      </c>
      <c r="B22" s="32" t="s">
        <v>89</v>
      </c>
      <c r="C22" s="38" t="s">
        <v>1731</v>
      </c>
      <c r="D22" s="38" t="s">
        <v>5990</v>
      </c>
      <c r="E22" s="38" t="s">
        <v>6045</v>
      </c>
      <c r="F22" s="32" t="s">
        <v>100</v>
      </c>
      <c r="G22" s="38"/>
      <c r="H22" s="32" t="n">
        <v>392</v>
      </c>
      <c r="I22" s="38"/>
    </row>
    <row r="23" customFormat="false" ht="34.5" hidden="false" customHeight="true" outlineLevel="0" collapsed="false">
      <c r="A23" s="32" t="s">
        <v>38</v>
      </c>
      <c r="B23" s="32" t="s">
        <v>89</v>
      </c>
      <c r="C23" s="38" t="s">
        <v>1731</v>
      </c>
      <c r="D23" s="38" t="s">
        <v>5993</v>
      </c>
      <c r="E23" s="38" t="s">
        <v>6045</v>
      </c>
      <c r="F23" s="32" t="s">
        <v>100</v>
      </c>
      <c r="G23" s="38"/>
      <c r="H23" s="32" t="n">
        <v>393</v>
      </c>
      <c r="I23" s="38"/>
    </row>
    <row r="24" customFormat="false" ht="34.5" hidden="false" customHeight="true" outlineLevel="0" collapsed="false">
      <c r="A24" s="32" t="s">
        <v>38</v>
      </c>
      <c r="B24" s="32" t="s">
        <v>89</v>
      </c>
      <c r="C24" s="38" t="s">
        <v>1731</v>
      </c>
      <c r="D24" s="38" t="s">
        <v>5994</v>
      </c>
      <c r="E24" s="38" t="s">
        <v>6045</v>
      </c>
      <c r="F24" s="32" t="s">
        <v>100</v>
      </c>
      <c r="G24" s="38"/>
      <c r="H24" s="32" t="n">
        <v>394</v>
      </c>
      <c r="I24" s="38"/>
    </row>
    <row r="25" customFormat="false" ht="34.5" hidden="false" customHeight="true" outlineLevel="0" collapsed="false">
      <c r="A25" s="32" t="s">
        <v>38</v>
      </c>
      <c r="B25" s="32" t="s">
        <v>89</v>
      </c>
      <c r="C25" s="38" t="s">
        <v>1731</v>
      </c>
      <c r="D25" s="38" t="s">
        <v>5995</v>
      </c>
      <c r="E25" s="38" t="s">
        <v>6045</v>
      </c>
      <c r="F25" s="32" t="s">
        <v>100</v>
      </c>
      <c r="G25" s="38"/>
      <c r="H25" s="32" t="n">
        <v>395</v>
      </c>
      <c r="I25" s="38"/>
    </row>
    <row r="26" customFormat="false" ht="34.5" hidden="false" customHeight="true" outlineLevel="0" collapsed="false">
      <c r="A26" s="32" t="s">
        <v>38</v>
      </c>
      <c r="B26" s="32" t="s">
        <v>89</v>
      </c>
      <c r="C26" s="38" t="s">
        <v>1731</v>
      </c>
      <c r="D26" s="38" t="s">
        <v>5996</v>
      </c>
      <c r="E26" s="38" t="s">
        <v>6045</v>
      </c>
      <c r="F26" s="32" t="s">
        <v>100</v>
      </c>
      <c r="G26" s="38"/>
      <c r="H26" s="32" t="n">
        <v>396</v>
      </c>
      <c r="I26" s="38"/>
    </row>
    <row r="27" customFormat="false" ht="34.5" hidden="false" customHeight="true" outlineLevel="0" collapsed="false">
      <c r="A27" s="32" t="s">
        <v>38</v>
      </c>
      <c r="B27" s="32" t="s">
        <v>89</v>
      </c>
      <c r="C27" s="38" t="s">
        <v>1731</v>
      </c>
      <c r="D27" s="38" t="s">
        <v>5997</v>
      </c>
      <c r="E27" s="38" t="s">
        <v>6045</v>
      </c>
      <c r="F27" s="32" t="s">
        <v>100</v>
      </c>
      <c r="G27" s="38"/>
      <c r="H27" s="32" t="n">
        <v>397</v>
      </c>
      <c r="I27" s="38"/>
    </row>
    <row r="28" customFormat="false" ht="34.5" hidden="false" customHeight="true" outlineLevel="0" collapsed="false">
      <c r="A28" s="32" t="s">
        <v>38</v>
      </c>
      <c r="B28" s="32" t="s">
        <v>89</v>
      </c>
      <c r="C28" s="38" t="s">
        <v>1731</v>
      </c>
      <c r="D28" s="38" t="s">
        <v>5998</v>
      </c>
      <c r="E28" s="38" t="s">
        <v>6045</v>
      </c>
      <c r="F28" s="32" t="s">
        <v>100</v>
      </c>
      <c r="G28" s="38"/>
      <c r="H28" s="32" t="n">
        <v>398</v>
      </c>
      <c r="I28" s="38"/>
    </row>
    <row r="29" customFormat="false" ht="34.5" hidden="false" customHeight="true" outlineLevel="0" collapsed="false">
      <c r="A29" s="32" t="s">
        <v>38</v>
      </c>
      <c r="B29" s="32" t="s">
        <v>89</v>
      </c>
      <c r="C29" s="38" t="s">
        <v>1731</v>
      </c>
      <c r="D29" s="38" t="s">
        <v>5999</v>
      </c>
      <c r="E29" s="38" t="s">
        <v>6045</v>
      </c>
      <c r="F29" s="32" t="s">
        <v>100</v>
      </c>
      <c r="G29" s="38"/>
      <c r="H29" s="32" t="n">
        <v>399</v>
      </c>
      <c r="I29" s="38"/>
    </row>
    <row r="30" customFormat="false" ht="34.5" hidden="false" customHeight="true" outlineLevel="0" collapsed="false">
      <c r="A30" s="32" t="s">
        <v>38</v>
      </c>
      <c r="B30" s="32" t="s">
        <v>89</v>
      </c>
      <c r="C30" s="38" t="s">
        <v>1731</v>
      </c>
      <c r="D30" s="38" t="s">
        <v>6000</v>
      </c>
      <c r="E30" s="38" t="s">
        <v>6045</v>
      </c>
      <c r="F30" s="32" t="s">
        <v>100</v>
      </c>
      <c r="G30" s="38"/>
      <c r="H30" s="32" t="n">
        <v>400</v>
      </c>
      <c r="I30" s="38"/>
    </row>
    <row r="31" customFormat="false" ht="34.5" hidden="false" customHeight="true" outlineLevel="0" collapsed="false">
      <c r="A31" s="32" t="s">
        <v>38</v>
      </c>
      <c r="B31" s="32" t="s">
        <v>89</v>
      </c>
      <c r="C31" s="38" t="s">
        <v>1731</v>
      </c>
      <c r="D31" s="38" t="s">
        <v>6001</v>
      </c>
      <c r="E31" s="38" t="s">
        <v>6045</v>
      </c>
      <c r="F31" s="32" t="s">
        <v>100</v>
      </c>
      <c r="G31" s="38"/>
      <c r="H31" s="32" t="n">
        <v>401</v>
      </c>
      <c r="I31" s="38"/>
    </row>
    <row r="32" customFormat="false" ht="34.5" hidden="false" customHeight="true" outlineLevel="0" collapsed="false">
      <c r="A32" s="32" t="s">
        <v>38</v>
      </c>
      <c r="B32" s="32" t="s">
        <v>89</v>
      </c>
      <c r="C32" s="38" t="s">
        <v>1731</v>
      </c>
      <c r="D32" s="38" t="s">
        <v>6002</v>
      </c>
      <c r="E32" s="38" t="s">
        <v>6045</v>
      </c>
      <c r="F32" s="32" t="s">
        <v>100</v>
      </c>
      <c r="G32" s="38"/>
      <c r="H32" s="32" t="n">
        <v>402</v>
      </c>
      <c r="I32" s="38"/>
    </row>
    <row r="33" customFormat="false" ht="34.5" hidden="false" customHeight="true" outlineLevel="0" collapsed="false">
      <c r="A33" s="32" t="s">
        <v>38</v>
      </c>
      <c r="B33" s="32" t="s">
        <v>89</v>
      </c>
      <c r="C33" s="38" t="s">
        <v>1731</v>
      </c>
      <c r="D33" s="38" t="s">
        <v>6054</v>
      </c>
      <c r="E33" s="38" t="s">
        <v>6045</v>
      </c>
      <c r="F33" s="32" t="s">
        <v>100</v>
      </c>
      <c r="G33" s="38"/>
      <c r="H33" s="32" t="n">
        <v>403</v>
      </c>
      <c r="I33" s="38"/>
    </row>
    <row r="34" customFormat="false" ht="34.5" hidden="false" customHeight="true" outlineLevel="0" collapsed="false">
      <c r="A34" s="32" t="s">
        <v>38</v>
      </c>
      <c r="B34" s="32" t="s">
        <v>89</v>
      </c>
      <c r="C34" s="38" t="s">
        <v>1731</v>
      </c>
      <c r="D34" s="38" t="s">
        <v>6055</v>
      </c>
      <c r="E34" s="38" t="s">
        <v>6045</v>
      </c>
      <c r="F34" s="32" t="s">
        <v>100</v>
      </c>
      <c r="G34" s="38"/>
      <c r="H34" s="32" t="n">
        <v>404</v>
      </c>
      <c r="I34" s="38"/>
    </row>
    <row r="35" customFormat="false" ht="34.5" hidden="false" customHeight="true" outlineLevel="0" collapsed="false">
      <c r="A35" s="32" t="s">
        <v>38</v>
      </c>
      <c r="B35" s="32" t="s">
        <v>89</v>
      </c>
      <c r="C35" s="38" t="s">
        <v>1731</v>
      </c>
      <c r="D35" s="38" t="s">
        <v>6042</v>
      </c>
      <c r="E35" s="38" t="s">
        <v>6045</v>
      </c>
      <c r="F35" s="32" t="s">
        <v>100</v>
      </c>
      <c r="G35" s="38"/>
      <c r="H35" s="32" t="n">
        <v>405</v>
      </c>
      <c r="I35" s="38"/>
    </row>
    <row r="36" customFormat="false" ht="23.25" hidden="false" customHeight="true" outlineLevel="0" collapsed="false">
      <c r="A36" s="32" t="s">
        <v>38</v>
      </c>
      <c r="B36" s="32" t="s">
        <v>89</v>
      </c>
      <c r="C36" s="38" t="s">
        <v>1744</v>
      </c>
      <c r="D36" s="38" t="s">
        <v>6056</v>
      </c>
      <c r="E36" s="38"/>
      <c r="F36" s="32" t="s">
        <v>100</v>
      </c>
      <c r="G36" s="38"/>
      <c r="H36" s="32" t="n">
        <v>406</v>
      </c>
      <c r="I36" s="38"/>
    </row>
    <row r="37" customFormat="false" ht="34.5" hidden="false" customHeight="true" outlineLevel="0" collapsed="false">
      <c r="A37" s="32" t="s">
        <v>38</v>
      </c>
      <c r="B37" s="32" t="s">
        <v>89</v>
      </c>
      <c r="C37" s="38" t="s">
        <v>1744</v>
      </c>
      <c r="D37" s="38" t="s">
        <v>6057</v>
      </c>
      <c r="E37" s="38" t="s">
        <v>6056</v>
      </c>
      <c r="F37" s="32" t="s">
        <v>100</v>
      </c>
      <c r="G37" s="38"/>
      <c r="H37" s="32" t="n">
        <v>407</v>
      </c>
      <c r="I37" s="38"/>
    </row>
    <row r="38" customFormat="false" ht="23.25" hidden="false" customHeight="true" outlineLevel="0" collapsed="false">
      <c r="A38" s="32" t="s">
        <v>38</v>
      </c>
      <c r="B38" s="32" t="s">
        <v>89</v>
      </c>
      <c r="C38" s="38" t="s">
        <v>1764</v>
      </c>
      <c r="D38" s="38" t="s">
        <v>6058</v>
      </c>
      <c r="E38" s="38"/>
      <c r="F38" s="32" t="s">
        <v>100</v>
      </c>
      <c r="G38" s="38"/>
      <c r="H38" s="32" t="n">
        <v>408</v>
      </c>
      <c r="I38" s="38"/>
    </row>
    <row r="39" customFormat="false" ht="23.25" hidden="false" customHeight="true" outlineLevel="0" collapsed="false">
      <c r="A39" s="32" t="s">
        <v>38</v>
      </c>
      <c r="B39" s="32" t="s">
        <v>89</v>
      </c>
      <c r="C39" s="38" t="s">
        <v>1784</v>
      </c>
      <c r="D39" s="38" t="s">
        <v>6059</v>
      </c>
      <c r="E39" s="38"/>
      <c r="F39" s="32" t="s">
        <v>100</v>
      </c>
      <c r="G39" s="38"/>
      <c r="H39" s="32" t="n">
        <v>409</v>
      </c>
      <c r="I39" s="38"/>
    </row>
    <row r="40" customFormat="false" ht="34.5" hidden="false" customHeight="true" outlineLevel="0" collapsed="false">
      <c r="A40" s="32" t="s">
        <v>38</v>
      </c>
      <c r="B40" s="32" t="s">
        <v>89</v>
      </c>
      <c r="C40" s="38" t="s">
        <v>1796</v>
      </c>
      <c r="D40" s="38" t="s">
        <v>6060</v>
      </c>
      <c r="E40" s="38"/>
      <c r="F40" s="32" t="s">
        <v>100</v>
      </c>
      <c r="G40" s="38"/>
      <c r="H40" s="32" t="n">
        <v>410</v>
      </c>
      <c r="I40" s="38"/>
    </row>
    <row r="41" customFormat="false" ht="23.25" hidden="false" customHeight="true" outlineLevel="0" collapsed="false">
      <c r="A41" s="32" t="s">
        <v>38</v>
      </c>
      <c r="B41" s="32" t="s">
        <v>89</v>
      </c>
      <c r="C41" s="38" t="s">
        <v>1809</v>
      </c>
      <c r="D41" s="38" t="s">
        <v>6061</v>
      </c>
      <c r="E41" s="38"/>
      <c r="F41" s="32" t="s">
        <v>100</v>
      </c>
      <c r="G41" s="38"/>
      <c r="H41" s="32" t="n">
        <v>411</v>
      </c>
      <c r="I41" s="38"/>
    </row>
    <row r="42" customFormat="false" ht="15" hidden="false" customHeight="true" outlineLevel="0" collapsed="false">
      <c r="A42" s="32" t="s">
        <v>38</v>
      </c>
      <c r="B42" s="32" t="s">
        <v>89</v>
      </c>
      <c r="C42" s="38" t="s">
        <v>1821</v>
      </c>
      <c r="D42" s="38" t="s">
        <v>5987</v>
      </c>
      <c r="E42" s="38"/>
      <c r="F42" s="32" t="s">
        <v>100</v>
      </c>
      <c r="G42" s="38"/>
      <c r="H42" s="32" t="n">
        <v>412</v>
      </c>
      <c r="I42" s="38"/>
    </row>
    <row r="43" customFormat="false" ht="23.25" hidden="false" customHeight="true" outlineLevel="0" collapsed="false">
      <c r="A43" s="32" t="s">
        <v>38</v>
      </c>
      <c r="B43" s="32" t="s">
        <v>89</v>
      </c>
      <c r="C43" s="38" t="s">
        <v>1833</v>
      </c>
      <c r="D43" s="38" t="s">
        <v>5988</v>
      </c>
      <c r="E43" s="38"/>
      <c r="F43" s="32" t="s">
        <v>100</v>
      </c>
      <c r="G43" s="38"/>
      <c r="H43" s="32" t="n">
        <v>413</v>
      </c>
      <c r="I43" s="38"/>
    </row>
    <row r="44" customFormat="false" ht="23.25" hidden="false" customHeight="true" outlineLevel="0" collapsed="false">
      <c r="A44" s="32" t="s">
        <v>38</v>
      </c>
      <c r="B44" s="32" t="s">
        <v>89</v>
      </c>
      <c r="C44" s="38" t="s">
        <v>1845</v>
      </c>
      <c r="D44" s="38" t="s">
        <v>6038</v>
      </c>
      <c r="E44" s="38"/>
      <c r="F44" s="32" t="s">
        <v>100</v>
      </c>
      <c r="G44" s="38"/>
      <c r="H44" s="32" t="n">
        <v>414</v>
      </c>
      <c r="I44" s="38"/>
    </row>
    <row r="45" customFormat="false" ht="23.25" hidden="false" customHeight="true" outlineLevel="0" collapsed="false">
      <c r="A45" s="32" t="s">
        <v>38</v>
      </c>
      <c r="B45" s="32" t="s">
        <v>89</v>
      </c>
      <c r="C45" s="38" t="s">
        <v>1857</v>
      </c>
      <c r="D45" s="38" t="s">
        <v>6062</v>
      </c>
      <c r="E45" s="38"/>
      <c r="F45" s="32" t="s">
        <v>100</v>
      </c>
      <c r="G45" s="38"/>
      <c r="H45" s="32" t="n">
        <v>415</v>
      </c>
      <c r="I45" s="38"/>
    </row>
    <row r="46" customFormat="false" ht="23.25" hidden="false" customHeight="true" outlineLevel="0" collapsed="false">
      <c r="A46" s="32" t="s">
        <v>38</v>
      </c>
      <c r="B46" s="32" t="s">
        <v>89</v>
      </c>
      <c r="C46" s="38" t="s">
        <v>1867</v>
      </c>
      <c r="D46" s="38" t="s">
        <v>6063</v>
      </c>
      <c r="E46" s="38"/>
      <c r="F46" s="32" t="s">
        <v>100</v>
      </c>
      <c r="G46" s="38"/>
      <c r="H46" s="32" t="n">
        <v>416</v>
      </c>
      <c r="I46" s="38"/>
    </row>
    <row r="47" customFormat="false" ht="23.25" hidden="false" customHeight="true" outlineLevel="0" collapsed="false">
      <c r="A47" s="32" t="s">
        <v>38</v>
      </c>
      <c r="B47" s="32" t="s">
        <v>89</v>
      </c>
      <c r="C47" s="38" t="s">
        <v>1900</v>
      </c>
      <c r="D47" s="38" t="s">
        <v>6064</v>
      </c>
      <c r="E47" s="38"/>
      <c r="F47" s="32" t="s">
        <v>100</v>
      </c>
      <c r="G47" s="38"/>
      <c r="H47" s="32" t="n">
        <v>418</v>
      </c>
      <c r="I47" s="38"/>
    </row>
    <row r="48" customFormat="false" ht="34.5" hidden="false" customHeight="true" outlineLevel="0" collapsed="false">
      <c r="A48" s="32" t="s">
        <v>38</v>
      </c>
      <c r="B48" s="32" t="s">
        <v>5959</v>
      </c>
      <c r="C48" s="38" t="s">
        <v>1910</v>
      </c>
      <c r="D48" s="38" t="s">
        <v>6065</v>
      </c>
      <c r="E48" s="38"/>
      <c r="F48" s="32" t="s">
        <v>100</v>
      </c>
      <c r="G48" s="38"/>
      <c r="H48" s="32" t="n">
        <v>420</v>
      </c>
      <c r="I48" s="38"/>
    </row>
    <row r="49" customFormat="false" ht="23.25" hidden="false" customHeight="true" outlineLevel="0" collapsed="false">
      <c r="A49" s="32" t="s">
        <v>38</v>
      </c>
      <c r="B49" s="32" t="s">
        <v>5959</v>
      </c>
      <c r="C49" s="38" t="s">
        <v>1924</v>
      </c>
      <c r="D49" s="38" t="s">
        <v>6066</v>
      </c>
      <c r="E49" s="38"/>
      <c r="F49" s="32" t="s">
        <v>100</v>
      </c>
      <c r="G49" s="38"/>
      <c r="H49" s="32" t="n">
        <v>421</v>
      </c>
      <c r="I49" s="38"/>
    </row>
    <row r="50" customFormat="false" ht="23.25" hidden="false" customHeight="true" outlineLevel="0" collapsed="false">
      <c r="A50" s="32" t="s">
        <v>38</v>
      </c>
      <c r="B50" s="32" t="s">
        <v>5959</v>
      </c>
      <c r="C50" s="38" t="s">
        <v>1938</v>
      </c>
      <c r="D50" s="38" t="s">
        <v>6067</v>
      </c>
      <c r="E50" s="38"/>
      <c r="F50" s="32" t="s">
        <v>100</v>
      </c>
      <c r="G50" s="38"/>
      <c r="H50" s="32" t="n">
        <v>422</v>
      </c>
      <c r="I50" s="38"/>
    </row>
    <row r="51" customFormat="false" ht="45.75" hidden="false" customHeight="true" outlineLevel="0" collapsed="false">
      <c r="A51" s="32" t="s">
        <v>38</v>
      </c>
      <c r="B51" s="32" t="s">
        <v>5959</v>
      </c>
      <c r="C51" s="38" t="s">
        <v>1938</v>
      </c>
      <c r="D51" s="38" t="s">
        <v>6068</v>
      </c>
      <c r="E51" s="38" t="s">
        <v>6069</v>
      </c>
      <c r="F51" s="32" t="s">
        <v>100</v>
      </c>
      <c r="G51" s="38"/>
      <c r="H51" s="32" t="n">
        <v>423</v>
      </c>
      <c r="I51" s="38"/>
    </row>
    <row r="52" customFormat="false" ht="23.25" hidden="false" customHeight="true" outlineLevel="0" collapsed="false">
      <c r="A52" s="32" t="s">
        <v>38</v>
      </c>
      <c r="B52" s="32" t="s">
        <v>89</v>
      </c>
      <c r="C52" s="38" t="s">
        <v>1950</v>
      </c>
      <c r="D52" s="38" t="s">
        <v>6070</v>
      </c>
      <c r="E52" s="38"/>
      <c r="F52" s="32" t="s">
        <v>100</v>
      </c>
      <c r="G52" s="38" t="s">
        <v>4529</v>
      </c>
      <c r="H52" s="32" t="n">
        <v>425</v>
      </c>
      <c r="I52" s="38"/>
    </row>
    <row r="53" customFormat="false" ht="23.25" hidden="false" customHeight="true" outlineLevel="0" collapsed="false">
      <c r="A53" s="32" t="s">
        <v>38</v>
      </c>
      <c r="B53" s="32" t="s">
        <v>89</v>
      </c>
      <c r="C53" s="38" t="s">
        <v>1972</v>
      </c>
      <c r="D53" s="38" t="s">
        <v>6071</v>
      </c>
      <c r="E53" s="38"/>
      <c r="F53" s="32" t="s">
        <v>100</v>
      </c>
      <c r="G53" s="38"/>
      <c r="H53" s="32" t="n">
        <v>426</v>
      </c>
      <c r="I53" s="38"/>
    </row>
    <row r="54" customFormat="false" ht="23.25" hidden="false" customHeight="true" outlineLevel="0" collapsed="false">
      <c r="A54" s="32" t="s">
        <v>38</v>
      </c>
      <c r="B54" s="32" t="s">
        <v>89</v>
      </c>
      <c r="C54" s="38" t="s">
        <v>1986</v>
      </c>
      <c r="D54" s="38" t="s">
        <v>6072</v>
      </c>
      <c r="E54" s="38"/>
      <c r="F54" s="32" t="s">
        <v>100</v>
      </c>
      <c r="G54" s="38" t="s">
        <v>4529</v>
      </c>
      <c r="H54" s="32" t="n">
        <v>427</v>
      </c>
      <c r="I54" s="38"/>
    </row>
    <row r="55" customFormat="false" ht="23.25" hidden="false" customHeight="true" outlineLevel="0" collapsed="false">
      <c r="A55" s="32" t="s">
        <v>38</v>
      </c>
      <c r="B55" s="32" t="s">
        <v>89</v>
      </c>
      <c r="C55" s="38" t="s">
        <v>2013</v>
      </c>
      <c r="D55" s="38" t="s">
        <v>6073</v>
      </c>
      <c r="E55" s="38"/>
      <c r="F55" s="32" t="s">
        <v>100</v>
      </c>
      <c r="G55" s="38"/>
      <c r="H55" s="32" t="n">
        <v>428</v>
      </c>
      <c r="I55" s="38"/>
    </row>
    <row r="56" customFormat="false" ht="23.25" hidden="false" customHeight="true" outlineLevel="0" collapsed="false">
      <c r="A56" s="32" t="s">
        <v>38</v>
      </c>
      <c r="B56" s="32" t="s">
        <v>89</v>
      </c>
      <c r="C56" s="38" t="s">
        <v>2027</v>
      </c>
      <c r="D56" s="38" t="s">
        <v>6074</v>
      </c>
      <c r="E56" s="38"/>
      <c r="F56" s="32" t="s">
        <v>100</v>
      </c>
      <c r="G56" s="38" t="s">
        <v>4472</v>
      </c>
      <c r="H56" s="32" t="n">
        <v>429</v>
      </c>
      <c r="I56" s="38"/>
    </row>
    <row r="57" customFormat="false" ht="34.5" hidden="false" customHeight="true" outlineLevel="0" collapsed="false">
      <c r="A57" s="32" t="s">
        <v>38</v>
      </c>
      <c r="B57" s="32" t="s">
        <v>89</v>
      </c>
      <c r="C57" s="38" t="s">
        <v>2027</v>
      </c>
      <c r="D57" s="38" t="s">
        <v>6075</v>
      </c>
      <c r="E57" s="38" t="s">
        <v>6074</v>
      </c>
      <c r="F57" s="32" t="s">
        <v>100</v>
      </c>
      <c r="G57" s="38" t="s">
        <v>4472</v>
      </c>
      <c r="H57" s="32" t="n">
        <v>430</v>
      </c>
      <c r="I57" s="38"/>
    </row>
    <row r="58" customFormat="false" ht="34.5" hidden="false" customHeight="true" outlineLevel="0" collapsed="false">
      <c r="A58" s="32" t="s">
        <v>38</v>
      </c>
      <c r="B58" s="32" t="s">
        <v>89</v>
      </c>
      <c r="C58" s="38" t="s">
        <v>2027</v>
      </c>
      <c r="D58" s="38" t="s">
        <v>6076</v>
      </c>
      <c r="E58" s="38" t="s">
        <v>6074</v>
      </c>
      <c r="F58" s="32" t="s">
        <v>100</v>
      </c>
      <c r="G58" s="38" t="s">
        <v>4472</v>
      </c>
      <c r="H58" s="32" t="n">
        <v>431</v>
      </c>
      <c r="I58" s="38"/>
    </row>
    <row r="59" customFormat="false" ht="34.5" hidden="false" customHeight="true" outlineLevel="0" collapsed="false">
      <c r="A59" s="32" t="s">
        <v>38</v>
      </c>
      <c r="B59" s="32" t="s">
        <v>89</v>
      </c>
      <c r="C59" s="38" t="s">
        <v>2027</v>
      </c>
      <c r="D59" s="38" t="s">
        <v>6077</v>
      </c>
      <c r="E59" s="38" t="s">
        <v>6074</v>
      </c>
      <c r="F59" s="32" t="s">
        <v>100</v>
      </c>
      <c r="G59" s="38" t="s">
        <v>4472</v>
      </c>
      <c r="H59" s="32" t="n">
        <v>432</v>
      </c>
      <c r="I59" s="38"/>
    </row>
    <row r="60" customFormat="false" ht="34.5" hidden="false" customHeight="true" outlineLevel="0" collapsed="false">
      <c r="A60" s="32" t="s">
        <v>38</v>
      </c>
      <c r="B60" s="32" t="s">
        <v>89</v>
      </c>
      <c r="C60" s="38" t="s">
        <v>2027</v>
      </c>
      <c r="D60" s="38" t="s">
        <v>6078</v>
      </c>
      <c r="E60" s="38" t="s">
        <v>6074</v>
      </c>
      <c r="F60" s="32" t="s">
        <v>100</v>
      </c>
      <c r="G60" s="38" t="s">
        <v>4472</v>
      </c>
      <c r="H60" s="32" t="n">
        <v>433</v>
      </c>
      <c r="I60" s="38"/>
    </row>
    <row r="61" customFormat="false" ht="23.25" hidden="false" customHeight="true" outlineLevel="0" collapsed="false">
      <c r="A61" s="32" t="s">
        <v>38</v>
      </c>
      <c r="B61" s="32" t="s">
        <v>89</v>
      </c>
      <c r="C61" s="38" t="s">
        <v>2065</v>
      </c>
      <c r="D61" s="38" t="s">
        <v>6079</v>
      </c>
      <c r="E61" s="38"/>
      <c r="F61" s="32" t="s">
        <v>100</v>
      </c>
      <c r="G61" s="38"/>
      <c r="H61" s="32" t="n">
        <v>434</v>
      </c>
      <c r="I61" s="38"/>
    </row>
    <row r="62" customFormat="false" ht="23.25" hidden="false" customHeight="true" outlineLevel="0" collapsed="false">
      <c r="A62" s="32" t="s">
        <v>38</v>
      </c>
      <c r="B62" s="32" t="s">
        <v>89</v>
      </c>
      <c r="C62" s="38" t="s">
        <v>2086</v>
      </c>
      <c r="D62" s="38" t="s">
        <v>6080</v>
      </c>
      <c r="E62" s="38"/>
      <c r="F62" s="32" t="s">
        <v>100</v>
      </c>
      <c r="G62" s="38" t="s">
        <v>4529</v>
      </c>
      <c r="H62" s="32" t="n">
        <v>435</v>
      </c>
      <c r="I62" s="38"/>
    </row>
    <row r="63" customFormat="false" ht="23.25" hidden="false" customHeight="true" outlineLevel="0" collapsed="false">
      <c r="A63" s="32" t="s">
        <v>38</v>
      </c>
      <c r="B63" s="32" t="s">
        <v>89</v>
      </c>
      <c r="C63" s="38" t="s">
        <v>2105</v>
      </c>
      <c r="D63" s="38" t="s">
        <v>6081</v>
      </c>
      <c r="E63" s="38"/>
      <c r="F63" s="32" t="s">
        <v>100</v>
      </c>
      <c r="G63" s="38"/>
      <c r="H63" s="32" t="n">
        <v>436</v>
      </c>
      <c r="I63" s="38"/>
    </row>
    <row r="64" customFormat="false" ht="45.75" hidden="false" customHeight="true" outlineLevel="0" collapsed="false">
      <c r="A64" s="32" t="s">
        <v>38</v>
      </c>
      <c r="B64" s="32" t="s">
        <v>89</v>
      </c>
      <c r="C64" s="38" t="s">
        <v>2105</v>
      </c>
      <c r="D64" s="38" t="s">
        <v>6082</v>
      </c>
      <c r="E64" s="38" t="s">
        <v>6083</v>
      </c>
      <c r="F64" s="32" t="s">
        <v>100</v>
      </c>
      <c r="G64" s="38"/>
      <c r="H64" s="32" t="n">
        <v>437</v>
      </c>
      <c r="I64" s="38"/>
    </row>
    <row r="65" customFormat="false" ht="23.25" hidden="false" customHeight="true" outlineLevel="0" collapsed="false">
      <c r="A65" s="32" t="s">
        <v>38</v>
      </c>
      <c r="B65" s="32" t="s">
        <v>89</v>
      </c>
      <c r="C65" s="38" t="s">
        <v>2134</v>
      </c>
      <c r="D65" s="38" t="s">
        <v>6084</v>
      </c>
      <c r="E65" s="38"/>
      <c r="F65" s="32" t="s">
        <v>100</v>
      </c>
      <c r="G65" s="38"/>
      <c r="H65" s="32" t="n">
        <v>438</v>
      </c>
      <c r="I65" s="38"/>
    </row>
    <row r="66" customFormat="false" ht="23.25" hidden="false" customHeight="true" outlineLevel="0" collapsed="false">
      <c r="A66" s="32" t="s">
        <v>38</v>
      </c>
      <c r="B66" s="32" t="s">
        <v>89</v>
      </c>
      <c r="C66" s="38" t="s">
        <v>2152</v>
      </c>
      <c r="D66" s="38" t="s">
        <v>6085</v>
      </c>
      <c r="E66" s="38"/>
      <c r="F66" s="32" t="s">
        <v>100</v>
      </c>
      <c r="G66" s="38"/>
      <c r="H66" s="32" t="n">
        <v>439</v>
      </c>
      <c r="I66" s="38"/>
    </row>
    <row r="67" customFormat="false" ht="23.25" hidden="false" customHeight="true" outlineLevel="0" collapsed="false">
      <c r="A67" s="32" t="s">
        <v>38</v>
      </c>
      <c r="B67" s="32" t="s">
        <v>89</v>
      </c>
      <c r="C67" s="38" t="s">
        <v>2244</v>
      </c>
      <c r="D67" s="38" t="s">
        <v>6086</v>
      </c>
      <c r="E67" s="38"/>
      <c r="F67" s="32" t="s">
        <v>100</v>
      </c>
      <c r="G67" s="38"/>
      <c r="H67" s="32" t="n">
        <v>459</v>
      </c>
      <c r="I67" s="38"/>
    </row>
    <row r="68" customFormat="false" ht="45.75" hidden="false" customHeight="true" outlineLevel="0" collapsed="false">
      <c r="A68" s="32" t="s">
        <v>38</v>
      </c>
      <c r="B68" s="32" t="s">
        <v>5959</v>
      </c>
      <c r="C68" s="38" t="s">
        <v>3254</v>
      </c>
      <c r="D68" s="38" t="s">
        <v>6009</v>
      </c>
      <c r="E68" s="38" t="s">
        <v>6010</v>
      </c>
      <c r="F68" s="32" t="s">
        <v>346</v>
      </c>
      <c r="G68" s="38"/>
      <c r="H68" s="32" t="n">
        <v>952</v>
      </c>
      <c r="I68" s="38"/>
    </row>
    <row r="69" customFormat="false" ht="15" hidden="false" customHeight="true" outlineLevel="0" collapsed="false">
      <c r="A69" s="45" t="str">
        <f aca="false">"ASSESSMENT MODULE: "&amp;COUNTIF($A$70:$A$71,"Assessment")&amp;" Tender rows"</f>
        <v>ASSESSMENT MODULE: 2 Tender rows</v>
      </c>
      <c r="B69" s="45"/>
      <c r="C69" s="45"/>
      <c r="D69" s="45"/>
      <c r="E69" s="45"/>
      <c r="F69" s="45"/>
      <c r="G69" s="45"/>
      <c r="H69" s="45"/>
      <c r="I69" s="45"/>
    </row>
    <row r="70" customFormat="false" ht="45.75" hidden="false" customHeight="true" outlineLevel="0" collapsed="false">
      <c r="A70" s="17" t="s">
        <v>39</v>
      </c>
      <c r="B70" s="17" t="s">
        <v>5959</v>
      </c>
      <c r="C70" s="40" t="s">
        <v>3254</v>
      </c>
      <c r="D70" s="40" t="s">
        <v>6017</v>
      </c>
      <c r="E70" s="40" t="s">
        <v>6010</v>
      </c>
      <c r="F70" s="17" t="s">
        <v>346</v>
      </c>
      <c r="G70" s="40"/>
      <c r="H70" s="17" t="n">
        <v>953</v>
      </c>
      <c r="I70" s="40"/>
    </row>
    <row r="71" customFormat="false" ht="45.75" hidden="false" customHeight="true" outlineLevel="0" collapsed="false">
      <c r="A71" s="17" t="s">
        <v>39</v>
      </c>
      <c r="B71" s="17" t="s">
        <v>5959</v>
      </c>
      <c r="C71" s="40" t="s">
        <v>3254</v>
      </c>
      <c r="D71" s="40" t="s">
        <v>6018</v>
      </c>
      <c r="E71" s="40" t="s">
        <v>6010</v>
      </c>
      <c r="F71" s="17" t="s">
        <v>346</v>
      </c>
      <c r="G71" s="40"/>
      <c r="H71" s="17" t="n">
        <v>954</v>
      </c>
      <c r="I71" s="40"/>
    </row>
    <row r="72" customFormat="false" ht="15" hidden="false" customHeight="true" outlineLevel="0" collapsed="false">
      <c r="A72" s="46" t="str">
        <f aca="false">"FUNDING MODULE: "&amp;COUNTIF($A$73:$A$139,"Funding")&amp;" Tender rows"</f>
        <v>FUNDING MODULE: 67 Tender rows</v>
      </c>
      <c r="B72" s="46"/>
      <c r="C72" s="46"/>
      <c r="D72" s="46"/>
      <c r="E72" s="46"/>
      <c r="F72" s="46"/>
      <c r="G72" s="46"/>
      <c r="H72" s="46"/>
      <c r="I72" s="46"/>
    </row>
    <row r="73" customFormat="false" ht="23.25" hidden="false" customHeight="true" outlineLevel="0" collapsed="false">
      <c r="A73" s="35" t="s">
        <v>40</v>
      </c>
      <c r="B73" s="35" t="s">
        <v>89</v>
      </c>
      <c r="C73" s="42" t="s">
        <v>259</v>
      </c>
      <c r="D73" s="42" t="s">
        <v>6087</v>
      </c>
      <c r="E73" s="42" t="s">
        <v>6088</v>
      </c>
      <c r="F73" s="35" t="s">
        <v>100</v>
      </c>
      <c r="G73" s="42"/>
      <c r="H73" s="35" t="n">
        <v>225</v>
      </c>
      <c r="I73" s="42"/>
    </row>
    <row r="74" customFormat="false" ht="23.25" hidden="false" customHeight="true" outlineLevel="0" collapsed="false">
      <c r="A74" s="35" t="s">
        <v>40</v>
      </c>
      <c r="B74" s="35" t="s">
        <v>89</v>
      </c>
      <c r="C74" s="42" t="s">
        <v>259</v>
      </c>
      <c r="D74" s="42" t="s">
        <v>6089</v>
      </c>
      <c r="E74" s="42" t="s">
        <v>6088</v>
      </c>
      <c r="F74" s="35" t="s">
        <v>100</v>
      </c>
      <c r="G74" s="42"/>
      <c r="H74" s="35" t="n">
        <v>226</v>
      </c>
      <c r="I74" s="42"/>
    </row>
    <row r="75" customFormat="false" ht="23.25" hidden="false" customHeight="true" outlineLevel="0" collapsed="false">
      <c r="A75" s="35" t="s">
        <v>40</v>
      </c>
      <c r="B75" s="35" t="s">
        <v>89</v>
      </c>
      <c r="C75" s="42" t="s">
        <v>259</v>
      </c>
      <c r="D75" s="42" t="s">
        <v>6090</v>
      </c>
      <c r="E75" s="42" t="s">
        <v>6088</v>
      </c>
      <c r="F75" s="35" t="s">
        <v>100</v>
      </c>
      <c r="G75" s="42"/>
      <c r="H75" s="35" t="n">
        <v>227</v>
      </c>
      <c r="I75" s="42"/>
    </row>
    <row r="76" customFormat="false" ht="23.25" hidden="false" customHeight="true" outlineLevel="0" collapsed="false">
      <c r="A76" s="35" t="s">
        <v>40</v>
      </c>
      <c r="B76" s="35" t="s">
        <v>89</v>
      </c>
      <c r="C76" s="42" t="s">
        <v>259</v>
      </c>
      <c r="D76" s="42" t="s">
        <v>6091</v>
      </c>
      <c r="E76" s="42" t="s">
        <v>6088</v>
      </c>
      <c r="F76" s="35" t="s">
        <v>100</v>
      </c>
      <c r="G76" s="42"/>
      <c r="H76" s="35" t="n">
        <v>228</v>
      </c>
      <c r="I76" s="42"/>
    </row>
    <row r="77" customFormat="false" ht="23.25" hidden="false" customHeight="true" outlineLevel="0" collapsed="false">
      <c r="A77" s="35" t="s">
        <v>40</v>
      </c>
      <c r="B77" s="35" t="s">
        <v>89</v>
      </c>
      <c r="C77" s="42" t="s">
        <v>303</v>
      </c>
      <c r="D77" s="42" t="s">
        <v>6092</v>
      </c>
      <c r="E77" s="42"/>
      <c r="F77" s="35" t="s">
        <v>100</v>
      </c>
      <c r="G77" s="42"/>
      <c r="H77" s="35" t="n">
        <v>229</v>
      </c>
      <c r="I77" s="42"/>
    </row>
    <row r="78" customFormat="false" ht="34.5" hidden="false" customHeight="true" outlineLevel="0" collapsed="false">
      <c r="A78" s="35" t="s">
        <v>40</v>
      </c>
      <c r="B78" s="35" t="s">
        <v>89</v>
      </c>
      <c r="C78" s="42" t="s">
        <v>345</v>
      </c>
      <c r="D78" s="42" t="s">
        <v>6093</v>
      </c>
      <c r="E78" s="42" t="s">
        <v>6022</v>
      </c>
      <c r="F78" s="35" t="s">
        <v>100</v>
      </c>
      <c r="G78" s="42"/>
      <c r="H78" s="35" t="n">
        <v>239</v>
      </c>
      <c r="I78" s="42"/>
    </row>
    <row r="79" customFormat="false" ht="57" hidden="false" customHeight="true" outlineLevel="0" collapsed="false">
      <c r="A79" s="35" t="s">
        <v>40</v>
      </c>
      <c r="B79" s="35" t="s">
        <v>89</v>
      </c>
      <c r="C79" s="42" t="s">
        <v>401</v>
      </c>
      <c r="D79" s="42" t="s">
        <v>6094</v>
      </c>
      <c r="E79" s="42"/>
      <c r="F79" s="35" t="s">
        <v>100</v>
      </c>
      <c r="G79" s="42"/>
      <c r="H79" s="35" t="n">
        <v>241</v>
      </c>
      <c r="I79" s="42"/>
    </row>
    <row r="80" customFormat="false" ht="45.75" hidden="false" customHeight="true" outlineLevel="0" collapsed="false">
      <c r="A80" s="35" t="s">
        <v>40</v>
      </c>
      <c r="B80" s="35" t="s">
        <v>89</v>
      </c>
      <c r="C80" s="42" t="s">
        <v>468</v>
      </c>
      <c r="D80" s="42" t="s">
        <v>6095</v>
      </c>
      <c r="E80" s="42" t="s">
        <v>6025</v>
      </c>
      <c r="F80" s="35" t="s">
        <v>100</v>
      </c>
      <c r="G80" s="42"/>
      <c r="H80" s="35" t="n">
        <v>245</v>
      </c>
      <c r="I80" s="42"/>
    </row>
    <row r="81" customFormat="false" ht="45.75" hidden="false" customHeight="true" outlineLevel="0" collapsed="false">
      <c r="A81" s="35" t="s">
        <v>40</v>
      </c>
      <c r="B81" s="35" t="s">
        <v>89</v>
      </c>
      <c r="C81" s="42" t="s">
        <v>468</v>
      </c>
      <c r="D81" s="42" t="s">
        <v>6096</v>
      </c>
      <c r="E81" s="42" t="s">
        <v>6025</v>
      </c>
      <c r="F81" s="35" t="s">
        <v>100</v>
      </c>
      <c r="G81" s="42"/>
      <c r="H81" s="35" t="n">
        <v>246</v>
      </c>
      <c r="I81" s="42"/>
    </row>
    <row r="82" customFormat="false" ht="45.75" hidden="false" customHeight="true" outlineLevel="0" collapsed="false">
      <c r="A82" s="35" t="s">
        <v>40</v>
      </c>
      <c r="B82" s="35" t="s">
        <v>89</v>
      </c>
      <c r="C82" s="42" t="s">
        <v>468</v>
      </c>
      <c r="D82" s="42" t="s">
        <v>6097</v>
      </c>
      <c r="E82" s="42" t="s">
        <v>6025</v>
      </c>
      <c r="F82" s="35" t="s">
        <v>100</v>
      </c>
      <c r="G82" s="42"/>
      <c r="H82" s="35" t="n">
        <v>249</v>
      </c>
      <c r="I82" s="42"/>
    </row>
    <row r="83" customFormat="false" ht="34.5" hidden="false" customHeight="true" outlineLevel="0" collapsed="false">
      <c r="A83" s="35" t="s">
        <v>40</v>
      </c>
      <c r="B83" s="35" t="s">
        <v>89</v>
      </c>
      <c r="C83" s="42" t="s">
        <v>516</v>
      </c>
      <c r="D83" s="42" t="s">
        <v>6098</v>
      </c>
      <c r="E83" s="42"/>
      <c r="F83" s="35" t="s">
        <v>100</v>
      </c>
      <c r="G83" s="42" t="s">
        <v>4402</v>
      </c>
      <c r="H83" s="35" t="n">
        <v>250</v>
      </c>
      <c r="I83" s="42"/>
    </row>
    <row r="84" customFormat="false" ht="23.25" hidden="false" customHeight="true" outlineLevel="0" collapsed="false">
      <c r="A84" s="35" t="s">
        <v>40</v>
      </c>
      <c r="B84" s="35" t="s">
        <v>89</v>
      </c>
      <c r="C84" s="42" t="s">
        <v>563</v>
      </c>
      <c r="D84" s="42" t="s">
        <v>6099</v>
      </c>
      <c r="E84" s="42"/>
      <c r="F84" s="35" t="s">
        <v>100</v>
      </c>
      <c r="G84" s="42" t="s">
        <v>4443</v>
      </c>
      <c r="H84" s="35" t="n">
        <v>252</v>
      </c>
      <c r="I84" s="42"/>
    </row>
    <row r="85" customFormat="false" ht="34.5" hidden="false" customHeight="true" outlineLevel="0" collapsed="false">
      <c r="A85" s="35" t="s">
        <v>40</v>
      </c>
      <c r="B85" s="35" t="s">
        <v>89</v>
      </c>
      <c r="C85" s="42" t="s">
        <v>563</v>
      </c>
      <c r="D85" s="42" t="s">
        <v>6100</v>
      </c>
      <c r="E85" s="42" t="s">
        <v>6099</v>
      </c>
      <c r="F85" s="35" t="s">
        <v>100</v>
      </c>
      <c r="G85" s="42" t="s">
        <v>4443</v>
      </c>
      <c r="H85" s="35" t="n">
        <v>253</v>
      </c>
      <c r="I85" s="42"/>
    </row>
    <row r="86" customFormat="false" ht="34.5" hidden="false" customHeight="true" outlineLevel="0" collapsed="false">
      <c r="A86" s="35" t="s">
        <v>40</v>
      </c>
      <c r="B86" s="35" t="s">
        <v>89</v>
      </c>
      <c r="C86" s="42" t="s">
        <v>563</v>
      </c>
      <c r="D86" s="42" t="s">
        <v>6101</v>
      </c>
      <c r="E86" s="42" t="s">
        <v>6099</v>
      </c>
      <c r="F86" s="35" t="s">
        <v>100</v>
      </c>
      <c r="G86" s="42" t="s">
        <v>4443</v>
      </c>
      <c r="H86" s="35" t="n">
        <v>254</v>
      </c>
      <c r="I86" s="42"/>
    </row>
    <row r="87" customFormat="false" ht="23.25" hidden="false" customHeight="true" outlineLevel="0" collapsed="false">
      <c r="A87" s="35" t="s">
        <v>40</v>
      </c>
      <c r="B87" s="35" t="s">
        <v>89</v>
      </c>
      <c r="C87" s="42" t="s">
        <v>590</v>
      </c>
      <c r="D87" s="42" t="s">
        <v>6102</v>
      </c>
      <c r="E87" s="42"/>
      <c r="F87" s="35" t="s">
        <v>100</v>
      </c>
      <c r="G87" s="42"/>
      <c r="H87" s="35" t="n">
        <v>255</v>
      </c>
      <c r="I87" s="42"/>
    </row>
    <row r="88" customFormat="false" ht="34.5" hidden="false" customHeight="true" outlineLevel="0" collapsed="false">
      <c r="A88" s="35" t="s">
        <v>40</v>
      </c>
      <c r="B88" s="35" t="s">
        <v>89</v>
      </c>
      <c r="C88" s="42" t="s">
        <v>619</v>
      </c>
      <c r="D88" s="42" t="s">
        <v>6027</v>
      </c>
      <c r="E88" s="42"/>
      <c r="F88" s="35" t="s">
        <v>469</v>
      </c>
      <c r="G88" s="42"/>
      <c r="H88" s="35" t="n">
        <v>256</v>
      </c>
      <c r="I88" s="42"/>
    </row>
    <row r="89" customFormat="false" ht="45.75" hidden="false" customHeight="true" outlineLevel="0" collapsed="false">
      <c r="A89" s="35" t="s">
        <v>40</v>
      </c>
      <c r="B89" s="35" t="s">
        <v>89</v>
      </c>
      <c r="C89" s="42" t="s">
        <v>689</v>
      </c>
      <c r="D89" s="42" t="s">
        <v>6103</v>
      </c>
      <c r="E89" s="42"/>
      <c r="F89" s="35" t="s">
        <v>100</v>
      </c>
      <c r="G89" s="42"/>
      <c r="H89" s="35" t="n">
        <v>259</v>
      </c>
      <c r="I89" s="42"/>
    </row>
    <row r="90" customFormat="false" ht="45.75" hidden="false" customHeight="true" outlineLevel="0" collapsed="false">
      <c r="A90" s="35" t="s">
        <v>40</v>
      </c>
      <c r="B90" s="35" t="s">
        <v>89</v>
      </c>
      <c r="C90" s="42" t="s">
        <v>710</v>
      </c>
      <c r="D90" s="42" t="s">
        <v>6104</v>
      </c>
      <c r="E90" s="42" t="s">
        <v>6105</v>
      </c>
      <c r="F90" s="35" t="s">
        <v>100</v>
      </c>
      <c r="G90" s="42"/>
      <c r="H90" s="35" t="n">
        <v>261</v>
      </c>
      <c r="I90" s="42"/>
    </row>
    <row r="91" customFormat="false" ht="45.75" hidden="false" customHeight="true" outlineLevel="0" collapsed="false">
      <c r="A91" s="35" t="s">
        <v>40</v>
      </c>
      <c r="B91" s="35" t="s">
        <v>89</v>
      </c>
      <c r="C91" s="42" t="s">
        <v>710</v>
      </c>
      <c r="D91" s="42" t="s">
        <v>6106</v>
      </c>
      <c r="E91" s="42" t="s">
        <v>6105</v>
      </c>
      <c r="F91" s="35" t="s">
        <v>100</v>
      </c>
      <c r="G91" s="42"/>
      <c r="H91" s="35" t="n">
        <v>264</v>
      </c>
      <c r="I91" s="42"/>
    </row>
    <row r="92" customFormat="false" ht="45.75" hidden="false" customHeight="true" outlineLevel="0" collapsed="false">
      <c r="A92" s="35" t="s">
        <v>40</v>
      </c>
      <c r="B92" s="35" t="s">
        <v>89</v>
      </c>
      <c r="C92" s="42" t="s">
        <v>710</v>
      </c>
      <c r="D92" s="42" t="s">
        <v>6107</v>
      </c>
      <c r="E92" s="42" t="s">
        <v>6105</v>
      </c>
      <c r="F92" s="35" t="s">
        <v>100</v>
      </c>
      <c r="G92" s="42"/>
      <c r="H92" s="35" t="n">
        <v>265</v>
      </c>
      <c r="I92" s="42"/>
    </row>
    <row r="93" customFormat="false" ht="45.75" hidden="false" customHeight="true" outlineLevel="0" collapsed="false">
      <c r="A93" s="35" t="s">
        <v>40</v>
      </c>
      <c r="B93" s="35" t="s">
        <v>89</v>
      </c>
      <c r="C93" s="42" t="s">
        <v>710</v>
      </c>
      <c r="D93" s="42" t="s">
        <v>6108</v>
      </c>
      <c r="E93" s="42" t="s">
        <v>6105</v>
      </c>
      <c r="F93" s="35" t="s">
        <v>100</v>
      </c>
      <c r="G93" s="42"/>
      <c r="H93" s="35" t="n">
        <v>266</v>
      </c>
      <c r="I93" s="42"/>
    </row>
    <row r="94" customFormat="false" ht="45.75" hidden="false" customHeight="true" outlineLevel="0" collapsed="false">
      <c r="A94" s="35" t="s">
        <v>40</v>
      </c>
      <c r="B94" s="35" t="s">
        <v>89</v>
      </c>
      <c r="C94" s="42" t="s">
        <v>710</v>
      </c>
      <c r="D94" s="42" t="s">
        <v>6109</v>
      </c>
      <c r="E94" s="42" t="s">
        <v>6105</v>
      </c>
      <c r="F94" s="35" t="s">
        <v>100</v>
      </c>
      <c r="G94" s="42"/>
      <c r="H94" s="35" t="n">
        <v>267</v>
      </c>
      <c r="I94" s="42"/>
    </row>
    <row r="95" customFormat="false" ht="23.25" hidden="false" customHeight="true" outlineLevel="0" collapsed="false">
      <c r="A95" s="35" t="s">
        <v>40</v>
      </c>
      <c r="B95" s="35" t="s">
        <v>89</v>
      </c>
      <c r="C95" s="42" t="s">
        <v>748</v>
      </c>
      <c r="D95" s="42" t="s">
        <v>6110</v>
      </c>
      <c r="E95" s="42"/>
      <c r="F95" s="35" t="s">
        <v>100</v>
      </c>
      <c r="G95" s="42"/>
      <c r="H95" s="35" t="n">
        <v>268</v>
      </c>
      <c r="I95" s="42"/>
    </row>
    <row r="96" customFormat="false" ht="23.25" hidden="false" customHeight="true" outlineLevel="0" collapsed="false">
      <c r="A96" s="35" t="s">
        <v>40</v>
      </c>
      <c r="B96" s="35" t="s">
        <v>89</v>
      </c>
      <c r="C96" s="42" t="s">
        <v>768</v>
      </c>
      <c r="D96" s="42" t="s">
        <v>6029</v>
      </c>
      <c r="E96" s="42"/>
      <c r="F96" s="35" t="s">
        <v>100</v>
      </c>
      <c r="G96" s="42"/>
      <c r="H96" s="35" t="n">
        <v>269</v>
      </c>
      <c r="I96" s="42"/>
    </row>
    <row r="97" customFormat="false" ht="45.75" hidden="false" customHeight="true" outlineLevel="0" collapsed="false">
      <c r="A97" s="35" t="s">
        <v>40</v>
      </c>
      <c r="B97" s="35" t="s">
        <v>5959</v>
      </c>
      <c r="C97" s="42" t="s">
        <v>1164</v>
      </c>
      <c r="D97" s="42" t="s">
        <v>6111</v>
      </c>
      <c r="E97" s="42" t="s">
        <v>6112</v>
      </c>
      <c r="F97" s="35" t="s">
        <v>100</v>
      </c>
      <c r="G97" s="42"/>
      <c r="H97" s="35" t="n">
        <v>326</v>
      </c>
      <c r="I97" s="42"/>
    </row>
    <row r="98" customFormat="false" ht="45.75" hidden="false" customHeight="true" outlineLevel="0" collapsed="false">
      <c r="A98" s="35" t="s">
        <v>40</v>
      </c>
      <c r="B98" s="35" t="s">
        <v>5959</v>
      </c>
      <c r="C98" s="42" t="s">
        <v>1164</v>
      </c>
      <c r="D98" s="42" t="s">
        <v>6113</v>
      </c>
      <c r="E98" s="42" t="s">
        <v>6112</v>
      </c>
      <c r="F98" s="35" t="s">
        <v>100</v>
      </c>
      <c r="G98" s="42"/>
      <c r="H98" s="35" t="n">
        <v>327</v>
      </c>
      <c r="I98" s="42"/>
    </row>
    <row r="99" customFormat="false" ht="23.25" hidden="false" customHeight="true" outlineLevel="0" collapsed="false">
      <c r="A99" s="35" t="s">
        <v>40</v>
      </c>
      <c r="B99" s="35" t="s">
        <v>89</v>
      </c>
      <c r="C99" s="42" t="s">
        <v>1546</v>
      </c>
      <c r="D99" s="42" t="s">
        <v>6114</v>
      </c>
      <c r="E99" s="42"/>
      <c r="F99" s="35" t="s">
        <v>100</v>
      </c>
      <c r="G99" s="42" t="s">
        <v>4402</v>
      </c>
      <c r="H99" s="35" t="n">
        <v>352</v>
      </c>
      <c r="I99" s="42"/>
    </row>
    <row r="100" customFormat="false" ht="15" hidden="false" customHeight="true" outlineLevel="0" collapsed="false">
      <c r="A100" s="35" t="s">
        <v>40</v>
      </c>
      <c r="B100" s="35" t="s">
        <v>89</v>
      </c>
      <c r="C100" s="42" t="s">
        <v>1608</v>
      </c>
      <c r="D100" s="42" t="s">
        <v>6115</v>
      </c>
      <c r="E100" s="42"/>
      <c r="F100" s="35" t="s">
        <v>100</v>
      </c>
      <c r="G100" s="42"/>
      <c r="H100" s="35" t="n">
        <v>355</v>
      </c>
      <c r="I100" s="42"/>
    </row>
    <row r="101" customFormat="false" ht="15" hidden="false" customHeight="true" outlineLevel="0" collapsed="false">
      <c r="A101" s="35" t="s">
        <v>40</v>
      </c>
      <c r="B101" s="35" t="s">
        <v>5959</v>
      </c>
      <c r="C101" s="42" t="s">
        <v>1879</v>
      </c>
      <c r="D101" s="42" t="s">
        <v>6116</v>
      </c>
      <c r="E101" s="42"/>
      <c r="F101" s="35" t="s">
        <v>100</v>
      </c>
      <c r="G101" s="42"/>
      <c r="H101" s="35" t="n">
        <v>417</v>
      </c>
      <c r="I101" s="42"/>
    </row>
    <row r="102" customFormat="false" ht="34.5" hidden="false" customHeight="true" outlineLevel="0" collapsed="false">
      <c r="A102" s="35" t="s">
        <v>40</v>
      </c>
      <c r="B102" s="35" t="s">
        <v>5959</v>
      </c>
      <c r="C102" s="42" t="s">
        <v>2391</v>
      </c>
      <c r="D102" s="42" t="s">
        <v>6117</v>
      </c>
      <c r="E102" s="42"/>
      <c r="F102" s="35" t="s">
        <v>100</v>
      </c>
      <c r="G102" s="42"/>
      <c r="H102" s="35" t="n">
        <v>476</v>
      </c>
      <c r="I102" s="42"/>
    </row>
    <row r="103" customFormat="false" ht="45.75" hidden="false" customHeight="true" outlineLevel="0" collapsed="false">
      <c r="A103" s="35" t="s">
        <v>40</v>
      </c>
      <c r="B103" s="35" t="s">
        <v>5959</v>
      </c>
      <c r="C103" s="42" t="s">
        <v>2391</v>
      </c>
      <c r="D103" s="42" t="s">
        <v>6118</v>
      </c>
      <c r="E103" s="42" t="s">
        <v>6119</v>
      </c>
      <c r="F103" s="35" t="s">
        <v>100</v>
      </c>
      <c r="G103" s="42"/>
      <c r="H103" s="35" t="n">
        <v>477</v>
      </c>
      <c r="I103" s="42"/>
    </row>
    <row r="104" customFormat="false" ht="45.75" hidden="false" customHeight="true" outlineLevel="0" collapsed="false">
      <c r="A104" s="35" t="s">
        <v>40</v>
      </c>
      <c r="B104" s="35" t="s">
        <v>5959</v>
      </c>
      <c r="C104" s="42" t="s">
        <v>2391</v>
      </c>
      <c r="D104" s="42" t="s">
        <v>6120</v>
      </c>
      <c r="E104" s="42" t="s">
        <v>6119</v>
      </c>
      <c r="F104" s="35" t="s">
        <v>100</v>
      </c>
      <c r="G104" s="42"/>
      <c r="H104" s="35" t="n">
        <v>479</v>
      </c>
      <c r="I104" s="42"/>
    </row>
    <row r="105" customFormat="false" ht="45.75" hidden="false" customHeight="true" outlineLevel="0" collapsed="false">
      <c r="A105" s="35" t="s">
        <v>40</v>
      </c>
      <c r="B105" s="35" t="s">
        <v>5959</v>
      </c>
      <c r="C105" s="42" t="s">
        <v>2391</v>
      </c>
      <c r="D105" s="42" t="s">
        <v>6121</v>
      </c>
      <c r="E105" s="42" t="s">
        <v>6119</v>
      </c>
      <c r="F105" s="35" t="s">
        <v>100</v>
      </c>
      <c r="G105" s="42"/>
      <c r="H105" s="35" t="n">
        <v>480</v>
      </c>
      <c r="I105" s="42"/>
    </row>
    <row r="106" customFormat="false" ht="45.75" hidden="false" customHeight="true" outlineLevel="0" collapsed="false">
      <c r="A106" s="35" t="s">
        <v>40</v>
      </c>
      <c r="B106" s="35" t="s">
        <v>5959</v>
      </c>
      <c r="C106" s="42" t="s">
        <v>2391</v>
      </c>
      <c r="D106" s="42" t="s">
        <v>6122</v>
      </c>
      <c r="E106" s="42" t="s">
        <v>6119</v>
      </c>
      <c r="F106" s="35" t="s">
        <v>100</v>
      </c>
      <c r="G106" s="42"/>
      <c r="H106" s="35" t="n">
        <v>481</v>
      </c>
      <c r="I106" s="42"/>
    </row>
    <row r="107" customFormat="false" ht="45.75" hidden="false" customHeight="true" outlineLevel="0" collapsed="false">
      <c r="A107" s="35" t="s">
        <v>40</v>
      </c>
      <c r="B107" s="35" t="s">
        <v>5959</v>
      </c>
      <c r="C107" s="42" t="s">
        <v>2391</v>
      </c>
      <c r="D107" s="42" t="s">
        <v>6123</v>
      </c>
      <c r="E107" s="42" t="s">
        <v>6119</v>
      </c>
      <c r="F107" s="35" t="s">
        <v>100</v>
      </c>
      <c r="G107" s="42"/>
      <c r="H107" s="35" t="n">
        <v>482</v>
      </c>
      <c r="I107" s="42"/>
    </row>
    <row r="108" customFormat="false" ht="45.75" hidden="false" customHeight="true" outlineLevel="0" collapsed="false">
      <c r="A108" s="35" t="s">
        <v>40</v>
      </c>
      <c r="B108" s="35" t="s">
        <v>5959</v>
      </c>
      <c r="C108" s="42" t="s">
        <v>2421</v>
      </c>
      <c r="D108" s="42" t="s">
        <v>6124</v>
      </c>
      <c r="E108" s="42"/>
      <c r="F108" s="35" t="s">
        <v>100</v>
      </c>
      <c r="G108" s="42"/>
      <c r="H108" s="35" t="n">
        <v>487</v>
      </c>
      <c r="I108" s="42"/>
    </row>
    <row r="109" customFormat="false" ht="45.75" hidden="false" customHeight="true" outlineLevel="0" collapsed="false">
      <c r="A109" s="35" t="s">
        <v>40</v>
      </c>
      <c r="B109" s="35" t="s">
        <v>5959</v>
      </c>
      <c r="C109" s="42" t="s">
        <v>2421</v>
      </c>
      <c r="D109" s="42" t="s">
        <v>6118</v>
      </c>
      <c r="E109" s="42" t="s">
        <v>6125</v>
      </c>
      <c r="F109" s="35" t="s">
        <v>100</v>
      </c>
      <c r="G109" s="42"/>
      <c r="H109" s="35" t="n">
        <v>488</v>
      </c>
      <c r="I109" s="42"/>
    </row>
    <row r="110" customFormat="false" ht="45.75" hidden="false" customHeight="true" outlineLevel="0" collapsed="false">
      <c r="A110" s="35" t="s">
        <v>40</v>
      </c>
      <c r="B110" s="35" t="s">
        <v>5959</v>
      </c>
      <c r="C110" s="42" t="s">
        <v>2421</v>
      </c>
      <c r="D110" s="42" t="s">
        <v>6120</v>
      </c>
      <c r="E110" s="42" t="s">
        <v>6125</v>
      </c>
      <c r="F110" s="35" t="s">
        <v>100</v>
      </c>
      <c r="G110" s="42"/>
      <c r="H110" s="35" t="n">
        <v>490</v>
      </c>
      <c r="I110" s="42"/>
    </row>
    <row r="111" customFormat="false" ht="45.75" hidden="false" customHeight="true" outlineLevel="0" collapsed="false">
      <c r="A111" s="35" t="s">
        <v>40</v>
      </c>
      <c r="B111" s="35" t="s">
        <v>5959</v>
      </c>
      <c r="C111" s="42" t="s">
        <v>2421</v>
      </c>
      <c r="D111" s="42" t="s">
        <v>6121</v>
      </c>
      <c r="E111" s="42" t="s">
        <v>6125</v>
      </c>
      <c r="F111" s="35" t="s">
        <v>100</v>
      </c>
      <c r="G111" s="42"/>
      <c r="H111" s="35" t="n">
        <v>491</v>
      </c>
      <c r="I111" s="42"/>
    </row>
    <row r="112" customFormat="false" ht="45.75" hidden="false" customHeight="true" outlineLevel="0" collapsed="false">
      <c r="A112" s="35" t="s">
        <v>40</v>
      </c>
      <c r="B112" s="35" t="s">
        <v>5959</v>
      </c>
      <c r="C112" s="42" t="s">
        <v>2421</v>
      </c>
      <c r="D112" s="42" t="s">
        <v>6122</v>
      </c>
      <c r="E112" s="42" t="s">
        <v>6125</v>
      </c>
      <c r="F112" s="35" t="s">
        <v>100</v>
      </c>
      <c r="G112" s="42"/>
      <c r="H112" s="35" t="n">
        <v>492</v>
      </c>
      <c r="I112" s="42"/>
    </row>
    <row r="113" customFormat="false" ht="34.5" hidden="false" customHeight="true" outlineLevel="0" collapsed="false">
      <c r="A113" s="35" t="s">
        <v>40</v>
      </c>
      <c r="B113" s="35" t="s">
        <v>89</v>
      </c>
      <c r="C113" s="42" t="s">
        <v>2456</v>
      </c>
      <c r="D113" s="42" t="s">
        <v>6126</v>
      </c>
      <c r="E113" s="42"/>
      <c r="F113" s="35" t="s">
        <v>100</v>
      </c>
      <c r="G113" s="42" t="s">
        <v>4396</v>
      </c>
      <c r="H113" s="35" t="n">
        <v>493</v>
      </c>
      <c r="I113" s="42"/>
    </row>
    <row r="114" customFormat="false" ht="34.5" hidden="false" customHeight="true" outlineLevel="0" collapsed="false">
      <c r="A114" s="35" t="s">
        <v>40</v>
      </c>
      <c r="B114" s="35" t="s">
        <v>89</v>
      </c>
      <c r="C114" s="42" t="s">
        <v>2477</v>
      </c>
      <c r="D114" s="42" t="s">
        <v>6127</v>
      </c>
      <c r="E114" s="42"/>
      <c r="F114" s="35" t="s">
        <v>100</v>
      </c>
      <c r="G114" s="42" t="s">
        <v>4396</v>
      </c>
      <c r="H114" s="35" t="n">
        <v>508</v>
      </c>
      <c r="I114" s="42"/>
    </row>
    <row r="115" customFormat="false" ht="23.25" hidden="false" customHeight="true" outlineLevel="0" collapsed="false">
      <c r="A115" s="35" t="s">
        <v>40</v>
      </c>
      <c r="B115" s="35" t="s">
        <v>89</v>
      </c>
      <c r="C115" s="42" t="s">
        <v>2496</v>
      </c>
      <c r="D115" s="42" t="s">
        <v>6128</v>
      </c>
      <c r="E115" s="42"/>
      <c r="F115" s="35" t="s">
        <v>100</v>
      </c>
      <c r="G115" s="42" t="s">
        <v>4396</v>
      </c>
      <c r="H115" s="35" t="n">
        <v>511</v>
      </c>
      <c r="I115" s="42"/>
    </row>
    <row r="116" customFormat="false" ht="45.75" hidden="false" customHeight="true" outlineLevel="0" collapsed="false">
      <c r="A116" s="35" t="s">
        <v>40</v>
      </c>
      <c r="B116" s="35" t="s">
        <v>89</v>
      </c>
      <c r="C116" s="42" t="s">
        <v>2496</v>
      </c>
      <c r="D116" s="42" t="s">
        <v>6129</v>
      </c>
      <c r="E116" s="42" t="s">
        <v>6128</v>
      </c>
      <c r="F116" s="35" t="s">
        <v>100</v>
      </c>
      <c r="G116" s="42" t="s">
        <v>4396</v>
      </c>
      <c r="H116" s="35" t="n">
        <v>512</v>
      </c>
      <c r="I116" s="42"/>
    </row>
    <row r="117" customFormat="false" ht="45.75" hidden="false" customHeight="true" outlineLevel="0" collapsed="false">
      <c r="A117" s="35" t="s">
        <v>40</v>
      </c>
      <c r="B117" s="35" t="s">
        <v>89</v>
      </c>
      <c r="C117" s="42" t="s">
        <v>2496</v>
      </c>
      <c r="D117" s="42" t="s">
        <v>6130</v>
      </c>
      <c r="E117" s="42" t="s">
        <v>6128</v>
      </c>
      <c r="F117" s="35" t="s">
        <v>100</v>
      </c>
      <c r="G117" s="42" t="s">
        <v>4396</v>
      </c>
      <c r="H117" s="35" t="n">
        <v>513</v>
      </c>
      <c r="I117" s="42"/>
    </row>
    <row r="118" customFormat="false" ht="45.75" hidden="false" customHeight="true" outlineLevel="0" collapsed="false">
      <c r="A118" s="35" t="s">
        <v>40</v>
      </c>
      <c r="B118" s="35" t="s">
        <v>89</v>
      </c>
      <c r="C118" s="42" t="s">
        <v>2496</v>
      </c>
      <c r="D118" s="42" t="s">
        <v>6131</v>
      </c>
      <c r="E118" s="42" t="s">
        <v>6128</v>
      </c>
      <c r="F118" s="35" t="s">
        <v>100</v>
      </c>
      <c r="G118" s="42" t="s">
        <v>4396</v>
      </c>
      <c r="H118" s="35" t="n">
        <v>514</v>
      </c>
      <c r="I118" s="42"/>
    </row>
    <row r="119" customFormat="false" ht="45.75" hidden="false" customHeight="true" outlineLevel="0" collapsed="false">
      <c r="A119" s="35" t="s">
        <v>40</v>
      </c>
      <c r="B119" s="35" t="s">
        <v>89</v>
      </c>
      <c r="C119" s="42" t="s">
        <v>2496</v>
      </c>
      <c r="D119" s="42" t="s">
        <v>6132</v>
      </c>
      <c r="E119" s="42" t="s">
        <v>6128</v>
      </c>
      <c r="F119" s="35" t="s">
        <v>100</v>
      </c>
      <c r="G119" s="42" t="s">
        <v>4396</v>
      </c>
      <c r="H119" s="35" t="n">
        <v>516</v>
      </c>
      <c r="I119" s="42"/>
    </row>
    <row r="120" customFormat="false" ht="23.25" hidden="false" customHeight="true" outlineLevel="0" collapsed="false">
      <c r="A120" s="35" t="s">
        <v>40</v>
      </c>
      <c r="B120" s="35" t="s">
        <v>5959</v>
      </c>
      <c r="C120" s="42" t="s">
        <v>2524</v>
      </c>
      <c r="D120" s="42" t="s">
        <v>6133</v>
      </c>
      <c r="E120" s="42"/>
      <c r="F120" s="35" t="s">
        <v>100</v>
      </c>
      <c r="G120" s="42"/>
      <c r="H120" s="35" t="n">
        <v>517</v>
      </c>
      <c r="I120" s="42"/>
    </row>
    <row r="121" customFormat="false" ht="45.75" hidden="false" customHeight="true" outlineLevel="0" collapsed="false">
      <c r="A121" s="35" t="s">
        <v>40</v>
      </c>
      <c r="B121" s="35" t="s">
        <v>5959</v>
      </c>
      <c r="C121" s="42" t="s">
        <v>2524</v>
      </c>
      <c r="D121" s="42" t="s">
        <v>6134</v>
      </c>
      <c r="E121" s="42" t="s">
        <v>6133</v>
      </c>
      <c r="F121" s="35" t="s">
        <v>100</v>
      </c>
      <c r="G121" s="42"/>
      <c r="H121" s="35" t="n">
        <v>518</v>
      </c>
      <c r="I121" s="42"/>
    </row>
    <row r="122" customFormat="false" ht="45.75" hidden="false" customHeight="true" outlineLevel="0" collapsed="false">
      <c r="A122" s="35" t="s">
        <v>40</v>
      </c>
      <c r="B122" s="35" t="s">
        <v>5959</v>
      </c>
      <c r="C122" s="42" t="s">
        <v>2524</v>
      </c>
      <c r="D122" s="42" t="s">
        <v>6135</v>
      </c>
      <c r="E122" s="42" t="s">
        <v>6133</v>
      </c>
      <c r="F122" s="35" t="s">
        <v>100</v>
      </c>
      <c r="G122" s="42"/>
      <c r="H122" s="35" t="n">
        <v>519</v>
      </c>
      <c r="I122" s="42"/>
    </row>
    <row r="123" customFormat="false" ht="45.75" hidden="false" customHeight="true" outlineLevel="0" collapsed="false">
      <c r="A123" s="35" t="s">
        <v>40</v>
      </c>
      <c r="B123" s="35" t="s">
        <v>5959</v>
      </c>
      <c r="C123" s="42" t="s">
        <v>2524</v>
      </c>
      <c r="D123" s="42" t="s">
        <v>6136</v>
      </c>
      <c r="E123" s="42" t="s">
        <v>6133</v>
      </c>
      <c r="F123" s="35" t="s">
        <v>100</v>
      </c>
      <c r="G123" s="42"/>
      <c r="H123" s="35" t="n">
        <v>520</v>
      </c>
      <c r="I123" s="42"/>
    </row>
    <row r="124" customFormat="false" ht="45.75" hidden="false" customHeight="true" outlineLevel="0" collapsed="false">
      <c r="A124" s="35" t="s">
        <v>40</v>
      </c>
      <c r="B124" s="35" t="s">
        <v>5959</v>
      </c>
      <c r="C124" s="42" t="s">
        <v>2545</v>
      </c>
      <c r="D124" s="42" t="s">
        <v>6137</v>
      </c>
      <c r="E124" s="42"/>
      <c r="F124" s="35" t="s">
        <v>100</v>
      </c>
      <c r="G124" s="42"/>
      <c r="H124" s="35" t="n">
        <v>522</v>
      </c>
      <c r="I124" s="42"/>
    </row>
    <row r="125" customFormat="false" ht="34.5" hidden="false" customHeight="true" outlineLevel="0" collapsed="false">
      <c r="A125" s="35" t="s">
        <v>40</v>
      </c>
      <c r="B125" s="35" t="s">
        <v>5959</v>
      </c>
      <c r="C125" s="42" t="s">
        <v>2572</v>
      </c>
      <c r="D125" s="42" t="s">
        <v>6138</v>
      </c>
      <c r="E125" s="42" t="s">
        <v>6139</v>
      </c>
      <c r="F125" s="35" t="s">
        <v>100</v>
      </c>
      <c r="G125" s="42"/>
      <c r="H125" s="35" t="n">
        <v>535</v>
      </c>
      <c r="I125" s="42"/>
    </row>
    <row r="126" customFormat="false" ht="34.5" hidden="false" customHeight="true" outlineLevel="0" collapsed="false">
      <c r="A126" s="35" t="s">
        <v>40</v>
      </c>
      <c r="B126" s="35" t="s">
        <v>5959</v>
      </c>
      <c r="C126" s="42" t="s">
        <v>2572</v>
      </c>
      <c r="D126" s="42" t="s">
        <v>6140</v>
      </c>
      <c r="E126" s="42" t="s">
        <v>6139</v>
      </c>
      <c r="F126" s="35" t="s">
        <v>100</v>
      </c>
      <c r="G126" s="42"/>
      <c r="H126" s="35" t="n">
        <v>536</v>
      </c>
      <c r="I126" s="42"/>
    </row>
    <row r="127" customFormat="false" ht="34.5" hidden="false" customHeight="true" outlineLevel="0" collapsed="false">
      <c r="A127" s="35" t="s">
        <v>40</v>
      </c>
      <c r="B127" s="35" t="s">
        <v>5959</v>
      </c>
      <c r="C127" s="42" t="s">
        <v>2572</v>
      </c>
      <c r="D127" s="42" t="s">
        <v>6141</v>
      </c>
      <c r="E127" s="42" t="s">
        <v>6139</v>
      </c>
      <c r="F127" s="35" t="s">
        <v>100</v>
      </c>
      <c r="G127" s="42"/>
      <c r="H127" s="35" t="n">
        <v>537</v>
      </c>
      <c r="I127" s="42"/>
    </row>
    <row r="128" customFormat="false" ht="34.5" hidden="false" customHeight="true" outlineLevel="0" collapsed="false">
      <c r="A128" s="35" t="s">
        <v>40</v>
      </c>
      <c r="B128" s="35" t="s">
        <v>5959</v>
      </c>
      <c r="C128" s="42" t="s">
        <v>2572</v>
      </c>
      <c r="D128" s="42" t="s">
        <v>6142</v>
      </c>
      <c r="E128" s="42" t="s">
        <v>6139</v>
      </c>
      <c r="F128" s="35" t="s">
        <v>100</v>
      </c>
      <c r="G128" s="42"/>
      <c r="H128" s="35" t="n">
        <v>538</v>
      </c>
      <c r="I128" s="42"/>
    </row>
    <row r="129" customFormat="false" ht="34.5" hidden="false" customHeight="true" outlineLevel="0" collapsed="false">
      <c r="A129" s="35" t="s">
        <v>40</v>
      </c>
      <c r="B129" s="35" t="s">
        <v>5959</v>
      </c>
      <c r="C129" s="42" t="s">
        <v>2572</v>
      </c>
      <c r="D129" s="42" t="s">
        <v>6143</v>
      </c>
      <c r="E129" s="42" t="s">
        <v>6139</v>
      </c>
      <c r="F129" s="35" t="s">
        <v>100</v>
      </c>
      <c r="G129" s="42"/>
      <c r="H129" s="35" t="n">
        <v>539</v>
      </c>
      <c r="I129" s="42"/>
    </row>
    <row r="130" customFormat="false" ht="34.5" hidden="false" customHeight="true" outlineLevel="0" collapsed="false">
      <c r="A130" s="35" t="s">
        <v>40</v>
      </c>
      <c r="B130" s="35" t="s">
        <v>5959</v>
      </c>
      <c r="C130" s="42" t="s">
        <v>2572</v>
      </c>
      <c r="D130" s="42" t="s">
        <v>6144</v>
      </c>
      <c r="E130" s="42" t="s">
        <v>6139</v>
      </c>
      <c r="F130" s="35" t="s">
        <v>100</v>
      </c>
      <c r="G130" s="42"/>
      <c r="H130" s="35" t="n">
        <v>540</v>
      </c>
      <c r="I130" s="42"/>
    </row>
    <row r="131" customFormat="false" ht="23.25" hidden="false" customHeight="true" outlineLevel="0" collapsed="false">
      <c r="A131" s="35" t="s">
        <v>40</v>
      </c>
      <c r="B131" s="35" t="s">
        <v>5959</v>
      </c>
      <c r="C131" s="42" t="s">
        <v>3077</v>
      </c>
      <c r="D131" s="42" t="s">
        <v>6145</v>
      </c>
      <c r="E131" s="42"/>
      <c r="F131" s="35" t="s">
        <v>100</v>
      </c>
      <c r="G131" s="42"/>
      <c r="H131" s="35" t="n">
        <v>589</v>
      </c>
      <c r="I131" s="42"/>
    </row>
    <row r="132" customFormat="false" ht="34.5" hidden="false" customHeight="true" outlineLevel="0" collapsed="false">
      <c r="A132" s="35" t="s">
        <v>40</v>
      </c>
      <c r="B132" s="35" t="s">
        <v>5959</v>
      </c>
      <c r="C132" s="42" t="s">
        <v>3077</v>
      </c>
      <c r="D132" s="42" t="s">
        <v>6146</v>
      </c>
      <c r="E132" s="42" t="s">
        <v>6145</v>
      </c>
      <c r="F132" s="35" t="s">
        <v>100</v>
      </c>
      <c r="G132" s="42"/>
      <c r="H132" s="35" t="n">
        <v>590</v>
      </c>
      <c r="I132" s="42"/>
    </row>
    <row r="133" customFormat="false" ht="34.5" hidden="false" customHeight="true" outlineLevel="0" collapsed="false">
      <c r="A133" s="35" t="s">
        <v>40</v>
      </c>
      <c r="B133" s="35" t="s">
        <v>5959</v>
      </c>
      <c r="C133" s="42" t="s">
        <v>3077</v>
      </c>
      <c r="D133" s="42" t="s">
        <v>6147</v>
      </c>
      <c r="E133" s="42" t="s">
        <v>6145</v>
      </c>
      <c r="F133" s="35" t="s">
        <v>100</v>
      </c>
      <c r="G133" s="42"/>
      <c r="H133" s="35" t="n">
        <v>591</v>
      </c>
      <c r="I133" s="42"/>
    </row>
    <row r="134" customFormat="false" ht="23.25" hidden="false" customHeight="true" outlineLevel="0" collapsed="false">
      <c r="A134" s="35" t="s">
        <v>40</v>
      </c>
      <c r="B134" s="35" t="s">
        <v>5959</v>
      </c>
      <c r="C134" s="42" t="s">
        <v>3234</v>
      </c>
      <c r="D134" s="42" t="s">
        <v>6032</v>
      </c>
      <c r="E134" s="42"/>
      <c r="F134" s="35" t="s">
        <v>346</v>
      </c>
      <c r="G134" s="42"/>
      <c r="H134" s="35" t="n">
        <v>947</v>
      </c>
      <c r="I134" s="42"/>
    </row>
    <row r="135" customFormat="false" ht="45.75" hidden="false" customHeight="true" outlineLevel="0" collapsed="false">
      <c r="A135" s="35" t="s">
        <v>40</v>
      </c>
      <c r="B135" s="35" t="s">
        <v>89</v>
      </c>
      <c r="C135" s="42" t="s">
        <v>3254</v>
      </c>
      <c r="D135" s="42" t="s">
        <v>6033</v>
      </c>
      <c r="E135" s="42" t="s">
        <v>6010</v>
      </c>
      <c r="F135" s="35" t="s">
        <v>346</v>
      </c>
      <c r="G135" s="42"/>
      <c r="H135" s="35" t="n">
        <v>950</v>
      </c>
      <c r="I135" s="42"/>
    </row>
    <row r="136" customFormat="false" ht="45.75" hidden="false" customHeight="true" outlineLevel="0" collapsed="false">
      <c r="A136" s="35" t="s">
        <v>40</v>
      </c>
      <c r="B136" s="35" t="s">
        <v>89</v>
      </c>
      <c r="C136" s="42" t="s">
        <v>3254</v>
      </c>
      <c r="D136" s="42" t="s">
        <v>6034</v>
      </c>
      <c r="E136" s="42" t="s">
        <v>6010</v>
      </c>
      <c r="F136" s="35" t="s">
        <v>346</v>
      </c>
      <c r="G136" s="42"/>
      <c r="H136" s="35" t="n">
        <v>951</v>
      </c>
      <c r="I136" s="42"/>
    </row>
    <row r="137" customFormat="false" ht="45.75" hidden="false" customHeight="true" outlineLevel="0" collapsed="false">
      <c r="A137" s="35" t="s">
        <v>40</v>
      </c>
      <c r="B137" s="35" t="s">
        <v>89</v>
      </c>
      <c r="C137" s="42" t="s">
        <v>3254</v>
      </c>
      <c r="D137" s="42" t="s">
        <v>6035</v>
      </c>
      <c r="E137" s="42" t="s">
        <v>6010</v>
      </c>
      <c r="F137" s="35" t="s">
        <v>346</v>
      </c>
      <c r="G137" s="42"/>
      <c r="H137" s="35" t="n">
        <v>956</v>
      </c>
      <c r="I137" s="42"/>
    </row>
    <row r="138" customFormat="false" ht="34.5" hidden="false" customHeight="true" outlineLevel="0" collapsed="false">
      <c r="A138" s="35" t="s">
        <v>40</v>
      </c>
      <c r="B138" s="35" t="s">
        <v>89</v>
      </c>
      <c r="C138" s="42" t="s">
        <v>3335</v>
      </c>
      <c r="D138" s="42" t="s">
        <v>6148</v>
      </c>
      <c r="E138" s="42"/>
      <c r="F138" s="35" t="s">
        <v>100</v>
      </c>
      <c r="G138" s="42"/>
      <c r="H138" s="35" t="n">
        <v>963</v>
      </c>
      <c r="I138" s="42"/>
    </row>
    <row r="139" customFormat="false" ht="23.25" hidden="false" customHeight="true" outlineLevel="0" collapsed="false">
      <c r="A139" s="35" t="s">
        <v>40</v>
      </c>
      <c r="B139" s="35" t="s">
        <v>89</v>
      </c>
      <c r="C139" s="42" t="s">
        <v>3394</v>
      </c>
      <c r="D139" s="42" t="s">
        <v>6149</v>
      </c>
      <c r="E139" s="42"/>
      <c r="F139" s="35" t="s">
        <v>100</v>
      </c>
      <c r="G139" s="42"/>
      <c r="H139" s="35" t="n">
        <v>967</v>
      </c>
      <c r="I139" s="42"/>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16"/>
    <col collapsed="false" customWidth="true" hidden="false" outlineLevel="0" max="4" min="4" style="1" width="80"/>
    <col collapsed="false" customWidth="true" hidden="false" outlineLevel="0" max="5" min="5" style="1" width="40"/>
    <col collapsed="false" customWidth="true" hidden="false" outlineLevel="0" max="6" min="6" style="1" width="12"/>
    <col collapsed="false" customWidth="true" hidden="false" outlineLevel="0" max="7" min="7" style="1" width="26"/>
    <col collapsed="false" customWidth="true" hidden="false" outlineLevel="0" max="8" min="8" style="1" width="9"/>
    <col collapsed="false" customWidth="true" hidden="false" outlineLevel="0" max="9" min="9" style="1" width="44"/>
  </cols>
  <sheetData>
    <row r="1" customFormat="false" ht="17.25" hidden="false" customHeight="true" outlineLevel="0" collapsed="false">
      <c r="A1" s="2" t="s">
        <v>6150</v>
      </c>
    </row>
    <row r="2" customFormat="false" ht="15" hidden="false" customHeight="true" outlineLevel="0" collapsed="false">
      <c r="A2" s="3" t="s">
        <v>5950</v>
      </c>
    </row>
    <row r="4" customFormat="false" ht="23.25" hidden="false" customHeight="true" outlineLevel="0" collapsed="false">
      <c r="A4" s="5" t="s">
        <v>32</v>
      </c>
      <c r="B4" s="5" t="s">
        <v>5951</v>
      </c>
      <c r="C4" s="5" t="s">
        <v>5952</v>
      </c>
      <c r="D4" s="5" t="s">
        <v>5953</v>
      </c>
      <c r="E4" s="5" t="s">
        <v>5954</v>
      </c>
      <c r="F4" s="5" t="s">
        <v>5955</v>
      </c>
      <c r="G4" s="5" t="s">
        <v>5956</v>
      </c>
      <c r="H4" s="5" t="s">
        <v>5957</v>
      </c>
      <c r="I4" s="5" t="s">
        <v>5958</v>
      </c>
    </row>
    <row r="5" customFormat="false" ht="15" hidden="false" customHeight="true" outlineLevel="0" collapsed="false">
      <c r="A5" s="44" t="str">
        <f aca="false">"ENROLMENT MODULE: "&amp;COUNTIF($A$6:$A$33,"Enrolment")&amp;" Tender rows"</f>
        <v>ENROLMENT MODULE: 28 Tender rows</v>
      </c>
      <c r="B5" s="44"/>
      <c r="C5" s="44"/>
      <c r="D5" s="44"/>
      <c r="E5" s="44"/>
      <c r="F5" s="44"/>
      <c r="G5" s="44"/>
      <c r="H5" s="44"/>
      <c r="I5" s="44"/>
    </row>
    <row r="6" customFormat="false" ht="34.5" hidden="false" customHeight="true" outlineLevel="0" collapsed="false">
      <c r="A6" s="32" t="s">
        <v>38</v>
      </c>
      <c r="B6" s="32" t="s">
        <v>5959</v>
      </c>
      <c r="C6" s="38" t="s">
        <v>1271</v>
      </c>
      <c r="D6" s="38" t="s">
        <v>6151</v>
      </c>
      <c r="E6" s="38"/>
      <c r="F6" s="32" t="s">
        <v>101</v>
      </c>
      <c r="G6" s="38"/>
      <c r="H6" s="32" t="n">
        <v>337</v>
      </c>
      <c r="I6" s="38"/>
    </row>
    <row r="7" customFormat="false" ht="45.75" hidden="false" customHeight="true" outlineLevel="0" collapsed="false">
      <c r="A7" s="32" t="s">
        <v>38</v>
      </c>
      <c r="B7" s="32" t="s">
        <v>89</v>
      </c>
      <c r="C7" s="38" t="s">
        <v>2169</v>
      </c>
      <c r="D7" s="38" t="s">
        <v>6152</v>
      </c>
      <c r="E7" s="38"/>
      <c r="F7" s="32" t="s">
        <v>101</v>
      </c>
      <c r="G7" s="38"/>
      <c r="H7" s="32" t="n">
        <v>440</v>
      </c>
      <c r="I7" s="38"/>
    </row>
    <row r="8" customFormat="false" ht="34.5" hidden="false" customHeight="true" outlineLevel="0" collapsed="false">
      <c r="A8" s="32" t="s">
        <v>38</v>
      </c>
      <c r="B8" s="32" t="s">
        <v>89</v>
      </c>
      <c r="C8" s="38" t="s">
        <v>2191</v>
      </c>
      <c r="D8" s="38" t="s">
        <v>6153</v>
      </c>
      <c r="E8" s="38"/>
      <c r="F8" s="32" t="s">
        <v>101</v>
      </c>
      <c r="G8" s="38"/>
      <c r="H8" s="32" t="n">
        <v>441</v>
      </c>
      <c r="I8" s="38"/>
    </row>
    <row r="9" customFormat="false" ht="45.75" hidden="false" customHeight="true" outlineLevel="0" collapsed="false">
      <c r="A9" s="32" t="s">
        <v>38</v>
      </c>
      <c r="B9" s="32" t="s">
        <v>89</v>
      </c>
      <c r="C9" s="38" t="s">
        <v>2191</v>
      </c>
      <c r="D9" s="38" t="s">
        <v>6154</v>
      </c>
      <c r="E9" s="38" t="s">
        <v>6155</v>
      </c>
      <c r="F9" s="32" t="s">
        <v>101</v>
      </c>
      <c r="G9" s="38"/>
      <c r="H9" s="32" t="n">
        <v>442</v>
      </c>
      <c r="I9" s="38"/>
    </row>
    <row r="10" customFormat="false" ht="34.5" hidden="false" customHeight="true" outlineLevel="0" collapsed="false">
      <c r="A10" s="32" t="s">
        <v>38</v>
      </c>
      <c r="B10" s="32" t="s">
        <v>89</v>
      </c>
      <c r="C10" s="38" t="s">
        <v>2210</v>
      </c>
      <c r="D10" s="38" t="s">
        <v>6156</v>
      </c>
      <c r="E10" s="38"/>
      <c r="F10" s="32" t="s">
        <v>101</v>
      </c>
      <c r="G10" s="38"/>
      <c r="H10" s="32" t="n">
        <v>443</v>
      </c>
      <c r="I10" s="38"/>
    </row>
    <row r="11" customFormat="false" ht="45.75" hidden="false" customHeight="true" outlineLevel="0" collapsed="false">
      <c r="A11" s="32" t="s">
        <v>38</v>
      </c>
      <c r="B11" s="32" t="s">
        <v>89</v>
      </c>
      <c r="C11" s="38" t="s">
        <v>2210</v>
      </c>
      <c r="D11" s="38" t="s">
        <v>6157</v>
      </c>
      <c r="E11" s="38" t="s">
        <v>6158</v>
      </c>
      <c r="F11" s="32" t="s">
        <v>101</v>
      </c>
      <c r="G11" s="38"/>
      <c r="H11" s="32" t="n">
        <v>444</v>
      </c>
      <c r="I11" s="38"/>
    </row>
    <row r="12" customFormat="false" ht="45.75" hidden="false" customHeight="true" outlineLevel="0" collapsed="false">
      <c r="A12" s="32" t="s">
        <v>38</v>
      </c>
      <c r="B12" s="32" t="s">
        <v>89</v>
      </c>
      <c r="C12" s="38" t="s">
        <v>2210</v>
      </c>
      <c r="D12" s="38" t="s">
        <v>6159</v>
      </c>
      <c r="E12" s="38" t="s">
        <v>6158</v>
      </c>
      <c r="F12" s="32" t="s">
        <v>101</v>
      </c>
      <c r="G12" s="38"/>
      <c r="H12" s="32" t="n">
        <v>445</v>
      </c>
      <c r="I12" s="38"/>
    </row>
    <row r="13" customFormat="false" ht="45.75" hidden="false" customHeight="true" outlineLevel="0" collapsed="false">
      <c r="A13" s="32" t="s">
        <v>38</v>
      </c>
      <c r="B13" s="32" t="s">
        <v>89</v>
      </c>
      <c r="C13" s="38" t="s">
        <v>2210</v>
      </c>
      <c r="D13" s="38" t="s">
        <v>6160</v>
      </c>
      <c r="E13" s="38" t="s">
        <v>6158</v>
      </c>
      <c r="F13" s="32" t="s">
        <v>101</v>
      </c>
      <c r="G13" s="38"/>
      <c r="H13" s="32" t="n">
        <v>446</v>
      </c>
      <c r="I13" s="38"/>
    </row>
    <row r="14" customFormat="false" ht="45.75" hidden="false" customHeight="true" outlineLevel="0" collapsed="false">
      <c r="A14" s="32" t="s">
        <v>38</v>
      </c>
      <c r="B14" s="32" t="s">
        <v>89</v>
      </c>
      <c r="C14" s="38" t="s">
        <v>2210</v>
      </c>
      <c r="D14" s="38" t="s">
        <v>6161</v>
      </c>
      <c r="E14" s="38" t="s">
        <v>6158</v>
      </c>
      <c r="F14" s="32" t="s">
        <v>101</v>
      </c>
      <c r="G14" s="38"/>
      <c r="H14" s="32" t="n">
        <v>447</v>
      </c>
      <c r="I14" s="38"/>
    </row>
    <row r="15" customFormat="false" ht="45.75" hidden="false" customHeight="true" outlineLevel="0" collapsed="false">
      <c r="A15" s="32" t="s">
        <v>38</v>
      </c>
      <c r="B15" s="32" t="s">
        <v>89</v>
      </c>
      <c r="C15" s="38" t="s">
        <v>2210</v>
      </c>
      <c r="D15" s="38" t="s">
        <v>6162</v>
      </c>
      <c r="E15" s="38" t="s">
        <v>6158</v>
      </c>
      <c r="F15" s="32" t="s">
        <v>101</v>
      </c>
      <c r="G15" s="38"/>
      <c r="H15" s="32" t="n">
        <v>448</v>
      </c>
      <c r="I15" s="38"/>
    </row>
    <row r="16" customFormat="false" ht="45.75" hidden="false" customHeight="true" outlineLevel="0" collapsed="false">
      <c r="A16" s="32" t="s">
        <v>38</v>
      </c>
      <c r="B16" s="32" t="s">
        <v>89</v>
      </c>
      <c r="C16" s="38" t="s">
        <v>2210</v>
      </c>
      <c r="D16" s="38" t="s">
        <v>6163</v>
      </c>
      <c r="E16" s="38" t="s">
        <v>6158</v>
      </c>
      <c r="F16" s="32" t="s">
        <v>101</v>
      </c>
      <c r="G16" s="38"/>
      <c r="H16" s="32" t="n">
        <v>449</v>
      </c>
      <c r="I16" s="38"/>
    </row>
    <row r="17" customFormat="false" ht="45.75" hidden="false" customHeight="true" outlineLevel="0" collapsed="false">
      <c r="A17" s="32" t="s">
        <v>38</v>
      </c>
      <c r="B17" s="32" t="s">
        <v>89</v>
      </c>
      <c r="C17" s="38" t="s">
        <v>2210</v>
      </c>
      <c r="D17" s="38" t="s">
        <v>6164</v>
      </c>
      <c r="E17" s="38" t="s">
        <v>6158</v>
      </c>
      <c r="F17" s="32" t="s">
        <v>101</v>
      </c>
      <c r="G17" s="38"/>
      <c r="H17" s="32" t="n">
        <v>450</v>
      </c>
      <c r="I17" s="38"/>
    </row>
    <row r="18" customFormat="false" ht="34.5" hidden="false" customHeight="true" outlineLevel="0" collapsed="false">
      <c r="A18" s="32" t="s">
        <v>38</v>
      </c>
      <c r="B18" s="32" t="s">
        <v>89</v>
      </c>
      <c r="C18" s="38" t="s">
        <v>2222</v>
      </c>
      <c r="D18" s="38" t="s">
        <v>6165</v>
      </c>
      <c r="E18" s="38"/>
      <c r="F18" s="32" t="s">
        <v>101</v>
      </c>
      <c r="G18" s="38"/>
      <c r="H18" s="32" t="n">
        <v>451</v>
      </c>
      <c r="I18" s="38"/>
    </row>
    <row r="19" customFormat="false" ht="45.75" hidden="false" customHeight="true" outlineLevel="0" collapsed="false">
      <c r="A19" s="32" t="s">
        <v>38</v>
      </c>
      <c r="B19" s="32" t="s">
        <v>89</v>
      </c>
      <c r="C19" s="38" t="s">
        <v>2222</v>
      </c>
      <c r="D19" s="38" t="s">
        <v>6166</v>
      </c>
      <c r="E19" s="38" t="s">
        <v>6167</v>
      </c>
      <c r="F19" s="32" t="s">
        <v>101</v>
      </c>
      <c r="G19" s="38"/>
      <c r="H19" s="32" t="n">
        <v>452</v>
      </c>
      <c r="I19" s="38"/>
    </row>
    <row r="20" customFormat="false" ht="45.75" hidden="false" customHeight="true" outlineLevel="0" collapsed="false">
      <c r="A20" s="32" t="s">
        <v>38</v>
      </c>
      <c r="B20" s="32" t="s">
        <v>89</v>
      </c>
      <c r="C20" s="38" t="s">
        <v>2222</v>
      </c>
      <c r="D20" s="38" t="s">
        <v>6168</v>
      </c>
      <c r="E20" s="38" t="s">
        <v>6167</v>
      </c>
      <c r="F20" s="32" t="s">
        <v>101</v>
      </c>
      <c r="G20" s="38"/>
      <c r="H20" s="32" t="n">
        <v>453</v>
      </c>
      <c r="I20" s="38"/>
    </row>
    <row r="21" customFormat="false" ht="45.75" hidden="false" customHeight="true" outlineLevel="0" collapsed="false">
      <c r="A21" s="32" t="s">
        <v>38</v>
      </c>
      <c r="B21" s="32" t="s">
        <v>89</v>
      </c>
      <c r="C21" s="38" t="s">
        <v>2222</v>
      </c>
      <c r="D21" s="38" t="s">
        <v>6169</v>
      </c>
      <c r="E21" s="38" t="s">
        <v>6167</v>
      </c>
      <c r="F21" s="32" t="s">
        <v>101</v>
      </c>
      <c r="G21" s="38"/>
      <c r="H21" s="32" t="n">
        <v>454</v>
      </c>
      <c r="I21" s="38"/>
    </row>
    <row r="22" customFormat="false" ht="45.75" hidden="false" customHeight="true" outlineLevel="0" collapsed="false">
      <c r="A22" s="32" t="s">
        <v>38</v>
      </c>
      <c r="B22" s="32" t="s">
        <v>89</v>
      </c>
      <c r="C22" s="38" t="s">
        <v>2222</v>
      </c>
      <c r="D22" s="38" t="s">
        <v>6170</v>
      </c>
      <c r="E22" s="38" t="s">
        <v>6167</v>
      </c>
      <c r="F22" s="32" t="s">
        <v>101</v>
      </c>
      <c r="G22" s="38"/>
      <c r="H22" s="32" t="n">
        <v>455</v>
      </c>
      <c r="I22" s="38"/>
    </row>
    <row r="23" customFormat="false" ht="45.75" hidden="false" customHeight="true" outlineLevel="0" collapsed="false">
      <c r="A23" s="32" t="s">
        <v>38</v>
      </c>
      <c r="B23" s="32" t="s">
        <v>89</v>
      </c>
      <c r="C23" s="38" t="s">
        <v>2222</v>
      </c>
      <c r="D23" s="38" t="s">
        <v>6171</v>
      </c>
      <c r="E23" s="38" t="s">
        <v>6167</v>
      </c>
      <c r="F23" s="32" t="s">
        <v>101</v>
      </c>
      <c r="G23" s="38"/>
      <c r="H23" s="32" t="n">
        <v>456</v>
      </c>
      <c r="I23" s="38"/>
    </row>
    <row r="24" customFormat="false" ht="45.75" hidden="false" customHeight="true" outlineLevel="0" collapsed="false">
      <c r="A24" s="32" t="s">
        <v>38</v>
      </c>
      <c r="B24" s="32" t="s">
        <v>89</v>
      </c>
      <c r="C24" s="38" t="s">
        <v>2222</v>
      </c>
      <c r="D24" s="38" t="s">
        <v>6172</v>
      </c>
      <c r="E24" s="38" t="s">
        <v>6167</v>
      </c>
      <c r="F24" s="32" t="s">
        <v>101</v>
      </c>
      <c r="G24" s="38"/>
      <c r="H24" s="32" t="n">
        <v>457</v>
      </c>
      <c r="I24" s="38"/>
    </row>
    <row r="25" customFormat="false" ht="15" hidden="false" customHeight="true" outlineLevel="0" collapsed="false">
      <c r="A25" s="32" t="s">
        <v>38</v>
      </c>
      <c r="B25" s="32" t="s">
        <v>89</v>
      </c>
      <c r="C25" s="38" t="s">
        <v>2265</v>
      </c>
      <c r="D25" s="38" t="s">
        <v>6173</v>
      </c>
      <c r="E25" s="38"/>
      <c r="F25" s="32" t="s">
        <v>101</v>
      </c>
      <c r="G25" s="38" t="s">
        <v>4564</v>
      </c>
      <c r="H25" s="32" t="n">
        <v>461</v>
      </c>
      <c r="I25" s="38"/>
    </row>
    <row r="26" customFormat="false" ht="23.25" hidden="false" customHeight="true" outlineLevel="0" collapsed="false">
      <c r="A26" s="32" t="s">
        <v>38</v>
      </c>
      <c r="B26" s="32" t="s">
        <v>89</v>
      </c>
      <c r="C26" s="38" t="s">
        <v>2265</v>
      </c>
      <c r="D26" s="38" t="s">
        <v>6174</v>
      </c>
      <c r="E26" s="38" t="s">
        <v>6173</v>
      </c>
      <c r="F26" s="32" t="s">
        <v>101</v>
      </c>
      <c r="G26" s="38" t="s">
        <v>4564</v>
      </c>
      <c r="H26" s="32" t="n">
        <v>462</v>
      </c>
      <c r="I26" s="38"/>
    </row>
    <row r="27" customFormat="false" ht="23.25" hidden="false" customHeight="true" outlineLevel="0" collapsed="false">
      <c r="A27" s="32" t="s">
        <v>38</v>
      </c>
      <c r="B27" s="32" t="s">
        <v>89</v>
      </c>
      <c r="C27" s="38" t="s">
        <v>2265</v>
      </c>
      <c r="D27" s="38" t="s">
        <v>6175</v>
      </c>
      <c r="E27" s="38" t="s">
        <v>6173</v>
      </c>
      <c r="F27" s="32" t="s">
        <v>101</v>
      </c>
      <c r="G27" s="38" t="s">
        <v>4564</v>
      </c>
      <c r="H27" s="32" t="n">
        <v>463</v>
      </c>
      <c r="I27" s="38"/>
    </row>
    <row r="28" customFormat="false" ht="23.25" hidden="false" customHeight="true" outlineLevel="0" collapsed="false">
      <c r="A28" s="32" t="s">
        <v>38</v>
      </c>
      <c r="B28" s="32" t="s">
        <v>89</v>
      </c>
      <c r="C28" s="38" t="s">
        <v>2265</v>
      </c>
      <c r="D28" s="38" t="s">
        <v>6176</v>
      </c>
      <c r="E28" s="38" t="s">
        <v>6173</v>
      </c>
      <c r="F28" s="32" t="s">
        <v>101</v>
      </c>
      <c r="G28" s="38" t="s">
        <v>4564</v>
      </c>
      <c r="H28" s="32" t="n">
        <v>464</v>
      </c>
      <c r="I28" s="38"/>
    </row>
    <row r="29" customFormat="false" ht="23.25" hidden="false" customHeight="true" outlineLevel="0" collapsed="false">
      <c r="A29" s="32" t="s">
        <v>38</v>
      </c>
      <c r="B29" s="32" t="s">
        <v>89</v>
      </c>
      <c r="C29" s="38" t="s">
        <v>2265</v>
      </c>
      <c r="D29" s="38" t="s">
        <v>6177</v>
      </c>
      <c r="E29" s="38" t="s">
        <v>6173</v>
      </c>
      <c r="F29" s="32" t="s">
        <v>101</v>
      </c>
      <c r="G29" s="38" t="s">
        <v>4564</v>
      </c>
      <c r="H29" s="32" t="n">
        <v>465</v>
      </c>
      <c r="I29" s="38"/>
    </row>
    <row r="30" customFormat="false" ht="34.5" hidden="false" customHeight="true" outlineLevel="0" collapsed="false">
      <c r="A30" s="32" t="s">
        <v>38</v>
      </c>
      <c r="B30" s="32" t="s">
        <v>89</v>
      </c>
      <c r="C30" s="38" t="s">
        <v>2303</v>
      </c>
      <c r="D30" s="38" t="s">
        <v>6178</v>
      </c>
      <c r="E30" s="38"/>
      <c r="F30" s="32" t="s">
        <v>101</v>
      </c>
      <c r="G30" s="38" t="s">
        <v>4564</v>
      </c>
      <c r="H30" s="32" t="n">
        <v>466</v>
      </c>
      <c r="I30" s="38"/>
    </row>
    <row r="31" customFormat="false" ht="34.5" hidden="false" customHeight="true" outlineLevel="0" collapsed="false">
      <c r="A31" s="32" t="s">
        <v>38</v>
      </c>
      <c r="B31" s="32" t="s">
        <v>5959</v>
      </c>
      <c r="C31" s="38" t="s">
        <v>2360</v>
      </c>
      <c r="D31" s="38" t="s">
        <v>6179</v>
      </c>
      <c r="E31" s="38"/>
      <c r="F31" s="32" t="s">
        <v>101</v>
      </c>
      <c r="G31" s="38"/>
      <c r="H31" s="32" t="n">
        <v>472</v>
      </c>
      <c r="I31" s="38"/>
    </row>
    <row r="32" customFormat="false" ht="23.25" hidden="false" customHeight="true" outlineLevel="0" collapsed="false">
      <c r="A32" s="32" t="s">
        <v>38</v>
      </c>
      <c r="B32" s="32" t="s">
        <v>5959</v>
      </c>
      <c r="C32" s="38" t="s">
        <v>2373</v>
      </c>
      <c r="D32" s="38" t="s">
        <v>6180</v>
      </c>
      <c r="E32" s="38"/>
      <c r="F32" s="32" t="s">
        <v>101</v>
      </c>
      <c r="G32" s="38" t="s">
        <v>4472</v>
      </c>
      <c r="H32" s="32" t="n">
        <v>473</v>
      </c>
      <c r="I32" s="38"/>
    </row>
    <row r="33" customFormat="false" ht="45.75" hidden="false" customHeight="true" outlineLevel="0" collapsed="false">
      <c r="A33" s="32" t="s">
        <v>38</v>
      </c>
      <c r="B33" s="32" t="s">
        <v>5959</v>
      </c>
      <c r="C33" s="38" t="s">
        <v>3254</v>
      </c>
      <c r="D33" s="38" t="s">
        <v>6009</v>
      </c>
      <c r="E33" s="38" t="s">
        <v>6010</v>
      </c>
      <c r="F33" s="32" t="s">
        <v>346</v>
      </c>
      <c r="G33" s="38"/>
      <c r="H33" s="32" t="n">
        <v>952</v>
      </c>
      <c r="I33" s="38"/>
    </row>
    <row r="34" customFormat="false" ht="15" hidden="false" customHeight="true" outlineLevel="0" collapsed="false">
      <c r="A34" s="45" t="str">
        <f aca="false">"ASSESSMENT MODULE: "&amp;COUNTIF($A$35:$A$86,"Assessment")&amp;" Tender rows"</f>
        <v>ASSESSMENT MODULE: 52 Tender rows</v>
      </c>
      <c r="B34" s="45"/>
      <c r="C34" s="45"/>
      <c r="D34" s="45"/>
      <c r="E34" s="45"/>
      <c r="F34" s="45"/>
      <c r="G34" s="45"/>
      <c r="H34" s="45"/>
      <c r="I34" s="45"/>
    </row>
    <row r="35" customFormat="false" ht="34.5" hidden="false" customHeight="true" outlineLevel="0" collapsed="false">
      <c r="A35" s="17" t="s">
        <v>39</v>
      </c>
      <c r="B35" s="17" t="s">
        <v>5959</v>
      </c>
      <c r="C35" s="40" t="s">
        <v>203</v>
      </c>
      <c r="D35" s="40" t="s">
        <v>6181</v>
      </c>
      <c r="E35" s="40"/>
      <c r="F35" s="17" t="s">
        <v>101</v>
      </c>
      <c r="G35" s="40"/>
      <c r="H35" s="17" t="n">
        <v>203</v>
      </c>
      <c r="I35" s="40"/>
    </row>
    <row r="36" customFormat="false" ht="23.25" hidden="false" customHeight="true" outlineLevel="0" collapsed="false">
      <c r="A36" s="17" t="s">
        <v>39</v>
      </c>
      <c r="B36" s="17" t="s">
        <v>89</v>
      </c>
      <c r="C36" s="40" t="s">
        <v>798</v>
      </c>
      <c r="D36" s="40" t="s">
        <v>6182</v>
      </c>
      <c r="E36" s="40"/>
      <c r="F36" s="17" t="s">
        <v>101</v>
      </c>
      <c r="G36" s="40"/>
      <c r="H36" s="17" t="n">
        <v>272</v>
      </c>
      <c r="I36" s="40"/>
    </row>
    <row r="37" customFormat="false" ht="34.5" hidden="false" customHeight="true" outlineLevel="0" collapsed="false">
      <c r="A37" s="17" t="s">
        <v>39</v>
      </c>
      <c r="B37" s="17" t="s">
        <v>89</v>
      </c>
      <c r="C37" s="40" t="s">
        <v>820</v>
      </c>
      <c r="D37" s="40" t="s">
        <v>6183</v>
      </c>
      <c r="E37" s="40"/>
      <c r="F37" s="17" t="s">
        <v>101</v>
      </c>
      <c r="G37" s="40"/>
      <c r="H37" s="17" t="n">
        <v>273</v>
      </c>
      <c r="I37" s="40"/>
    </row>
    <row r="38" customFormat="false" ht="15" hidden="false" customHeight="true" outlineLevel="0" collapsed="false">
      <c r="A38" s="17" t="s">
        <v>39</v>
      </c>
      <c r="B38" s="17" t="s">
        <v>89</v>
      </c>
      <c r="C38" s="40" t="s">
        <v>841</v>
      </c>
      <c r="D38" s="40" t="s">
        <v>6184</v>
      </c>
      <c r="E38" s="40"/>
      <c r="F38" s="17" t="s">
        <v>101</v>
      </c>
      <c r="G38" s="40"/>
      <c r="H38" s="17" t="n">
        <v>274</v>
      </c>
      <c r="I38" s="40"/>
    </row>
    <row r="39" customFormat="false" ht="34.5" hidden="false" customHeight="true" outlineLevel="0" collapsed="false">
      <c r="A39" s="17" t="s">
        <v>39</v>
      </c>
      <c r="B39" s="17" t="s">
        <v>89</v>
      </c>
      <c r="C39" s="40" t="s">
        <v>855</v>
      </c>
      <c r="D39" s="40" t="s">
        <v>6185</v>
      </c>
      <c r="E39" s="40"/>
      <c r="F39" s="17" t="s">
        <v>101</v>
      </c>
      <c r="G39" s="40"/>
      <c r="H39" s="17" t="n">
        <v>275</v>
      </c>
      <c r="I39" s="40"/>
    </row>
    <row r="40" customFormat="false" ht="15" hidden="false" customHeight="true" outlineLevel="0" collapsed="false">
      <c r="A40" s="17" t="s">
        <v>39</v>
      </c>
      <c r="B40" s="17" t="s">
        <v>89</v>
      </c>
      <c r="C40" s="40" t="s">
        <v>868</v>
      </c>
      <c r="D40" s="40" t="s">
        <v>6186</v>
      </c>
      <c r="E40" s="40"/>
      <c r="F40" s="17" t="s">
        <v>101</v>
      </c>
      <c r="G40" s="40"/>
      <c r="H40" s="17" t="n">
        <v>276</v>
      </c>
      <c r="I40" s="40"/>
    </row>
    <row r="41" customFormat="false" ht="23.25" hidden="false" customHeight="true" outlineLevel="0" collapsed="false">
      <c r="A41" s="17" t="s">
        <v>39</v>
      </c>
      <c r="B41" s="17" t="s">
        <v>89</v>
      </c>
      <c r="C41" s="40" t="s">
        <v>868</v>
      </c>
      <c r="D41" s="40" t="s">
        <v>6187</v>
      </c>
      <c r="E41" s="40" t="s">
        <v>6186</v>
      </c>
      <c r="F41" s="17" t="s">
        <v>101</v>
      </c>
      <c r="G41" s="40"/>
      <c r="H41" s="17" t="n">
        <v>277</v>
      </c>
      <c r="I41" s="40"/>
    </row>
    <row r="42" customFormat="false" ht="23.25" hidden="false" customHeight="true" outlineLevel="0" collapsed="false">
      <c r="A42" s="17" t="s">
        <v>39</v>
      </c>
      <c r="B42" s="17" t="s">
        <v>89</v>
      </c>
      <c r="C42" s="40" t="s">
        <v>868</v>
      </c>
      <c r="D42" s="40" t="s">
        <v>6188</v>
      </c>
      <c r="E42" s="40" t="s">
        <v>6186</v>
      </c>
      <c r="F42" s="17" t="s">
        <v>101</v>
      </c>
      <c r="G42" s="40"/>
      <c r="H42" s="17" t="n">
        <v>278</v>
      </c>
      <c r="I42" s="40"/>
    </row>
    <row r="43" customFormat="false" ht="23.25" hidden="false" customHeight="true" outlineLevel="0" collapsed="false">
      <c r="A43" s="17" t="s">
        <v>39</v>
      </c>
      <c r="B43" s="17" t="s">
        <v>89</v>
      </c>
      <c r="C43" s="40" t="s">
        <v>868</v>
      </c>
      <c r="D43" s="40" t="s">
        <v>6189</v>
      </c>
      <c r="E43" s="40" t="s">
        <v>6186</v>
      </c>
      <c r="F43" s="17" t="s">
        <v>101</v>
      </c>
      <c r="G43" s="40"/>
      <c r="H43" s="17" t="n">
        <v>279</v>
      </c>
      <c r="I43" s="40"/>
    </row>
    <row r="44" customFormat="false" ht="23.25" hidden="false" customHeight="true" outlineLevel="0" collapsed="false">
      <c r="A44" s="17" t="s">
        <v>39</v>
      </c>
      <c r="B44" s="17" t="s">
        <v>89</v>
      </c>
      <c r="C44" s="40" t="s">
        <v>868</v>
      </c>
      <c r="D44" s="40" t="s">
        <v>6190</v>
      </c>
      <c r="E44" s="40" t="s">
        <v>6186</v>
      </c>
      <c r="F44" s="17" t="s">
        <v>101</v>
      </c>
      <c r="G44" s="40"/>
      <c r="H44" s="17" t="n">
        <v>280</v>
      </c>
      <c r="I44" s="40"/>
    </row>
    <row r="45" customFormat="false" ht="68.25" hidden="false" customHeight="true" outlineLevel="0" collapsed="false">
      <c r="A45" s="17" t="s">
        <v>39</v>
      </c>
      <c r="B45" s="17" t="s">
        <v>5959</v>
      </c>
      <c r="C45" s="40" t="s">
        <v>903</v>
      </c>
      <c r="D45" s="40" t="s">
        <v>6191</v>
      </c>
      <c r="E45" s="40"/>
      <c r="F45" s="17" t="s">
        <v>101</v>
      </c>
      <c r="G45" s="40"/>
      <c r="H45" s="17" t="n">
        <v>282</v>
      </c>
      <c r="I45" s="40"/>
    </row>
    <row r="46" customFormat="false" ht="23.25" hidden="false" customHeight="true" outlineLevel="0" collapsed="false">
      <c r="A46" s="17" t="s">
        <v>39</v>
      </c>
      <c r="B46" s="17" t="s">
        <v>5959</v>
      </c>
      <c r="C46" s="40" t="s">
        <v>923</v>
      </c>
      <c r="D46" s="40" t="s">
        <v>6192</v>
      </c>
      <c r="E46" s="40"/>
      <c r="F46" s="17" t="s">
        <v>101</v>
      </c>
      <c r="G46" s="40"/>
      <c r="H46" s="17" t="n">
        <v>283</v>
      </c>
      <c r="I46" s="40"/>
    </row>
    <row r="47" customFormat="false" ht="45.75" hidden="false" customHeight="true" outlineLevel="0" collapsed="false">
      <c r="A47" s="17" t="s">
        <v>39</v>
      </c>
      <c r="B47" s="17" t="s">
        <v>5959</v>
      </c>
      <c r="C47" s="40" t="s">
        <v>923</v>
      </c>
      <c r="D47" s="40" t="s">
        <v>6193</v>
      </c>
      <c r="E47" s="40" t="s">
        <v>6194</v>
      </c>
      <c r="F47" s="17" t="s">
        <v>101</v>
      </c>
      <c r="G47" s="40"/>
      <c r="H47" s="17" t="n">
        <v>284</v>
      </c>
      <c r="I47" s="40"/>
    </row>
    <row r="48" customFormat="false" ht="34.5" hidden="false" customHeight="true" outlineLevel="0" collapsed="false">
      <c r="A48" s="17" t="s">
        <v>39</v>
      </c>
      <c r="B48" s="17" t="s">
        <v>5959</v>
      </c>
      <c r="C48" s="40" t="s">
        <v>943</v>
      </c>
      <c r="D48" s="40" t="s">
        <v>6195</v>
      </c>
      <c r="E48" s="40"/>
      <c r="F48" s="17" t="s">
        <v>101</v>
      </c>
      <c r="G48" s="40"/>
      <c r="H48" s="17" t="n">
        <v>285</v>
      </c>
      <c r="I48" s="40"/>
    </row>
    <row r="49" customFormat="false" ht="45.75" hidden="false" customHeight="true" outlineLevel="0" collapsed="false">
      <c r="A49" s="17" t="s">
        <v>39</v>
      </c>
      <c r="B49" s="17" t="s">
        <v>5959</v>
      </c>
      <c r="C49" s="40" t="s">
        <v>956</v>
      </c>
      <c r="D49" s="40" t="s">
        <v>6196</v>
      </c>
      <c r="E49" s="40"/>
      <c r="F49" s="17" t="s">
        <v>101</v>
      </c>
      <c r="G49" s="40"/>
      <c r="H49" s="17" t="n">
        <v>286</v>
      </c>
      <c r="I49" s="40"/>
    </row>
    <row r="50" customFormat="false" ht="23.25" hidden="false" customHeight="true" outlineLevel="0" collapsed="false">
      <c r="A50" s="17" t="s">
        <v>39</v>
      </c>
      <c r="B50" s="17" t="s">
        <v>5959</v>
      </c>
      <c r="C50" s="40" t="s">
        <v>969</v>
      </c>
      <c r="D50" s="40" t="s">
        <v>6197</v>
      </c>
      <c r="E50" s="40"/>
      <c r="F50" s="17" t="s">
        <v>101</v>
      </c>
      <c r="G50" s="40"/>
      <c r="H50" s="17" t="n">
        <v>287</v>
      </c>
      <c r="I50" s="40"/>
    </row>
    <row r="51" customFormat="false" ht="23.25" hidden="false" customHeight="true" outlineLevel="0" collapsed="false">
      <c r="A51" s="17" t="s">
        <v>39</v>
      </c>
      <c r="B51" s="17" t="s">
        <v>89</v>
      </c>
      <c r="C51" s="40" t="s">
        <v>2622</v>
      </c>
      <c r="D51" s="40" t="s">
        <v>6198</v>
      </c>
      <c r="E51" s="40"/>
      <c r="F51" s="17" t="s">
        <v>101</v>
      </c>
      <c r="G51" s="40"/>
      <c r="H51" s="17" t="n">
        <v>547</v>
      </c>
      <c r="I51" s="40"/>
    </row>
    <row r="52" customFormat="false" ht="23.25" hidden="false" customHeight="true" outlineLevel="0" collapsed="false">
      <c r="A52" s="17" t="s">
        <v>39</v>
      </c>
      <c r="B52" s="17" t="s">
        <v>89</v>
      </c>
      <c r="C52" s="40" t="s">
        <v>2642</v>
      </c>
      <c r="D52" s="40" t="s">
        <v>6199</v>
      </c>
      <c r="E52" s="40"/>
      <c r="F52" s="17" t="s">
        <v>101</v>
      </c>
      <c r="G52" s="40"/>
      <c r="H52" s="17" t="n">
        <v>548</v>
      </c>
      <c r="I52" s="40"/>
    </row>
    <row r="53" customFormat="false" ht="23.25" hidden="false" customHeight="true" outlineLevel="0" collapsed="false">
      <c r="A53" s="17" t="s">
        <v>39</v>
      </c>
      <c r="B53" s="17" t="s">
        <v>89</v>
      </c>
      <c r="C53" s="40" t="s">
        <v>2654</v>
      </c>
      <c r="D53" s="40" t="s">
        <v>6200</v>
      </c>
      <c r="E53" s="40"/>
      <c r="F53" s="17" t="s">
        <v>101</v>
      </c>
      <c r="G53" s="40" t="s">
        <v>4443</v>
      </c>
      <c r="H53" s="17" t="n">
        <v>549</v>
      </c>
      <c r="I53" s="40"/>
    </row>
    <row r="54" customFormat="false" ht="23.25" hidden="false" customHeight="true" outlineLevel="0" collapsed="false">
      <c r="A54" s="17" t="s">
        <v>39</v>
      </c>
      <c r="B54" s="17" t="s">
        <v>89</v>
      </c>
      <c r="C54" s="40" t="s">
        <v>2675</v>
      </c>
      <c r="D54" s="40" t="s">
        <v>6201</v>
      </c>
      <c r="E54" s="40"/>
      <c r="F54" s="17" t="s">
        <v>101</v>
      </c>
      <c r="G54" s="40" t="s">
        <v>4443</v>
      </c>
      <c r="H54" s="17" t="n">
        <v>550</v>
      </c>
      <c r="I54" s="40"/>
    </row>
    <row r="55" customFormat="false" ht="23.25" hidden="false" customHeight="true" outlineLevel="0" collapsed="false">
      <c r="A55" s="17" t="s">
        <v>39</v>
      </c>
      <c r="B55" s="17" t="s">
        <v>89</v>
      </c>
      <c r="C55" s="40" t="s">
        <v>2696</v>
      </c>
      <c r="D55" s="40" t="s">
        <v>6202</v>
      </c>
      <c r="E55" s="40"/>
      <c r="F55" s="17" t="s">
        <v>101</v>
      </c>
      <c r="G55" s="40"/>
      <c r="H55" s="17" t="n">
        <v>551</v>
      </c>
      <c r="I55" s="40"/>
    </row>
    <row r="56" customFormat="false" ht="15" hidden="false" customHeight="true" outlineLevel="0" collapsed="false">
      <c r="A56" s="17" t="s">
        <v>39</v>
      </c>
      <c r="B56" s="17" t="s">
        <v>89</v>
      </c>
      <c r="C56" s="40" t="s">
        <v>2709</v>
      </c>
      <c r="D56" s="40" t="s">
        <v>6203</v>
      </c>
      <c r="E56" s="40"/>
      <c r="F56" s="17" t="s">
        <v>101</v>
      </c>
      <c r="G56" s="40"/>
      <c r="H56" s="17" t="n">
        <v>552</v>
      </c>
      <c r="I56" s="40"/>
    </row>
    <row r="57" customFormat="false" ht="23.25" hidden="false" customHeight="true" outlineLevel="0" collapsed="false">
      <c r="A57" s="17" t="s">
        <v>39</v>
      </c>
      <c r="B57" s="17" t="s">
        <v>89</v>
      </c>
      <c r="C57" s="40" t="s">
        <v>2729</v>
      </c>
      <c r="D57" s="40" t="s">
        <v>6204</v>
      </c>
      <c r="E57" s="40"/>
      <c r="F57" s="17" t="s">
        <v>101</v>
      </c>
      <c r="G57" s="40"/>
      <c r="H57" s="17" t="n">
        <v>554</v>
      </c>
      <c r="I57" s="40"/>
    </row>
    <row r="58" customFormat="false" ht="45.75" hidden="false" customHeight="true" outlineLevel="0" collapsed="false">
      <c r="A58" s="17" t="s">
        <v>39</v>
      </c>
      <c r="B58" s="17" t="s">
        <v>89</v>
      </c>
      <c r="C58" s="40" t="s">
        <v>2729</v>
      </c>
      <c r="D58" s="40" t="s">
        <v>6205</v>
      </c>
      <c r="E58" s="40" t="s">
        <v>6206</v>
      </c>
      <c r="F58" s="17" t="s">
        <v>101</v>
      </c>
      <c r="G58" s="40"/>
      <c r="H58" s="17" t="n">
        <v>555</v>
      </c>
      <c r="I58" s="40"/>
    </row>
    <row r="59" customFormat="false" ht="45.75" hidden="false" customHeight="true" outlineLevel="0" collapsed="false">
      <c r="A59" s="17" t="s">
        <v>39</v>
      </c>
      <c r="B59" s="17" t="s">
        <v>89</v>
      </c>
      <c r="C59" s="40" t="s">
        <v>2729</v>
      </c>
      <c r="D59" s="40" t="s">
        <v>6207</v>
      </c>
      <c r="E59" s="40" t="s">
        <v>6206</v>
      </c>
      <c r="F59" s="17" t="s">
        <v>101</v>
      </c>
      <c r="G59" s="40"/>
      <c r="H59" s="17" t="n">
        <v>556</v>
      </c>
      <c r="I59" s="40"/>
    </row>
    <row r="60" customFormat="false" ht="45.75" hidden="false" customHeight="true" outlineLevel="0" collapsed="false">
      <c r="A60" s="17" t="s">
        <v>39</v>
      </c>
      <c r="B60" s="17" t="s">
        <v>89</v>
      </c>
      <c r="C60" s="40" t="s">
        <v>2729</v>
      </c>
      <c r="D60" s="40" t="s">
        <v>6208</v>
      </c>
      <c r="E60" s="40" t="s">
        <v>6206</v>
      </c>
      <c r="F60" s="17" t="s">
        <v>101</v>
      </c>
      <c r="G60" s="40"/>
      <c r="H60" s="17" t="n">
        <v>557</v>
      </c>
      <c r="I60" s="40"/>
    </row>
    <row r="61" customFormat="false" ht="45.75" hidden="false" customHeight="true" outlineLevel="0" collapsed="false">
      <c r="A61" s="17" t="s">
        <v>39</v>
      </c>
      <c r="B61" s="17" t="s">
        <v>89</v>
      </c>
      <c r="C61" s="40" t="s">
        <v>2729</v>
      </c>
      <c r="D61" s="40" t="s">
        <v>6209</v>
      </c>
      <c r="E61" s="40" t="s">
        <v>6206</v>
      </c>
      <c r="F61" s="17" t="s">
        <v>101</v>
      </c>
      <c r="G61" s="40"/>
      <c r="H61" s="17" t="n">
        <v>558</v>
      </c>
      <c r="I61" s="40"/>
    </row>
    <row r="62" customFormat="false" ht="45.75" hidden="false" customHeight="true" outlineLevel="0" collapsed="false">
      <c r="A62" s="17" t="s">
        <v>39</v>
      </c>
      <c r="B62" s="17" t="s">
        <v>89</v>
      </c>
      <c r="C62" s="40" t="s">
        <v>2729</v>
      </c>
      <c r="D62" s="40" t="s">
        <v>6210</v>
      </c>
      <c r="E62" s="40" t="s">
        <v>6206</v>
      </c>
      <c r="F62" s="17" t="s">
        <v>101</v>
      </c>
      <c r="G62" s="40"/>
      <c r="H62" s="17" t="n">
        <v>559</v>
      </c>
      <c r="I62" s="40"/>
    </row>
    <row r="63" customFormat="false" ht="45.75" hidden="false" customHeight="true" outlineLevel="0" collapsed="false">
      <c r="A63" s="17" t="s">
        <v>39</v>
      </c>
      <c r="B63" s="17" t="s">
        <v>89</v>
      </c>
      <c r="C63" s="40" t="s">
        <v>2729</v>
      </c>
      <c r="D63" s="40" t="s">
        <v>6211</v>
      </c>
      <c r="E63" s="40" t="s">
        <v>6206</v>
      </c>
      <c r="F63" s="17" t="s">
        <v>101</v>
      </c>
      <c r="G63" s="40"/>
      <c r="H63" s="17" t="n">
        <v>560</v>
      </c>
      <c r="I63" s="40"/>
    </row>
    <row r="64" customFormat="false" ht="45.75" hidden="false" customHeight="true" outlineLevel="0" collapsed="false">
      <c r="A64" s="17" t="s">
        <v>39</v>
      </c>
      <c r="B64" s="17" t="s">
        <v>89</v>
      </c>
      <c r="C64" s="40" t="s">
        <v>2729</v>
      </c>
      <c r="D64" s="40" t="s">
        <v>6212</v>
      </c>
      <c r="E64" s="40" t="s">
        <v>6206</v>
      </c>
      <c r="F64" s="17" t="s">
        <v>101</v>
      </c>
      <c r="G64" s="40"/>
      <c r="H64" s="17" t="n">
        <v>561</v>
      </c>
      <c r="I64" s="40"/>
    </row>
    <row r="65" customFormat="false" ht="23.25" hidden="false" customHeight="true" outlineLevel="0" collapsed="false">
      <c r="A65" s="17" t="s">
        <v>39</v>
      </c>
      <c r="B65" s="17" t="s">
        <v>89</v>
      </c>
      <c r="C65" s="40" t="s">
        <v>2741</v>
      </c>
      <c r="D65" s="40" t="s">
        <v>6213</v>
      </c>
      <c r="E65" s="40"/>
      <c r="F65" s="17" t="s">
        <v>101</v>
      </c>
      <c r="G65" s="40"/>
      <c r="H65" s="17" t="n">
        <v>562</v>
      </c>
      <c r="I65" s="40"/>
    </row>
    <row r="66" customFormat="false" ht="15" hidden="false" customHeight="true" outlineLevel="0" collapsed="false">
      <c r="A66" s="17" t="s">
        <v>39</v>
      </c>
      <c r="B66" s="17" t="s">
        <v>89</v>
      </c>
      <c r="C66" s="40" t="s">
        <v>2767</v>
      </c>
      <c r="D66" s="40" t="s">
        <v>6214</v>
      </c>
      <c r="E66" s="40"/>
      <c r="F66" s="17" t="s">
        <v>101</v>
      </c>
      <c r="G66" s="40"/>
      <c r="H66" s="17" t="n">
        <v>563</v>
      </c>
      <c r="I66" s="40"/>
    </row>
    <row r="67" customFormat="false" ht="23.25" hidden="false" customHeight="true" outlineLevel="0" collapsed="false">
      <c r="A67" s="17" t="s">
        <v>39</v>
      </c>
      <c r="B67" s="17" t="s">
        <v>89</v>
      </c>
      <c r="C67" s="40" t="s">
        <v>2779</v>
      </c>
      <c r="D67" s="40" t="s">
        <v>6215</v>
      </c>
      <c r="E67" s="40"/>
      <c r="F67" s="17" t="s">
        <v>101</v>
      </c>
      <c r="G67" s="40"/>
      <c r="H67" s="17" t="n">
        <v>564</v>
      </c>
      <c r="I67" s="40"/>
    </row>
    <row r="68" customFormat="false" ht="23.25" hidden="false" customHeight="true" outlineLevel="0" collapsed="false">
      <c r="A68" s="17" t="s">
        <v>39</v>
      </c>
      <c r="B68" s="17" t="s">
        <v>89</v>
      </c>
      <c r="C68" s="40" t="s">
        <v>2792</v>
      </c>
      <c r="D68" s="40" t="s">
        <v>6216</v>
      </c>
      <c r="E68" s="40"/>
      <c r="F68" s="17" t="s">
        <v>101</v>
      </c>
      <c r="G68" s="40"/>
      <c r="H68" s="17" t="n">
        <v>565</v>
      </c>
      <c r="I68" s="40"/>
    </row>
    <row r="69" customFormat="false" ht="34.5" hidden="false" customHeight="true" outlineLevel="0" collapsed="false">
      <c r="A69" s="17" t="s">
        <v>39</v>
      </c>
      <c r="B69" s="17" t="s">
        <v>89</v>
      </c>
      <c r="C69" s="40" t="s">
        <v>2821</v>
      </c>
      <c r="D69" s="40" t="s">
        <v>6217</v>
      </c>
      <c r="E69" s="40"/>
      <c r="F69" s="17" t="s">
        <v>101</v>
      </c>
      <c r="G69" s="40"/>
      <c r="H69" s="17" t="n">
        <v>566</v>
      </c>
      <c r="I69" s="40"/>
    </row>
    <row r="70" customFormat="false" ht="15" hidden="false" customHeight="true" outlineLevel="0" collapsed="false">
      <c r="A70" s="17" t="s">
        <v>39</v>
      </c>
      <c r="B70" s="17" t="s">
        <v>89</v>
      </c>
      <c r="C70" s="40" t="s">
        <v>2844</v>
      </c>
      <c r="D70" s="40" t="s">
        <v>6218</v>
      </c>
      <c r="E70" s="40"/>
      <c r="F70" s="17" t="s">
        <v>101</v>
      </c>
      <c r="G70" s="40"/>
      <c r="H70" s="17" t="n">
        <v>567</v>
      </c>
      <c r="I70" s="40"/>
    </row>
    <row r="71" customFormat="false" ht="15" hidden="false" customHeight="true" outlineLevel="0" collapsed="false">
      <c r="A71" s="17" t="s">
        <v>39</v>
      </c>
      <c r="B71" s="17" t="s">
        <v>89</v>
      </c>
      <c r="C71" s="40" t="s">
        <v>2857</v>
      </c>
      <c r="D71" s="40" t="s">
        <v>6219</v>
      </c>
      <c r="E71" s="40"/>
      <c r="F71" s="17" t="s">
        <v>101</v>
      </c>
      <c r="G71" s="40"/>
      <c r="H71" s="17" t="n">
        <v>568</v>
      </c>
      <c r="I71" s="40"/>
    </row>
    <row r="72" customFormat="false" ht="23.25" hidden="false" customHeight="true" outlineLevel="0" collapsed="false">
      <c r="A72" s="17" t="s">
        <v>39</v>
      </c>
      <c r="B72" s="17" t="s">
        <v>89</v>
      </c>
      <c r="C72" s="40" t="s">
        <v>2870</v>
      </c>
      <c r="D72" s="40" t="s">
        <v>6220</v>
      </c>
      <c r="E72" s="40"/>
      <c r="F72" s="17" t="s">
        <v>101</v>
      </c>
      <c r="G72" s="40" t="s">
        <v>4443</v>
      </c>
      <c r="H72" s="17" t="n">
        <v>569</v>
      </c>
      <c r="I72" s="40"/>
    </row>
    <row r="73" customFormat="false" ht="34.5" hidden="false" customHeight="true" outlineLevel="0" collapsed="false">
      <c r="A73" s="17" t="s">
        <v>39</v>
      </c>
      <c r="B73" s="17" t="s">
        <v>89</v>
      </c>
      <c r="C73" s="40" t="s">
        <v>2888</v>
      </c>
      <c r="D73" s="40" t="s">
        <v>6221</v>
      </c>
      <c r="E73" s="40"/>
      <c r="F73" s="17" t="s">
        <v>101</v>
      </c>
      <c r="G73" s="40"/>
      <c r="H73" s="17" t="n">
        <v>570</v>
      </c>
      <c r="I73" s="40"/>
    </row>
    <row r="74" customFormat="false" ht="23.25" hidden="false" customHeight="true" outlineLevel="0" collapsed="false">
      <c r="A74" s="17" t="s">
        <v>39</v>
      </c>
      <c r="B74" s="17" t="s">
        <v>89</v>
      </c>
      <c r="C74" s="40" t="s">
        <v>2913</v>
      </c>
      <c r="D74" s="40" t="s">
        <v>6222</v>
      </c>
      <c r="E74" s="40"/>
      <c r="F74" s="17" t="s">
        <v>101</v>
      </c>
      <c r="G74" s="40"/>
      <c r="H74" s="17" t="n">
        <v>571</v>
      </c>
      <c r="I74" s="40"/>
    </row>
    <row r="75" customFormat="false" ht="23.25" hidden="false" customHeight="true" outlineLevel="0" collapsed="false">
      <c r="A75" s="17" t="s">
        <v>39</v>
      </c>
      <c r="B75" s="17" t="s">
        <v>89</v>
      </c>
      <c r="C75" s="40" t="s">
        <v>2927</v>
      </c>
      <c r="D75" s="40" t="s">
        <v>6223</v>
      </c>
      <c r="E75" s="40"/>
      <c r="F75" s="17" t="s">
        <v>101</v>
      </c>
      <c r="G75" s="40"/>
      <c r="H75" s="17" t="n">
        <v>572</v>
      </c>
      <c r="I75" s="40"/>
    </row>
    <row r="76" customFormat="false" ht="34.5" hidden="false" customHeight="true" outlineLevel="0" collapsed="false">
      <c r="A76" s="17" t="s">
        <v>39</v>
      </c>
      <c r="B76" s="17" t="s">
        <v>89</v>
      </c>
      <c r="C76" s="40" t="s">
        <v>2927</v>
      </c>
      <c r="D76" s="40" t="s">
        <v>6224</v>
      </c>
      <c r="E76" s="40" t="s">
        <v>6223</v>
      </c>
      <c r="F76" s="17" t="s">
        <v>101</v>
      </c>
      <c r="G76" s="40"/>
      <c r="H76" s="17" t="n">
        <v>573</v>
      </c>
      <c r="I76" s="40"/>
    </row>
    <row r="77" customFormat="false" ht="23.25" hidden="false" customHeight="true" outlineLevel="0" collapsed="false">
      <c r="A77" s="17" t="s">
        <v>39</v>
      </c>
      <c r="B77" s="17" t="s">
        <v>89</v>
      </c>
      <c r="C77" s="40" t="s">
        <v>2953</v>
      </c>
      <c r="D77" s="40" t="s">
        <v>6225</v>
      </c>
      <c r="E77" s="40"/>
      <c r="F77" s="17" t="s">
        <v>101</v>
      </c>
      <c r="G77" s="40"/>
      <c r="H77" s="17" t="n">
        <v>574</v>
      </c>
      <c r="I77" s="40"/>
    </row>
    <row r="78" customFormat="false" ht="34.5" hidden="false" customHeight="true" outlineLevel="0" collapsed="false">
      <c r="A78" s="17" t="s">
        <v>39</v>
      </c>
      <c r="B78" s="17" t="s">
        <v>89</v>
      </c>
      <c r="C78" s="40" t="s">
        <v>2966</v>
      </c>
      <c r="D78" s="40" t="s">
        <v>6226</v>
      </c>
      <c r="E78" s="40"/>
      <c r="F78" s="17" t="s">
        <v>101</v>
      </c>
      <c r="G78" s="40"/>
      <c r="H78" s="17" t="n">
        <v>576</v>
      </c>
      <c r="I78" s="40"/>
    </row>
    <row r="79" customFormat="false" ht="23.25" hidden="false" customHeight="true" outlineLevel="0" collapsed="false">
      <c r="A79" s="17" t="s">
        <v>39</v>
      </c>
      <c r="B79" s="17" t="s">
        <v>89</v>
      </c>
      <c r="C79" s="40" t="s">
        <v>2990</v>
      </c>
      <c r="D79" s="40" t="s">
        <v>6227</v>
      </c>
      <c r="E79" s="40"/>
      <c r="F79" s="17" t="s">
        <v>101</v>
      </c>
      <c r="G79" s="40"/>
      <c r="H79" s="17" t="n">
        <v>578</v>
      </c>
      <c r="I79" s="40"/>
    </row>
    <row r="80" customFormat="false" ht="34.5" hidden="false" customHeight="true" outlineLevel="0" collapsed="false">
      <c r="A80" s="17" t="s">
        <v>39</v>
      </c>
      <c r="B80" s="17" t="s">
        <v>89</v>
      </c>
      <c r="C80" s="40" t="s">
        <v>3008</v>
      </c>
      <c r="D80" s="40" t="s">
        <v>6228</v>
      </c>
      <c r="E80" s="40"/>
      <c r="F80" s="17" t="s">
        <v>101</v>
      </c>
      <c r="G80" s="40"/>
      <c r="H80" s="17" t="n">
        <v>579</v>
      </c>
      <c r="I80" s="40"/>
    </row>
    <row r="81" customFormat="false" ht="34.5" hidden="false" customHeight="true" outlineLevel="0" collapsed="false">
      <c r="A81" s="17" t="s">
        <v>39</v>
      </c>
      <c r="B81" s="17" t="s">
        <v>89</v>
      </c>
      <c r="C81" s="40" t="s">
        <v>3021</v>
      </c>
      <c r="D81" s="40" t="s">
        <v>6229</v>
      </c>
      <c r="E81" s="40"/>
      <c r="F81" s="17" t="s">
        <v>101</v>
      </c>
      <c r="G81" s="40"/>
      <c r="H81" s="17" t="n">
        <v>580</v>
      </c>
      <c r="I81" s="40"/>
    </row>
    <row r="82" customFormat="false" ht="23.25" hidden="false" customHeight="true" outlineLevel="0" collapsed="false">
      <c r="A82" s="17" t="s">
        <v>39</v>
      </c>
      <c r="B82" s="17" t="s">
        <v>89</v>
      </c>
      <c r="C82" s="40" t="s">
        <v>3039</v>
      </c>
      <c r="D82" s="40" t="s">
        <v>6230</v>
      </c>
      <c r="E82" s="40"/>
      <c r="F82" s="17" t="s">
        <v>101</v>
      </c>
      <c r="G82" s="40"/>
      <c r="H82" s="17" t="n">
        <v>581</v>
      </c>
      <c r="I82" s="40"/>
    </row>
    <row r="83" customFormat="false" ht="34.5" hidden="false" customHeight="true" outlineLevel="0" collapsed="false">
      <c r="A83" s="17" t="s">
        <v>39</v>
      </c>
      <c r="B83" s="17" t="s">
        <v>89</v>
      </c>
      <c r="C83" s="40" t="s">
        <v>3039</v>
      </c>
      <c r="D83" s="40" t="s">
        <v>6231</v>
      </c>
      <c r="E83" s="40" t="s">
        <v>6230</v>
      </c>
      <c r="F83" s="17" t="s">
        <v>101</v>
      </c>
      <c r="G83" s="40"/>
      <c r="H83" s="17" t="n">
        <v>582</v>
      </c>
      <c r="I83" s="40"/>
    </row>
    <row r="84" customFormat="false" ht="34.5" hidden="false" customHeight="true" outlineLevel="0" collapsed="false">
      <c r="A84" s="17" t="s">
        <v>39</v>
      </c>
      <c r="B84" s="17" t="s">
        <v>89</v>
      </c>
      <c r="C84" s="40" t="s">
        <v>3059</v>
      </c>
      <c r="D84" s="40" t="s">
        <v>6232</v>
      </c>
      <c r="E84" s="40"/>
      <c r="F84" s="17" t="s">
        <v>101</v>
      </c>
      <c r="G84" s="40"/>
      <c r="H84" s="17" t="n">
        <v>583</v>
      </c>
      <c r="I84" s="40"/>
    </row>
    <row r="85" customFormat="false" ht="45.75" hidden="false" customHeight="true" outlineLevel="0" collapsed="false">
      <c r="A85" s="17" t="s">
        <v>39</v>
      </c>
      <c r="B85" s="17" t="s">
        <v>5959</v>
      </c>
      <c r="C85" s="40" t="s">
        <v>3254</v>
      </c>
      <c r="D85" s="40" t="s">
        <v>6017</v>
      </c>
      <c r="E85" s="40" t="s">
        <v>6010</v>
      </c>
      <c r="F85" s="17" t="s">
        <v>346</v>
      </c>
      <c r="G85" s="40"/>
      <c r="H85" s="17" t="n">
        <v>953</v>
      </c>
      <c r="I85" s="40"/>
    </row>
    <row r="86" customFormat="false" ht="45.75" hidden="false" customHeight="true" outlineLevel="0" collapsed="false">
      <c r="A86" s="17" t="s">
        <v>39</v>
      </c>
      <c r="B86" s="17" t="s">
        <v>5959</v>
      </c>
      <c r="C86" s="40" t="s">
        <v>3254</v>
      </c>
      <c r="D86" s="40" t="s">
        <v>6018</v>
      </c>
      <c r="E86" s="40" t="s">
        <v>6010</v>
      </c>
      <c r="F86" s="17" t="s">
        <v>346</v>
      </c>
      <c r="G86" s="40"/>
      <c r="H86" s="17" t="n">
        <v>954</v>
      </c>
      <c r="I86" s="40"/>
    </row>
    <row r="87" customFormat="false" ht="15" hidden="false" customHeight="true" outlineLevel="0" collapsed="false">
      <c r="A87" s="46" t="str">
        <f aca="false">"FUNDING MODULE: "&amp;COUNTIF($A$88:$A$119,"Funding")&amp;" Tender rows"</f>
        <v>FUNDING MODULE: 32 Tender rows</v>
      </c>
      <c r="B87" s="46"/>
      <c r="C87" s="46"/>
      <c r="D87" s="46"/>
      <c r="E87" s="46"/>
      <c r="F87" s="46"/>
      <c r="G87" s="46"/>
      <c r="H87" s="46"/>
      <c r="I87" s="46"/>
    </row>
    <row r="88" customFormat="false" ht="15" hidden="false" customHeight="true" outlineLevel="0" collapsed="false">
      <c r="A88" s="35" t="s">
        <v>40</v>
      </c>
      <c r="B88" s="35" t="s">
        <v>89</v>
      </c>
      <c r="C88" s="42" t="s">
        <v>324</v>
      </c>
      <c r="D88" s="42" t="s">
        <v>6233</v>
      </c>
      <c r="E88" s="42"/>
      <c r="F88" s="35" t="s">
        <v>101</v>
      </c>
      <c r="G88" s="42"/>
      <c r="H88" s="35" t="n">
        <v>230</v>
      </c>
      <c r="I88" s="42"/>
    </row>
    <row r="89" customFormat="false" ht="23.25" hidden="false" customHeight="true" outlineLevel="0" collapsed="false">
      <c r="A89" s="35" t="s">
        <v>40</v>
      </c>
      <c r="B89" s="35" t="s">
        <v>89</v>
      </c>
      <c r="C89" s="42" t="s">
        <v>324</v>
      </c>
      <c r="D89" s="42" t="s">
        <v>6234</v>
      </c>
      <c r="E89" s="42" t="s">
        <v>6233</v>
      </c>
      <c r="F89" s="35" t="s">
        <v>101</v>
      </c>
      <c r="G89" s="42"/>
      <c r="H89" s="35" t="n">
        <v>231</v>
      </c>
      <c r="I89" s="42"/>
    </row>
    <row r="90" customFormat="false" ht="23.25" hidden="false" customHeight="true" outlineLevel="0" collapsed="false">
      <c r="A90" s="35" t="s">
        <v>40</v>
      </c>
      <c r="B90" s="35" t="s">
        <v>89</v>
      </c>
      <c r="C90" s="42" t="s">
        <v>324</v>
      </c>
      <c r="D90" s="42" t="s">
        <v>6235</v>
      </c>
      <c r="E90" s="42" t="s">
        <v>6233</v>
      </c>
      <c r="F90" s="35" t="s">
        <v>101</v>
      </c>
      <c r="G90" s="42"/>
      <c r="H90" s="35" t="n">
        <v>232</v>
      </c>
      <c r="I90" s="42"/>
    </row>
    <row r="91" customFormat="false" ht="34.5" hidden="false" customHeight="true" outlineLevel="0" collapsed="false">
      <c r="A91" s="35" t="s">
        <v>40</v>
      </c>
      <c r="B91" s="35" t="s">
        <v>89</v>
      </c>
      <c r="C91" s="42" t="s">
        <v>345</v>
      </c>
      <c r="D91" s="42" t="s">
        <v>6236</v>
      </c>
      <c r="E91" s="42" t="s">
        <v>6022</v>
      </c>
      <c r="F91" s="35" t="s">
        <v>101</v>
      </c>
      <c r="G91" s="42"/>
      <c r="H91" s="35" t="n">
        <v>237</v>
      </c>
      <c r="I91" s="42"/>
    </row>
    <row r="92" customFormat="false" ht="34.5" hidden="false" customHeight="true" outlineLevel="0" collapsed="false">
      <c r="A92" s="35" t="s">
        <v>40</v>
      </c>
      <c r="B92" s="35" t="s">
        <v>89</v>
      </c>
      <c r="C92" s="42" t="s">
        <v>345</v>
      </c>
      <c r="D92" s="42" t="s">
        <v>6237</v>
      </c>
      <c r="E92" s="42" t="s">
        <v>6022</v>
      </c>
      <c r="F92" s="35" t="s">
        <v>101</v>
      </c>
      <c r="G92" s="42"/>
      <c r="H92" s="35" t="n">
        <v>238</v>
      </c>
      <c r="I92" s="42"/>
    </row>
    <row r="93" customFormat="false" ht="45.75" hidden="false" customHeight="true" outlineLevel="0" collapsed="false">
      <c r="A93" s="35" t="s">
        <v>40</v>
      </c>
      <c r="B93" s="35" t="s">
        <v>89</v>
      </c>
      <c r="C93" s="42" t="s">
        <v>516</v>
      </c>
      <c r="D93" s="42" t="s">
        <v>6238</v>
      </c>
      <c r="E93" s="42" t="s">
        <v>6239</v>
      </c>
      <c r="F93" s="35" t="s">
        <v>101</v>
      </c>
      <c r="G93" s="42" t="s">
        <v>4402</v>
      </c>
      <c r="H93" s="35" t="n">
        <v>251</v>
      </c>
      <c r="I93" s="42"/>
    </row>
    <row r="94" customFormat="false" ht="34.5" hidden="false" customHeight="true" outlineLevel="0" collapsed="false">
      <c r="A94" s="35" t="s">
        <v>40</v>
      </c>
      <c r="B94" s="35" t="s">
        <v>5959</v>
      </c>
      <c r="C94" s="42" t="s">
        <v>1250</v>
      </c>
      <c r="D94" s="42" t="s">
        <v>6240</v>
      </c>
      <c r="E94" s="42" t="s">
        <v>6241</v>
      </c>
      <c r="F94" s="35" t="s">
        <v>101</v>
      </c>
      <c r="G94" s="42"/>
      <c r="H94" s="35" t="n">
        <v>333</v>
      </c>
      <c r="I94" s="42"/>
    </row>
    <row r="95" customFormat="false" ht="34.5" hidden="false" customHeight="true" outlineLevel="0" collapsed="false">
      <c r="A95" s="35" t="s">
        <v>40</v>
      </c>
      <c r="B95" s="35" t="s">
        <v>5959</v>
      </c>
      <c r="C95" s="42" t="s">
        <v>1250</v>
      </c>
      <c r="D95" s="42" t="s">
        <v>6242</v>
      </c>
      <c r="E95" s="42" t="s">
        <v>6241</v>
      </c>
      <c r="F95" s="35" t="s">
        <v>101</v>
      </c>
      <c r="G95" s="42"/>
      <c r="H95" s="35" t="n">
        <v>334</v>
      </c>
      <c r="I95" s="42"/>
    </row>
    <row r="96" customFormat="false" ht="34.5" hidden="false" customHeight="true" outlineLevel="0" collapsed="false">
      <c r="A96" s="35" t="s">
        <v>40</v>
      </c>
      <c r="B96" s="35" t="s">
        <v>5959</v>
      </c>
      <c r="C96" s="42" t="s">
        <v>1250</v>
      </c>
      <c r="D96" s="42" t="s">
        <v>6243</v>
      </c>
      <c r="E96" s="42" t="s">
        <v>6241</v>
      </c>
      <c r="F96" s="35" t="s">
        <v>101</v>
      </c>
      <c r="G96" s="42"/>
      <c r="H96" s="35" t="n">
        <v>335</v>
      </c>
      <c r="I96" s="42"/>
    </row>
    <row r="97" customFormat="false" ht="34.5" hidden="false" customHeight="true" outlineLevel="0" collapsed="false">
      <c r="A97" s="35" t="s">
        <v>40</v>
      </c>
      <c r="B97" s="35" t="s">
        <v>5959</v>
      </c>
      <c r="C97" s="42" t="s">
        <v>1250</v>
      </c>
      <c r="D97" s="42" t="s">
        <v>6244</v>
      </c>
      <c r="E97" s="42" t="s">
        <v>6241</v>
      </c>
      <c r="F97" s="35" t="s">
        <v>101</v>
      </c>
      <c r="G97" s="42"/>
      <c r="H97" s="35" t="n">
        <v>336</v>
      </c>
      <c r="I97" s="42"/>
    </row>
    <row r="98" customFormat="false" ht="23.25" hidden="false" customHeight="true" outlineLevel="0" collapsed="false">
      <c r="A98" s="35" t="s">
        <v>40</v>
      </c>
      <c r="B98" s="35" t="s">
        <v>89</v>
      </c>
      <c r="C98" s="42" t="s">
        <v>1628</v>
      </c>
      <c r="D98" s="42" t="s">
        <v>6245</v>
      </c>
      <c r="E98" s="42"/>
      <c r="F98" s="35" t="s">
        <v>101</v>
      </c>
      <c r="G98" s="42"/>
      <c r="H98" s="35" t="n">
        <v>356</v>
      </c>
      <c r="I98" s="42"/>
    </row>
    <row r="99" customFormat="false" ht="23.25" hidden="false" customHeight="true" outlineLevel="0" collapsed="false">
      <c r="A99" s="35" t="s">
        <v>40</v>
      </c>
      <c r="B99" s="35" t="s">
        <v>89</v>
      </c>
      <c r="C99" s="42" t="s">
        <v>1669</v>
      </c>
      <c r="D99" s="42" t="s">
        <v>6246</v>
      </c>
      <c r="E99" s="42"/>
      <c r="F99" s="35" t="s">
        <v>101</v>
      </c>
      <c r="G99" s="42" t="s">
        <v>4402</v>
      </c>
      <c r="H99" s="35" t="n">
        <v>358</v>
      </c>
      <c r="I99" s="42"/>
    </row>
    <row r="100" customFormat="false" ht="23.25" hidden="false" customHeight="true" outlineLevel="0" collapsed="false">
      <c r="A100" s="35" t="s">
        <v>40</v>
      </c>
      <c r="B100" s="35" t="s">
        <v>89</v>
      </c>
      <c r="C100" s="42" t="s">
        <v>2324</v>
      </c>
      <c r="D100" s="42" t="s">
        <v>6247</v>
      </c>
      <c r="E100" s="42"/>
      <c r="F100" s="35" t="s">
        <v>101</v>
      </c>
      <c r="G100" s="42"/>
      <c r="H100" s="35" t="n">
        <v>468</v>
      </c>
      <c r="I100" s="42"/>
    </row>
    <row r="101" customFormat="false" ht="45.75" hidden="false" customHeight="true" outlineLevel="0" collapsed="false">
      <c r="A101" s="35" t="s">
        <v>40</v>
      </c>
      <c r="B101" s="35" t="s">
        <v>89</v>
      </c>
      <c r="C101" s="42" t="s">
        <v>2324</v>
      </c>
      <c r="D101" s="42" t="s">
        <v>6248</v>
      </c>
      <c r="E101" s="42" t="s">
        <v>6247</v>
      </c>
      <c r="F101" s="35" t="s">
        <v>101</v>
      </c>
      <c r="G101" s="42"/>
      <c r="H101" s="35" t="n">
        <v>469</v>
      </c>
      <c r="I101" s="42"/>
    </row>
    <row r="102" customFormat="false" ht="45.75" hidden="false" customHeight="true" outlineLevel="0" collapsed="false">
      <c r="A102" s="35" t="s">
        <v>40</v>
      </c>
      <c r="B102" s="35" t="s">
        <v>89</v>
      </c>
      <c r="C102" s="42" t="s">
        <v>2324</v>
      </c>
      <c r="D102" s="42" t="s">
        <v>6249</v>
      </c>
      <c r="E102" s="42" t="s">
        <v>6247</v>
      </c>
      <c r="F102" s="35" t="s">
        <v>101</v>
      </c>
      <c r="G102" s="42"/>
      <c r="H102" s="35" t="n">
        <v>470</v>
      </c>
      <c r="I102" s="42"/>
    </row>
    <row r="103" customFormat="false" ht="45.75" hidden="false" customHeight="true" outlineLevel="0" collapsed="false">
      <c r="A103" s="35" t="s">
        <v>40</v>
      </c>
      <c r="B103" s="35" t="s">
        <v>5959</v>
      </c>
      <c r="C103" s="42" t="s">
        <v>2391</v>
      </c>
      <c r="D103" s="42" t="s">
        <v>6250</v>
      </c>
      <c r="E103" s="42" t="s">
        <v>6119</v>
      </c>
      <c r="F103" s="35" t="s">
        <v>101</v>
      </c>
      <c r="G103" s="42"/>
      <c r="H103" s="35" t="n">
        <v>478</v>
      </c>
      <c r="I103" s="42"/>
    </row>
    <row r="104" customFormat="false" ht="45.75" hidden="false" customHeight="true" outlineLevel="0" collapsed="false">
      <c r="A104" s="35" t="s">
        <v>40</v>
      </c>
      <c r="B104" s="35" t="s">
        <v>5959</v>
      </c>
      <c r="C104" s="42" t="s">
        <v>2421</v>
      </c>
      <c r="D104" s="42" t="s">
        <v>6250</v>
      </c>
      <c r="E104" s="42" t="s">
        <v>6125</v>
      </c>
      <c r="F104" s="35" t="s">
        <v>101</v>
      </c>
      <c r="G104" s="42"/>
      <c r="H104" s="35" t="n">
        <v>489</v>
      </c>
      <c r="I104" s="42"/>
    </row>
    <row r="105" customFormat="false" ht="45.75" hidden="false" customHeight="true" outlineLevel="0" collapsed="false">
      <c r="A105" s="35" t="s">
        <v>40</v>
      </c>
      <c r="B105" s="35" t="s">
        <v>5959</v>
      </c>
      <c r="C105" s="42" t="s">
        <v>3107</v>
      </c>
      <c r="D105" s="42" t="s">
        <v>6251</v>
      </c>
      <c r="E105" s="42"/>
      <c r="F105" s="35" t="s">
        <v>101</v>
      </c>
      <c r="G105" s="42"/>
      <c r="H105" s="35" t="n">
        <v>621</v>
      </c>
      <c r="I105" s="42"/>
    </row>
    <row r="106" customFormat="false" ht="23.25" hidden="false" customHeight="true" outlineLevel="0" collapsed="false">
      <c r="A106" s="35" t="s">
        <v>40</v>
      </c>
      <c r="B106" s="35" t="s">
        <v>89</v>
      </c>
      <c r="C106" s="42" t="s">
        <v>3129</v>
      </c>
      <c r="D106" s="42" t="s">
        <v>6252</v>
      </c>
      <c r="E106" s="42"/>
      <c r="F106" s="35" t="s">
        <v>101</v>
      </c>
      <c r="G106" s="42"/>
      <c r="H106" s="35" t="n">
        <v>641</v>
      </c>
      <c r="I106" s="42"/>
    </row>
    <row r="107" customFormat="false" ht="34.5" hidden="false" customHeight="true" outlineLevel="0" collapsed="false">
      <c r="A107" s="35" t="s">
        <v>40</v>
      </c>
      <c r="B107" s="35" t="s">
        <v>89</v>
      </c>
      <c r="C107" s="42" t="s">
        <v>3129</v>
      </c>
      <c r="D107" s="42" t="s">
        <v>6253</v>
      </c>
      <c r="E107" s="42" t="s">
        <v>6252</v>
      </c>
      <c r="F107" s="35" t="s">
        <v>101</v>
      </c>
      <c r="G107" s="42"/>
      <c r="H107" s="35" t="n">
        <v>642</v>
      </c>
      <c r="I107" s="42"/>
    </row>
    <row r="108" customFormat="false" ht="34.5" hidden="false" customHeight="true" outlineLevel="0" collapsed="false">
      <c r="A108" s="35" t="s">
        <v>40</v>
      </c>
      <c r="B108" s="35" t="s">
        <v>89</v>
      </c>
      <c r="C108" s="42" t="s">
        <v>3129</v>
      </c>
      <c r="D108" s="42" t="s">
        <v>6254</v>
      </c>
      <c r="E108" s="42" t="s">
        <v>6252</v>
      </c>
      <c r="F108" s="35" t="s">
        <v>101</v>
      </c>
      <c r="G108" s="42"/>
      <c r="H108" s="35" t="n">
        <v>643</v>
      </c>
      <c r="I108" s="42"/>
    </row>
    <row r="109" customFormat="false" ht="34.5" hidden="false" customHeight="true" outlineLevel="0" collapsed="false">
      <c r="A109" s="35" t="s">
        <v>40</v>
      </c>
      <c r="B109" s="35" t="s">
        <v>89</v>
      </c>
      <c r="C109" s="42" t="s">
        <v>3129</v>
      </c>
      <c r="D109" s="42" t="s">
        <v>6255</v>
      </c>
      <c r="E109" s="42" t="s">
        <v>6252</v>
      </c>
      <c r="F109" s="35" t="s">
        <v>101</v>
      </c>
      <c r="G109" s="42"/>
      <c r="H109" s="35" t="n">
        <v>644</v>
      </c>
      <c r="I109" s="42"/>
    </row>
    <row r="110" customFormat="false" ht="34.5" hidden="false" customHeight="true" outlineLevel="0" collapsed="false">
      <c r="A110" s="35" t="s">
        <v>40</v>
      </c>
      <c r="B110" s="35" t="s">
        <v>89</v>
      </c>
      <c r="C110" s="42" t="s">
        <v>3129</v>
      </c>
      <c r="D110" s="42" t="s">
        <v>6256</v>
      </c>
      <c r="E110" s="42" t="s">
        <v>6252</v>
      </c>
      <c r="F110" s="35" t="s">
        <v>101</v>
      </c>
      <c r="G110" s="42"/>
      <c r="H110" s="35" t="n">
        <v>645</v>
      </c>
      <c r="I110" s="42"/>
    </row>
    <row r="111" customFormat="false" ht="23.25" hidden="false" customHeight="true" outlineLevel="0" collapsed="false">
      <c r="A111" s="35" t="s">
        <v>40</v>
      </c>
      <c r="B111" s="35" t="s">
        <v>89</v>
      </c>
      <c r="C111" s="42" t="s">
        <v>3157</v>
      </c>
      <c r="D111" s="42" t="s">
        <v>6257</v>
      </c>
      <c r="E111" s="42"/>
      <c r="F111" s="35" t="s">
        <v>101</v>
      </c>
      <c r="G111" s="42"/>
      <c r="H111" s="35" t="n">
        <v>657</v>
      </c>
      <c r="I111" s="42"/>
    </row>
    <row r="112" customFormat="false" ht="23.25" hidden="false" customHeight="true" outlineLevel="0" collapsed="false">
      <c r="A112" s="35" t="s">
        <v>40</v>
      </c>
      <c r="B112" s="35" t="s">
        <v>89</v>
      </c>
      <c r="C112" s="42" t="s">
        <v>3175</v>
      </c>
      <c r="D112" s="42" t="s">
        <v>6258</v>
      </c>
      <c r="E112" s="42"/>
      <c r="F112" s="35" t="s">
        <v>101</v>
      </c>
      <c r="G112" s="42"/>
      <c r="H112" s="35" t="n">
        <v>659</v>
      </c>
      <c r="I112" s="42"/>
    </row>
    <row r="113" customFormat="false" ht="15" hidden="false" customHeight="true" outlineLevel="0" collapsed="false">
      <c r="A113" s="35" t="s">
        <v>40</v>
      </c>
      <c r="B113" s="35" t="s">
        <v>89</v>
      </c>
      <c r="C113" s="42" t="s">
        <v>3195</v>
      </c>
      <c r="D113" s="42" t="s">
        <v>6259</v>
      </c>
      <c r="E113" s="42"/>
      <c r="F113" s="35" t="s">
        <v>101</v>
      </c>
      <c r="G113" s="42"/>
      <c r="H113" s="35" t="n">
        <v>660</v>
      </c>
      <c r="I113" s="42"/>
    </row>
    <row r="114" customFormat="false" ht="23.25" hidden="false" customHeight="true" outlineLevel="0" collapsed="false">
      <c r="A114" s="35" t="s">
        <v>40</v>
      </c>
      <c r="B114" s="35" t="s">
        <v>89</v>
      </c>
      <c r="C114" s="42" t="s">
        <v>3207</v>
      </c>
      <c r="D114" s="42" t="s">
        <v>6260</v>
      </c>
      <c r="E114" s="42"/>
      <c r="F114" s="35" t="s">
        <v>101</v>
      </c>
      <c r="G114" s="42"/>
      <c r="H114" s="35" t="n">
        <v>661</v>
      </c>
      <c r="I114" s="42"/>
    </row>
    <row r="115" customFormat="false" ht="23.25" hidden="false" customHeight="true" outlineLevel="0" collapsed="false">
      <c r="A115" s="35" t="s">
        <v>40</v>
      </c>
      <c r="B115" s="35" t="s">
        <v>5959</v>
      </c>
      <c r="C115" s="42" t="s">
        <v>3234</v>
      </c>
      <c r="D115" s="42" t="s">
        <v>6032</v>
      </c>
      <c r="E115" s="42"/>
      <c r="F115" s="35" t="s">
        <v>346</v>
      </c>
      <c r="G115" s="42"/>
      <c r="H115" s="35" t="n">
        <v>947</v>
      </c>
      <c r="I115" s="42"/>
    </row>
    <row r="116" customFormat="false" ht="45.75" hidden="false" customHeight="true" outlineLevel="0" collapsed="false">
      <c r="A116" s="35" t="s">
        <v>40</v>
      </c>
      <c r="B116" s="35" t="s">
        <v>89</v>
      </c>
      <c r="C116" s="42" t="s">
        <v>3254</v>
      </c>
      <c r="D116" s="42" t="s">
        <v>6033</v>
      </c>
      <c r="E116" s="42" t="s">
        <v>6010</v>
      </c>
      <c r="F116" s="35" t="s">
        <v>346</v>
      </c>
      <c r="G116" s="42"/>
      <c r="H116" s="35" t="n">
        <v>950</v>
      </c>
      <c r="I116" s="42"/>
    </row>
    <row r="117" customFormat="false" ht="45.75" hidden="false" customHeight="true" outlineLevel="0" collapsed="false">
      <c r="A117" s="35" t="s">
        <v>40</v>
      </c>
      <c r="B117" s="35" t="s">
        <v>89</v>
      </c>
      <c r="C117" s="42" t="s">
        <v>3254</v>
      </c>
      <c r="D117" s="42" t="s">
        <v>6034</v>
      </c>
      <c r="E117" s="42" t="s">
        <v>6010</v>
      </c>
      <c r="F117" s="35" t="s">
        <v>346</v>
      </c>
      <c r="G117" s="42"/>
      <c r="H117" s="35" t="n">
        <v>951</v>
      </c>
      <c r="I117" s="42"/>
    </row>
    <row r="118" customFormat="false" ht="45.75" hidden="false" customHeight="true" outlineLevel="0" collapsed="false">
      <c r="A118" s="35" t="s">
        <v>40</v>
      </c>
      <c r="B118" s="35" t="s">
        <v>89</v>
      </c>
      <c r="C118" s="42" t="s">
        <v>3254</v>
      </c>
      <c r="D118" s="42" t="s">
        <v>6035</v>
      </c>
      <c r="E118" s="42" t="s">
        <v>6010</v>
      </c>
      <c r="F118" s="35" t="s">
        <v>346</v>
      </c>
      <c r="G118" s="42"/>
      <c r="H118" s="35" t="n">
        <v>956</v>
      </c>
      <c r="I118" s="42"/>
    </row>
    <row r="119" customFormat="false" ht="23.25" hidden="false" customHeight="true" outlineLevel="0" collapsed="false">
      <c r="A119" s="35" t="s">
        <v>40</v>
      </c>
      <c r="B119" s="35" t="s">
        <v>89</v>
      </c>
      <c r="C119" s="42" t="s">
        <v>3414</v>
      </c>
      <c r="D119" s="42" t="s">
        <v>6261</v>
      </c>
      <c r="E119" s="42"/>
      <c r="F119" s="35" t="s">
        <v>101</v>
      </c>
      <c r="G119" s="42"/>
      <c r="H119" s="35" t="n">
        <v>968</v>
      </c>
      <c r="I119" s="42"/>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16"/>
    <col collapsed="false" customWidth="true" hidden="false" outlineLevel="0" max="4" min="4" style="1" width="80"/>
    <col collapsed="false" customWidth="true" hidden="false" outlineLevel="0" max="5" min="5" style="1" width="40"/>
    <col collapsed="false" customWidth="true" hidden="false" outlineLevel="0" max="6" min="6" style="1" width="12"/>
    <col collapsed="false" customWidth="true" hidden="false" outlineLevel="0" max="7" min="7" style="1" width="26"/>
    <col collapsed="false" customWidth="true" hidden="false" outlineLevel="0" max="8" min="8" style="1" width="9"/>
    <col collapsed="false" customWidth="true" hidden="false" outlineLevel="0" max="9" min="9" style="1" width="44"/>
  </cols>
  <sheetData>
    <row r="1" customFormat="false" ht="17.25" hidden="false" customHeight="true" outlineLevel="0" collapsed="false">
      <c r="A1" s="2" t="s">
        <v>6262</v>
      </c>
    </row>
    <row r="2" customFormat="false" ht="15" hidden="false" customHeight="true" outlineLevel="0" collapsed="false">
      <c r="A2" s="3" t="s">
        <v>6263</v>
      </c>
    </row>
    <row r="4" customFormat="false" ht="23.25" hidden="false" customHeight="true" outlineLevel="0" collapsed="false">
      <c r="A4" s="5" t="s">
        <v>32</v>
      </c>
      <c r="B4" s="5" t="s">
        <v>5951</v>
      </c>
      <c r="C4" s="5" t="s">
        <v>5952</v>
      </c>
      <c r="D4" s="5" t="s">
        <v>5953</v>
      </c>
      <c r="E4" s="5" t="s">
        <v>5954</v>
      </c>
      <c r="F4" s="5" t="s">
        <v>5955</v>
      </c>
      <c r="G4" s="5" t="s">
        <v>5956</v>
      </c>
      <c r="H4" s="5" t="s">
        <v>5957</v>
      </c>
      <c r="I4" s="5" t="s">
        <v>5958</v>
      </c>
    </row>
    <row r="5" customFormat="false" ht="15" hidden="false" customHeight="true" outlineLevel="0" collapsed="false">
      <c r="A5" s="44" t="str">
        <f aca="false">"ENROLMENT MODULE: "&amp;COUNTIF($A$6:$A$9,"Enrolment")&amp;" Tender rows"</f>
        <v>ENROLMENT MODULE: 4 Tender rows</v>
      </c>
      <c r="B5" s="44"/>
      <c r="C5" s="44"/>
      <c r="D5" s="44"/>
      <c r="E5" s="44"/>
      <c r="F5" s="44"/>
      <c r="G5" s="44"/>
      <c r="H5" s="44"/>
      <c r="I5" s="44"/>
    </row>
    <row r="6" customFormat="false" ht="45.75" hidden="false" customHeight="true" outlineLevel="0" collapsed="false">
      <c r="A6" s="32" t="s">
        <v>38</v>
      </c>
      <c r="B6" s="32" t="s">
        <v>89</v>
      </c>
      <c r="C6" s="38" t="s">
        <v>1690</v>
      </c>
      <c r="D6" s="38" t="s">
        <v>5991</v>
      </c>
      <c r="E6" s="38" t="s">
        <v>5991</v>
      </c>
      <c r="F6" s="32" t="s">
        <v>6264</v>
      </c>
      <c r="G6" s="38"/>
      <c r="H6" s="32" t="n">
        <v>359</v>
      </c>
      <c r="I6" s="38" t="s">
        <v>6265</v>
      </c>
    </row>
    <row r="7" customFormat="false" ht="23.25" hidden="false" customHeight="true" outlineLevel="0" collapsed="false">
      <c r="A7" s="32" t="s">
        <v>38</v>
      </c>
      <c r="B7" s="32" t="s">
        <v>89</v>
      </c>
      <c r="C7" s="38" t="s">
        <v>1731</v>
      </c>
      <c r="D7" s="38" t="s">
        <v>6045</v>
      </c>
      <c r="E7" s="38"/>
      <c r="F7" s="32" t="s">
        <v>6264</v>
      </c>
      <c r="G7" s="38"/>
      <c r="H7" s="32" t="n">
        <v>381</v>
      </c>
      <c r="I7" s="38" t="s">
        <v>6266</v>
      </c>
    </row>
    <row r="8" customFormat="false" ht="34.5" hidden="false" customHeight="true" outlineLevel="0" collapsed="false">
      <c r="A8" s="32" t="s">
        <v>38</v>
      </c>
      <c r="B8" s="32" t="s">
        <v>89</v>
      </c>
      <c r="C8" s="38" t="s">
        <v>1731</v>
      </c>
      <c r="D8" s="38" t="s">
        <v>6267</v>
      </c>
      <c r="E8" s="38" t="s">
        <v>6045</v>
      </c>
      <c r="F8" s="32" t="s">
        <v>6264</v>
      </c>
      <c r="G8" s="38"/>
      <c r="H8" s="32" t="n">
        <v>391</v>
      </c>
      <c r="I8" s="38" t="s">
        <v>6266</v>
      </c>
    </row>
    <row r="9" customFormat="false" ht="23.25" hidden="false" customHeight="true" outlineLevel="0" collapsed="false">
      <c r="A9" s="32" t="s">
        <v>38</v>
      </c>
      <c r="B9" s="32" t="s">
        <v>89</v>
      </c>
      <c r="C9" s="38" t="s">
        <v>2235</v>
      </c>
      <c r="D9" s="38" t="s">
        <v>6268</v>
      </c>
      <c r="E9" s="38"/>
      <c r="F9" s="32" t="s">
        <v>6264</v>
      </c>
      <c r="G9" s="38"/>
      <c r="H9" s="32" t="n">
        <v>458</v>
      </c>
      <c r="I9" s="38" t="s">
        <v>6269</v>
      </c>
    </row>
    <row r="10" customFormat="false" ht="15" hidden="false" customHeight="true" outlineLevel="0" collapsed="false">
      <c r="A10" s="45" t="str">
        <f aca="false">"ASSESSMENT MODULE: "&amp;COUNTIF($A$11:$A$11,"Assessment")&amp;" Tender rows"</f>
        <v>ASSESSMENT MODULE: 1 Tender rows</v>
      </c>
      <c r="B10" s="45"/>
      <c r="C10" s="45"/>
      <c r="D10" s="45"/>
      <c r="E10" s="45"/>
      <c r="F10" s="45"/>
      <c r="G10" s="45"/>
      <c r="H10" s="45"/>
      <c r="I10" s="45"/>
    </row>
    <row r="11" customFormat="false" ht="45.75" hidden="false" customHeight="true" outlineLevel="0" collapsed="false">
      <c r="A11" s="17" t="s">
        <v>39</v>
      </c>
      <c r="B11" s="17" t="s">
        <v>5959</v>
      </c>
      <c r="C11" s="40" t="s">
        <v>3254</v>
      </c>
      <c r="D11" s="40" t="s">
        <v>6270</v>
      </c>
      <c r="E11" s="40" t="s">
        <v>6010</v>
      </c>
      <c r="F11" s="17" t="s">
        <v>6264</v>
      </c>
      <c r="G11" s="40"/>
      <c r="H11" s="17" t="n">
        <v>955</v>
      </c>
      <c r="I11" s="40" t="s">
        <v>6271</v>
      </c>
    </row>
    <row r="12" customFormat="false" ht="15" hidden="false" customHeight="true" outlineLevel="0" collapsed="false">
      <c r="A12" s="46" t="str">
        <f aca="false">"FUNDING MODULE: "&amp;COUNTIF($A$13:$A$30,"Funding")&amp;" Tender rows"</f>
        <v>FUNDING MODULE: 18 Tender rows</v>
      </c>
      <c r="B12" s="46"/>
      <c r="C12" s="46"/>
      <c r="D12" s="46"/>
      <c r="E12" s="46"/>
      <c r="F12" s="46"/>
      <c r="G12" s="46"/>
      <c r="H12" s="46"/>
      <c r="I12" s="46"/>
    </row>
    <row r="13" customFormat="false" ht="23.25" hidden="false" customHeight="true" outlineLevel="0" collapsed="false">
      <c r="A13" s="35" t="s">
        <v>40</v>
      </c>
      <c r="B13" s="35" t="s">
        <v>89</v>
      </c>
      <c r="C13" s="42" t="s">
        <v>259</v>
      </c>
      <c r="D13" s="42" t="s">
        <v>6088</v>
      </c>
      <c r="E13" s="42"/>
      <c r="F13" s="35" t="s">
        <v>6264</v>
      </c>
      <c r="G13" s="42"/>
      <c r="H13" s="35" t="n">
        <v>224</v>
      </c>
      <c r="I13" s="42" t="s">
        <v>6266</v>
      </c>
    </row>
    <row r="14" customFormat="false" ht="23.25" hidden="false" customHeight="true" outlineLevel="0" collapsed="false">
      <c r="A14" s="35" t="s">
        <v>40</v>
      </c>
      <c r="B14" s="35" t="s">
        <v>89</v>
      </c>
      <c r="C14" s="42" t="s">
        <v>345</v>
      </c>
      <c r="D14" s="42" t="s">
        <v>6022</v>
      </c>
      <c r="E14" s="42"/>
      <c r="F14" s="35" t="s">
        <v>6264</v>
      </c>
      <c r="G14" s="42"/>
      <c r="H14" s="35" t="n">
        <v>233</v>
      </c>
      <c r="I14" s="42" t="s">
        <v>6271</v>
      </c>
    </row>
    <row r="15" customFormat="false" ht="34.5" hidden="false" customHeight="true" outlineLevel="0" collapsed="false">
      <c r="A15" s="35" t="s">
        <v>40</v>
      </c>
      <c r="B15" s="35" t="s">
        <v>89</v>
      </c>
      <c r="C15" s="42" t="s">
        <v>345</v>
      </c>
      <c r="D15" s="42" t="s">
        <v>6272</v>
      </c>
      <c r="E15" s="42" t="s">
        <v>6022</v>
      </c>
      <c r="F15" s="35" t="s">
        <v>6264</v>
      </c>
      <c r="G15" s="42"/>
      <c r="H15" s="35" t="n">
        <v>234</v>
      </c>
      <c r="I15" s="42" t="s">
        <v>6271</v>
      </c>
    </row>
    <row r="16" customFormat="false" ht="34.5" hidden="false" customHeight="true" outlineLevel="0" collapsed="false">
      <c r="A16" s="35" t="s">
        <v>40</v>
      </c>
      <c r="B16" s="35" t="s">
        <v>89</v>
      </c>
      <c r="C16" s="42" t="s">
        <v>345</v>
      </c>
      <c r="D16" s="42" t="s">
        <v>6273</v>
      </c>
      <c r="E16" s="42" t="s">
        <v>6022</v>
      </c>
      <c r="F16" s="35" t="s">
        <v>6264</v>
      </c>
      <c r="G16" s="42"/>
      <c r="H16" s="35" t="n">
        <v>235</v>
      </c>
      <c r="I16" s="42" t="s">
        <v>6271</v>
      </c>
    </row>
    <row r="17" customFormat="false" ht="34.5" hidden="false" customHeight="true" outlineLevel="0" collapsed="false">
      <c r="A17" s="35" t="s">
        <v>40</v>
      </c>
      <c r="B17" s="35" t="s">
        <v>89</v>
      </c>
      <c r="C17" s="42" t="s">
        <v>345</v>
      </c>
      <c r="D17" s="42" t="s">
        <v>6274</v>
      </c>
      <c r="E17" s="42" t="s">
        <v>6022</v>
      </c>
      <c r="F17" s="35" t="s">
        <v>6264</v>
      </c>
      <c r="G17" s="42"/>
      <c r="H17" s="35" t="n">
        <v>236</v>
      </c>
      <c r="I17" s="42" t="s">
        <v>6271</v>
      </c>
    </row>
    <row r="18" customFormat="false" ht="23.25" hidden="false" customHeight="true" outlineLevel="0" collapsed="false">
      <c r="A18" s="35" t="s">
        <v>40</v>
      </c>
      <c r="B18" s="35" t="s">
        <v>89</v>
      </c>
      <c r="C18" s="42" t="s">
        <v>468</v>
      </c>
      <c r="D18" s="42" t="s">
        <v>6275</v>
      </c>
      <c r="E18" s="42"/>
      <c r="F18" s="35" t="s">
        <v>6264</v>
      </c>
      <c r="G18" s="42"/>
      <c r="H18" s="35" t="n">
        <v>244</v>
      </c>
      <c r="I18" s="42" t="s">
        <v>6276</v>
      </c>
    </row>
    <row r="19" customFormat="false" ht="57" hidden="false" customHeight="true" outlineLevel="0" collapsed="false">
      <c r="A19" s="35" t="s">
        <v>40</v>
      </c>
      <c r="B19" s="35" t="s">
        <v>89</v>
      </c>
      <c r="C19" s="42" t="s">
        <v>654</v>
      </c>
      <c r="D19" s="42" t="s">
        <v>6277</v>
      </c>
      <c r="E19" s="42"/>
      <c r="F19" s="35" t="s">
        <v>6264</v>
      </c>
      <c r="G19" s="42" t="s">
        <v>4402</v>
      </c>
      <c r="H19" s="35" t="n">
        <v>257</v>
      </c>
      <c r="I19" s="42" t="s">
        <v>6269</v>
      </c>
    </row>
    <row r="20" customFormat="false" ht="45.75" hidden="false" customHeight="true" outlineLevel="0" collapsed="false">
      <c r="A20" s="35" t="s">
        <v>40</v>
      </c>
      <c r="B20" s="35" t="s">
        <v>89</v>
      </c>
      <c r="C20" s="42" t="s">
        <v>654</v>
      </c>
      <c r="D20" s="42" t="s">
        <v>6278</v>
      </c>
      <c r="E20" s="42" t="s">
        <v>6279</v>
      </c>
      <c r="F20" s="35" t="s">
        <v>6264</v>
      </c>
      <c r="G20" s="42" t="s">
        <v>4402</v>
      </c>
      <c r="H20" s="35" t="n">
        <v>258</v>
      </c>
      <c r="I20" s="42" t="s">
        <v>6269</v>
      </c>
    </row>
    <row r="21" customFormat="false" ht="23.25" hidden="false" customHeight="true" outlineLevel="0" collapsed="false">
      <c r="A21" s="35" t="s">
        <v>40</v>
      </c>
      <c r="B21" s="35" t="s">
        <v>89</v>
      </c>
      <c r="C21" s="42" t="s">
        <v>710</v>
      </c>
      <c r="D21" s="42" t="s">
        <v>6280</v>
      </c>
      <c r="E21" s="42"/>
      <c r="F21" s="35" t="s">
        <v>6264</v>
      </c>
      <c r="G21" s="42"/>
      <c r="H21" s="35" t="n">
        <v>260</v>
      </c>
      <c r="I21" s="42" t="s">
        <v>6266</v>
      </c>
    </row>
    <row r="22" customFormat="false" ht="45.75" hidden="false" customHeight="true" outlineLevel="0" collapsed="false">
      <c r="A22" s="35" t="s">
        <v>40</v>
      </c>
      <c r="B22" s="35" t="s">
        <v>89</v>
      </c>
      <c r="C22" s="42" t="s">
        <v>710</v>
      </c>
      <c r="D22" s="42" t="s">
        <v>6281</v>
      </c>
      <c r="E22" s="42" t="s">
        <v>6105</v>
      </c>
      <c r="F22" s="35" t="s">
        <v>6264</v>
      </c>
      <c r="G22" s="42"/>
      <c r="H22" s="35" t="n">
        <v>262</v>
      </c>
      <c r="I22" s="42" t="s">
        <v>6266</v>
      </c>
    </row>
    <row r="23" customFormat="false" ht="45.75" hidden="false" customHeight="true" outlineLevel="0" collapsed="false">
      <c r="A23" s="35" t="s">
        <v>40</v>
      </c>
      <c r="B23" s="35" t="s">
        <v>89</v>
      </c>
      <c r="C23" s="42" t="s">
        <v>710</v>
      </c>
      <c r="D23" s="42" t="s">
        <v>6282</v>
      </c>
      <c r="E23" s="42" t="s">
        <v>6105</v>
      </c>
      <c r="F23" s="35" t="s">
        <v>6264</v>
      </c>
      <c r="G23" s="42"/>
      <c r="H23" s="35" t="n">
        <v>263</v>
      </c>
      <c r="I23" s="42" t="s">
        <v>6266</v>
      </c>
    </row>
    <row r="24" customFormat="false" ht="23.25" hidden="false" customHeight="true" outlineLevel="0" collapsed="false">
      <c r="A24" s="35" t="s">
        <v>40</v>
      </c>
      <c r="B24" s="35" t="s">
        <v>5959</v>
      </c>
      <c r="C24" s="42" t="s">
        <v>1164</v>
      </c>
      <c r="D24" s="42" t="s">
        <v>6112</v>
      </c>
      <c r="E24" s="42"/>
      <c r="F24" s="35" t="s">
        <v>6264</v>
      </c>
      <c r="G24" s="42"/>
      <c r="H24" s="35" t="n">
        <v>325</v>
      </c>
      <c r="I24" s="42" t="s">
        <v>6266</v>
      </c>
    </row>
    <row r="25" customFormat="false" ht="23.25" hidden="false" customHeight="true" outlineLevel="0" collapsed="false">
      <c r="A25" s="35" t="s">
        <v>40</v>
      </c>
      <c r="B25" s="35" t="s">
        <v>5959</v>
      </c>
      <c r="C25" s="42" t="s">
        <v>1250</v>
      </c>
      <c r="D25" s="42" t="s">
        <v>6241</v>
      </c>
      <c r="E25" s="42"/>
      <c r="F25" s="35" t="s">
        <v>6264</v>
      </c>
      <c r="G25" s="42"/>
      <c r="H25" s="35" t="n">
        <v>332</v>
      </c>
      <c r="I25" s="42" t="s">
        <v>6283</v>
      </c>
    </row>
    <row r="26" customFormat="false" ht="45.75" hidden="false" customHeight="true" outlineLevel="0" collapsed="false">
      <c r="A26" s="35" t="s">
        <v>40</v>
      </c>
      <c r="B26" s="35" t="s">
        <v>89</v>
      </c>
      <c r="C26" s="42" t="s">
        <v>2496</v>
      </c>
      <c r="D26" s="42" t="s">
        <v>6284</v>
      </c>
      <c r="E26" s="42" t="s">
        <v>6128</v>
      </c>
      <c r="F26" s="35" t="s">
        <v>6285</v>
      </c>
      <c r="G26" s="42" t="s">
        <v>4396</v>
      </c>
      <c r="H26" s="35" t="n">
        <v>515</v>
      </c>
      <c r="I26" s="42" t="s">
        <v>6286</v>
      </c>
    </row>
    <row r="27" customFormat="false" ht="23.25" hidden="false" customHeight="true" outlineLevel="0" collapsed="false">
      <c r="A27" s="35" t="s">
        <v>40</v>
      </c>
      <c r="B27" s="35" t="s">
        <v>5959</v>
      </c>
      <c r="C27" s="42" t="s">
        <v>2572</v>
      </c>
      <c r="D27" s="42" t="s">
        <v>6139</v>
      </c>
      <c r="E27" s="42"/>
      <c r="F27" s="35" t="s">
        <v>6264</v>
      </c>
      <c r="G27" s="42"/>
      <c r="H27" s="35" t="n">
        <v>534</v>
      </c>
      <c r="I27" s="42" t="s">
        <v>6266</v>
      </c>
    </row>
    <row r="28" customFormat="false" ht="23.25" hidden="false" customHeight="true" outlineLevel="0" collapsed="false">
      <c r="A28" s="35" t="s">
        <v>40</v>
      </c>
      <c r="B28" s="35" t="s">
        <v>89</v>
      </c>
      <c r="C28" s="42" t="s">
        <v>3354</v>
      </c>
      <c r="D28" s="42" t="s">
        <v>6287</v>
      </c>
      <c r="E28" s="42"/>
      <c r="F28" s="35" t="s">
        <v>6264</v>
      </c>
      <c r="G28" s="42"/>
      <c r="H28" s="35" t="n">
        <v>965</v>
      </c>
      <c r="I28" s="42" t="s">
        <v>6269</v>
      </c>
    </row>
    <row r="29" customFormat="false" ht="34.5" hidden="false" customHeight="true" outlineLevel="0" collapsed="false">
      <c r="A29" s="35" t="s">
        <v>40</v>
      </c>
      <c r="B29" s="35" t="s">
        <v>89</v>
      </c>
      <c r="C29" s="42" t="s">
        <v>3374</v>
      </c>
      <c r="D29" s="42" t="s">
        <v>6288</v>
      </c>
      <c r="E29" s="42"/>
      <c r="F29" s="35" t="s">
        <v>6264</v>
      </c>
      <c r="G29" s="42"/>
      <c r="H29" s="35" t="n">
        <v>966</v>
      </c>
      <c r="I29" s="42" t="s">
        <v>6269</v>
      </c>
    </row>
    <row r="30" customFormat="false" ht="23.25" hidden="false" customHeight="true" outlineLevel="0" collapsed="false">
      <c r="A30" s="35" t="s">
        <v>40</v>
      </c>
      <c r="B30" s="35" t="s">
        <v>89</v>
      </c>
      <c r="C30" s="42" t="s">
        <v>3436</v>
      </c>
      <c r="D30" s="42" t="s">
        <v>6289</v>
      </c>
      <c r="E30" s="42"/>
      <c r="F30" s="35" t="s">
        <v>6264</v>
      </c>
      <c r="G30" s="42"/>
      <c r="H30" s="35" t="n">
        <v>969</v>
      </c>
      <c r="I30" s="42" t="s">
        <v>6269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60"/>
    <col collapsed="false" customWidth="true" hidden="false" outlineLevel="0" max="3" min="3" style="1" width="44"/>
    <col collapsed="false" customWidth="true" hidden="false" outlineLevel="0" max="4" min="4" style="1" width="38"/>
    <col collapsed="false" customWidth="true" hidden="false" outlineLevel="0" max="6" min="5" style="1" width="40"/>
    <col collapsed="false" customWidth="true" hidden="false" outlineLevel="0" max="7" min="7" style="1" width="34"/>
  </cols>
  <sheetData>
    <row r="1" customFormat="false" ht="17.25" hidden="false" customHeight="true" outlineLevel="0" collapsed="false">
      <c r="A1" s="2" t="s">
        <v>6290</v>
      </c>
    </row>
    <row r="3" customFormat="false" ht="15" hidden="false" customHeight="true" outlineLevel="0" collapsed="false">
      <c r="A3" s="5" t="s">
        <v>5284</v>
      </c>
      <c r="B3" s="5" t="s">
        <v>4758</v>
      </c>
      <c r="C3" s="5" t="s">
        <v>6291</v>
      </c>
      <c r="D3" s="5" t="s">
        <v>6292</v>
      </c>
      <c r="E3" s="5" t="s">
        <v>6293</v>
      </c>
      <c r="F3" s="5" t="s">
        <v>6294</v>
      </c>
      <c r="G3" s="5" t="s">
        <v>6295</v>
      </c>
    </row>
    <row r="4" customFormat="false" ht="23.25" hidden="false" customHeight="true" outlineLevel="0" collapsed="false">
      <c r="A4" s="47" t="s">
        <v>6296</v>
      </c>
      <c r="B4" s="6" t="s">
        <v>6297</v>
      </c>
      <c r="C4" s="6" t="s">
        <v>6298</v>
      </c>
      <c r="D4" s="6" t="s">
        <v>6299</v>
      </c>
      <c r="E4" s="6" t="s">
        <v>6300</v>
      </c>
      <c r="F4" s="6" t="s">
        <v>6301</v>
      </c>
      <c r="G4" s="6" t="s">
        <v>6302</v>
      </c>
    </row>
    <row r="5" customFormat="false" ht="23.25" hidden="false" customHeight="true" outlineLevel="0" collapsed="false">
      <c r="A5" s="47" t="s">
        <v>6303</v>
      </c>
      <c r="B5" s="6" t="s">
        <v>6304</v>
      </c>
      <c r="C5" s="6" t="s">
        <v>6305</v>
      </c>
      <c r="D5" s="6" t="s">
        <v>6306</v>
      </c>
      <c r="E5" s="6" t="s">
        <v>6307</v>
      </c>
      <c r="F5" s="6" t="s">
        <v>6308</v>
      </c>
      <c r="G5" s="6" t="s">
        <v>6309</v>
      </c>
    </row>
    <row r="6" customFormat="false" ht="23.25" hidden="false" customHeight="true" outlineLevel="0" collapsed="false">
      <c r="A6" s="47" t="s">
        <v>6310</v>
      </c>
      <c r="B6" s="6" t="s">
        <v>6311</v>
      </c>
      <c r="C6" s="6" t="s">
        <v>6312</v>
      </c>
      <c r="D6" s="6" t="s">
        <v>6313</v>
      </c>
      <c r="E6" s="6" t="s">
        <v>6314</v>
      </c>
      <c r="F6" s="6" t="s">
        <v>6315</v>
      </c>
      <c r="G6" s="6" t="s">
        <v>6316</v>
      </c>
    </row>
    <row r="7" customFormat="false" ht="23.25" hidden="false" customHeight="true" outlineLevel="0" collapsed="false">
      <c r="A7" s="47" t="s">
        <v>6317</v>
      </c>
      <c r="B7" s="6" t="s">
        <v>6318</v>
      </c>
      <c r="C7" s="6" t="s">
        <v>6319</v>
      </c>
      <c r="D7" s="6" t="s">
        <v>6320</v>
      </c>
      <c r="E7" s="6" t="s">
        <v>6321</v>
      </c>
      <c r="F7" s="6" t="s">
        <v>6322</v>
      </c>
      <c r="G7" s="6" t="s">
        <v>6323</v>
      </c>
    </row>
    <row r="8" customFormat="false" ht="34.5" hidden="false" customHeight="true" outlineLevel="0" collapsed="false">
      <c r="A8" s="47" t="s">
        <v>6324</v>
      </c>
      <c r="B8" s="6" t="s">
        <v>6325</v>
      </c>
      <c r="C8" s="6" t="s">
        <v>6326</v>
      </c>
      <c r="D8" s="6" t="s">
        <v>6327</v>
      </c>
      <c r="E8" s="6" t="s">
        <v>6328</v>
      </c>
      <c r="F8" s="6" t="s">
        <v>6329</v>
      </c>
      <c r="G8" s="6" t="s">
        <v>6330</v>
      </c>
    </row>
    <row r="9" customFormat="false" ht="34.5" hidden="false" customHeight="true" outlineLevel="0" collapsed="false">
      <c r="A9" s="47" t="s">
        <v>6331</v>
      </c>
      <c r="B9" s="6" t="s">
        <v>6332</v>
      </c>
      <c r="C9" s="6" t="s">
        <v>6333</v>
      </c>
      <c r="D9" s="6" t="s">
        <v>6334</v>
      </c>
      <c r="E9" s="6" t="s">
        <v>6335</v>
      </c>
      <c r="F9" s="6" t="s">
        <v>6336</v>
      </c>
      <c r="G9" s="6" t="s">
        <v>5947</v>
      </c>
    </row>
    <row r="10" customFormat="false" ht="34.5" hidden="false" customHeight="true" outlineLevel="0" collapsed="false">
      <c r="A10" s="47" t="s">
        <v>6337</v>
      </c>
      <c r="B10" s="6" t="s">
        <v>6338</v>
      </c>
      <c r="C10" s="6" t="s">
        <v>6339</v>
      </c>
      <c r="D10" s="6" t="s">
        <v>6340</v>
      </c>
      <c r="E10" s="6" t="s">
        <v>6341</v>
      </c>
      <c r="F10" s="6" t="s">
        <v>6342</v>
      </c>
      <c r="G10" s="6" t="s">
        <v>6343</v>
      </c>
    </row>
    <row r="11" customFormat="false" ht="34.5" hidden="false" customHeight="true" outlineLevel="0" collapsed="false">
      <c r="A11" s="47" t="s">
        <v>6344</v>
      </c>
      <c r="B11" s="6" t="s">
        <v>6345</v>
      </c>
      <c r="C11" s="6" t="s">
        <v>6346</v>
      </c>
      <c r="D11" s="6" t="s">
        <v>6347</v>
      </c>
      <c r="E11" s="6" t="s">
        <v>6348</v>
      </c>
      <c r="F11" s="6" t="s">
        <v>6349</v>
      </c>
      <c r="G11" s="6" t="s">
        <v>6350</v>
      </c>
    </row>
    <row r="12" customFormat="false" ht="23.25" hidden="false" customHeight="true" outlineLevel="0" collapsed="false">
      <c r="A12" s="47" t="s">
        <v>6351</v>
      </c>
      <c r="B12" s="6" t="s">
        <v>6352</v>
      </c>
      <c r="C12" s="6" t="s">
        <v>6353</v>
      </c>
      <c r="D12" s="6" t="s">
        <v>6354</v>
      </c>
      <c r="E12" s="6" t="s">
        <v>6355</v>
      </c>
      <c r="F12" s="6" t="s">
        <v>6356</v>
      </c>
      <c r="G12" s="6" t="s">
        <v>6357</v>
      </c>
    </row>
    <row r="14" customFormat="false" ht="15" hidden="false" customHeight="true" outlineLevel="0" collapsed="false">
      <c r="A14" s="4" t="s">
        <v>5263</v>
      </c>
    </row>
    <row r="15" customFormat="false" ht="15" hidden="false" customHeight="true" outlineLevel="0" collapsed="false">
      <c r="A15" s="30" t="s">
        <v>6358</v>
      </c>
      <c r="B15" s="22" t="s">
        <v>6359</v>
      </c>
      <c r="C15" s="22"/>
      <c r="D15" s="22"/>
    </row>
    <row r="16" customFormat="false" ht="23.25" hidden="false" customHeight="true" outlineLevel="0" collapsed="false">
      <c r="A16" s="30" t="s">
        <v>6360</v>
      </c>
      <c r="B16" s="22" t="s">
        <v>6361</v>
      </c>
      <c r="C16" s="22"/>
      <c r="D16" s="22"/>
    </row>
    <row r="17" customFormat="false" ht="23.25" hidden="false" customHeight="true" outlineLevel="0" collapsed="false">
      <c r="A17" s="30" t="s">
        <v>6362</v>
      </c>
      <c r="B17" s="22" t="s">
        <v>6363</v>
      </c>
      <c r="C17" s="22"/>
      <c r="D17" s="22"/>
    </row>
    <row r="18" customFormat="false" ht="15" hidden="false" customHeight="true" outlineLevel="0" collapsed="false">
      <c r="A18" s="30" t="s">
        <v>6364</v>
      </c>
      <c r="B18" s="22" t="s">
        <v>6365</v>
      </c>
      <c r="C18" s="22"/>
      <c r="D18" s="22"/>
    </row>
    <row r="20" customFormat="false" ht="15" hidden="false" customHeight="true" outlineLevel="0" collapsed="false">
      <c r="A20" s="4" t="s">
        <v>5275</v>
      </c>
    </row>
    <row r="21" customFormat="false" ht="15" hidden="false" customHeight="true" outlineLevel="0" collapsed="false">
      <c r="A21" s="30" t="s">
        <v>5276</v>
      </c>
      <c r="B21" s="22" t="s">
        <v>6366</v>
      </c>
      <c r="C21" s="22"/>
      <c r="D21" s="22"/>
    </row>
    <row r="22" customFormat="false" ht="23.25" hidden="false" customHeight="true" outlineLevel="0" collapsed="false">
      <c r="A22" s="30" t="s">
        <v>6367</v>
      </c>
      <c r="B22" s="22" t="s">
        <v>6368</v>
      </c>
      <c r="C22" s="22"/>
      <c r="D22" s="22"/>
    </row>
    <row r="23" customFormat="false" ht="23.25" hidden="false" customHeight="true" outlineLevel="0" collapsed="false">
      <c r="A23" s="30" t="s">
        <v>6369</v>
      </c>
      <c r="B23" s="22" t="s">
        <v>6370</v>
      </c>
      <c r="C23" s="22"/>
      <c r="D23" s="22"/>
    </row>
    <row r="25" customFormat="false" ht="15" hidden="false" customHeight="true" outlineLevel="0" collapsed="false">
      <c r="A25" s="4" t="s">
        <v>6371</v>
      </c>
    </row>
    <row r="26" customFormat="false" ht="15" hidden="false" customHeight="true" outlineLevel="0" collapsed="false">
      <c r="A26" s="30" t="s">
        <v>99</v>
      </c>
      <c r="B26" s="22" t="s">
        <v>6372</v>
      </c>
      <c r="C26" s="22"/>
      <c r="D26" s="22"/>
    </row>
    <row r="27" customFormat="false" ht="15" hidden="false" customHeight="true" outlineLevel="0" collapsed="false">
      <c r="A27" s="30" t="s">
        <v>6373</v>
      </c>
      <c r="B27" s="22" t="s">
        <v>6374</v>
      </c>
      <c r="C27" s="22"/>
      <c r="D27" s="22"/>
    </row>
    <row r="28" customFormat="false" ht="15" hidden="false" customHeight="true" outlineLevel="0" collapsed="false">
      <c r="A28" s="30" t="s">
        <v>101</v>
      </c>
      <c r="B28" s="22" t="s">
        <v>6375</v>
      </c>
      <c r="C28" s="22"/>
      <c r="D28" s="22"/>
    </row>
    <row r="29" customFormat="false" ht="15" hidden="false" customHeight="true" outlineLevel="0" collapsed="false">
      <c r="A29" s="30" t="s">
        <v>102</v>
      </c>
      <c r="B29" s="22" t="s">
        <v>6376</v>
      </c>
      <c r="C29" s="22"/>
      <c r="D29" s="22"/>
    </row>
    <row r="30" customFormat="false" ht="15" hidden="false" customHeight="true" outlineLevel="0" collapsed="false">
      <c r="A30" s="30" t="s">
        <v>6377</v>
      </c>
      <c r="B30" s="22" t="s">
        <v>6378</v>
      </c>
      <c r="C30" s="22"/>
      <c r="D30" s="22"/>
    </row>
    <row r="31" customFormat="false" ht="15" hidden="false" customHeight="true" outlineLevel="0" collapsed="false">
      <c r="A31" s="30" t="s">
        <v>6379</v>
      </c>
      <c r="B31" s="22" t="s">
        <v>6380</v>
      </c>
      <c r="C31" s="22"/>
      <c r="D31" s="22"/>
    </row>
    <row r="32" customFormat="false" ht="15" hidden="false" customHeight="true" outlineLevel="0" collapsed="false">
      <c r="A32" s="30" t="s">
        <v>6381</v>
      </c>
      <c r="B32" s="22" t="s">
        <v>6382</v>
      </c>
      <c r="C32" s="22"/>
      <c r="D32" s="22"/>
    </row>
    <row r="33" customFormat="false" ht="23.25" hidden="false" customHeight="true" outlineLevel="0" collapsed="false">
      <c r="A33" s="30" t="s">
        <v>6383</v>
      </c>
      <c r="B33" s="22" t="s">
        <v>6384</v>
      </c>
      <c r="C33" s="22"/>
      <c r="D33" s="22"/>
    </row>
    <row r="34" customFormat="false" ht="15" hidden="false" customHeight="true" outlineLevel="0" collapsed="false">
      <c r="A34" s="30" t="s">
        <v>6385</v>
      </c>
      <c r="B34" s="22" t="s">
        <v>6386</v>
      </c>
      <c r="C34" s="22"/>
      <c r="D34" s="22"/>
    </row>
    <row r="35" customFormat="false" ht="15" hidden="false" customHeight="true" outlineLevel="0" collapsed="false">
      <c r="A35" s="30" t="s">
        <v>6387</v>
      </c>
      <c r="B35" s="22" t="s">
        <v>6388</v>
      </c>
      <c r="C35" s="22"/>
      <c r="D35" s="22"/>
    </row>
    <row r="36" customFormat="false" ht="15" hidden="false" customHeight="true" outlineLevel="0" collapsed="false">
      <c r="A36" s="30" t="s">
        <v>6389</v>
      </c>
      <c r="B36" s="22" t="s">
        <v>6390</v>
      </c>
      <c r="C36" s="22"/>
      <c r="D36" s="22"/>
    </row>
  </sheetData>
  <mergeCells count="18">
    <mergeCell ref="B15:D15"/>
    <mergeCell ref="B16:D16"/>
    <mergeCell ref="B17:D17"/>
    <mergeCell ref="B18:D18"/>
    <mergeCell ref="B21:D21"/>
    <mergeCell ref="B22:D22"/>
    <mergeCell ref="B23:D23"/>
    <mergeCell ref="B26:D26"/>
    <mergeCell ref="B27:D27"/>
    <mergeCell ref="B28:D28"/>
    <mergeCell ref="B29:D29"/>
    <mergeCell ref="B30:D30"/>
    <mergeCell ref="B31:D31"/>
    <mergeCell ref="B32:D32"/>
    <mergeCell ref="B33:D33"/>
    <mergeCell ref="B34:D34"/>
    <mergeCell ref="B35:D35"/>
    <mergeCell ref="B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2026-10-06T07:25:27Z</dcterms:created>
  <dc:creator>openpyxl</dc:creator>
  <dc:description/>
  <dc:language>en-US</dc:language>
  <cp:lastModifiedBy/>
  <dcterms:modified xsi:type="dcterms:W3CDTF">2026-10-07T15:35:29Z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